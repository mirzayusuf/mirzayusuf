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13_ncr:1_{973EEA87-6537-443A-88E5-C8A446A2F1BB}" xr6:coauthVersionLast="47" xr6:coauthVersionMax="47" xr10:uidLastSave="{00000000-0000-0000-0000-000000000000}"/>
  <bookViews>
    <workbookView xWindow="-110" yWindow="-110" windowWidth="19420" windowHeight="11020" firstSheet="3" activeTab="4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104" i="5" l="1"/>
  <c r="W95" i="5"/>
  <c r="X154" i="8"/>
  <c r="Y177" i="8"/>
  <c r="V171" i="8"/>
  <c r="V148" i="8"/>
  <c r="Z364" i="8"/>
  <c r="Y364" i="8"/>
  <c r="X364" i="8"/>
  <c r="W364" i="8"/>
  <c r="V364" i="8"/>
  <c r="U364" i="8"/>
  <c r="T364" i="8"/>
  <c r="S364" i="8"/>
  <c r="N364" i="8"/>
  <c r="G364" i="8"/>
  <c r="R364" i="8" s="1"/>
  <c r="Z363" i="8"/>
  <c r="Y363" i="8"/>
  <c r="X363" i="8"/>
  <c r="W363" i="8"/>
  <c r="V363" i="8"/>
  <c r="U363" i="8"/>
  <c r="T363" i="8"/>
  <c r="S363" i="8"/>
  <c r="R363" i="8"/>
  <c r="N363" i="8"/>
  <c r="G363" i="8"/>
  <c r="Z362" i="8"/>
  <c r="Y362" i="8"/>
  <c r="X362" i="8"/>
  <c r="W362" i="8"/>
  <c r="V362" i="8"/>
  <c r="U362" i="8"/>
  <c r="T362" i="8"/>
  <c r="S362" i="8"/>
  <c r="N362" i="8"/>
  <c r="G362" i="8"/>
  <c r="R362" i="8" s="1"/>
  <c r="X361" i="8"/>
  <c r="V361" i="8"/>
  <c r="U361" i="8"/>
  <c r="T361" i="8"/>
  <c r="S361" i="8"/>
  <c r="N361" i="8"/>
  <c r="K361" i="8"/>
  <c r="Z361" i="8" s="1"/>
  <c r="G361" i="8"/>
  <c r="R361" i="8" s="1"/>
  <c r="Z360" i="8"/>
  <c r="X360" i="8"/>
  <c r="V360" i="8"/>
  <c r="U360" i="8"/>
  <c r="T360" i="8"/>
  <c r="S360" i="8"/>
  <c r="N360" i="8"/>
  <c r="K360" i="8"/>
  <c r="Y360" i="8" s="1"/>
  <c r="G360" i="8"/>
  <c r="R360" i="8" s="1"/>
  <c r="X359" i="8"/>
  <c r="V359" i="8"/>
  <c r="U359" i="8"/>
  <c r="T359" i="8"/>
  <c r="S359" i="8"/>
  <c r="N359" i="8"/>
  <c r="K359" i="8"/>
  <c r="W359" i="8" s="1"/>
  <c r="G359" i="8"/>
  <c r="R359" i="8" s="1"/>
  <c r="Z358" i="8"/>
  <c r="Y358" i="8"/>
  <c r="X358" i="8"/>
  <c r="W358" i="8"/>
  <c r="V358" i="8"/>
  <c r="U358" i="8"/>
  <c r="T358" i="8"/>
  <c r="S358" i="8"/>
  <c r="N358" i="8"/>
  <c r="G358" i="8"/>
  <c r="R358" i="8" s="1"/>
  <c r="Z357" i="8"/>
  <c r="Y357" i="8"/>
  <c r="X357" i="8"/>
  <c r="W357" i="8"/>
  <c r="V357" i="8"/>
  <c r="U357" i="8"/>
  <c r="T357" i="8"/>
  <c r="S357" i="8"/>
  <c r="R357" i="8"/>
  <c r="N357" i="8"/>
  <c r="G357" i="8"/>
  <c r="Z356" i="8"/>
  <c r="Y356" i="8"/>
  <c r="X356" i="8"/>
  <c r="W356" i="8"/>
  <c r="V356" i="8"/>
  <c r="U356" i="8"/>
  <c r="T356" i="8"/>
  <c r="S356" i="8"/>
  <c r="N356" i="8"/>
  <c r="G356" i="8"/>
  <c r="R356" i="8" s="1"/>
  <c r="Z355" i="8"/>
  <c r="Y355" i="8"/>
  <c r="X355" i="8"/>
  <c r="W355" i="8"/>
  <c r="V355" i="8"/>
  <c r="U355" i="8"/>
  <c r="T355" i="8"/>
  <c r="S355" i="8"/>
  <c r="N355" i="8"/>
  <c r="G355" i="8"/>
  <c r="R355" i="8" s="1"/>
  <c r="Z354" i="8"/>
  <c r="Y354" i="8"/>
  <c r="X354" i="8"/>
  <c r="W354" i="8"/>
  <c r="V354" i="8"/>
  <c r="U354" i="8"/>
  <c r="T354" i="8"/>
  <c r="S354" i="8"/>
  <c r="N354" i="8"/>
  <c r="G354" i="8"/>
  <c r="R354" i="8" s="1"/>
  <c r="Z353" i="8"/>
  <c r="Y353" i="8"/>
  <c r="X353" i="8"/>
  <c r="W353" i="8"/>
  <c r="V353" i="8"/>
  <c r="U353" i="8"/>
  <c r="T353" i="8"/>
  <c r="S353" i="8"/>
  <c r="N353" i="8"/>
  <c r="G353" i="8"/>
  <c r="R353" i="8" s="1"/>
  <c r="Z352" i="8"/>
  <c r="Y352" i="8"/>
  <c r="X352" i="8"/>
  <c r="W352" i="8"/>
  <c r="V352" i="8"/>
  <c r="U352" i="8"/>
  <c r="T352" i="8"/>
  <c r="S352" i="8"/>
  <c r="G352" i="8"/>
  <c r="R352" i="8" s="1"/>
  <c r="Z351" i="8"/>
  <c r="Y351" i="8"/>
  <c r="X351" i="8"/>
  <c r="W351" i="8"/>
  <c r="V351" i="8"/>
  <c r="U351" i="8"/>
  <c r="T351" i="8"/>
  <c r="S351" i="8"/>
  <c r="G351" i="8"/>
  <c r="R351" i="8" s="1"/>
  <c r="Z350" i="8"/>
  <c r="Y350" i="8"/>
  <c r="X350" i="8"/>
  <c r="W350" i="8"/>
  <c r="V350" i="8"/>
  <c r="U350" i="8"/>
  <c r="T350" i="8"/>
  <c r="S350" i="8"/>
  <c r="G350" i="8"/>
  <c r="R350" i="8" s="1"/>
  <c r="Z349" i="8"/>
  <c r="Y349" i="8"/>
  <c r="X349" i="8"/>
  <c r="W349" i="8"/>
  <c r="V349" i="8"/>
  <c r="U349" i="8"/>
  <c r="T349" i="8"/>
  <c r="S349" i="8"/>
  <c r="N349" i="8"/>
  <c r="G349" i="8"/>
  <c r="R349" i="8" s="1"/>
  <c r="Z348" i="8"/>
  <c r="Y348" i="8"/>
  <c r="X348" i="8"/>
  <c r="W348" i="8"/>
  <c r="V348" i="8"/>
  <c r="U348" i="8"/>
  <c r="T348" i="8"/>
  <c r="S348" i="8"/>
  <c r="N348" i="8"/>
  <c r="G348" i="8"/>
  <c r="R348" i="8" s="1"/>
  <c r="Z347" i="8"/>
  <c r="Y347" i="8"/>
  <c r="X347" i="8"/>
  <c r="W347" i="8"/>
  <c r="V347" i="8"/>
  <c r="U347" i="8"/>
  <c r="T347" i="8"/>
  <c r="S347" i="8"/>
  <c r="N347" i="8"/>
  <c r="G347" i="8"/>
  <c r="R347" i="8" s="1"/>
  <c r="Z346" i="8"/>
  <c r="Y346" i="8"/>
  <c r="X346" i="8"/>
  <c r="W346" i="8"/>
  <c r="V346" i="8"/>
  <c r="U346" i="8"/>
  <c r="T346" i="8"/>
  <c r="S346" i="8"/>
  <c r="N346" i="8"/>
  <c r="G346" i="8"/>
  <c r="R346" i="8" s="1"/>
  <c r="Z345" i="8"/>
  <c r="Y345" i="8"/>
  <c r="X345" i="8"/>
  <c r="W345" i="8"/>
  <c r="V345" i="8"/>
  <c r="U345" i="8"/>
  <c r="T345" i="8"/>
  <c r="S345" i="8"/>
  <c r="R345" i="8"/>
  <c r="N345" i="8"/>
  <c r="G345" i="8"/>
  <c r="Z344" i="8"/>
  <c r="Y344" i="8"/>
  <c r="X344" i="8"/>
  <c r="W344" i="8"/>
  <c r="V344" i="8"/>
  <c r="U344" i="8"/>
  <c r="T344" i="8"/>
  <c r="S344" i="8"/>
  <c r="N344" i="8"/>
  <c r="G344" i="8"/>
  <c r="R344" i="8" s="1"/>
  <c r="Z343" i="8"/>
  <c r="Y343" i="8"/>
  <c r="X343" i="8"/>
  <c r="W343" i="8"/>
  <c r="V343" i="8"/>
  <c r="U343" i="8"/>
  <c r="T343" i="8"/>
  <c r="S343" i="8"/>
  <c r="N343" i="8"/>
  <c r="G343" i="8"/>
  <c r="R343" i="8" s="1"/>
  <c r="Z342" i="8"/>
  <c r="Y342" i="8"/>
  <c r="X342" i="8"/>
  <c r="W342" i="8"/>
  <c r="V342" i="8"/>
  <c r="U342" i="8"/>
  <c r="T342" i="8"/>
  <c r="S342" i="8"/>
  <c r="N342" i="8"/>
  <c r="G342" i="8"/>
  <c r="R342" i="8" s="1"/>
  <c r="Z341" i="8"/>
  <c r="Y341" i="8"/>
  <c r="X341" i="8"/>
  <c r="W341" i="8"/>
  <c r="V341" i="8"/>
  <c r="U341" i="8"/>
  <c r="T341" i="8"/>
  <c r="S341" i="8"/>
  <c r="N341" i="8"/>
  <c r="G341" i="8"/>
  <c r="R341" i="8" s="1"/>
  <c r="Z340" i="8"/>
  <c r="Y340" i="8"/>
  <c r="X340" i="8"/>
  <c r="W340" i="8"/>
  <c r="V340" i="8"/>
  <c r="U340" i="8"/>
  <c r="T340" i="8"/>
  <c r="S340" i="8"/>
  <c r="N340" i="8"/>
  <c r="G340" i="8"/>
  <c r="R340" i="8" s="1"/>
  <c r="Z339" i="8"/>
  <c r="Y339" i="8"/>
  <c r="X339" i="8"/>
  <c r="W339" i="8"/>
  <c r="V339" i="8"/>
  <c r="U339" i="8"/>
  <c r="T339" i="8"/>
  <c r="S339" i="8"/>
  <c r="N339" i="8"/>
  <c r="G339" i="8"/>
  <c r="R339" i="8" s="1"/>
  <c r="Z338" i="8"/>
  <c r="Y338" i="8"/>
  <c r="X338" i="8"/>
  <c r="W338" i="8"/>
  <c r="V338" i="8"/>
  <c r="U338" i="8"/>
  <c r="T338" i="8"/>
  <c r="S338" i="8"/>
  <c r="R338" i="8"/>
  <c r="N338" i="8"/>
  <c r="G338" i="8"/>
  <c r="Z337" i="8"/>
  <c r="Y337" i="8"/>
  <c r="X337" i="8"/>
  <c r="W337" i="8"/>
  <c r="V337" i="8"/>
  <c r="U337" i="8"/>
  <c r="T337" i="8"/>
  <c r="S337" i="8"/>
  <c r="R337" i="8"/>
  <c r="N337" i="8"/>
  <c r="G337" i="8"/>
  <c r="Z336" i="8"/>
  <c r="Y336" i="8"/>
  <c r="X336" i="8"/>
  <c r="W336" i="8"/>
  <c r="V336" i="8"/>
  <c r="U336" i="8"/>
  <c r="T336" i="8"/>
  <c r="S336" i="8"/>
  <c r="N336" i="8"/>
  <c r="G336" i="8"/>
  <c r="R336" i="8" s="1"/>
  <c r="Z335" i="8"/>
  <c r="Y335" i="8"/>
  <c r="X335" i="8"/>
  <c r="W335" i="8"/>
  <c r="V335" i="8"/>
  <c r="U335" i="8"/>
  <c r="T335" i="8"/>
  <c r="S335" i="8"/>
  <c r="N335" i="8"/>
  <c r="G335" i="8"/>
  <c r="R335" i="8" s="1"/>
  <c r="Z334" i="8"/>
  <c r="Y334" i="8"/>
  <c r="X334" i="8"/>
  <c r="W334" i="8"/>
  <c r="V334" i="8"/>
  <c r="U334" i="8"/>
  <c r="T334" i="8"/>
  <c r="S334" i="8"/>
  <c r="N334" i="8"/>
  <c r="G334" i="8"/>
  <c r="R334" i="8" s="1"/>
  <c r="Z333" i="8"/>
  <c r="Y333" i="8"/>
  <c r="X333" i="8"/>
  <c r="W333" i="8"/>
  <c r="V333" i="8"/>
  <c r="U333" i="8"/>
  <c r="T333" i="8"/>
  <c r="S333" i="8"/>
  <c r="N333" i="8"/>
  <c r="G333" i="8"/>
  <c r="R333" i="8" s="1"/>
  <c r="Z332" i="8"/>
  <c r="Y332" i="8"/>
  <c r="X332" i="8"/>
  <c r="W332" i="8"/>
  <c r="V332" i="8"/>
  <c r="U332" i="8"/>
  <c r="T332" i="8"/>
  <c r="S332" i="8"/>
  <c r="N332" i="8"/>
  <c r="G332" i="8"/>
  <c r="R332" i="8" s="1"/>
  <c r="Z331" i="8"/>
  <c r="Y331" i="8"/>
  <c r="V331" i="8"/>
  <c r="U331" i="8"/>
  <c r="T331" i="8"/>
  <c r="S331" i="8"/>
  <c r="P331" i="8"/>
  <c r="X331" i="8" s="1"/>
  <c r="N331" i="8"/>
  <c r="G331" i="8"/>
  <c r="R331" i="8" s="1"/>
  <c r="Z330" i="8"/>
  <c r="Y330" i="8"/>
  <c r="V330" i="8"/>
  <c r="U330" i="8"/>
  <c r="T330" i="8"/>
  <c r="S330" i="8"/>
  <c r="P330" i="8"/>
  <c r="X330" i="8" s="1"/>
  <c r="N330" i="8"/>
  <c r="G330" i="8"/>
  <c r="R330" i="8" s="1"/>
  <c r="Z329" i="8"/>
  <c r="Y329" i="8"/>
  <c r="V329" i="8"/>
  <c r="U329" i="8"/>
  <c r="T329" i="8"/>
  <c r="S329" i="8"/>
  <c r="P329" i="8"/>
  <c r="X329" i="8" s="1"/>
  <c r="N329" i="8"/>
  <c r="G329" i="8"/>
  <c r="R329" i="8" s="1"/>
  <c r="Z328" i="8"/>
  <c r="Y328" i="8"/>
  <c r="X328" i="8"/>
  <c r="W328" i="8"/>
  <c r="V328" i="8"/>
  <c r="U328" i="8"/>
  <c r="T328" i="8"/>
  <c r="S328" i="8"/>
  <c r="G328" i="8"/>
  <c r="R328" i="8" s="1"/>
  <c r="Z327" i="8"/>
  <c r="Y327" i="8"/>
  <c r="X327" i="8"/>
  <c r="W327" i="8"/>
  <c r="V327" i="8"/>
  <c r="U327" i="8"/>
  <c r="T327" i="8"/>
  <c r="S327" i="8"/>
  <c r="G327" i="8"/>
  <c r="R327" i="8" s="1"/>
  <c r="Z326" i="8"/>
  <c r="Y326" i="8"/>
  <c r="X326" i="8"/>
  <c r="W326" i="8"/>
  <c r="V326" i="8"/>
  <c r="U326" i="8"/>
  <c r="T326" i="8"/>
  <c r="S326" i="8"/>
  <c r="G326" i="8"/>
  <c r="R326" i="8" s="1"/>
  <c r="Z325" i="8"/>
  <c r="Y325" i="8"/>
  <c r="X325" i="8"/>
  <c r="W325" i="8"/>
  <c r="V325" i="8"/>
  <c r="U325" i="8"/>
  <c r="T325" i="8"/>
  <c r="S325" i="8"/>
  <c r="G325" i="8"/>
  <c r="R325" i="8" s="1"/>
  <c r="Z324" i="8"/>
  <c r="Y324" i="8"/>
  <c r="X324" i="8"/>
  <c r="W324" i="8"/>
  <c r="V324" i="8"/>
  <c r="U324" i="8"/>
  <c r="T324" i="8"/>
  <c r="S324" i="8"/>
  <c r="G324" i="8"/>
  <c r="R324" i="8" s="1"/>
  <c r="Z323" i="8"/>
  <c r="Y323" i="8"/>
  <c r="X323" i="8"/>
  <c r="W323" i="8"/>
  <c r="V323" i="8"/>
  <c r="U323" i="8"/>
  <c r="T323" i="8"/>
  <c r="S323" i="8"/>
  <c r="G323" i="8"/>
  <c r="R323" i="8" s="1"/>
  <c r="Z322" i="8"/>
  <c r="Y322" i="8"/>
  <c r="X322" i="8"/>
  <c r="W322" i="8"/>
  <c r="V322" i="8"/>
  <c r="U322" i="8"/>
  <c r="T322" i="8"/>
  <c r="S322" i="8"/>
  <c r="G322" i="8"/>
  <c r="R322" i="8" s="1"/>
  <c r="Z321" i="8"/>
  <c r="Y321" i="8"/>
  <c r="X321" i="8"/>
  <c r="W321" i="8"/>
  <c r="V321" i="8"/>
  <c r="U321" i="8"/>
  <c r="T321" i="8"/>
  <c r="S321" i="8"/>
  <c r="G321" i="8"/>
  <c r="R321" i="8" s="1"/>
  <c r="Z320" i="8"/>
  <c r="Y320" i="8"/>
  <c r="X320" i="8"/>
  <c r="W320" i="8"/>
  <c r="V320" i="8"/>
  <c r="U320" i="8"/>
  <c r="T320" i="8"/>
  <c r="S320" i="8"/>
  <c r="G320" i="8"/>
  <c r="R320" i="8" s="1"/>
  <c r="Z319" i="8"/>
  <c r="Y319" i="8"/>
  <c r="V319" i="8"/>
  <c r="U319" i="8"/>
  <c r="T319" i="8"/>
  <c r="S319" i="8"/>
  <c r="P319" i="8"/>
  <c r="M319" i="8"/>
  <c r="G319" i="8"/>
  <c r="R319" i="8" s="1"/>
  <c r="Z318" i="8"/>
  <c r="Y318" i="8"/>
  <c r="V318" i="8"/>
  <c r="U318" i="8"/>
  <c r="T318" i="8"/>
  <c r="S318" i="8"/>
  <c r="P318" i="8"/>
  <c r="M318" i="8"/>
  <c r="G318" i="8"/>
  <c r="R318" i="8" s="1"/>
  <c r="Z317" i="8"/>
  <c r="Y317" i="8"/>
  <c r="V317" i="8"/>
  <c r="U317" i="8"/>
  <c r="T317" i="8"/>
  <c r="S317" i="8"/>
  <c r="P317" i="8"/>
  <c r="M317" i="8"/>
  <c r="G317" i="8"/>
  <c r="R317" i="8" s="1"/>
  <c r="Z316" i="8"/>
  <c r="Y316" i="8"/>
  <c r="X316" i="8"/>
  <c r="W316" i="8"/>
  <c r="V316" i="8"/>
  <c r="U316" i="8"/>
  <c r="T316" i="8"/>
  <c r="S316" i="8"/>
  <c r="R316" i="8"/>
  <c r="N316" i="8"/>
  <c r="G316" i="8"/>
  <c r="Z315" i="8"/>
  <c r="Y315" i="8"/>
  <c r="X315" i="8"/>
  <c r="W315" i="8"/>
  <c r="V315" i="8"/>
  <c r="U315" i="8"/>
  <c r="T315" i="8"/>
  <c r="S315" i="8"/>
  <c r="N315" i="8"/>
  <c r="G315" i="8"/>
  <c r="R315" i="8" s="1"/>
  <c r="Z314" i="8"/>
  <c r="Y314" i="8"/>
  <c r="W314" i="8"/>
  <c r="V314" i="8"/>
  <c r="U314" i="8"/>
  <c r="T314" i="8"/>
  <c r="S314" i="8"/>
  <c r="P314" i="8"/>
  <c r="X314" i="8" s="1"/>
  <c r="N314" i="8"/>
  <c r="G314" i="8"/>
  <c r="R314" i="8" s="1"/>
  <c r="X313" i="8"/>
  <c r="V313" i="8"/>
  <c r="U313" i="8"/>
  <c r="T313" i="8"/>
  <c r="S313" i="8"/>
  <c r="N313" i="8"/>
  <c r="K313" i="8"/>
  <c r="Y313" i="8" s="1"/>
  <c r="G313" i="8"/>
  <c r="R313" i="8" s="1"/>
  <c r="X312" i="8"/>
  <c r="V312" i="8"/>
  <c r="U312" i="8"/>
  <c r="T312" i="8"/>
  <c r="S312" i="8"/>
  <c r="N312" i="8"/>
  <c r="K312" i="8"/>
  <c r="Y312" i="8" s="1"/>
  <c r="G312" i="8"/>
  <c r="R312" i="8" s="1"/>
  <c r="X311" i="8"/>
  <c r="V311" i="8"/>
  <c r="U311" i="8"/>
  <c r="T311" i="8"/>
  <c r="S311" i="8"/>
  <c r="N311" i="8"/>
  <c r="K311" i="8"/>
  <c r="Y311" i="8" s="1"/>
  <c r="G311" i="8"/>
  <c r="R311" i="8" s="1"/>
  <c r="Z310" i="8"/>
  <c r="Y310" i="8"/>
  <c r="X310" i="8"/>
  <c r="W310" i="8"/>
  <c r="V310" i="8"/>
  <c r="U310" i="8"/>
  <c r="T310" i="8"/>
  <c r="S310" i="8"/>
  <c r="N310" i="8"/>
  <c r="I310" i="8"/>
  <c r="G310" i="8" s="1"/>
  <c r="R310" i="8" s="1"/>
  <c r="Z309" i="8"/>
  <c r="Y309" i="8"/>
  <c r="X309" i="8"/>
  <c r="W309" i="8"/>
  <c r="V309" i="8"/>
  <c r="U309" i="8"/>
  <c r="T309" i="8"/>
  <c r="S309" i="8"/>
  <c r="N309" i="8"/>
  <c r="I309" i="8"/>
  <c r="G309" i="8"/>
  <c r="R309" i="8" s="1"/>
  <c r="Z308" i="8"/>
  <c r="Y308" i="8"/>
  <c r="X308" i="8"/>
  <c r="W308" i="8"/>
  <c r="V308" i="8"/>
  <c r="U308" i="8"/>
  <c r="T308" i="8"/>
  <c r="S308" i="8"/>
  <c r="N308" i="8"/>
  <c r="I308" i="8"/>
  <c r="G308" i="8" s="1"/>
  <c r="R308" i="8" s="1"/>
  <c r="X307" i="8"/>
  <c r="V307" i="8"/>
  <c r="U307" i="8"/>
  <c r="T307" i="8"/>
  <c r="S307" i="8"/>
  <c r="N307" i="8"/>
  <c r="K307" i="8"/>
  <c r="Y307" i="8" s="1"/>
  <c r="G307" i="8"/>
  <c r="R307" i="8" s="1"/>
  <c r="X306" i="8"/>
  <c r="V306" i="8"/>
  <c r="U306" i="8"/>
  <c r="T306" i="8"/>
  <c r="S306" i="8"/>
  <c r="N306" i="8"/>
  <c r="K306" i="8"/>
  <c r="Z306" i="8" s="1"/>
  <c r="G306" i="8"/>
  <c r="R306" i="8" s="1"/>
  <c r="X305" i="8"/>
  <c r="V305" i="8"/>
  <c r="U305" i="8"/>
  <c r="T305" i="8"/>
  <c r="S305" i="8"/>
  <c r="N305" i="8"/>
  <c r="K305" i="8"/>
  <c r="Z305" i="8" s="1"/>
  <c r="G305" i="8"/>
  <c r="R305" i="8" s="1"/>
  <c r="Z304" i="8"/>
  <c r="Y304" i="8"/>
  <c r="V304" i="8"/>
  <c r="U304" i="8"/>
  <c r="T304" i="8"/>
  <c r="S304" i="8"/>
  <c r="P304" i="8"/>
  <c r="X304" i="8" s="1"/>
  <c r="G304" i="8"/>
  <c r="R304" i="8" s="1"/>
  <c r="Z303" i="8"/>
  <c r="Y303" i="8"/>
  <c r="X303" i="8"/>
  <c r="V303" i="8"/>
  <c r="U303" i="8"/>
  <c r="T303" i="8"/>
  <c r="S303" i="8"/>
  <c r="P303" i="8"/>
  <c r="W303" i="8" s="1"/>
  <c r="G303" i="8"/>
  <c r="R303" i="8" s="1"/>
  <c r="Z302" i="8"/>
  <c r="Y302" i="8"/>
  <c r="X302" i="8"/>
  <c r="W302" i="8"/>
  <c r="V302" i="8"/>
  <c r="U302" i="8"/>
  <c r="T302" i="8"/>
  <c r="S302" i="8"/>
  <c r="G302" i="8"/>
  <c r="R302" i="8" s="1"/>
  <c r="Z301" i="8"/>
  <c r="Y301" i="8"/>
  <c r="X301" i="8"/>
  <c r="W301" i="8"/>
  <c r="V301" i="8"/>
  <c r="U301" i="8"/>
  <c r="T301" i="8"/>
  <c r="S301" i="8"/>
  <c r="N301" i="8"/>
  <c r="G301" i="8"/>
  <c r="R301" i="8" s="1"/>
  <c r="Z300" i="8"/>
  <c r="Y300" i="8"/>
  <c r="X300" i="8"/>
  <c r="W300" i="8"/>
  <c r="V300" i="8"/>
  <c r="U300" i="8"/>
  <c r="T300" i="8"/>
  <c r="S300" i="8"/>
  <c r="R300" i="8"/>
  <c r="N300" i="8"/>
  <c r="G300" i="8"/>
  <c r="Z299" i="8"/>
  <c r="Y299" i="8"/>
  <c r="X299" i="8"/>
  <c r="W299" i="8"/>
  <c r="V299" i="8"/>
  <c r="U299" i="8"/>
  <c r="T299" i="8"/>
  <c r="S299" i="8"/>
  <c r="N299" i="8"/>
  <c r="G299" i="8"/>
  <c r="R299" i="8" s="1"/>
  <c r="Z298" i="8"/>
  <c r="Y298" i="8"/>
  <c r="X298" i="8"/>
  <c r="W298" i="8"/>
  <c r="V298" i="8"/>
  <c r="U298" i="8"/>
  <c r="T298" i="8"/>
  <c r="S298" i="8"/>
  <c r="N298" i="8"/>
  <c r="G298" i="8"/>
  <c r="R298" i="8" s="1"/>
  <c r="Z297" i="8"/>
  <c r="Y297" i="8"/>
  <c r="X297" i="8"/>
  <c r="W297" i="8"/>
  <c r="V297" i="8"/>
  <c r="U297" i="8"/>
  <c r="T297" i="8"/>
  <c r="S297" i="8"/>
  <c r="N297" i="8"/>
  <c r="G297" i="8"/>
  <c r="R297" i="8" s="1"/>
  <c r="Z296" i="8"/>
  <c r="Y296" i="8"/>
  <c r="X296" i="8"/>
  <c r="W296" i="8"/>
  <c r="V296" i="8"/>
  <c r="U296" i="8"/>
  <c r="T296" i="8"/>
  <c r="S296" i="8"/>
  <c r="N296" i="8"/>
  <c r="G296" i="8"/>
  <c r="R296" i="8" s="1"/>
  <c r="Z295" i="8"/>
  <c r="Y295" i="8"/>
  <c r="X295" i="8"/>
  <c r="W295" i="8"/>
  <c r="V295" i="8"/>
  <c r="U295" i="8"/>
  <c r="T295" i="8"/>
  <c r="S295" i="8"/>
  <c r="N295" i="8"/>
  <c r="G295" i="8"/>
  <c r="R295" i="8" s="1"/>
  <c r="Z294" i="8"/>
  <c r="Y294" i="8"/>
  <c r="X294" i="8"/>
  <c r="W294" i="8"/>
  <c r="V294" i="8"/>
  <c r="U294" i="8"/>
  <c r="T294" i="8"/>
  <c r="S294" i="8"/>
  <c r="N294" i="8"/>
  <c r="G294" i="8"/>
  <c r="R294" i="8" s="1"/>
  <c r="Z293" i="8"/>
  <c r="Y293" i="8"/>
  <c r="X293" i="8"/>
  <c r="W293" i="8"/>
  <c r="V293" i="8"/>
  <c r="U293" i="8"/>
  <c r="T293" i="8"/>
  <c r="S293" i="8"/>
  <c r="N293" i="8"/>
  <c r="G293" i="8"/>
  <c r="R293" i="8" s="1"/>
  <c r="Z292" i="8"/>
  <c r="Y292" i="8"/>
  <c r="X292" i="8"/>
  <c r="W292" i="8"/>
  <c r="V292" i="8"/>
  <c r="U292" i="8"/>
  <c r="T292" i="8"/>
  <c r="S292" i="8"/>
  <c r="R292" i="8"/>
  <c r="G292" i="8"/>
  <c r="Z291" i="8"/>
  <c r="Y291" i="8"/>
  <c r="X291" i="8"/>
  <c r="W291" i="8"/>
  <c r="V291" i="8"/>
  <c r="U291" i="8"/>
  <c r="T291" i="8"/>
  <c r="S291" i="8"/>
  <c r="R291" i="8"/>
  <c r="G291" i="8"/>
  <c r="Z290" i="8"/>
  <c r="Y290" i="8"/>
  <c r="X290" i="8"/>
  <c r="W290" i="8"/>
  <c r="V290" i="8"/>
  <c r="U290" i="8"/>
  <c r="T290" i="8"/>
  <c r="S290" i="8"/>
  <c r="R290" i="8"/>
  <c r="G290" i="8"/>
  <c r="Z289" i="8"/>
  <c r="Y289" i="8"/>
  <c r="X289" i="8"/>
  <c r="W289" i="8"/>
  <c r="V289" i="8"/>
  <c r="U289" i="8"/>
  <c r="T289" i="8"/>
  <c r="S289" i="8"/>
  <c r="N289" i="8"/>
  <c r="G289" i="8"/>
  <c r="R289" i="8" s="1"/>
  <c r="Z288" i="8"/>
  <c r="Y288" i="8"/>
  <c r="X288" i="8"/>
  <c r="W288" i="8"/>
  <c r="V288" i="8"/>
  <c r="U288" i="8"/>
  <c r="T288" i="8"/>
  <c r="S288" i="8"/>
  <c r="N288" i="8"/>
  <c r="G288" i="8"/>
  <c r="R288" i="8" s="1"/>
  <c r="Z287" i="8"/>
  <c r="Y287" i="8"/>
  <c r="X287" i="8"/>
  <c r="W287" i="8"/>
  <c r="V287" i="8"/>
  <c r="U287" i="8"/>
  <c r="T287" i="8"/>
  <c r="S287" i="8"/>
  <c r="N287" i="8"/>
  <c r="G287" i="8"/>
  <c r="R287" i="8" s="1"/>
  <c r="Z286" i="8"/>
  <c r="Y286" i="8"/>
  <c r="X286" i="8"/>
  <c r="W286" i="8"/>
  <c r="V286" i="8"/>
  <c r="U286" i="8"/>
  <c r="T286" i="8"/>
  <c r="S286" i="8"/>
  <c r="R286" i="8"/>
  <c r="N286" i="8"/>
  <c r="G286" i="8"/>
  <c r="Z285" i="8"/>
  <c r="Y285" i="8"/>
  <c r="X285" i="8"/>
  <c r="W285" i="8"/>
  <c r="V285" i="8"/>
  <c r="U285" i="8"/>
  <c r="T285" i="8"/>
  <c r="S285" i="8"/>
  <c r="N285" i="8"/>
  <c r="G285" i="8"/>
  <c r="R285" i="8" s="1"/>
  <c r="Z284" i="8"/>
  <c r="Y284" i="8"/>
  <c r="X284" i="8"/>
  <c r="W284" i="8"/>
  <c r="V284" i="8"/>
  <c r="U284" i="8"/>
  <c r="T284" i="8"/>
  <c r="S284" i="8"/>
  <c r="N284" i="8"/>
  <c r="G284" i="8"/>
  <c r="R284" i="8" s="1"/>
  <c r="Z283" i="8"/>
  <c r="Y283" i="8"/>
  <c r="X283" i="8"/>
  <c r="W283" i="8"/>
  <c r="V283" i="8"/>
  <c r="U283" i="8"/>
  <c r="T283" i="8"/>
  <c r="S283" i="8"/>
  <c r="R283" i="8"/>
  <c r="N283" i="8"/>
  <c r="G283" i="8"/>
  <c r="Z282" i="8"/>
  <c r="Y282" i="8"/>
  <c r="X282" i="8"/>
  <c r="W282" i="8"/>
  <c r="V282" i="8"/>
  <c r="U282" i="8"/>
  <c r="T282" i="8"/>
  <c r="S282" i="8"/>
  <c r="N282" i="8"/>
  <c r="G282" i="8"/>
  <c r="R282" i="8" s="1"/>
  <c r="Z281" i="8"/>
  <c r="Y281" i="8"/>
  <c r="X281" i="8"/>
  <c r="W281" i="8"/>
  <c r="V281" i="8"/>
  <c r="U281" i="8"/>
  <c r="T281" i="8"/>
  <c r="S281" i="8"/>
  <c r="N281" i="8"/>
  <c r="G281" i="8"/>
  <c r="R281" i="8" s="1"/>
  <c r="Z280" i="8"/>
  <c r="Y280" i="8"/>
  <c r="X280" i="8"/>
  <c r="W280" i="8"/>
  <c r="V280" i="8"/>
  <c r="U280" i="8"/>
  <c r="T280" i="8"/>
  <c r="S280" i="8"/>
  <c r="N280" i="8"/>
  <c r="G280" i="8"/>
  <c r="R280" i="8" s="1"/>
  <c r="Z279" i="8"/>
  <c r="Y279" i="8"/>
  <c r="X279" i="8"/>
  <c r="W279" i="8"/>
  <c r="V279" i="8"/>
  <c r="U279" i="8"/>
  <c r="T279" i="8"/>
  <c r="S279" i="8"/>
  <c r="N279" i="8"/>
  <c r="G279" i="8"/>
  <c r="R279" i="8" s="1"/>
  <c r="Z278" i="8"/>
  <c r="Y278" i="8"/>
  <c r="X278" i="8"/>
  <c r="W278" i="8"/>
  <c r="V278" i="8"/>
  <c r="U278" i="8"/>
  <c r="T278" i="8"/>
  <c r="S278" i="8"/>
  <c r="R278" i="8"/>
  <c r="N278" i="8"/>
  <c r="G278" i="8"/>
  <c r="Z277" i="8"/>
  <c r="Y277" i="8"/>
  <c r="X277" i="8"/>
  <c r="W277" i="8"/>
  <c r="V277" i="8"/>
  <c r="U277" i="8"/>
  <c r="T277" i="8"/>
  <c r="S277" i="8"/>
  <c r="N277" i="8"/>
  <c r="G277" i="8"/>
  <c r="R277" i="8" s="1"/>
  <c r="Z276" i="8"/>
  <c r="Y276" i="8"/>
  <c r="X276" i="8"/>
  <c r="W276" i="8"/>
  <c r="V276" i="8"/>
  <c r="U276" i="8"/>
  <c r="T276" i="8"/>
  <c r="S276" i="8"/>
  <c r="N276" i="8"/>
  <c r="G276" i="8"/>
  <c r="R276" i="8" s="1"/>
  <c r="Z275" i="8"/>
  <c r="Y275" i="8"/>
  <c r="X275" i="8"/>
  <c r="W275" i="8"/>
  <c r="V275" i="8"/>
  <c r="U275" i="8"/>
  <c r="T275" i="8"/>
  <c r="S275" i="8"/>
  <c r="R275" i="8"/>
  <c r="N275" i="8"/>
  <c r="G275" i="8"/>
  <c r="Z274" i="8"/>
  <c r="Y274" i="8"/>
  <c r="X274" i="8"/>
  <c r="W274" i="8"/>
  <c r="V274" i="8"/>
  <c r="U274" i="8"/>
  <c r="T274" i="8"/>
  <c r="S274" i="8"/>
  <c r="N274" i="8"/>
  <c r="G274" i="8"/>
  <c r="R274" i="8" s="1"/>
  <c r="Z273" i="8"/>
  <c r="Y273" i="8"/>
  <c r="X273" i="8"/>
  <c r="W273" i="8"/>
  <c r="V273" i="8"/>
  <c r="U273" i="8"/>
  <c r="T273" i="8"/>
  <c r="S273" i="8"/>
  <c r="N273" i="8"/>
  <c r="G273" i="8"/>
  <c r="R273" i="8" s="1"/>
  <c r="Z272" i="8"/>
  <c r="Y272" i="8"/>
  <c r="X272" i="8"/>
  <c r="W272" i="8"/>
  <c r="V272" i="8"/>
  <c r="U272" i="8"/>
  <c r="T272" i="8"/>
  <c r="S272" i="8"/>
  <c r="N272" i="8"/>
  <c r="G272" i="8"/>
  <c r="R272" i="8" s="1"/>
  <c r="Z271" i="8"/>
  <c r="Y271" i="8"/>
  <c r="X271" i="8"/>
  <c r="W271" i="8"/>
  <c r="V271" i="8"/>
  <c r="U271" i="8"/>
  <c r="T271" i="8"/>
  <c r="S271" i="8"/>
  <c r="R271" i="8"/>
  <c r="G271" i="8"/>
  <c r="Z270" i="8"/>
  <c r="Y270" i="8"/>
  <c r="X270" i="8"/>
  <c r="W270" i="8"/>
  <c r="V270" i="8"/>
  <c r="U270" i="8"/>
  <c r="T270" i="8"/>
  <c r="S270" i="8"/>
  <c r="G270" i="8"/>
  <c r="R270" i="8" s="1"/>
  <c r="Z269" i="8"/>
  <c r="Y269" i="8"/>
  <c r="X269" i="8"/>
  <c r="W269" i="8"/>
  <c r="V269" i="8"/>
  <c r="U269" i="8"/>
  <c r="T269" i="8"/>
  <c r="S269" i="8"/>
  <c r="G269" i="8"/>
  <c r="R269" i="8" s="1"/>
  <c r="Z268" i="8"/>
  <c r="Y268" i="8"/>
  <c r="X268" i="8"/>
  <c r="W268" i="8"/>
  <c r="V268" i="8"/>
  <c r="U268" i="8"/>
  <c r="T268" i="8"/>
  <c r="S268" i="8"/>
  <c r="N268" i="8"/>
  <c r="G268" i="8"/>
  <c r="R268" i="8" s="1"/>
  <c r="Z267" i="8"/>
  <c r="Y267" i="8"/>
  <c r="X267" i="8"/>
  <c r="W267" i="8"/>
  <c r="V267" i="8"/>
  <c r="U267" i="8"/>
  <c r="T267" i="8"/>
  <c r="S267" i="8"/>
  <c r="N267" i="8"/>
  <c r="G267" i="8"/>
  <c r="R267" i="8" s="1"/>
  <c r="Z266" i="8"/>
  <c r="Y266" i="8"/>
  <c r="X266" i="8"/>
  <c r="W266" i="8"/>
  <c r="V266" i="8"/>
  <c r="U266" i="8"/>
  <c r="T266" i="8"/>
  <c r="S266" i="8"/>
  <c r="N266" i="8"/>
  <c r="G266" i="8"/>
  <c r="R266" i="8" s="1"/>
  <c r="Z265" i="8"/>
  <c r="Y265" i="8"/>
  <c r="X265" i="8"/>
  <c r="W265" i="8"/>
  <c r="V265" i="8"/>
  <c r="U265" i="8"/>
  <c r="T265" i="8"/>
  <c r="S265" i="8"/>
  <c r="N265" i="8"/>
  <c r="G265" i="8"/>
  <c r="R265" i="8" s="1"/>
  <c r="Z264" i="8"/>
  <c r="Y264" i="8"/>
  <c r="X264" i="8"/>
  <c r="W264" i="8"/>
  <c r="V264" i="8"/>
  <c r="U264" i="8"/>
  <c r="T264" i="8"/>
  <c r="S264" i="8"/>
  <c r="N264" i="8"/>
  <c r="G264" i="8"/>
  <c r="R264" i="8" s="1"/>
  <c r="Z263" i="8"/>
  <c r="Y263" i="8"/>
  <c r="X263" i="8"/>
  <c r="W263" i="8"/>
  <c r="V263" i="8"/>
  <c r="U263" i="8"/>
  <c r="T263" i="8"/>
  <c r="S263" i="8"/>
  <c r="N263" i="8"/>
  <c r="G263" i="8"/>
  <c r="R263" i="8" s="1"/>
  <c r="Z262" i="8"/>
  <c r="Y262" i="8"/>
  <c r="X262" i="8"/>
  <c r="W262" i="8"/>
  <c r="V262" i="8"/>
  <c r="U262" i="8"/>
  <c r="T262" i="8"/>
  <c r="S262" i="8"/>
  <c r="R262" i="8"/>
  <c r="N262" i="8"/>
  <c r="G262" i="8"/>
  <c r="Z261" i="8"/>
  <c r="Y261" i="8"/>
  <c r="X261" i="8"/>
  <c r="W261" i="8"/>
  <c r="V261" i="8"/>
  <c r="U261" i="8"/>
  <c r="T261" i="8"/>
  <c r="S261" i="8"/>
  <c r="R261" i="8"/>
  <c r="N261" i="8"/>
  <c r="G261" i="8"/>
  <c r="Z260" i="8"/>
  <c r="Y260" i="8"/>
  <c r="X260" i="8"/>
  <c r="W260" i="8"/>
  <c r="V260" i="8"/>
  <c r="U260" i="8"/>
  <c r="T260" i="8"/>
  <c r="S260" i="8"/>
  <c r="N260" i="8"/>
  <c r="G260" i="8"/>
  <c r="R260" i="8" s="1"/>
  <c r="Z259" i="8"/>
  <c r="Y259" i="8"/>
  <c r="X259" i="8"/>
  <c r="W259" i="8"/>
  <c r="V259" i="8"/>
  <c r="U259" i="8"/>
  <c r="T259" i="8"/>
  <c r="S259" i="8"/>
  <c r="N259" i="8"/>
  <c r="G259" i="8"/>
  <c r="R259" i="8" s="1"/>
  <c r="Z258" i="8"/>
  <c r="Y258" i="8"/>
  <c r="X258" i="8"/>
  <c r="W258" i="8"/>
  <c r="V258" i="8"/>
  <c r="U258" i="8"/>
  <c r="T258" i="8"/>
  <c r="S258" i="8"/>
  <c r="N258" i="8"/>
  <c r="G258" i="8"/>
  <c r="R258" i="8" s="1"/>
  <c r="Z257" i="8"/>
  <c r="Y257" i="8"/>
  <c r="X257" i="8"/>
  <c r="W257" i="8"/>
  <c r="V257" i="8"/>
  <c r="U257" i="8"/>
  <c r="T257" i="8"/>
  <c r="S257" i="8"/>
  <c r="N257" i="8"/>
  <c r="G257" i="8"/>
  <c r="R257" i="8" s="1"/>
  <c r="Z256" i="8"/>
  <c r="Y256" i="8"/>
  <c r="V256" i="8"/>
  <c r="U256" i="8"/>
  <c r="T256" i="8"/>
  <c r="S256" i="8"/>
  <c r="P256" i="8"/>
  <c r="W256" i="8" s="1"/>
  <c r="G256" i="8"/>
  <c r="R256" i="8" s="1"/>
  <c r="Z255" i="8"/>
  <c r="Y255" i="8"/>
  <c r="X255" i="8"/>
  <c r="V255" i="8"/>
  <c r="U255" i="8"/>
  <c r="T255" i="8"/>
  <c r="S255" i="8"/>
  <c r="P255" i="8"/>
  <c r="W255" i="8" s="1"/>
  <c r="G255" i="8"/>
  <c r="R255" i="8" s="1"/>
  <c r="Z254" i="8"/>
  <c r="Y254" i="8"/>
  <c r="X254" i="8"/>
  <c r="W254" i="8"/>
  <c r="V254" i="8"/>
  <c r="U254" i="8"/>
  <c r="T254" i="8"/>
  <c r="S254" i="8"/>
  <c r="R254" i="8"/>
  <c r="G254" i="8"/>
  <c r="Z253" i="8"/>
  <c r="Y253" i="8"/>
  <c r="X253" i="8"/>
  <c r="W253" i="8"/>
  <c r="V253" i="8"/>
  <c r="U253" i="8"/>
  <c r="T253" i="8"/>
  <c r="S253" i="8"/>
  <c r="N253" i="8"/>
  <c r="G253" i="8"/>
  <c r="R253" i="8" s="1"/>
  <c r="Z252" i="8"/>
  <c r="Y252" i="8"/>
  <c r="X252" i="8"/>
  <c r="W252" i="8"/>
  <c r="V252" i="8"/>
  <c r="U252" i="8"/>
  <c r="T252" i="8"/>
  <c r="S252" i="8"/>
  <c r="N252" i="8"/>
  <c r="G252" i="8"/>
  <c r="R252" i="8" s="1"/>
  <c r="Z251" i="8"/>
  <c r="Y251" i="8"/>
  <c r="X251" i="8"/>
  <c r="W251" i="8"/>
  <c r="V251" i="8"/>
  <c r="U251" i="8"/>
  <c r="T251" i="8"/>
  <c r="S251" i="8"/>
  <c r="N251" i="8"/>
  <c r="G251" i="8"/>
  <c r="R251" i="8" s="1"/>
  <c r="Z250" i="8"/>
  <c r="Y250" i="8"/>
  <c r="V250" i="8"/>
  <c r="U250" i="8"/>
  <c r="T250" i="8"/>
  <c r="S250" i="8"/>
  <c r="P250" i="8"/>
  <c r="N250" i="8"/>
  <c r="G250" i="8"/>
  <c r="R250" i="8" s="1"/>
  <c r="Z249" i="8"/>
  <c r="Y249" i="8"/>
  <c r="V249" i="8"/>
  <c r="U249" i="8"/>
  <c r="T249" i="8"/>
  <c r="S249" i="8"/>
  <c r="P249" i="8"/>
  <c r="N249" i="8"/>
  <c r="G249" i="8"/>
  <c r="R249" i="8" s="1"/>
  <c r="Z248" i="8"/>
  <c r="Y248" i="8"/>
  <c r="V248" i="8"/>
  <c r="U248" i="8"/>
  <c r="T248" i="8"/>
  <c r="S248" i="8"/>
  <c r="P248" i="8"/>
  <c r="N248" i="8"/>
  <c r="G248" i="8"/>
  <c r="R248" i="8" s="1"/>
  <c r="Z247" i="8"/>
  <c r="Y247" i="8"/>
  <c r="X247" i="8"/>
  <c r="W247" i="8"/>
  <c r="V247" i="8"/>
  <c r="U247" i="8"/>
  <c r="T247" i="8"/>
  <c r="S247" i="8"/>
  <c r="N247" i="8"/>
  <c r="G247" i="8"/>
  <c r="R247" i="8" s="1"/>
  <c r="Z246" i="8"/>
  <c r="Y246" i="8"/>
  <c r="X246" i="8"/>
  <c r="W246" i="8"/>
  <c r="V246" i="8"/>
  <c r="U246" i="8"/>
  <c r="T246" i="8"/>
  <c r="S246" i="8"/>
  <c r="N246" i="8"/>
  <c r="G246" i="8"/>
  <c r="R246" i="8" s="1"/>
  <c r="Z245" i="8"/>
  <c r="Y245" i="8"/>
  <c r="X245" i="8"/>
  <c r="W245" i="8"/>
  <c r="V245" i="8"/>
  <c r="U245" i="8"/>
  <c r="T245" i="8"/>
  <c r="S245" i="8"/>
  <c r="N245" i="8"/>
  <c r="G245" i="8"/>
  <c r="R245" i="8" s="1"/>
  <c r="Z244" i="8"/>
  <c r="Y244" i="8"/>
  <c r="X244" i="8"/>
  <c r="W244" i="8"/>
  <c r="V244" i="8"/>
  <c r="U244" i="8"/>
  <c r="T244" i="8"/>
  <c r="S244" i="8"/>
  <c r="N244" i="8"/>
  <c r="G244" i="8"/>
  <c r="R244" i="8" s="1"/>
  <c r="Z243" i="8"/>
  <c r="Y243" i="8"/>
  <c r="X243" i="8"/>
  <c r="W243" i="8"/>
  <c r="V243" i="8"/>
  <c r="U243" i="8"/>
  <c r="T243" i="8"/>
  <c r="S243" i="8"/>
  <c r="R243" i="8"/>
  <c r="N243" i="8"/>
  <c r="G243" i="8"/>
  <c r="Z242" i="8"/>
  <c r="Y242" i="8"/>
  <c r="X242" i="8"/>
  <c r="W242" i="8"/>
  <c r="V242" i="8"/>
  <c r="U242" i="8"/>
  <c r="T242" i="8"/>
  <c r="S242" i="8"/>
  <c r="N242" i="8"/>
  <c r="G242" i="8"/>
  <c r="R242" i="8" s="1"/>
  <c r="Z241" i="8"/>
  <c r="Y241" i="8"/>
  <c r="X241" i="8"/>
  <c r="W241" i="8"/>
  <c r="V241" i="8"/>
  <c r="U241" i="8"/>
  <c r="T241" i="8"/>
  <c r="S241" i="8"/>
  <c r="N241" i="8"/>
  <c r="G241" i="8"/>
  <c r="R241" i="8" s="1"/>
  <c r="Z240" i="8"/>
  <c r="Y240" i="8"/>
  <c r="X240" i="8"/>
  <c r="W240" i="8"/>
  <c r="V240" i="8"/>
  <c r="U240" i="8"/>
  <c r="T240" i="8"/>
  <c r="S240" i="8"/>
  <c r="R240" i="8"/>
  <c r="N240" i="8"/>
  <c r="G240" i="8"/>
  <c r="Z239" i="8"/>
  <c r="Y239" i="8"/>
  <c r="X239" i="8"/>
  <c r="W239" i="8"/>
  <c r="V239" i="8"/>
  <c r="U239" i="8"/>
  <c r="T239" i="8"/>
  <c r="S239" i="8"/>
  <c r="N239" i="8"/>
  <c r="G239" i="8"/>
  <c r="R239" i="8" s="1"/>
  <c r="Z238" i="8"/>
  <c r="Y238" i="8"/>
  <c r="X238" i="8"/>
  <c r="W238" i="8"/>
  <c r="V238" i="8"/>
  <c r="U238" i="8"/>
  <c r="T238" i="8"/>
  <c r="S238" i="8"/>
  <c r="N238" i="8"/>
  <c r="G238" i="8"/>
  <c r="R238" i="8" s="1"/>
  <c r="Z237" i="8"/>
  <c r="Y237" i="8"/>
  <c r="X237" i="8"/>
  <c r="W237" i="8"/>
  <c r="V237" i="8"/>
  <c r="U237" i="8"/>
  <c r="T237" i="8"/>
  <c r="S237" i="8"/>
  <c r="N237" i="8"/>
  <c r="G237" i="8"/>
  <c r="R237" i="8" s="1"/>
  <c r="Z236" i="8"/>
  <c r="Y236" i="8"/>
  <c r="X236" i="8"/>
  <c r="W236" i="8"/>
  <c r="V236" i="8"/>
  <c r="U236" i="8"/>
  <c r="T236" i="8"/>
  <c r="S236" i="8"/>
  <c r="N236" i="8"/>
  <c r="G236" i="8"/>
  <c r="R236" i="8" s="1"/>
  <c r="Z235" i="8"/>
  <c r="Y235" i="8"/>
  <c r="X235" i="8"/>
  <c r="W235" i="8"/>
  <c r="V235" i="8"/>
  <c r="U235" i="8"/>
  <c r="T235" i="8"/>
  <c r="S235" i="8"/>
  <c r="R235" i="8"/>
  <c r="N235" i="8"/>
  <c r="G235" i="8"/>
  <c r="Z234" i="8"/>
  <c r="Y234" i="8"/>
  <c r="X234" i="8"/>
  <c r="W234" i="8"/>
  <c r="V234" i="8"/>
  <c r="U234" i="8"/>
  <c r="T234" i="8"/>
  <c r="S234" i="8"/>
  <c r="N234" i="8"/>
  <c r="G234" i="8"/>
  <c r="R234" i="8" s="1"/>
  <c r="Z233" i="8"/>
  <c r="Y233" i="8"/>
  <c r="X233" i="8"/>
  <c r="W233" i="8"/>
  <c r="V233" i="8"/>
  <c r="U233" i="8"/>
  <c r="T233" i="8"/>
  <c r="S233" i="8"/>
  <c r="N233" i="8"/>
  <c r="G233" i="8"/>
  <c r="R233" i="8" s="1"/>
  <c r="Z232" i="8"/>
  <c r="Y232" i="8"/>
  <c r="X232" i="8"/>
  <c r="W232" i="8"/>
  <c r="V232" i="8"/>
  <c r="U232" i="8"/>
  <c r="T232" i="8"/>
  <c r="S232" i="8"/>
  <c r="R232" i="8"/>
  <c r="N232" i="8"/>
  <c r="G232" i="8"/>
  <c r="Z231" i="8"/>
  <c r="Y231" i="8"/>
  <c r="X231" i="8"/>
  <c r="W231" i="8"/>
  <c r="V231" i="8"/>
  <c r="U231" i="8"/>
  <c r="T231" i="8"/>
  <c r="S231" i="8"/>
  <c r="N231" i="8"/>
  <c r="G231" i="8"/>
  <c r="R231" i="8" s="1"/>
  <c r="Z230" i="8"/>
  <c r="Y230" i="8"/>
  <c r="X230" i="8"/>
  <c r="W230" i="8"/>
  <c r="V230" i="8"/>
  <c r="U230" i="8"/>
  <c r="T230" i="8"/>
  <c r="S230" i="8"/>
  <c r="N230" i="8"/>
  <c r="G230" i="8"/>
  <c r="R230" i="8" s="1"/>
  <c r="Z229" i="8"/>
  <c r="Y229" i="8"/>
  <c r="X229" i="8"/>
  <c r="W229" i="8"/>
  <c r="V229" i="8"/>
  <c r="U229" i="8"/>
  <c r="T229" i="8"/>
  <c r="S229" i="8"/>
  <c r="N229" i="8"/>
  <c r="G229" i="8"/>
  <c r="R229" i="8" s="1"/>
  <c r="Z228" i="8"/>
  <c r="Y228" i="8"/>
  <c r="X228" i="8"/>
  <c r="W228" i="8"/>
  <c r="V228" i="8"/>
  <c r="U228" i="8"/>
  <c r="T228" i="8"/>
  <c r="S228" i="8"/>
  <c r="N228" i="8"/>
  <c r="G228" i="8"/>
  <c r="R228" i="8" s="1"/>
  <c r="Z227" i="8"/>
  <c r="Y227" i="8"/>
  <c r="X227" i="8"/>
  <c r="W227" i="8"/>
  <c r="V227" i="8"/>
  <c r="U227" i="8"/>
  <c r="T227" i="8"/>
  <c r="S227" i="8"/>
  <c r="R227" i="8"/>
  <c r="N227" i="8"/>
  <c r="G227" i="8"/>
  <c r="Z226" i="8"/>
  <c r="Y226" i="8"/>
  <c r="X226" i="8"/>
  <c r="W226" i="8"/>
  <c r="V226" i="8"/>
  <c r="U226" i="8"/>
  <c r="T226" i="8"/>
  <c r="S226" i="8"/>
  <c r="N226" i="8"/>
  <c r="G226" i="8"/>
  <c r="R226" i="8" s="1"/>
  <c r="Z225" i="8"/>
  <c r="Y225" i="8"/>
  <c r="X225" i="8"/>
  <c r="W225" i="8"/>
  <c r="V225" i="8"/>
  <c r="U225" i="8"/>
  <c r="T225" i="8"/>
  <c r="S225" i="8"/>
  <c r="N225" i="8"/>
  <c r="G225" i="8"/>
  <c r="R225" i="8" s="1"/>
  <c r="Z224" i="8"/>
  <c r="Y224" i="8"/>
  <c r="X224" i="8"/>
  <c r="W224" i="8"/>
  <c r="V224" i="8"/>
  <c r="U224" i="8"/>
  <c r="T224" i="8"/>
  <c r="S224" i="8"/>
  <c r="R224" i="8"/>
  <c r="N224" i="8"/>
  <c r="G224" i="8"/>
  <c r="Z223" i="8"/>
  <c r="Y223" i="8"/>
  <c r="X223" i="8"/>
  <c r="W223" i="8"/>
  <c r="V223" i="8"/>
  <c r="U223" i="8"/>
  <c r="T223" i="8"/>
  <c r="S223" i="8"/>
  <c r="N223" i="8"/>
  <c r="G223" i="8"/>
  <c r="R223" i="8" s="1"/>
  <c r="Z222" i="8"/>
  <c r="Y222" i="8"/>
  <c r="X222" i="8"/>
  <c r="W222" i="8"/>
  <c r="V222" i="8"/>
  <c r="U222" i="8"/>
  <c r="T222" i="8"/>
  <c r="S222" i="8"/>
  <c r="G222" i="8"/>
  <c r="R222" i="8" s="1"/>
  <c r="Z221" i="8"/>
  <c r="Y221" i="8"/>
  <c r="X221" i="8"/>
  <c r="W221" i="8"/>
  <c r="V221" i="8"/>
  <c r="U221" i="8"/>
  <c r="T221" i="8"/>
  <c r="S221" i="8"/>
  <c r="G221" i="8"/>
  <c r="R221" i="8" s="1"/>
  <c r="Z220" i="8"/>
  <c r="Y220" i="8"/>
  <c r="X220" i="8"/>
  <c r="W220" i="8"/>
  <c r="V220" i="8"/>
  <c r="U220" i="8"/>
  <c r="T220" i="8"/>
  <c r="S220" i="8"/>
  <c r="N220" i="8"/>
  <c r="G220" i="8"/>
  <c r="R220" i="8" s="1"/>
  <c r="Z219" i="8"/>
  <c r="Y219" i="8"/>
  <c r="X219" i="8"/>
  <c r="W219" i="8"/>
  <c r="V219" i="8"/>
  <c r="U219" i="8"/>
  <c r="T219" i="8"/>
  <c r="S219" i="8"/>
  <c r="N219" i="8"/>
  <c r="G219" i="8"/>
  <c r="R219" i="8" s="1"/>
  <c r="Z218" i="8"/>
  <c r="Y218" i="8"/>
  <c r="X218" i="8"/>
  <c r="W218" i="8"/>
  <c r="V218" i="8"/>
  <c r="U218" i="8"/>
  <c r="T218" i="8"/>
  <c r="S218" i="8"/>
  <c r="N218" i="8"/>
  <c r="G218" i="8"/>
  <c r="R218" i="8" s="1"/>
  <c r="Z217" i="8"/>
  <c r="Y217" i="8"/>
  <c r="X217" i="8"/>
  <c r="W217" i="8"/>
  <c r="V217" i="8"/>
  <c r="U217" i="8"/>
  <c r="T217" i="8"/>
  <c r="S217" i="8"/>
  <c r="R217" i="8"/>
  <c r="N217" i="8"/>
  <c r="G217" i="8"/>
  <c r="Z216" i="8"/>
  <c r="Y216" i="8"/>
  <c r="X216" i="8"/>
  <c r="W216" i="8"/>
  <c r="V216" i="8"/>
  <c r="U216" i="8"/>
  <c r="T216" i="8"/>
  <c r="S216" i="8"/>
  <c r="N216" i="8"/>
  <c r="G216" i="8"/>
  <c r="R216" i="8" s="1"/>
  <c r="Z215" i="8"/>
  <c r="Y215" i="8"/>
  <c r="X215" i="8"/>
  <c r="W215" i="8"/>
  <c r="V215" i="8"/>
  <c r="U215" i="8"/>
  <c r="T215" i="8"/>
  <c r="S215" i="8"/>
  <c r="N215" i="8"/>
  <c r="G215" i="8"/>
  <c r="R215" i="8" s="1"/>
  <c r="Z214" i="8"/>
  <c r="Y214" i="8"/>
  <c r="X214" i="8"/>
  <c r="W214" i="8"/>
  <c r="V214" i="8"/>
  <c r="U214" i="8"/>
  <c r="T214" i="8"/>
  <c r="S214" i="8"/>
  <c r="R214" i="8"/>
  <c r="N214" i="8"/>
  <c r="G214" i="8"/>
  <c r="Z213" i="8"/>
  <c r="Y213" i="8"/>
  <c r="X213" i="8"/>
  <c r="W213" i="8"/>
  <c r="V213" i="8"/>
  <c r="U213" i="8"/>
  <c r="T213" i="8"/>
  <c r="S213" i="8"/>
  <c r="N213" i="8"/>
  <c r="G213" i="8"/>
  <c r="R213" i="8" s="1"/>
  <c r="Z212" i="8"/>
  <c r="Y212" i="8"/>
  <c r="X212" i="8"/>
  <c r="W212" i="8"/>
  <c r="V212" i="8"/>
  <c r="U212" i="8"/>
  <c r="T212" i="8"/>
  <c r="S212" i="8"/>
  <c r="N212" i="8"/>
  <c r="G212" i="8"/>
  <c r="R212" i="8" s="1"/>
  <c r="Z211" i="8"/>
  <c r="Y211" i="8"/>
  <c r="X211" i="8"/>
  <c r="W211" i="8"/>
  <c r="V211" i="8"/>
  <c r="U211" i="8"/>
  <c r="T211" i="8"/>
  <c r="S211" i="8"/>
  <c r="N211" i="8"/>
  <c r="G211" i="8"/>
  <c r="R211" i="8" s="1"/>
  <c r="Z210" i="8"/>
  <c r="Y210" i="8"/>
  <c r="X210" i="8"/>
  <c r="W210" i="8"/>
  <c r="V210" i="8"/>
  <c r="U210" i="8"/>
  <c r="T210" i="8"/>
  <c r="S210" i="8"/>
  <c r="N210" i="8"/>
  <c r="G210" i="8"/>
  <c r="R210" i="8" s="1"/>
  <c r="Z209" i="8"/>
  <c r="Y209" i="8"/>
  <c r="X209" i="8"/>
  <c r="W209" i="8"/>
  <c r="V209" i="8"/>
  <c r="U209" i="8"/>
  <c r="T209" i="8"/>
  <c r="S209" i="8"/>
  <c r="N209" i="8"/>
  <c r="G209" i="8"/>
  <c r="R209" i="8" s="1"/>
  <c r="Z208" i="8"/>
  <c r="Y208" i="8"/>
  <c r="X208" i="8"/>
  <c r="W208" i="8"/>
  <c r="V208" i="8"/>
  <c r="U208" i="8"/>
  <c r="T208" i="8"/>
  <c r="S208" i="8"/>
  <c r="N208" i="8"/>
  <c r="G208" i="8"/>
  <c r="R208" i="8" s="1"/>
  <c r="Z207" i="8"/>
  <c r="Y207" i="8"/>
  <c r="X207" i="8"/>
  <c r="W207" i="8"/>
  <c r="V207" i="8"/>
  <c r="U207" i="8"/>
  <c r="T207" i="8"/>
  <c r="S207" i="8"/>
  <c r="N207" i="8"/>
  <c r="G207" i="8"/>
  <c r="R207" i="8" s="1"/>
  <c r="Z206" i="8"/>
  <c r="Y206" i="8"/>
  <c r="X206" i="8"/>
  <c r="W206" i="8"/>
  <c r="V206" i="8"/>
  <c r="U206" i="8"/>
  <c r="T206" i="8"/>
  <c r="S206" i="8"/>
  <c r="N206" i="8"/>
  <c r="G206" i="8"/>
  <c r="R206" i="8" s="1"/>
  <c r="Z205" i="8"/>
  <c r="Y205" i="8"/>
  <c r="X205" i="8"/>
  <c r="W205" i="8"/>
  <c r="V205" i="8"/>
  <c r="U205" i="8"/>
  <c r="T205" i="8"/>
  <c r="S205" i="8"/>
  <c r="N205" i="8"/>
  <c r="G205" i="8"/>
  <c r="R205" i="8" s="1"/>
  <c r="Z204" i="8"/>
  <c r="Y204" i="8"/>
  <c r="X204" i="8"/>
  <c r="W204" i="8"/>
  <c r="V204" i="8"/>
  <c r="U204" i="8"/>
  <c r="T204" i="8"/>
  <c r="S204" i="8"/>
  <c r="N204" i="8"/>
  <c r="G204" i="8"/>
  <c r="R204" i="8" s="1"/>
  <c r="Z203" i="8"/>
  <c r="Y203" i="8"/>
  <c r="X203" i="8"/>
  <c r="W203" i="8"/>
  <c r="V203" i="8"/>
  <c r="U203" i="8"/>
  <c r="T203" i="8"/>
  <c r="S203" i="8"/>
  <c r="N203" i="8"/>
  <c r="G203" i="8"/>
  <c r="R203" i="8" s="1"/>
  <c r="Z202" i="8"/>
  <c r="Y202" i="8"/>
  <c r="X202" i="8"/>
  <c r="W202" i="8"/>
  <c r="V202" i="8"/>
  <c r="U202" i="8"/>
  <c r="T202" i="8"/>
  <c r="S202" i="8"/>
  <c r="N202" i="8"/>
  <c r="G202" i="8"/>
  <c r="R202" i="8" s="1"/>
  <c r="Z201" i="8"/>
  <c r="Y201" i="8"/>
  <c r="X201" i="8"/>
  <c r="W201" i="8"/>
  <c r="V201" i="8"/>
  <c r="U201" i="8"/>
  <c r="T201" i="8"/>
  <c r="S201" i="8"/>
  <c r="N201" i="8"/>
  <c r="G201" i="8"/>
  <c r="R201" i="8" s="1"/>
  <c r="Z200" i="8"/>
  <c r="Y200" i="8"/>
  <c r="X200" i="8"/>
  <c r="W200" i="8"/>
  <c r="V200" i="8"/>
  <c r="U200" i="8"/>
  <c r="T200" i="8"/>
  <c r="S200" i="8"/>
  <c r="N200" i="8"/>
  <c r="G200" i="8"/>
  <c r="R200" i="8" s="1"/>
  <c r="P199" i="8"/>
  <c r="W199" i="8" s="1"/>
  <c r="O199" i="8"/>
  <c r="Y199" i="8" s="1"/>
  <c r="N199" i="8"/>
  <c r="M199" i="8"/>
  <c r="L199" i="8"/>
  <c r="J199" i="8"/>
  <c r="Z199" i="8" s="1"/>
  <c r="I199" i="8"/>
  <c r="G199" i="8" s="1"/>
  <c r="H199" i="8"/>
  <c r="S199" i="8" s="1"/>
  <c r="F199" i="8"/>
  <c r="E199" i="8"/>
  <c r="D199" i="8"/>
  <c r="P198" i="8"/>
  <c r="W198" i="8" s="1"/>
  <c r="O198" i="8"/>
  <c r="N198" i="8"/>
  <c r="M198" i="8"/>
  <c r="L198" i="8"/>
  <c r="J198" i="8"/>
  <c r="I198" i="8"/>
  <c r="H198" i="8"/>
  <c r="F198" i="8"/>
  <c r="E198" i="8"/>
  <c r="D198" i="8"/>
  <c r="Y197" i="8"/>
  <c r="P197" i="8"/>
  <c r="O197" i="8"/>
  <c r="U197" i="8" s="1"/>
  <c r="N197" i="8"/>
  <c r="M197" i="8"/>
  <c r="L197" i="8"/>
  <c r="J197" i="8"/>
  <c r="Z197" i="8" s="1"/>
  <c r="I197" i="8"/>
  <c r="H197" i="8"/>
  <c r="G197" i="8"/>
  <c r="F197" i="8"/>
  <c r="E197" i="8"/>
  <c r="D197" i="8"/>
  <c r="Z196" i="8"/>
  <c r="Y196" i="8"/>
  <c r="X196" i="8"/>
  <c r="W196" i="8"/>
  <c r="V196" i="8"/>
  <c r="U196" i="8"/>
  <c r="T196" i="8"/>
  <c r="S196" i="8"/>
  <c r="R196" i="8"/>
  <c r="N196" i="8"/>
  <c r="G196" i="8"/>
  <c r="Z195" i="8"/>
  <c r="Y195" i="8"/>
  <c r="X195" i="8"/>
  <c r="W195" i="8"/>
  <c r="V195" i="8"/>
  <c r="U195" i="8"/>
  <c r="T195" i="8"/>
  <c r="S195" i="8"/>
  <c r="N195" i="8"/>
  <c r="G195" i="8"/>
  <c r="R195" i="8" s="1"/>
  <c r="Z194" i="8"/>
  <c r="Y194" i="8"/>
  <c r="X194" i="8"/>
  <c r="W194" i="8"/>
  <c r="V194" i="8"/>
  <c r="U194" i="8"/>
  <c r="T194" i="8"/>
  <c r="S194" i="8"/>
  <c r="N194" i="8"/>
  <c r="G194" i="8"/>
  <c r="R194" i="8" s="1"/>
  <c r="Z193" i="8"/>
  <c r="Y193" i="8"/>
  <c r="X193" i="8"/>
  <c r="W193" i="8"/>
  <c r="V193" i="8"/>
  <c r="U193" i="8"/>
  <c r="T193" i="8"/>
  <c r="S193" i="8"/>
  <c r="N193" i="8"/>
  <c r="G193" i="8"/>
  <c r="R193" i="8" s="1"/>
  <c r="Z192" i="8"/>
  <c r="Y192" i="8"/>
  <c r="X192" i="8"/>
  <c r="W192" i="8"/>
  <c r="V192" i="8"/>
  <c r="U192" i="8"/>
  <c r="T192" i="8"/>
  <c r="S192" i="8"/>
  <c r="R192" i="8"/>
  <c r="N192" i="8"/>
  <c r="G192" i="8"/>
  <c r="Z191" i="8"/>
  <c r="Y191" i="8"/>
  <c r="X191" i="8"/>
  <c r="W191" i="8"/>
  <c r="V191" i="8"/>
  <c r="U191" i="8"/>
  <c r="T191" i="8"/>
  <c r="S191" i="8"/>
  <c r="N191" i="8"/>
  <c r="G191" i="8"/>
  <c r="R191" i="8" s="1"/>
  <c r="Z190" i="8"/>
  <c r="Y190" i="8"/>
  <c r="X190" i="8"/>
  <c r="W190" i="8"/>
  <c r="V190" i="8"/>
  <c r="U190" i="8"/>
  <c r="T190" i="8"/>
  <c r="S190" i="8"/>
  <c r="N190" i="8"/>
  <c r="G190" i="8"/>
  <c r="R190" i="8" s="1"/>
  <c r="Z189" i="8"/>
  <c r="Y189" i="8"/>
  <c r="X189" i="8"/>
  <c r="W189" i="8"/>
  <c r="V189" i="8"/>
  <c r="U189" i="8"/>
  <c r="T189" i="8"/>
  <c r="S189" i="8"/>
  <c r="N189" i="8"/>
  <c r="G189" i="8"/>
  <c r="R189" i="8" s="1"/>
  <c r="Z188" i="8"/>
  <c r="Y188" i="8"/>
  <c r="X188" i="8"/>
  <c r="W188" i="8"/>
  <c r="V188" i="8"/>
  <c r="U188" i="8"/>
  <c r="T188" i="8"/>
  <c r="S188" i="8"/>
  <c r="N188" i="8"/>
  <c r="G188" i="8"/>
  <c r="R188" i="8" s="1"/>
  <c r="Z187" i="8"/>
  <c r="Y187" i="8"/>
  <c r="X187" i="8"/>
  <c r="W187" i="8"/>
  <c r="V187" i="8"/>
  <c r="U187" i="8"/>
  <c r="T187" i="8"/>
  <c r="S187" i="8"/>
  <c r="N187" i="8"/>
  <c r="G187" i="8"/>
  <c r="R187" i="8" s="1"/>
  <c r="Z186" i="8"/>
  <c r="Y186" i="8"/>
  <c r="X186" i="8"/>
  <c r="W186" i="8"/>
  <c r="V186" i="8"/>
  <c r="U186" i="8"/>
  <c r="T186" i="8"/>
  <c r="S186" i="8"/>
  <c r="N186" i="8"/>
  <c r="G186" i="8"/>
  <c r="R186" i="8" s="1"/>
  <c r="Z185" i="8"/>
  <c r="Y185" i="8"/>
  <c r="X185" i="8"/>
  <c r="W185" i="8"/>
  <c r="V185" i="8"/>
  <c r="U185" i="8"/>
  <c r="T185" i="8"/>
  <c r="S185" i="8"/>
  <c r="N185" i="8"/>
  <c r="G185" i="8"/>
  <c r="R185" i="8" s="1"/>
  <c r="Z184" i="8"/>
  <c r="Y184" i="8"/>
  <c r="X184" i="8"/>
  <c r="W184" i="8"/>
  <c r="V184" i="8"/>
  <c r="U184" i="8"/>
  <c r="T184" i="8"/>
  <c r="S184" i="8"/>
  <c r="G184" i="8"/>
  <c r="R184" i="8" s="1"/>
  <c r="Z183" i="8"/>
  <c r="Y183" i="8"/>
  <c r="X183" i="8"/>
  <c r="W183" i="8"/>
  <c r="V183" i="8"/>
  <c r="U183" i="8"/>
  <c r="T183" i="8"/>
  <c r="S183" i="8"/>
  <c r="N183" i="8"/>
  <c r="G183" i="8"/>
  <c r="R183" i="8" s="1"/>
  <c r="Z182" i="8"/>
  <c r="Y182" i="8"/>
  <c r="X182" i="8"/>
  <c r="W182" i="8"/>
  <c r="V182" i="8"/>
  <c r="U182" i="8"/>
  <c r="T182" i="8"/>
  <c r="S182" i="8"/>
  <c r="G182" i="8"/>
  <c r="R182" i="8" s="1"/>
  <c r="Z181" i="8"/>
  <c r="Y181" i="8"/>
  <c r="X181" i="8"/>
  <c r="W181" i="8"/>
  <c r="V181" i="8"/>
  <c r="U181" i="8"/>
  <c r="T181" i="8"/>
  <c r="S181" i="8"/>
  <c r="G181" i="8"/>
  <c r="R181" i="8" s="1"/>
  <c r="Z180" i="8"/>
  <c r="Y180" i="8"/>
  <c r="X180" i="8"/>
  <c r="W180" i="8"/>
  <c r="V180" i="8"/>
  <c r="U180" i="8"/>
  <c r="T180" i="8"/>
  <c r="S180" i="8"/>
  <c r="R180" i="8"/>
  <c r="G180" i="8"/>
  <c r="Z179" i="8"/>
  <c r="Y179" i="8"/>
  <c r="X179" i="8"/>
  <c r="W179" i="8"/>
  <c r="V179" i="8"/>
  <c r="U179" i="8"/>
  <c r="T179" i="8"/>
  <c r="S179" i="8"/>
  <c r="G179" i="8"/>
  <c r="R179" i="8" s="1"/>
  <c r="Z178" i="8"/>
  <c r="Y178" i="8"/>
  <c r="X178" i="8"/>
  <c r="W178" i="8"/>
  <c r="V178" i="8"/>
  <c r="U178" i="8"/>
  <c r="T178" i="8"/>
  <c r="S178" i="8"/>
  <c r="R178" i="8"/>
  <c r="Z177" i="8"/>
  <c r="X177" i="8"/>
  <c r="W177" i="8"/>
  <c r="V177" i="8"/>
  <c r="U177" i="8"/>
  <c r="T177" i="8"/>
  <c r="S177" i="8"/>
  <c r="R177" i="8"/>
  <c r="Z176" i="8"/>
  <c r="Y176" i="8"/>
  <c r="X176" i="8"/>
  <c r="W176" i="8"/>
  <c r="V176" i="8"/>
  <c r="U176" i="8"/>
  <c r="T176" i="8"/>
  <c r="S176" i="8"/>
  <c r="R176" i="8"/>
  <c r="Z175" i="8"/>
  <c r="Y175" i="8"/>
  <c r="X175" i="8"/>
  <c r="W175" i="8"/>
  <c r="V175" i="8"/>
  <c r="U175" i="8"/>
  <c r="T175" i="8"/>
  <c r="S175" i="8"/>
  <c r="N175" i="8"/>
  <c r="G175" i="8"/>
  <c r="R175" i="8" s="1"/>
  <c r="Z174" i="8"/>
  <c r="Y174" i="8"/>
  <c r="X174" i="8"/>
  <c r="W174" i="8"/>
  <c r="V174" i="8"/>
  <c r="U174" i="8"/>
  <c r="T174" i="8"/>
  <c r="S174" i="8"/>
  <c r="N174" i="8"/>
  <c r="G174" i="8"/>
  <c r="R174" i="8" s="1"/>
  <c r="Z173" i="8"/>
  <c r="Y173" i="8"/>
  <c r="X173" i="8"/>
  <c r="W173" i="8"/>
  <c r="V173" i="8"/>
  <c r="U173" i="8"/>
  <c r="T173" i="8"/>
  <c r="S173" i="8"/>
  <c r="N173" i="8"/>
  <c r="G173" i="8"/>
  <c r="R173" i="8" s="1"/>
  <c r="X172" i="8"/>
  <c r="V172" i="8"/>
  <c r="U172" i="8"/>
  <c r="T172" i="8"/>
  <c r="S172" i="8"/>
  <c r="R172" i="8"/>
  <c r="K172" i="8"/>
  <c r="Y172" i="8" s="1"/>
  <c r="X171" i="8"/>
  <c r="U171" i="8"/>
  <c r="T171" i="8"/>
  <c r="S171" i="8"/>
  <c r="R171" i="8"/>
  <c r="K171" i="8"/>
  <c r="Y171" i="8" s="1"/>
  <c r="X170" i="8"/>
  <c r="V170" i="8"/>
  <c r="U170" i="8"/>
  <c r="T170" i="8"/>
  <c r="S170" i="8"/>
  <c r="R170" i="8"/>
  <c r="K170" i="8"/>
  <c r="Y170" i="8" s="1"/>
  <c r="Z169" i="8"/>
  <c r="Y169" i="8"/>
  <c r="X169" i="8"/>
  <c r="W169" i="8"/>
  <c r="V169" i="8"/>
  <c r="U169" i="8"/>
  <c r="T169" i="8"/>
  <c r="S169" i="8"/>
  <c r="N169" i="8"/>
  <c r="G169" i="8"/>
  <c r="R169" i="8" s="1"/>
  <c r="Z168" i="8"/>
  <c r="Y168" i="8"/>
  <c r="X168" i="8"/>
  <c r="W168" i="8"/>
  <c r="V168" i="8"/>
  <c r="U168" i="8"/>
  <c r="T168" i="8"/>
  <c r="S168" i="8"/>
  <c r="N168" i="8"/>
  <c r="G168" i="8"/>
  <c r="R168" i="8" s="1"/>
  <c r="Z167" i="8"/>
  <c r="Y167" i="8"/>
  <c r="X167" i="8"/>
  <c r="W167" i="8"/>
  <c r="V167" i="8"/>
  <c r="U167" i="8"/>
  <c r="T167" i="8"/>
  <c r="S167" i="8"/>
  <c r="N167" i="8"/>
  <c r="G167" i="8"/>
  <c r="R167" i="8" s="1"/>
  <c r="Z166" i="8"/>
  <c r="Y166" i="8"/>
  <c r="X166" i="8"/>
  <c r="W166" i="8"/>
  <c r="V166" i="8"/>
  <c r="U166" i="8"/>
  <c r="T166" i="8"/>
  <c r="S166" i="8"/>
  <c r="R166" i="8"/>
  <c r="Z165" i="8"/>
  <c r="Y165" i="8"/>
  <c r="X165" i="8"/>
  <c r="W165" i="8"/>
  <c r="V165" i="8"/>
  <c r="U165" i="8"/>
  <c r="T165" i="8"/>
  <c r="S165" i="8"/>
  <c r="R165" i="8"/>
  <c r="Z164" i="8"/>
  <c r="Y164" i="8"/>
  <c r="X164" i="8"/>
  <c r="W164" i="8"/>
  <c r="V164" i="8"/>
  <c r="U164" i="8"/>
  <c r="T164" i="8"/>
  <c r="S164" i="8"/>
  <c r="R164" i="8"/>
  <c r="Z163" i="8"/>
  <c r="Y163" i="8"/>
  <c r="X163" i="8"/>
  <c r="W163" i="8"/>
  <c r="V163" i="8"/>
  <c r="U163" i="8"/>
  <c r="T163" i="8"/>
  <c r="S163" i="8"/>
  <c r="N163" i="8"/>
  <c r="G163" i="8"/>
  <c r="R163" i="8" s="1"/>
  <c r="Z162" i="8"/>
  <c r="Y162" i="8"/>
  <c r="X162" i="8"/>
  <c r="W162" i="8"/>
  <c r="V162" i="8"/>
  <c r="U162" i="8"/>
  <c r="T162" i="8"/>
  <c r="S162" i="8"/>
  <c r="N162" i="8"/>
  <c r="G162" i="8"/>
  <c r="R162" i="8" s="1"/>
  <c r="Z161" i="8"/>
  <c r="Y161" i="8"/>
  <c r="X161" i="8"/>
  <c r="W161" i="8"/>
  <c r="V161" i="8"/>
  <c r="U161" i="8"/>
  <c r="T161" i="8"/>
  <c r="S161" i="8"/>
  <c r="N161" i="8"/>
  <c r="G161" i="8"/>
  <c r="R161" i="8" s="1"/>
  <c r="Z160" i="8"/>
  <c r="Y160" i="8"/>
  <c r="X160" i="8"/>
  <c r="W160" i="8"/>
  <c r="V160" i="8"/>
  <c r="U160" i="8"/>
  <c r="T160" i="8"/>
  <c r="S160" i="8"/>
  <c r="R160" i="8"/>
  <c r="Z159" i="8"/>
  <c r="Y159" i="8"/>
  <c r="X159" i="8"/>
  <c r="W159" i="8"/>
  <c r="V159" i="8"/>
  <c r="U159" i="8"/>
  <c r="T159" i="8"/>
  <c r="S159" i="8"/>
  <c r="R159" i="8"/>
  <c r="Z158" i="8"/>
  <c r="Y158" i="8"/>
  <c r="X158" i="8"/>
  <c r="W158" i="8"/>
  <c r="V158" i="8"/>
  <c r="U158" i="8"/>
  <c r="T158" i="8"/>
  <c r="S158" i="8"/>
  <c r="R158" i="8"/>
  <c r="Z157" i="8"/>
  <c r="Y157" i="8"/>
  <c r="X157" i="8"/>
  <c r="W157" i="8"/>
  <c r="V157" i="8"/>
  <c r="U157" i="8"/>
  <c r="T157" i="8"/>
  <c r="S157" i="8"/>
  <c r="R157" i="8"/>
  <c r="Z156" i="8"/>
  <c r="Y156" i="8"/>
  <c r="X156" i="8"/>
  <c r="W156" i="8"/>
  <c r="V156" i="8"/>
  <c r="U156" i="8"/>
  <c r="T156" i="8"/>
  <c r="S156" i="8"/>
  <c r="R156" i="8"/>
  <c r="Z155" i="8"/>
  <c r="Y155" i="8"/>
  <c r="X155" i="8"/>
  <c r="W155" i="8"/>
  <c r="V155" i="8"/>
  <c r="U155" i="8"/>
  <c r="T155" i="8"/>
  <c r="S155" i="8"/>
  <c r="R155" i="8"/>
  <c r="Z154" i="8"/>
  <c r="Y154" i="8"/>
  <c r="W154" i="8"/>
  <c r="V154" i="8"/>
  <c r="U154" i="8"/>
  <c r="T154" i="8"/>
  <c r="S154" i="8"/>
  <c r="R154" i="8"/>
  <c r="Z153" i="8"/>
  <c r="Y153" i="8"/>
  <c r="X153" i="8"/>
  <c r="W153" i="8"/>
  <c r="V153" i="8"/>
  <c r="U153" i="8"/>
  <c r="T153" i="8"/>
  <c r="S153" i="8"/>
  <c r="R153" i="8"/>
  <c r="Z152" i="8"/>
  <c r="Y152" i="8"/>
  <c r="X152" i="8"/>
  <c r="W152" i="8"/>
  <c r="V152" i="8"/>
  <c r="U152" i="8"/>
  <c r="T152" i="8"/>
  <c r="S152" i="8"/>
  <c r="R152" i="8"/>
  <c r="Z151" i="8"/>
  <c r="Y151" i="8"/>
  <c r="X151" i="8"/>
  <c r="W151" i="8"/>
  <c r="V151" i="8"/>
  <c r="U151" i="8"/>
  <c r="T151" i="8"/>
  <c r="S151" i="8"/>
  <c r="R151" i="8"/>
  <c r="Z150" i="8"/>
  <c r="Y150" i="8"/>
  <c r="X150" i="8"/>
  <c r="W150" i="8"/>
  <c r="V150" i="8"/>
  <c r="U150" i="8"/>
  <c r="T150" i="8"/>
  <c r="S150" i="8"/>
  <c r="R150" i="8"/>
  <c r="Z149" i="8"/>
  <c r="Y149" i="8"/>
  <c r="X149" i="8"/>
  <c r="W149" i="8"/>
  <c r="V149" i="8"/>
  <c r="U149" i="8"/>
  <c r="T149" i="8"/>
  <c r="S149" i="8"/>
  <c r="R149" i="8"/>
  <c r="Z148" i="8"/>
  <c r="Y148" i="8"/>
  <c r="X148" i="8"/>
  <c r="W148" i="8"/>
  <c r="U148" i="8"/>
  <c r="T148" i="8"/>
  <c r="S148" i="8"/>
  <c r="R148" i="8"/>
  <c r="Z147" i="8"/>
  <c r="Y147" i="8"/>
  <c r="X147" i="8"/>
  <c r="W147" i="8"/>
  <c r="V147" i="8"/>
  <c r="U147" i="8"/>
  <c r="T147" i="8"/>
  <c r="S147" i="8"/>
  <c r="R147" i="8"/>
  <c r="Z146" i="8"/>
  <c r="Y146" i="8"/>
  <c r="X146" i="8"/>
  <c r="W146" i="8"/>
  <c r="V146" i="8"/>
  <c r="U146" i="8"/>
  <c r="T146" i="8"/>
  <c r="S146" i="8"/>
  <c r="R146" i="8"/>
  <c r="Z145" i="8"/>
  <c r="Y145" i="8"/>
  <c r="X145" i="8"/>
  <c r="W145" i="8"/>
  <c r="V145" i="8"/>
  <c r="U145" i="8"/>
  <c r="T145" i="8"/>
  <c r="S145" i="8"/>
  <c r="R145" i="8"/>
  <c r="Z144" i="8"/>
  <c r="Y144" i="8"/>
  <c r="X144" i="8"/>
  <c r="W144" i="8"/>
  <c r="V144" i="8"/>
  <c r="U144" i="8"/>
  <c r="T144" i="8"/>
  <c r="S144" i="8"/>
  <c r="R144" i="8"/>
  <c r="Z143" i="8"/>
  <c r="Y143" i="8"/>
  <c r="X143" i="8"/>
  <c r="W143" i="8"/>
  <c r="V143" i="8"/>
  <c r="U143" i="8"/>
  <c r="T143" i="8"/>
  <c r="S143" i="8"/>
  <c r="R143" i="8"/>
  <c r="Z142" i="8"/>
  <c r="Y142" i="8"/>
  <c r="X142" i="8"/>
  <c r="W142" i="8"/>
  <c r="V142" i="8"/>
  <c r="U142" i="8"/>
  <c r="T142" i="8"/>
  <c r="S142" i="8"/>
  <c r="R142" i="8"/>
  <c r="Z141" i="8"/>
  <c r="Y141" i="8"/>
  <c r="X141" i="8"/>
  <c r="W141" i="8"/>
  <c r="V141" i="8"/>
  <c r="U141" i="8"/>
  <c r="T141" i="8"/>
  <c r="S141" i="8"/>
  <c r="R141" i="8"/>
  <c r="Z140" i="8"/>
  <c r="Y140" i="8"/>
  <c r="X140" i="8"/>
  <c r="W140" i="8"/>
  <c r="V140" i="8"/>
  <c r="U140" i="8"/>
  <c r="T140" i="8"/>
  <c r="S140" i="8"/>
  <c r="R140" i="8"/>
  <c r="Z139" i="8"/>
  <c r="Y139" i="8"/>
  <c r="X139" i="8"/>
  <c r="W139" i="8"/>
  <c r="V139" i="8"/>
  <c r="U139" i="8"/>
  <c r="T139" i="8"/>
  <c r="S139" i="8"/>
  <c r="R139" i="8"/>
  <c r="Z138" i="8"/>
  <c r="Y138" i="8"/>
  <c r="X138" i="8"/>
  <c r="W138" i="8"/>
  <c r="V138" i="8"/>
  <c r="U138" i="8"/>
  <c r="T138" i="8"/>
  <c r="S138" i="8"/>
  <c r="R138" i="8"/>
  <c r="Z137" i="8"/>
  <c r="Y137" i="8"/>
  <c r="X137" i="8"/>
  <c r="W137" i="8"/>
  <c r="V137" i="8"/>
  <c r="U137" i="8"/>
  <c r="T137" i="8"/>
  <c r="S137" i="8"/>
  <c r="R137" i="8"/>
  <c r="Z136" i="8"/>
  <c r="Y136" i="8"/>
  <c r="X136" i="8"/>
  <c r="W136" i="8"/>
  <c r="V136" i="8"/>
  <c r="U136" i="8"/>
  <c r="T136" i="8"/>
  <c r="S136" i="8"/>
  <c r="R136" i="8"/>
  <c r="Z135" i="8"/>
  <c r="Y135" i="8"/>
  <c r="X135" i="8"/>
  <c r="W135" i="8"/>
  <c r="V135" i="8"/>
  <c r="U135" i="8"/>
  <c r="T135" i="8"/>
  <c r="S135" i="8"/>
  <c r="R135" i="8"/>
  <c r="Z134" i="8"/>
  <c r="Y134" i="8"/>
  <c r="X134" i="8"/>
  <c r="W134" i="8"/>
  <c r="V134" i="8"/>
  <c r="U134" i="8"/>
  <c r="T134" i="8"/>
  <c r="S134" i="8"/>
  <c r="R134" i="8"/>
  <c r="Z133" i="8"/>
  <c r="Y133" i="8"/>
  <c r="X133" i="8"/>
  <c r="W133" i="8"/>
  <c r="V133" i="8"/>
  <c r="U133" i="8"/>
  <c r="T133" i="8"/>
  <c r="S133" i="8"/>
  <c r="R133" i="8"/>
  <c r="Z132" i="8"/>
  <c r="Y132" i="8"/>
  <c r="X132" i="8"/>
  <c r="W132" i="8"/>
  <c r="V132" i="8"/>
  <c r="U132" i="8"/>
  <c r="T132" i="8"/>
  <c r="S132" i="8"/>
  <c r="R132" i="8"/>
  <c r="Z131" i="8"/>
  <c r="Y131" i="8"/>
  <c r="X131" i="8"/>
  <c r="W131" i="8"/>
  <c r="V131" i="8"/>
  <c r="U131" i="8"/>
  <c r="T131" i="8"/>
  <c r="S131" i="8"/>
  <c r="R131" i="8"/>
  <c r="Z130" i="8"/>
  <c r="Y130" i="8"/>
  <c r="X130" i="8"/>
  <c r="W130" i="8"/>
  <c r="V130" i="8"/>
  <c r="U130" i="8"/>
  <c r="T130" i="8"/>
  <c r="S130" i="8"/>
  <c r="R130" i="8"/>
  <c r="Z129" i="8"/>
  <c r="Y129" i="8"/>
  <c r="X129" i="8"/>
  <c r="W129" i="8"/>
  <c r="V129" i="8"/>
  <c r="U129" i="8"/>
  <c r="T129" i="8"/>
  <c r="S129" i="8"/>
  <c r="R129" i="8"/>
  <c r="Z128" i="8"/>
  <c r="Y128" i="8"/>
  <c r="X128" i="8"/>
  <c r="W128" i="8"/>
  <c r="V128" i="8"/>
  <c r="U128" i="8"/>
  <c r="T128" i="8"/>
  <c r="S128" i="8"/>
  <c r="R128" i="8"/>
  <c r="X127" i="8"/>
  <c r="V127" i="8"/>
  <c r="U127" i="8"/>
  <c r="T127" i="8"/>
  <c r="S127" i="8"/>
  <c r="R127" i="8"/>
  <c r="K127" i="8"/>
  <c r="Y127" i="8" s="1"/>
  <c r="X126" i="8"/>
  <c r="V126" i="8"/>
  <c r="U126" i="8"/>
  <c r="T126" i="8"/>
  <c r="S126" i="8"/>
  <c r="R126" i="8"/>
  <c r="K126" i="8"/>
  <c r="Z125" i="8"/>
  <c r="Y125" i="8"/>
  <c r="X125" i="8"/>
  <c r="W125" i="8"/>
  <c r="V125" i="8"/>
  <c r="U125" i="8"/>
  <c r="T125" i="8"/>
  <c r="S125" i="8"/>
  <c r="R125" i="8"/>
  <c r="K125" i="8"/>
  <c r="X124" i="8"/>
  <c r="V124" i="8"/>
  <c r="U124" i="8"/>
  <c r="T124" i="8"/>
  <c r="S124" i="8"/>
  <c r="R124" i="8"/>
  <c r="K124" i="8"/>
  <c r="Z124" i="8" s="1"/>
  <c r="X123" i="8"/>
  <c r="V123" i="8"/>
  <c r="U123" i="8"/>
  <c r="T123" i="8"/>
  <c r="S123" i="8"/>
  <c r="R123" i="8"/>
  <c r="K123" i="8"/>
  <c r="Y123" i="8" s="1"/>
  <c r="X122" i="8"/>
  <c r="V122" i="8"/>
  <c r="U122" i="8"/>
  <c r="T122" i="8"/>
  <c r="S122" i="8"/>
  <c r="R122" i="8"/>
  <c r="K122" i="8"/>
  <c r="Y122" i="8" s="1"/>
  <c r="Z121" i="8"/>
  <c r="Y121" i="8"/>
  <c r="X121" i="8"/>
  <c r="W121" i="8"/>
  <c r="V121" i="8"/>
  <c r="U121" i="8"/>
  <c r="T121" i="8"/>
  <c r="S121" i="8"/>
  <c r="R121" i="8"/>
  <c r="Z120" i="8"/>
  <c r="Y120" i="8"/>
  <c r="X120" i="8"/>
  <c r="W120" i="8"/>
  <c r="V120" i="8"/>
  <c r="U120" i="8"/>
  <c r="T120" i="8"/>
  <c r="S120" i="8"/>
  <c r="R120" i="8"/>
  <c r="Z119" i="8"/>
  <c r="Y119" i="8"/>
  <c r="X119" i="8"/>
  <c r="W119" i="8"/>
  <c r="V119" i="8"/>
  <c r="U119" i="8"/>
  <c r="T119" i="8"/>
  <c r="S119" i="8"/>
  <c r="R119" i="8"/>
  <c r="Z118" i="8"/>
  <c r="Y118" i="8"/>
  <c r="X118" i="8"/>
  <c r="W118" i="8"/>
  <c r="V118" i="8"/>
  <c r="U118" i="8"/>
  <c r="T118" i="8"/>
  <c r="S118" i="8"/>
  <c r="R118" i="8"/>
  <c r="Z117" i="8"/>
  <c r="Y117" i="8"/>
  <c r="X117" i="8"/>
  <c r="W117" i="8"/>
  <c r="V117" i="8"/>
  <c r="U117" i="8"/>
  <c r="T117" i="8"/>
  <c r="S117" i="8"/>
  <c r="R117" i="8"/>
  <c r="Z116" i="8"/>
  <c r="Y116" i="8"/>
  <c r="X116" i="8"/>
  <c r="W116" i="8"/>
  <c r="V116" i="8"/>
  <c r="U116" i="8"/>
  <c r="T116" i="8"/>
  <c r="S116" i="8"/>
  <c r="R116" i="8"/>
  <c r="Z115" i="8"/>
  <c r="Y115" i="8"/>
  <c r="X115" i="8"/>
  <c r="W115" i="8"/>
  <c r="V115" i="8"/>
  <c r="U115" i="8"/>
  <c r="T115" i="8"/>
  <c r="S115" i="8"/>
  <c r="R115" i="8"/>
  <c r="Z114" i="8"/>
  <c r="Y114" i="8"/>
  <c r="X114" i="8"/>
  <c r="W114" i="8"/>
  <c r="V114" i="8"/>
  <c r="U114" i="8"/>
  <c r="T114" i="8"/>
  <c r="S114" i="8"/>
  <c r="R114" i="8"/>
  <c r="Z113" i="8"/>
  <c r="Y113" i="8"/>
  <c r="X113" i="8"/>
  <c r="W113" i="8"/>
  <c r="V113" i="8"/>
  <c r="U113" i="8"/>
  <c r="T113" i="8"/>
  <c r="S113" i="8"/>
  <c r="R113" i="8"/>
  <c r="X112" i="8"/>
  <c r="V112" i="8"/>
  <c r="U112" i="8"/>
  <c r="T112" i="8"/>
  <c r="S112" i="8"/>
  <c r="R112" i="8"/>
  <c r="K112" i="8"/>
  <c r="Y112" i="8" s="1"/>
  <c r="X111" i="8"/>
  <c r="V111" i="8"/>
  <c r="U111" i="8"/>
  <c r="T111" i="8"/>
  <c r="S111" i="8"/>
  <c r="R111" i="8"/>
  <c r="K111" i="8"/>
  <c r="W111" i="8" s="1"/>
  <c r="X110" i="8"/>
  <c r="V110" i="8"/>
  <c r="U110" i="8"/>
  <c r="T110" i="8"/>
  <c r="S110" i="8"/>
  <c r="R110" i="8"/>
  <c r="K110" i="8"/>
  <c r="Y110" i="8" s="1"/>
  <c r="Z109" i="8"/>
  <c r="Y109" i="8"/>
  <c r="X109" i="8"/>
  <c r="W109" i="8"/>
  <c r="V109" i="8"/>
  <c r="U109" i="8"/>
  <c r="T109" i="8"/>
  <c r="S109" i="8"/>
  <c r="R109" i="8"/>
  <c r="Z108" i="8"/>
  <c r="Y108" i="8"/>
  <c r="X108" i="8"/>
  <c r="W108" i="8"/>
  <c r="V108" i="8"/>
  <c r="U108" i="8"/>
  <c r="T108" i="8"/>
  <c r="S108" i="8"/>
  <c r="R108" i="8"/>
  <c r="Z107" i="8"/>
  <c r="Y107" i="8"/>
  <c r="X107" i="8"/>
  <c r="W107" i="8"/>
  <c r="V107" i="8"/>
  <c r="U107" i="8"/>
  <c r="T107" i="8"/>
  <c r="S107" i="8"/>
  <c r="R107" i="8"/>
  <c r="Z106" i="8"/>
  <c r="Y106" i="8"/>
  <c r="X106" i="8"/>
  <c r="W106" i="8"/>
  <c r="V106" i="8"/>
  <c r="U106" i="8"/>
  <c r="T106" i="8"/>
  <c r="S106" i="8"/>
  <c r="R106" i="8"/>
  <c r="Z105" i="8"/>
  <c r="Y105" i="8"/>
  <c r="X105" i="8"/>
  <c r="W105" i="8"/>
  <c r="V105" i="8"/>
  <c r="U105" i="8"/>
  <c r="T105" i="8"/>
  <c r="S105" i="8"/>
  <c r="R105" i="8"/>
  <c r="Z104" i="8"/>
  <c r="Y104" i="8"/>
  <c r="X104" i="8"/>
  <c r="W104" i="8"/>
  <c r="V104" i="8"/>
  <c r="U104" i="8"/>
  <c r="T104" i="8"/>
  <c r="S104" i="8"/>
  <c r="R104" i="8"/>
  <c r="Z103" i="8"/>
  <c r="Y103" i="8"/>
  <c r="X103" i="8"/>
  <c r="W103" i="8"/>
  <c r="V103" i="8"/>
  <c r="U103" i="8"/>
  <c r="T103" i="8"/>
  <c r="S103" i="8"/>
  <c r="R103" i="8"/>
  <c r="Z102" i="8"/>
  <c r="Y102" i="8"/>
  <c r="X102" i="8"/>
  <c r="W102" i="8"/>
  <c r="V102" i="8"/>
  <c r="U102" i="8"/>
  <c r="T102" i="8"/>
  <c r="S102" i="8"/>
  <c r="R102" i="8"/>
  <c r="Z101" i="8"/>
  <c r="Y101" i="8"/>
  <c r="X101" i="8"/>
  <c r="W101" i="8"/>
  <c r="V101" i="8"/>
  <c r="U101" i="8"/>
  <c r="T101" i="8"/>
  <c r="S101" i="8"/>
  <c r="R101" i="8"/>
  <c r="Z100" i="8"/>
  <c r="Y100" i="8"/>
  <c r="X100" i="8"/>
  <c r="W100" i="8"/>
  <c r="V100" i="8"/>
  <c r="U100" i="8"/>
  <c r="T100" i="8"/>
  <c r="S100" i="8"/>
  <c r="R100" i="8"/>
  <c r="Z99" i="8"/>
  <c r="Y99" i="8"/>
  <c r="X99" i="8"/>
  <c r="W99" i="8"/>
  <c r="V99" i="8"/>
  <c r="U99" i="8"/>
  <c r="T99" i="8"/>
  <c r="S99" i="8"/>
  <c r="R99" i="8"/>
  <c r="Z98" i="8"/>
  <c r="Y98" i="8"/>
  <c r="X98" i="8"/>
  <c r="W98" i="8"/>
  <c r="V98" i="8"/>
  <c r="U98" i="8"/>
  <c r="T98" i="8"/>
  <c r="S98" i="8"/>
  <c r="R98" i="8"/>
  <c r="Z97" i="8"/>
  <c r="Y97" i="8"/>
  <c r="X97" i="8"/>
  <c r="W97" i="8"/>
  <c r="V97" i="8"/>
  <c r="U97" i="8"/>
  <c r="T97" i="8"/>
  <c r="S97" i="8"/>
  <c r="R97" i="8"/>
  <c r="Z96" i="8"/>
  <c r="Y96" i="8"/>
  <c r="X96" i="8"/>
  <c r="W96" i="8"/>
  <c r="V96" i="8"/>
  <c r="U96" i="8"/>
  <c r="T96" i="8"/>
  <c r="S96" i="8"/>
  <c r="R96" i="8"/>
  <c r="Z95" i="8"/>
  <c r="Y95" i="8"/>
  <c r="X95" i="8"/>
  <c r="W95" i="8"/>
  <c r="V95" i="8"/>
  <c r="U95" i="8"/>
  <c r="T95" i="8"/>
  <c r="S95" i="8"/>
  <c r="R95" i="8"/>
  <c r="Z94" i="8"/>
  <c r="Y94" i="8"/>
  <c r="X94" i="8"/>
  <c r="W94" i="8"/>
  <c r="V94" i="8"/>
  <c r="U94" i="8"/>
  <c r="T94" i="8"/>
  <c r="S94" i="8"/>
  <c r="R94" i="8"/>
  <c r="Z93" i="8"/>
  <c r="Y93" i="8"/>
  <c r="X93" i="8"/>
  <c r="W93" i="8"/>
  <c r="V93" i="8"/>
  <c r="U93" i="8"/>
  <c r="T93" i="8"/>
  <c r="S93" i="8"/>
  <c r="R93" i="8"/>
  <c r="Z92" i="8"/>
  <c r="Y92" i="8"/>
  <c r="X92" i="8"/>
  <c r="W92" i="8"/>
  <c r="V92" i="8"/>
  <c r="U92" i="8"/>
  <c r="T92" i="8"/>
  <c r="S92" i="8"/>
  <c r="R92" i="8"/>
  <c r="Z91" i="8"/>
  <c r="Y91" i="8"/>
  <c r="X91" i="8"/>
  <c r="W91" i="8"/>
  <c r="V91" i="8"/>
  <c r="U91" i="8"/>
  <c r="T91" i="8"/>
  <c r="S91" i="8"/>
  <c r="R91" i="8"/>
  <c r="Z90" i="8"/>
  <c r="Y90" i="8"/>
  <c r="X90" i="8"/>
  <c r="W90" i="8"/>
  <c r="V90" i="8"/>
  <c r="U90" i="8"/>
  <c r="T90" i="8"/>
  <c r="S90" i="8"/>
  <c r="R90" i="8"/>
  <c r="Z89" i="8"/>
  <c r="Y89" i="8"/>
  <c r="X89" i="8"/>
  <c r="W89" i="8"/>
  <c r="V89" i="8"/>
  <c r="U89" i="8"/>
  <c r="T89" i="8"/>
  <c r="S89" i="8"/>
  <c r="R89" i="8"/>
  <c r="Z88" i="8"/>
  <c r="Y88" i="8"/>
  <c r="X88" i="8"/>
  <c r="W88" i="8"/>
  <c r="V88" i="8"/>
  <c r="U88" i="8"/>
  <c r="T88" i="8"/>
  <c r="S88" i="8"/>
  <c r="R88" i="8"/>
  <c r="Z87" i="8"/>
  <c r="Y87" i="8"/>
  <c r="X87" i="8"/>
  <c r="W87" i="8"/>
  <c r="V87" i="8"/>
  <c r="U87" i="8"/>
  <c r="T87" i="8"/>
  <c r="S87" i="8"/>
  <c r="R87" i="8"/>
  <c r="Z86" i="8"/>
  <c r="Y86" i="8"/>
  <c r="X86" i="8"/>
  <c r="W86" i="8"/>
  <c r="V86" i="8"/>
  <c r="U86" i="8"/>
  <c r="T86" i="8"/>
  <c r="S86" i="8"/>
  <c r="R86" i="8"/>
  <c r="X85" i="8"/>
  <c r="V85" i="8"/>
  <c r="U85" i="8"/>
  <c r="T85" i="8"/>
  <c r="S85" i="8"/>
  <c r="R85" i="8"/>
  <c r="K85" i="8"/>
  <c r="W85" i="8" s="1"/>
  <c r="X84" i="8"/>
  <c r="W84" i="8"/>
  <c r="V84" i="8"/>
  <c r="U84" i="8"/>
  <c r="T84" i="8"/>
  <c r="S84" i="8"/>
  <c r="R84" i="8"/>
  <c r="K84" i="8"/>
  <c r="Y84" i="8" s="1"/>
  <c r="Z83" i="8"/>
  <c r="Y83" i="8"/>
  <c r="X83" i="8"/>
  <c r="W83" i="8"/>
  <c r="V83" i="8"/>
  <c r="U83" i="8"/>
  <c r="T83" i="8"/>
  <c r="S83" i="8"/>
  <c r="R83" i="8"/>
  <c r="Z82" i="8"/>
  <c r="Y82" i="8"/>
  <c r="X82" i="8"/>
  <c r="W82" i="8"/>
  <c r="V82" i="8"/>
  <c r="U82" i="8"/>
  <c r="T82" i="8"/>
  <c r="S82" i="8"/>
  <c r="R82" i="8"/>
  <c r="Z81" i="8"/>
  <c r="Y81" i="8"/>
  <c r="X81" i="8"/>
  <c r="W81" i="8"/>
  <c r="V81" i="8"/>
  <c r="U81" i="8"/>
  <c r="T81" i="8"/>
  <c r="S81" i="8"/>
  <c r="R81" i="8"/>
  <c r="Z80" i="8"/>
  <c r="Y80" i="8"/>
  <c r="X80" i="8"/>
  <c r="W80" i="8"/>
  <c r="V80" i="8"/>
  <c r="U80" i="8"/>
  <c r="T80" i="8"/>
  <c r="S80" i="8"/>
  <c r="R80" i="8"/>
  <c r="Z79" i="8"/>
  <c r="Y79" i="8"/>
  <c r="X79" i="8"/>
  <c r="W79" i="8"/>
  <c r="V79" i="8"/>
  <c r="U79" i="8"/>
  <c r="T79" i="8"/>
  <c r="S79" i="8"/>
  <c r="R79" i="8"/>
  <c r="Z78" i="8"/>
  <c r="Y78" i="8"/>
  <c r="X78" i="8"/>
  <c r="W78" i="8"/>
  <c r="V78" i="8"/>
  <c r="U78" i="8"/>
  <c r="T78" i="8"/>
  <c r="S78" i="8"/>
  <c r="R78" i="8"/>
  <c r="Z77" i="8"/>
  <c r="Y77" i="8"/>
  <c r="X77" i="8"/>
  <c r="W77" i="8"/>
  <c r="V77" i="8"/>
  <c r="U77" i="8"/>
  <c r="T77" i="8"/>
  <c r="S77" i="8"/>
  <c r="R77" i="8"/>
  <c r="X76" i="8"/>
  <c r="V76" i="8"/>
  <c r="U76" i="8"/>
  <c r="T76" i="8"/>
  <c r="S76" i="8"/>
  <c r="R76" i="8"/>
  <c r="K76" i="8"/>
  <c r="Z76" i="8" s="1"/>
  <c r="X75" i="8"/>
  <c r="V75" i="8"/>
  <c r="U75" i="8"/>
  <c r="T75" i="8"/>
  <c r="S75" i="8"/>
  <c r="R75" i="8"/>
  <c r="K75" i="8"/>
  <c r="X74" i="8"/>
  <c r="V74" i="8"/>
  <c r="U74" i="8"/>
  <c r="T74" i="8"/>
  <c r="S74" i="8"/>
  <c r="R74" i="8"/>
  <c r="K74" i="8"/>
  <c r="Z74" i="8" s="1"/>
  <c r="X73" i="8"/>
  <c r="V73" i="8"/>
  <c r="U73" i="8"/>
  <c r="T73" i="8"/>
  <c r="S73" i="8"/>
  <c r="R73" i="8"/>
  <c r="K73" i="8"/>
  <c r="Y73" i="8" s="1"/>
  <c r="X72" i="8"/>
  <c r="V72" i="8"/>
  <c r="U72" i="8"/>
  <c r="T72" i="8"/>
  <c r="S72" i="8"/>
  <c r="R72" i="8"/>
  <c r="K72" i="8"/>
  <c r="X71" i="8"/>
  <c r="W71" i="8"/>
  <c r="V71" i="8"/>
  <c r="U71" i="8"/>
  <c r="T71" i="8"/>
  <c r="S71" i="8"/>
  <c r="R71" i="8"/>
  <c r="K71" i="8"/>
  <c r="Z71" i="8" s="1"/>
  <c r="X70" i="8"/>
  <c r="W70" i="8"/>
  <c r="V70" i="8"/>
  <c r="U70" i="8"/>
  <c r="T70" i="8"/>
  <c r="S70" i="8"/>
  <c r="R70" i="8"/>
  <c r="K70" i="8"/>
  <c r="Z70" i="8" s="1"/>
  <c r="Z69" i="8"/>
  <c r="X69" i="8"/>
  <c r="V69" i="8"/>
  <c r="U69" i="8"/>
  <c r="T69" i="8"/>
  <c r="S69" i="8"/>
  <c r="R69" i="8"/>
  <c r="K69" i="8"/>
  <c r="Y69" i="8" s="1"/>
  <c r="X68" i="8"/>
  <c r="W68" i="8"/>
  <c r="V68" i="8"/>
  <c r="U68" i="8"/>
  <c r="T68" i="8"/>
  <c r="S68" i="8"/>
  <c r="R68" i="8"/>
  <c r="K68" i="8"/>
  <c r="Z68" i="8" s="1"/>
  <c r="Z67" i="8"/>
  <c r="Y67" i="8"/>
  <c r="X67" i="8"/>
  <c r="W67" i="8"/>
  <c r="V67" i="8"/>
  <c r="U67" i="8"/>
  <c r="T67" i="8"/>
  <c r="S67" i="8"/>
  <c r="R67" i="8"/>
  <c r="Z66" i="8"/>
  <c r="Y66" i="8"/>
  <c r="X66" i="8"/>
  <c r="W66" i="8"/>
  <c r="V66" i="8"/>
  <c r="U66" i="8"/>
  <c r="T66" i="8"/>
  <c r="S66" i="8"/>
  <c r="R66" i="8"/>
  <c r="Z65" i="8"/>
  <c r="Y65" i="8"/>
  <c r="X65" i="8"/>
  <c r="W65" i="8"/>
  <c r="V65" i="8"/>
  <c r="U65" i="8"/>
  <c r="T65" i="8"/>
  <c r="S65" i="8"/>
  <c r="R65" i="8"/>
  <c r="Z64" i="8"/>
  <c r="Y64" i="8"/>
  <c r="X64" i="8"/>
  <c r="W64" i="8"/>
  <c r="V64" i="8"/>
  <c r="U64" i="8"/>
  <c r="T64" i="8"/>
  <c r="S64" i="8"/>
  <c r="R64" i="8"/>
  <c r="Z63" i="8"/>
  <c r="Y63" i="8"/>
  <c r="X63" i="8"/>
  <c r="W63" i="8"/>
  <c r="V63" i="8"/>
  <c r="U63" i="8"/>
  <c r="T63" i="8"/>
  <c r="S63" i="8"/>
  <c r="R63" i="8"/>
  <c r="Z62" i="8"/>
  <c r="Y62" i="8"/>
  <c r="X62" i="8"/>
  <c r="W62" i="8"/>
  <c r="V62" i="8"/>
  <c r="U62" i="8"/>
  <c r="T62" i="8"/>
  <c r="S62" i="8"/>
  <c r="R62" i="8"/>
  <c r="Z61" i="8"/>
  <c r="Y61" i="8"/>
  <c r="X61" i="8"/>
  <c r="W61" i="8"/>
  <c r="V61" i="8"/>
  <c r="U61" i="8"/>
  <c r="T61" i="8"/>
  <c r="S61" i="8"/>
  <c r="R61" i="8"/>
  <c r="Z60" i="8"/>
  <c r="Y60" i="8"/>
  <c r="X60" i="8"/>
  <c r="W60" i="8"/>
  <c r="V60" i="8"/>
  <c r="U60" i="8"/>
  <c r="T60" i="8"/>
  <c r="S60" i="8"/>
  <c r="R60" i="8"/>
  <c r="Z59" i="8"/>
  <c r="Y59" i="8"/>
  <c r="X59" i="8"/>
  <c r="W59" i="8"/>
  <c r="V59" i="8"/>
  <c r="U59" i="8"/>
  <c r="T59" i="8"/>
  <c r="S59" i="8"/>
  <c r="R59" i="8"/>
  <c r="Z58" i="8"/>
  <c r="Y58" i="8"/>
  <c r="X58" i="8"/>
  <c r="W58" i="8"/>
  <c r="V58" i="8"/>
  <c r="U58" i="8"/>
  <c r="T58" i="8"/>
  <c r="S58" i="8"/>
  <c r="R58" i="8"/>
  <c r="Z57" i="8"/>
  <c r="Y57" i="8"/>
  <c r="X57" i="8"/>
  <c r="W57" i="8"/>
  <c r="V57" i="8"/>
  <c r="U57" i="8"/>
  <c r="T57" i="8"/>
  <c r="S57" i="8"/>
  <c r="R57" i="8"/>
  <c r="Z56" i="8"/>
  <c r="Y56" i="8"/>
  <c r="X56" i="8"/>
  <c r="W56" i="8"/>
  <c r="V56" i="8"/>
  <c r="U56" i="8"/>
  <c r="T56" i="8"/>
  <c r="S56" i="8"/>
  <c r="R56" i="8"/>
  <c r="X55" i="8"/>
  <c r="V55" i="8"/>
  <c r="U55" i="8"/>
  <c r="T55" i="8"/>
  <c r="S55" i="8"/>
  <c r="R55" i="8"/>
  <c r="K55" i="8"/>
  <c r="X54" i="8"/>
  <c r="V54" i="8"/>
  <c r="U54" i="8"/>
  <c r="T54" i="8"/>
  <c r="S54" i="8"/>
  <c r="R54" i="8"/>
  <c r="K54" i="8"/>
  <c r="Z54" i="8" s="1"/>
  <c r="X53" i="8"/>
  <c r="W53" i="8"/>
  <c r="V53" i="8"/>
  <c r="U53" i="8"/>
  <c r="T53" i="8"/>
  <c r="S53" i="8"/>
  <c r="R53" i="8"/>
  <c r="K53" i="8"/>
  <c r="Y53" i="8" s="1"/>
  <c r="X52" i="8"/>
  <c r="V52" i="8"/>
  <c r="U52" i="8"/>
  <c r="T52" i="8"/>
  <c r="S52" i="8"/>
  <c r="R52" i="8"/>
  <c r="K52" i="8"/>
  <c r="X51" i="8"/>
  <c r="V51" i="8"/>
  <c r="U51" i="8"/>
  <c r="T51" i="8"/>
  <c r="S51" i="8"/>
  <c r="R51" i="8"/>
  <c r="K51" i="8"/>
  <c r="Z51" i="8" s="1"/>
  <c r="X50" i="8"/>
  <c r="V50" i="8"/>
  <c r="U50" i="8"/>
  <c r="T50" i="8"/>
  <c r="S50" i="8"/>
  <c r="R50" i="8"/>
  <c r="K50" i="8"/>
  <c r="Z50" i="8" s="1"/>
  <c r="X49" i="8"/>
  <c r="V49" i="8"/>
  <c r="U49" i="8"/>
  <c r="T49" i="8"/>
  <c r="S49" i="8"/>
  <c r="R49" i="8"/>
  <c r="K49" i="8"/>
  <c r="Y49" i="8" s="1"/>
  <c r="X48" i="8"/>
  <c r="V48" i="8"/>
  <c r="U48" i="8"/>
  <c r="T48" i="8"/>
  <c r="S48" i="8"/>
  <c r="R48" i="8"/>
  <c r="K48" i="8"/>
  <c r="Z48" i="8" s="1"/>
  <c r="X47" i="8"/>
  <c r="V47" i="8"/>
  <c r="U47" i="8"/>
  <c r="T47" i="8"/>
  <c r="S47" i="8"/>
  <c r="R47" i="8"/>
  <c r="K47" i="8"/>
  <c r="Z46" i="8"/>
  <c r="Y46" i="8"/>
  <c r="X46" i="8"/>
  <c r="W46" i="8"/>
  <c r="V46" i="8"/>
  <c r="U46" i="8"/>
  <c r="T46" i="8"/>
  <c r="S46" i="8"/>
  <c r="R46" i="8"/>
  <c r="Z45" i="8"/>
  <c r="Y45" i="8"/>
  <c r="X45" i="8"/>
  <c r="W45" i="8"/>
  <c r="V45" i="8"/>
  <c r="U45" i="8"/>
  <c r="T45" i="8"/>
  <c r="S45" i="8"/>
  <c r="R45" i="8"/>
  <c r="Z44" i="8"/>
  <c r="Y44" i="8"/>
  <c r="X44" i="8"/>
  <c r="W44" i="8"/>
  <c r="V44" i="8"/>
  <c r="U44" i="8"/>
  <c r="T44" i="8"/>
  <c r="S44" i="8"/>
  <c r="R44" i="8"/>
  <c r="Z43" i="8"/>
  <c r="Y43" i="8"/>
  <c r="X43" i="8"/>
  <c r="W43" i="8"/>
  <c r="V43" i="8"/>
  <c r="U43" i="8"/>
  <c r="T43" i="8"/>
  <c r="S43" i="8"/>
  <c r="R43" i="8"/>
  <c r="Z42" i="8"/>
  <c r="Y42" i="8"/>
  <c r="X42" i="8"/>
  <c r="W42" i="8"/>
  <c r="V42" i="8"/>
  <c r="U42" i="8"/>
  <c r="T42" i="8"/>
  <c r="S42" i="8"/>
  <c r="R42" i="8"/>
  <c r="Z41" i="8"/>
  <c r="Y41" i="8"/>
  <c r="X41" i="8"/>
  <c r="W41" i="8"/>
  <c r="V41" i="8"/>
  <c r="U41" i="8"/>
  <c r="T41" i="8"/>
  <c r="S41" i="8"/>
  <c r="R41" i="8"/>
  <c r="Z40" i="8"/>
  <c r="Y40" i="8"/>
  <c r="X40" i="8"/>
  <c r="W40" i="8"/>
  <c r="V40" i="8"/>
  <c r="U40" i="8"/>
  <c r="T40" i="8"/>
  <c r="S40" i="8"/>
  <c r="R40" i="8"/>
  <c r="Z39" i="8"/>
  <c r="Y39" i="8"/>
  <c r="X39" i="8"/>
  <c r="W39" i="8"/>
  <c r="V39" i="8"/>
  <c r="U39" i="8"/>
  <c r="T39" i="8"/>
  <c r="S39" i="8"/>
  <c r="R39" i="8"/>
  <c r="Z38" i="8"/>
  <c r="Y38" i="8"/>
  <c r="X38" i="8"/>
  <c r="W38" i="8"/>
  <c r="V38" i="8"/>
  <c r="U38" i="8"/>
  <c r="T38" i="8"/>
  <c r="S38" i="8"/>
  <c r="R38" i="8"/>
  <c r="X37" i="8"/>
  <c r="V37" i="8"/>
  <c r="U37" i="8"/>
  <c r="T37" i="8"/>
  <c r="S37" i="8"/>
  <c r="R37" i="8"/>
  <c r="K37" i="8"/>
  <c r="W37" i="8" s="1"/>
  <c r="X36" i="8"/>
  <c r="V36" i="8"/>
  <c r="U36" i="8"/>
  <c r="T36" i="8"/>
  <c r="S36" i="8"/>
  <c r="R36" i="8"/>
  <c r="K36" i="8"/>
  <c r="Y36" i="8" s="1"/>
  <c r="X35" i="8"/>
  <c r="V35" i="8"/>
  <c r="U35" i="8"/>
  <c r="T35" i="8"/>
  <c r="S35" i="8"/>
  <c r="R35" i="8"/>
  <c r="K35" i="8"/>
  <c r="Z35" i="8" s="1"/>
  <c r="Z34" i="8"/>
  <c r="Y34" i="8"/>
  <c r="X34" i="8"/>
  <c r="W34" i="8"/>
  <c r="V34" i="8"/>
  <c r="U34" i="8"/>
  <c r="T34" i="8"/>
  <c r="S34" i="8"/>
  <c r="R34" i="8"/>
  <c r="Z33" i="8"/>
  <c r="Y33" i="8"/>
  <c r="X33" i="8"/>
  <c r="W33" i="8"/>
  <c r="V33" i="8"/>
  <c r="U33" i="8"/>
  <c r="T33" i="8"/>
  <c r="S33" i="8"/>
  <c r="R33" i="8"/>
  <c r="Z32" i="8"/>
  <c r="Y32" i="8"/>
  <c r="X32" i="8"/>
  <c r="W32" i="8"/>
  <c r="V32" i="8"/>
  <c r="U32" i="8"/>
  <c r="T32" i="8"/>
  <c r="S32" i="8"/>
  <c r="R32" i="8"/>
  <c r="Z31" i="8"/>
  <c r="Y31" i="8"/>
  <c r="X31" i="8"/>
  <c r="W31" i="8"/>
  <c r="V31" i="8"/>
  <c r="U31" i="8"/>
  <c r="T31" i="8"/>
  <c r="S31" i="8"/>
  <c r="R31" i="8"/>
  <c r="Z30" i="8"/>
  <c r="Y30" i="8"/>
  <c r="X30" i="8"/>
  <c r="W30" i="8"/>
  <c r="V30" i="8"/>
  <c r="U30" i="8"/>
  <c r="T30" i="8"/>
  <c r="S30" i="8"/>
  <c r="R30" i="8"/>
  <c r="Z29" i="8"/>
  <c r="Y29" i="8"/>
  <c r="X29" i="8"/>
  <c r="W29" i="8"/>
  <c r="V29" i="8"/>
  <c r="U29" i="8"/>
  <c r="T29" i="8"/>
  <c r="S29" i="8"/>
  <c r="R29" i="8"/>
  <c r="Y28" i="8"/>
  <c r="X28" i="8"/>
  <c r="V28" i="8"/>
  <c r="U28" i="8"/>
  <c r="T28" i="8"/>
  <c r="S28" i="8"/>
  <c r="R28" i="8"/>
  <c r="K28" i="8"/>
  <c r="W28" i="8" s="1"/>
  <c r="X27" i="8"/>
  <c r="V27" i="8"/>
  <c r="U27" i="8"/>
  <c r="T27" i="8"/>
  <c r="S27" i="8"/>
  <c r="R27" i="8"/>
  <c r="K27" i="8"/>
  <c r="Y27" i="8" s="1"/>
  <c r="X26" i="8"/>
  <c r="V26" i="8"/>
  <c r="U26" i="8"/>
  <c r="T26" i="8"/>
  <c r="S26" i="8"/>
  <c r="R26" i="8"/>
  <c r="K26" i="8"/>
  <c r="W26" i="8" s="1"/>
  <c r="Z25" i="8"/>
  <c r="Y25" i="8"/>
  <c r="X25" i="8"/>
  <c r="W25" i="8"/>
  <c r="V25" i="8"/>
  <c r="U25" i="8"/>
  <c r="T25" i="8"/>
  <c r="S25" i="8"/>
  <c r="R25" i="8"/>
  <c r="Z24" i="8"/>
  <c r="Y24" i="8"/>
  <c r="X24" i="8"/>
  <c r="W24" i="8"/>
  <c r="V24" i="8"/>
  <c r="U24" i="8"/>
  <c r="T24" i="8"/>
  <c r="S24" i="8"/>
  <c r="R24" i="8"/>
  <c r="Z23" i="8"/>
  <c r="Y23" i="8"/>
  <c r="X23" i="8"/>
  <c r="W23" i="8"/>
  <c r="V23" i="8"/>
  <c r="U23" i="8"/>
  <c r="T23" i="8"/>
  <c r="S23" i="8"/>
  <c r="R23" i="8"/>
  <c r="Z22" i="8"/>
  <c r="Y22" i="8"/>
  <c r="X22" i="8"/>
  <c r="W22" i="8"/>
  <c r="V22" i="8"/>
  <c r="U22" i="8"/>
  <c r="T22" i="8"/>
  <c r="S22" i="8"/>
  <c r="R22" i="8"/>
  <c r="Z21" i="8"/>
  <c r="Y21" i="8"/>
  <c r="X21" i="8"/>
  <c r="W21" i="8"/>
  <c r="V21" i="8"/>
  <c r="U21" i="8"/>
  <c r="T21" i="8"/>
  <c r="S21" i="8"/>
  <c r="R21" i="8"/>
  <c r="Z20" i="8"/>
  <c r="Y20" i="8"/>
  <c r="X20" i="8"/>
  <c r="W20" i="8"/>
  <c r="V20" i="8"/>
  <c r="U20" i="8"/>
  <c r="T20" i="8"/>
  <c r="S20" i="8"/>
  <c r="R20" i="8"/>
  <c r="Z19" i="8"/>
  <c r="Y19" i="8"/>
  <c r="X19" i="8"/>
  <c r="W19" i="8"/>
  <c r="V19" i="8"/>
  <c r="U19" i="8"/>
  <c r="T19" i="8"/>
  <c r="S19" i="8"/>
  <c r="R19" i="8"/>
  <c r="Z18" i="8"/>
  <c r="Y18" i="8"/>
  <c r="X18" i="8"/>
  <c r="W18" i="8"/>
  <c r="V18" i="8"/>
  <c r="U18" i="8"/>
  <c r="T18" i="8"/>
  <c r="S18" i="8"/>
  <c r="R18" i="8"/>
  <c r="Z17" i="8"/>
  <c r="Y17" i="8"/>
  <c r="X17" i="8"/>
  <c r="W17" i="8"/>
  <c r="V17" i="8"/>
  <c r="U17" i="8"/>
  <c r="T17" i="8"/>
  <c r="S17" i="8"/>
  <c r="R17" i="8"/>
  <c r="Z16" i="8"/>
  <c r="Y16" i="8"/>
  <c r="X16" i="8"/>
  <c r="W16" i="8"/>
  <c r="V16" i="8"/>
  <c r="U16" i="8"/>
  <c r="T16" i="8"/>
  <c r="S16" i="8"/>
  <c r="R16" i="8"/>
  <c r="Z15" i="8"/>
  <c r="Y15" i="8"/>
  <c r="X15" i="8"/>
  <c r="W15" i="8"/>
  <c r="V15" i="8"/>
  <c r="U15" i="8"/>
  <c r="T15" i="8"/>
  <c r="S15" i="8"/>
  <c r="R15" i="8"/>
  <c r="Z14" i="8"/>
  <c r="Y14" i="8"/>
  <c r="X14" i="8"/>
  <c r="W14" i="8"/>
  <c r="V14" i="8"/>
  <c r="U14" i="8"/>
  <c r="T14" i="8"/>
  <c r="S14" i="8"/>
  <c r="R14" i="8"/>
  <c r="Z13" i="8"/>
  <c r="Y13" i="8"/>
  <c r="X13" i="8"/>
  <c r="W13" i="8"/>
  <c r="V13" i="8"/>
  <c r="U13" i="8"/>
  <c r="T13" i="8"/>
  <c r="S13" i="8"/>
  <c r="R13" i="8"/>
  <c r="Z12" i="8"/>
  <c r="Y12" i="8"/>
  <c r="X12" i="8"/>
  <c r="W12" i="8"/>
  <c r="V12" i="8"/>
  <c r="U12" i="8"/>
  <c r="T12" i="8"/>
  <c r="S12" i="8"/>
  <c r="R12" i="8"/>
  <c r="Z11" i="8"/>
  <c r="Y11" i="8"/>
  <c r="X11" i="8"/>
  <c r="W11" i="8"/>
  <c r="V11" i="8"/>
  <c r="U11" i="8"/>
  <c r="T11" i="8"/>
  <c r="S11" i="8"/>
  <c r="R11" i="8"/>
  <c r="Z10" i="8"/>
  <c r="Y10" i="8"/>
  <c r="X10" i="8"/>
  <c r="W10" i="8"/>
  <c r="V10" i="8"/>
  <c r="U10" i="8"/>
  <c r="T10" i="8"/>
  <c r="S10" i="8"/>
  <c r="R10" i="8"/>
  <c r="Z9" i="8"/>
  <c r="Y9" i="8"/>
  <c r="X9" i="8"/>
  <c r="W9" i="8"/>
  <c r="V9" i="8"/>
  <c r="U9" i="8"/>
  <c r="T9" i="8"/>
  <c r="S9" i="8"/>
  <c r="R9" i="8"/>
  <c r="Z8" i="8"/>
  <c r="Y8" i="8"/>
  <c r="X8" i="8"/>
  <c r="W8" i="8"/>
  <c r="V8" i="8"/>
  <c r="U8" i="8"/>
  <c r="T8" i="8"/>
  <c r="S8" i="8"/>
  <c r="R8" i="8"/>
  <c r="Z7" i="8"/>
  <c r="Y7" i="8"/>
  <c r="X7" i="8"/>
  <c r="W7" i="8"/>
  <c r="V7" i="8"/>
  <c r="U7" i="8"/>
  <c r="T7" i="8"/>
  <c r="S7" i="8"/>
  <c r="R7" i="8"/>
  <c r="Z6" i="8"/>
  <c r="Y6" i="8"/>
  <c r="X6" i="8"/>
  <c r="W6" i="8"/>
  <c r="V6" i="8"/>
  <c r="U6" i="8"/>
  <c r="T6" i="8"/>
  <c r="S6" i="8"/>
  <c r="R6" i="8"/>
  <c r="Z5" i="8"/>
  <c r="Y5" i="8"/>
  <c r="X5" i="8"/>
  <c r="W5" i="8"/>
  <c r="V5" i="8"/>
  <c r="U5" i="8"/>
  <c r="T5" i="8"/>
  <c r="S5" i="8"/>
  <c r="R5" i="8"/>
  <c r="Z4" i="8"/>
  <c r="Y4" i="8"/>
  <c r="X4" i="8"/>
  <c r="W4" i="8"/>
  <c r="V4" i="8"/>
  <c r="U4" i="8"/>
  <c r="T4" i="8"/>
  <c r="S4" i="8"/>
  <c r="R4" i="8"/>
  <c r="Z3" i="8"/>
  <c r="Y3" i="8"/>
  <c r="X3" i="8"/>
  <c r="W3" i="8"/>
  <c r="V3" i="8"/>
  <c r="U3" i="8"/>
  <c r="T3" i="8"/>
  <c r="S3" i="8"/>
  <c r="R3" i="8"/>
  <c r="Z2" i="8"/>
  <c r="Y2" i="8"/>
  <c r="X2" i="8"/>
  <c r="W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N33" i="7"/>
  <c r="G33" i="7"/>
  <c r="R33" i="7" s="1"/>
  <c r="Z32" i="7"/>
  <c r="Y32" i="7"/>
  <c r="X32" i="7"/>
  <c r="W32" i="7"/>
  <c r="V32" i="7"/>
  <c r="U32" i="7"/>
  <c r="T32" i="7"/>
  <c r="S32" i="7"/>
  <c r="N32" i="7"/>
  <c r="G32" i="7"/>
  <c r="R32" i="7" s="1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N30" i="7"/>
  <c r="K30" i="7"/>
  <c r="G30" i="7"/>
  <c r="R30" i="7" s="1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N27" i="7"/>
  <c r="G27" i="7"/>
  <c r="R27" i="7" s="1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G22" i="7"/>
  <c r="R22" i="7" s="1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G20" i="7"/>
  <c r="R20" i="7" s="1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N18" i="7"/>
  <c r="G18" i="7"/>
  <c r="R18" i="7" s="1"/>
  <c r="Z17" i="7"/>
  <c r="Y17" i="7"/>
  <c r="X17" i="7"/>
  <c r="W17" i="7"/>
  <c r="V17" i="7"/>
  <c r="U17" i="7"/>
  <c r="T17" i="7"/>
  <c r="S17" i="7"/>
  <c r="N17" i="7"/>
  <c r="G17" i="7"/>
  <c r="R17" i="7" s="1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N10" i="7"/>
  <c r="G10" i="7"/>
  <c r="R10" i="7" s="1"/>
  <c r="Z9" i="7"/>
  <c r="Y9" i="7"/>
  <c r="X9" i="7"/>
  <c r="W9" i="7"/>
  <c r="V9" i="7"/>
  <c r="U9" i="7"/>
  <c r="T9" i="7"/>
  <c r="S9" i="7"/>
  <c r="N9" i="7"/>
  <c r="G9" i="7"/>
  <c r="R9" i="7" s="1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N2" i="7"/>
  <c r="G2" i="7"/>
  <c r="R2" i="7" s="1"/>
  <c r="Z34" i="6"/>
  <c r="Y34" i="6"/>
  <c r="X34" i="6"/>
  <c r="V34" i="6"/>
  <c r="U34" i="6"/>
  <c r="T34" i="6"/>
  <c r="S34" i="6"/>
  <c r="P34" i="6"/>
  <c r="W34" i="6" s="1"/>
  <c r="N34" i="6"/>
  <c r="G34" i="6"/>
  <c r="R34" i="6" s="1"/>
  <c r="Z33" i="6"/>
  <c r="Y33" i="6"/>
  <c r="V33" i="6"/>
  <c r="U33" i="6"/>
  <c r="T33" i="6"/>
  <c r="S33" i="6"/>
  <c r="R33" i="6"/>
  <c r="P33" i="6"/>
  <c r="W33" i="6" s="1"/>
  <c r="N33" i="6"/>
  <c r="G33" i="6"/>
  <c r="Z32" i="6"/>
  <c r="Y32" i="6"/>
  <c r="V32" i="6"/>
  <c r="U32" i="6"/>
  <c r="T32" i="6"/>
  <c r="S32" i="6"/>
  <c r="P32" i="6"/>
  <c r="W32" i="6" s="1"/>
  <c r="N32" i="6"/>
  <c r="G32" i="6"/>
  <c r="R32" i="6" s="1"/>
  <c r="Z31" i="6"/>
  <c r="Y31" i="6"/>
  <c r="X31" i="6"/>
  <c r="W31" i="6"/>
  <c r="V31" i="6"/>
  <c r="U31" i="6"/>
  <c r="T31" i="6"/>
  <c r="S31" i="6"/>
  <c r="G31" i="6"/>
  <c r="R31" i="6" s="1"/>
  <c r="Z30" i="6"/>
  <c r="Y30" i="6"/>
  <c r="X30" i="6"/>
  <c r="W30" i="6"/>
  <c r="V30" i="6"/>
  <c r="U30" i="6"/>
  <c r="T30" i="6"/>
  <c r="S30" i="6"/>
  <c r="G30" i="6"/>
  <c r="R30" i="6" s="1"/>
  <c r="Z29" i="6"/>
  <c r="Y29" i="6"/>
  <c r="X29" i="6"/>
  <c r="W29" i="6"/>
  <c r="V29" i="6"/>
  <c r="U29" i="6"/>
  <c r="T29" i="6"/>
  <c r="S29" i="6"/>
  <c r="G29" i="6"/>
  <c r="R29" i="6" s="1"/>
  <c r="Z28" i="6"/>
  <c r="Y28" i="6"/>
  <c r="X28" i="6"/>
  <c r="W28" i="6"/>
  <c r="V28" i="6"/>
  <c r="U28" i="6"/>
  <c r="T28" i="6"/>
  <c r="S28" i="6"/>
  <c r="G28" i="6"/>
  <c r="R28" i="6" s="1"/>
  <c r="Z27" i="6"/>
  <c r="Y27" i="6"/>
  <c r="X27" i="6"/>
  <c r="W27" i="6"/>
  <c r="V27" i="6"/>
  <c r="U27" i="6"/>
  <c r="T27" i="6"/>
  <c r="S27" i="6"/>
  <c r="G27" i="6"/>
  <c r="R27" i="6" s="1"/>
  <c r="Z26" i="6"/>
  <c r="Y26" i="6"/>
  <c r="X26" i="6"/>
  <c r="W26" i="6"/>
  <c r="V26" i="6"/>
  <c r="U26" i="6"/>
  <c r="T26" i="6"/>
  <c r="S26" i="6"/>
  <c r="G26" i="6"/>
  <c r="R26" i="6" s="1"/>
  <c r="Z25" i="6"/>
  <c r="Y25" i="6"/>
  <c r="X25" i="6"/>
  <c r="W25" i="6"/>
  <c r="V25" i="6"/>
  <c r="U25" i="6"/>
  <c r="T25" i="6"/>
  <c r="S25" i="6"/>
  <c r="G25" i="6"/>
  <c r="R25" i="6" s="1"/>
  <c r="Z24" i="6"/>
  <c r="Y24" i="6"/>
  <c r="X24" i="6"/>
  <c r="W24" i="6"/>
  <c r="V24" i="6"/>
  <c r="U24" i="6"/>
  <c r="T24" i="6"/>
  <c r="S24" i="6"/>
  <c r="G24" i="6"/>
  <c r="R24" i="6" s="1"/>
  <c r="Z23" i="6"/>
  <c r="Y23" i="6"/>
  <c r="X23" i="6"/>
  <c r="W23" i="6"/>
  <c r="V23" i="6"/>
  <c r="U23" i="6"/>
  <c r="T23" i="6"/>
  <c r="S23" i="6"/>
  <c r="G23" i="6"/>
  <c r="R23" i="6" s="1"/>
  <c r="Z22" i="6"/>
  <c r="Y22" i="6"/>
  <c r="W22" i="6"/>
  <c r="V22" i="6"/>
  <c r="U22" i="6"/>
  <c r="T22" i="6"/>
  <c r="S22" i="6"/>
  <c r="P22" i="6"/>
  <c r="X22" i="6" s="1"/>
  <c r="M22" i="6"/>
  <c r="G22" i="6"/>
  <c r="R22" i="6" s="1"/>
  <c r="Z21" i="6"/>
  <c r="Y21" i="6"/>
  <c r="W21" i="6"/>
  <c r="V21" i="6"/>
  <c r="U21" i="6"/>
  <c r="T21" i="6"/>
  <c r="S21" i="6"/>
  <c r="P21" i="6"/>
  <c r="X21" i="6" s="1"/>
  <c r="M21" i="6"/>
  <c r="G21" i="6"/>
  <c r="R21" i="6" s="1"/>
  <c r="Z20" i="6"/>
  <c r="Y20" i="6"/>
  <c r="W20" i="6"/>
  <c r="V20" i="6"/>
  <c r="U20" i="6"/>
  <c r="T20" i="6"/>
  <c r="S20" i="6"/>
  <c r="P20" i="6"/>
  <c r="X20" i="6" s="1"/>
  <c r="M20" i="6"/>
  <c r="G20" i="6"/>
  <c r="R20" i="6" s="1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N18" i="6"/>
  <c r="G18" i="6"/>
  <c r="R18" i="6" s="1"/>
  <c r="Z17" i="6"/>
  <c r="Y17" i="6"/>
  <c r="X17" i="6"/>
  <c r="V17" i="6"/>
  <c r="U17" i="6"/>
  <c r="T17" i="6"/>
  <c r="S17" i="6"/>
  <c r="P17" i="6"/>
  <c r="W17" i="6" s="1"/>
  <c r="N17" i="6"/>
  <c r="G17" i="6"/>
  <c r="R17" i="6" s="1"/>
  <c r="X16" i="6"/>
  <c r="V16" i="6"/>
  <c r="U16" i="6"/>
  <c r="T16" i="6"/>
  <c r="S16" i="6"/>
  <c r="N16" i="6"/>
  <c r="K16" i="6"/>
  <c r="Y16" i="6" s="1"/>
  <c r="G16" i="6"/>
  <c r="R16" i="6" s="1"/>
  <c r="X15" i="6"/>
  <c r="V15" i="6"/>
  <c r="U15" i="6"/>
  <c r="T15" i="6"/>
  <c r="S15" i="6"/>
  <c r="N15" i="6"/>
  <c r="K15" i="6"/>
  <c r="Y15" i="6" s="1"/>
  <c r="G15" i="6"/>
  <c r="R15" i="6" s="1"/>
  <c r="X14" i="6"/>
  <c r="V14" i="6"/>
  <c r="U14" i="6"/>
  <c r="T14" i="6"/>
  <c r="S14" i="6"/>
  <c r="N14" i="6"/>
  <c r="K14" i="6"/>
  <c r="Y14" i="6" s="1"/>
  <c r="G14" i="6"/>
  <c r="R14" i="6" s="1"/>
  <c r="Z13" i="6"/>
  <c r="Y13" i="6"/>
  <c r="X13" i="6"/>
  <c r="W13" i="6"/>
  <c r="V13" i="6"/>
  <c r="U13" i="6"/>
  <c r="T13" i="6"/>
  <c r="S13" i="6"/>
  <c r="N13" i="6"/>
  <c r="I13" i="6"/>
  <c r="G13" i="6" s="1"/>
  <c r="R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X10" i="6"/>
  <c r="V10" i="6"/>
  <c r="U10" i="6"/>
  <c r="T10" i="6"/>
  <c r="S10" i="6"/>
  <c r="R10" i="6"/>
  <c r="N10" i="6"/>
  <c r="K10" i="6"/>
  <c r="Y10" i="6" s="1"/>
  <c r="G10" i="6"/>
  <c r="X9" i="6"/>
  <c r="V9" i="6"/>
  <c r="U9" i="6"/>
  <c r="T9" i="6"/>
  <c r="S9" i="6"/>
  <c r="R9" i="6"/>
  <c r="N9" i="6"/>
  <c r="K9" i="6"/>
  <c r="Y9" i="6" s="1"/>
  <c r="G9" i="6"/>
  <c r="X8" i="6"/>
  <c r="V8" i="6"/>
  <c r="U8" i="6"/>
  <c r="T8" i="6"/>
  <c r="S8" i="6"/>
  <c r="R8" i="6"/>
  <c r="N8" i="6"/>
  <c r="K8" i="6"/>
  <c r="Y8" i="6" s="1"/>
  <c r="G8" i="6"/>
  <c r="Z7" i="6"/>
  <c r="Y7" i="6"/>
  <c r="V7" i="6"/>
  <c r="U7" i="6"/>
  <c r="T7" i="6"/>
  <c r="S7" i="6"/>
  <c r="P7" i="6"/>
  <c r="W7" i="6" s="1"/>
  <c r="G7" i="6"/>
  <c r="R7" i="6" s="1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Z121" i="5"/>
  <c r="Y121" i="5"/>
  <c r="X121" i="5"/>
  <c r="W121" i="5"/>
  <c r="V121" i="5"/>
  <c r="U121" i="5"/>
  <c r="T121" i="5"/>
  <c r="S121" i="5"/>
  <c r="N121" i="5"/>
  <c r="G121" i="5"/>
  <c r="R121" i="5" s="1"/>
  <c r="Z120" i="5"/>
  <c r="Y120" i="5"/>
  <c r="X120" i="5"/>
  <c r="W120" i="5"/>
  <c r="V120" i="5"/>
  <c r="U120" i="5"/>
  <c r="T120" i="5"/>
  <c r="S120" i="5"/>
  <c r="N120" i="5"/>
  <c r="G120" i="5"/>
  <c r="R120" i="5" s="1"/>
  <c r="Z119" i="5"/>
  <c r="Y119" i="5"/>
  <c r="X119" i="5"/>
  <c r="W119" i="5"/>
  <c r="V119" i="5"/>
  <c r="U119" i="5"/>
  <c r="T119" i="5"/>
  <c r="S119" i="5"/>
  <c r="N119" i="5"/>
  <c r="G119" i="5"/>
  <c r="R119" i="5" s="1"/>
  <c r="Z118" i="5"/>
  <c r="Y118" i="5"/>
  <c r="X118" i="5"/>
  <c r="W118" i="5"/>
  <c r="V118" i="5"/>
  <c r="U118" i="5"/>
  <c r="T118" i="5"/>
  <c r="S118" i="5"/>
  <c r="N118" i="5"/>
  <c r="G118" i="5"/>
  <c r="R118" i="5" s="1"/>
  <c r="Z117" i="5"/>
  <c r="Y117" i="5"/>
  <c r="X117" i="5"/>
  <c r="W117" i="5"/>
  <c r="V117" i="5"/>
  <c r="U117" i="5"/>
  <c r="T117" i="5"/>
  <c r="S117" i="5"/>
  <c r="R117" i="5"/>
  <c r="N117" i="5"/>
  <c r="G117" i="5"/>
  <c r="Z116" i="5"/>
  <c r="Y116" i="5"/>
  <c r="X116" i="5"/>
  <c r="W116" i="5"/>
  <c r="V116" i="5"/>
  <c r="U116" i="5"/>
  <c r="T116" i="5"/>
  <c r="S116" i="5"/>
  <c r="R116" i="5"/>
  <c r="N116" i="5"/>
  <c r="G116" i="5"/>
  <c r="Z115" i="5"/>
  <c r="Y115" i="5"/>
  <c r="X115" i="5"/>
  <c r="W115" i="5"/>
  <c r="V115" i="5"/>
  <c r="U115" i="5"/>
  <c r="T115" i="5"/>
  <c r="S115" i="5"/>
  <c r="G115" i="5"/>
  <c r="R115" i="5" s="1"/>
  <c r="Z114" i="5"/>
  <c r="Y114" i="5"/>
  <c r="X114" i="5"/>
  <c r="W114" i="5"/>
  <c r="V114" i="5"/>
  <c r="U114" i="5"/>
  <c r="T114" i="5"/>
  <c r="S114" i="5"/>
  <c r="G114" i="5"/>
  <c r="R114" i="5" s="1"/>
  <c r="Z113" i="5"/>
  <c r="Y113" i="5"/>
  <c r="X113" i="5"/>
  <c r="W113" i="5"/>
  <c r="V113" i="5"/>
  <c r="U113" i="5"/>
  <c r="T113" i="5"/>
  <c r="S113" i="5"/>
  <c r="G113" i="5"/>
  <c r="R113" i="5" s="1"/>
  <c r="Z112" i="5"/>
  <c r="Y112" i="5"/>
  <c r="X112" i="5"/>
  <c r="W112" i="5"/>
  <c r="V112" i="5"/>
  <c r="U112" i="5"/>
  <c r="T112" i="5"/>
  <c r="S112" i="5"/>
  <c r="N112" i="5"/>
  <c r="G112" i="5"/>
  <c r="R112" i="5" s="1"/>
  <c r="Z111" i="5"/>
  <c r="Y111" i="5"/>
  <c r="X111" i="5"/>
  <c r="W111" i="5"/>
  <c r="V111" i="5"/>
  <c r="U111" i="5"/>
  <c r="T111" i="5"/>
  <c r="S111" i="5"/>
  <c r="N111" i="5"/>
  <c r="G111" i="5"/>
  <c r="R111" i="5" s="1"/>
  <c r="Z110" i="5"/>
  <c r="Y110" i="5"/>
  <c r="X110" i="5"/>
  <c r="W110" i="5"/>
  <c r="V110" i="5"/>
  <c r="U110" i="5"/>
  <c r="T110" i="5"/>
  <c r="S110" i="5"/>
  <c r="N110" i="5"/>
  <c r="G110" i="5"/>
  <c r="R110" i="5" s="1"/>
  <c r="Z109" i="5"/>
  <c r="Y109" i="5"/>
  <c r="X109" i="5"/>
  <c r="W109" i="5"/>
  <c r="V109" i="5"/>
  <c r="U109" i="5"/>
  <c r="T109" i="5"/>
  <c r="S109" i="5"/>
  <c r="N109" i="5"/>
  <c r="G109" i="5"/>
  <c r="R109" i="5" s="1"/>
  <c r="Z108" i="5"/>
  <c r="Y108" i="5"/>
  <c r="X108" i="5"/>
  <c r="W108" i="5"/>
  <c r="V108" i="5"/>
  <c r="U108" i="5"/>
  <c r="T108" i="5"/>
  <c r="S108" i="5"/>
  <c r="R108" i="5"/>
  <c r="N108" i="5"/>
  <c r="G108" i="5"/>
  <c r="Z107" i="5"/>
  <c r="Y107" i="5"/>
  <c r="X107" i="5"/>
  <c r="W107" i="5"/>
  <c r="V107" i="5"/>
  <c r="U107" i="5"/>
  <c r="T107" i="5"/>
  <c r="S107" i="5"/>
  <c r="R107" i="5"/>
  <c r="N107" i="5"/>
  <c r="G107" i="5"/>
  <c r="Z106" i="5"/>
  <c r="Y106" i="5"/>
  <c r="X106" i="5"/>
  <c r="W106" i="5"/>
  <c r="V106" i="5"/>
  <c r="U106" i="5"/>
  <c r="T106" i="5"/>
  <c r="S106" i="5"/>
  <c r="N106" i="5"/>
  <c r="G106" i="5"/>
  <c r="R106" i="5" s="1"/>
  <c r="Z105" i="5"/>
  <c r="Y105" i="5"/>
  <c r="X105" i="5"/>
  <c r="W105" i="5"/>
  <c r="V105" i="5"/>
  <c r="U105" i="5"/>
  <c r="T105" i="5"/>
  <c r="S105" i="5"/>
  <c r="N105" i="5"/>
  <c r="G105" i="5"/>
  <c r="R105" i="5" s="1"/>
  <c r="Z104" i="5"/>
  <c r="Y104" i="5"/>
  <c r="X104" i="5"/>
  <c r="V104" i="5"/>
  <c r="U104" i="5"/>
  <c r="T104" i="5"/>
  <c r="S104" i="5"/>
  <c r="N104" i="5"/>
  <c r="G104" i="5"/>
  <c r="R104" i="5" s="1"/>
  <c r="Z103" i="5"/>
  <c r="Y103" i="5"/>
  <c r="X103" i="5"/>
  <c r="W103" i="5"/>
  <c r="V103" i="5"/>
  <c r="U103" i="5"/>
  <c r="T103" i="5"/>
  <c r="S103" i="5"/>
  <c r="R103" i="5"/>
  <c r="N103" i="5"/>
  <c r="G103" i="5"/>
  <c r="Z102" i="5"/>
  <c r="Y102" i="5"/>
  <c r="X102" i="5"/>
  <c r="W102" i="5"/>
  <c r="V102" i="5"/>
  <c r="U102" i="5"/>
  <c r="T102" i="5"/>
  <c r="S102" i="5"/>
  <c r="N102" i="5"/>
  <c r="G102" i="5"/>
  <c r="R102" i="5" s="1"/>
  <c r="Z101" i="5"/>
  <c r="Y101" i="5"/>
  <c r="X101" i="5"/>
  <c r="W101" i="5"/>
  <c r="V101" i="5"/>
  <c r="U101" i="5"/>
  <c r="T101" i="5"/>
  <c r="S101" i="5"/>
  <c r="N101" i="5"/>
  <c r="G101" i="5"/>
  <c r="R101" i="5" s="1"/>
  <c r="Z100" i="5"/>
  <c r="Y100" i="5"/>
  <c r="X100" i="5"/>
  <c r="W100" i="5"/>
  <c r="V100" i="5"/>
  <c r="U100" i="5"/>
  <c r="T100" i="5"/>
  <c r="S100" i="5"/>
  <c r="R100" i="5"/>
  <c r="N100" i="5"/>
  <c r="G100" i="5"/>
  <c r="Z99" i="5"/>
  <c r="Y99" i="5"/>
  <c r="X99" i="5"/>
  <c r="W99" i="5"/>
  <c r="V99" i="5"/>
  <c r="U99" i="5"/>
  <c r="T99" i="5"/>
  <c r="S99" i="5"/>
  <c r="N99" i="5"/>
  <c r="G99" i="5"/>
  <c r="R99" i="5" s="1"/>
  <c r="Z98" i="5"/>
  <c r="Y98" i="5"/>
  <c r="X98" i="5"/>
  <c r="W98" i="5"/>
  <c r="V98" i="5"/>
  <c r="U98" i="5"/>
  <c r="T98" i="5"/>
  <c r="S98" i="5"/>
  <c r="N98" i="5"/>
  <c r="G98" i="5"/>
  <c r="R98" i="5" s="1"/>
  <c r="Z97" i="5"/>
  <c r="Y97" i="5"/>
  <c r="X97" i="5"/>
  <c r="W97" i="5"/>
  <c r="V97" i="5"/>
  <c r="U97" i="5"/>
  <c r="T97" i="5"/>
  <c r="S97" i="5"/>
  <c r="N97" i="5"/>
  <c r="G97" i="5"/>
  <c r="R97" i="5" s="1"/>
  <c r="Z96" i="5"/>
  <c r="Y96" i="5"/>
  <c r="X96" i="5"/>
  <c r="W96" i="5"/>
  <c r="V96" i="5"/>
  <c r="U96" i="5"/>
  <c r="T96" i="5"/>
  <c r="S96" i="5"/>
  <c r="N96" i="5"/>
  <c r="G96" i="5"/>
  <c r="R96" i="5" s="1"/>
  <c r="Z95" i="5"/>
  <c r="Y95" i="5"/>
  <c r="X95" i="5"/>
  <c r="V95" i="5"/>
  <c r="U95" i="5"/>
  <c r="T95" i="5"/>
  <c r="S95" i="5"/>
  <c r="R95" i="5"/>
  <c r="N95" i="5"/>
  <c r="G95" i="5"/>
  <c r="Z94" i="5"/>
  <c r="Y94" i="5"/>
  <c r="X94" i="5"/>
  <c r="W94" i="5"/>
  <c r="V94" i="5"/>
  <c r="U94" i="5"/>
  <c r="T94" i="5"/>
  <c r="S94" i="5"/>
  <c r="G94" i="5"/>
  <c r="R94" i="5" s="1"/>
  <c r="Z93" i="5"/>
  <c r="Y93" i="5"/>
  <c r="X93" i="5"/>
  <c r="W93" i="5"/>
  <c r="V93" i="5"/>
  <c r="U93" i="5"/>
  <c r="T93" i="5"/>
  <c r="S93" i="5"/>
  <c r="G93" i="5"/>
  <c r="R93" i="5" s="1"/>
  <c r="Z92" i="5"/>
  <c r="Y92" i="5"/>
  <c r="X92" i="5"/>
  <c r="W92" i="5"/>
  <c r="V92" i="5"/>
  <c r="U92" i="5"/>
  <c r="T92" i="5"/>
  <c r="S92" i="5"/>
  <c r="G92" i="5"/>
  <c r="R92" i="5" s="1"/>
  <c r="Z91" i="5"/>
  <c r="Y91" i="5"/>
  <c r="X91" i="5"/>
  <c r="W91" i="5"/>
  <c r="V91" i="5"/>
  <c r="U91" i="5"/>
  <c r="T91" i="5"/>
  <c r="S91" i="5"/>
  <c r="N91" i="5"/>
  <c r="G91" i="5"/>
  <c r="R91" i="5" s="1"/>
  <c r="Z90" i="5"/>
  <c r="Y90" i="5"/>
  <c r="X90" i="5"/>
  <c r="W90" i="5"/>
  <c r="V90" i="5"/>
  <c r="U90" i="5"/>
  <c r="T90" i="5"/>
  <c r="S90" i="5"/>
  <c r="R90" i="5"/>
  <c r="N90" i="5"/>
  <c r="G90" i="5"/>
  <c r="Z89" i="5"/>
  <c r="Y89" i="5"/>
  <c r="X89" i="5"/>
  <c r="W89" i="5"/>
  <c r="V89" i="5"/>
  <c r="U89" i="5"/>
  <c r="T89" i="5"/>
  <c r="S89" i="5"/>
  <c r="N89" i="5"/>
  <c r="G89" i="5"/>
  <c r="R89" i="5" s="1"/>
  <c r="Z88" i="5"/>
  <c r="Y88" i="5"/>
  <c r="X88" i="5"/>
  <c r="W88" i="5"/>
  <c r="V88" i="5"/>
  <c r="U88" i="5"/>
  <c r="T88" i="5"/>
  <c r="S88" i="5"/>
  <c r="N88" i="5"/>
  <c r="G88" i="5"/>
  <c r="R88" i="5" s="1"/>
  <c r="Z87" i="5"/>
  <c r="Y87" i="5"/>
  <c r="X87" i="5"/>
  <c r="W87" i="5"/>
  <c r="V87" i="5"/>
  <c r="U87" i="5"/>
  <c r="T87" i="5"/>
  <c r="S87" i="5"/>
  <c r="R87" i="5"/>
  <c r="N87" i="5"/>
  <c r="G87" i="5"/>
  <c r="Z86" i="5"/>
  <c r="Y86" i="5"/>
  <c r="X86" i="5"/>
  <c r="W86" i="5"/>
  <c r="V86" i="5"/>
  <c r="U86" i="5"/>
  <c r="T86" i="5"/>
  <c r="S86" i="5"/>
  <c r="N86" i="5"/>
  <c r="G86" i="5"/>
  <c r="R86" i="5" s="1"/>
  <c r="Z85" i="5"/>
  <c r="Y85" i="5"/>
  <c r="X85" i="5"/>
  <c r="W85" i="5"/>
  <c r="V85" i="5"/>
  <c r="U85" i="5"/>
  <c r="T85" i="5"/>
  <c r="S85" i="5"/>
  <c r="N85" i="5"/>
  <c r="G85" i="5"/>
  <c r="R85" i="5" s="1"/>
  <c r="Z84" i="5"/>
  <c r="Y84" i="5"/>
  <c r="X84" i="5"/>
  <c r="W84" i="5"/>
  <c r="V84" i="5"/>
  <c r="U84" i="5"/>
  <c r="T84" i="5"/>
  <c r="S84" i="5"/>
  <c r="N84" i="5"/>
  <c r="G84" i="5"/>
  <c r="R84" i="5" s="1"/>
  <c r="Z83" i="5"/>
  <c r="Y83" i="5"/>
  <c r="X83" i="5"/>
  <c r="W83" i="5"/>
  <c r="V83" i="5"/>
  <c r="U83" i="5"/>
  <c r="T83" i="5"/>
  <c r="S83" i="5"/>
  <c r="N83" i="5"/>
  <c r="G83" i="5"/>
  <c r="R83" i="5" s="1"/>
  <c r="Z82" i="5"/>
  <c r="Y82" i="5"/>
  <c r="X82" i="5"/>
  <c r="W82" i="5"/>
  <c r="V82" i="5"/>
  <c r="U82" i="5"/>
  <c r="T82" i="5"/>
  <c r="S82" i="5"/>
  <c r="R82" i="5"/>
  <c r="N82" i="5"/>
  <c r="G82" i="5"/>
  <c r="Z81" i="5"/>
  <c r="Y81" i="5"/>
  <c r="X81" i="5"/>
  <c r="W81" i="5"/>
  <c r="V81" i="5"/>
  <c r="U81" i="5"/>
  <c r="T81" i="5"/>
  <c r="S81" i="5"/>
  <c r="N81" i="5"/>
  <c r="G81" i="5"/>
  <c r="R81" i="5" s="1"/>
  <c r="Z80" i="5"/>
  <c r="Y80" i="5"/>
  <c r="X80" i="5"/>
  <c r="W80" i="5"/>
  <c r="V80" i="5"/>
  <c r="U80" i="5"/>
  <c r="T80" i="5"/>
  <c r="S80" i="5"/>
  <c r="N80" i="5"/>
  <c r="G80" i="5"/>
  <c r="R80" i="5" s="1"/>
  <c r="Z79" i="5"/>
  <c r="Y79" i="5"/>
  <c r="V79" i="5"/>
  <c r="U79" i="5"/>
  <c r="T79" i="5"/>
  <c r="S79" i="5"/>
  <c r="P79" i="5"/>
  <c r="X79" i="5" s="1"/>
  <c r="G79" i="5"/>
  <c r="R79" i="5" s="1"/>
  <c r="Z78" i="5"/>
  <c r="Y78" i="5"/>
  <c r="V78" i="5"/>
  <c r="U78" i="5"/>
  <c r="T78" i="5"/>
  <c r="S78" i="5"/>
  <c r="R78" i="5"/>
  <c r="P78" i="5"/>
  <c r="X78" i="5" s="1"/>
  <c r="G78" i="5"/>
  <c r="Z77" i="5"/>
  <c r="Y77" i="5"/>
  <c r="X77" i="5"/>
  <c r="W77" i="5"/>
  <c r="V77" i="5"/>
  <c r="U77" i="5"/>
  <c r="T77" i="5"/>
  <c r="S77" i="5"/>
  <c r="G77" i="5"/>
  <c r="R77" i="5" s="1"/>
  <c r="Z76" i="5"/>
  <c r="Y76" i="5"/>
  <c r="X76" i="5"/>
  <c r="W76" i="5"/>
  <c r="V76" i="5"/>
  <c r="U76" i="5"/>
  <c r="T76" i="5"/>
  <c r="S76" i="5"/>
  <c r="R76" i="5"/>
  <c r="N76" i="5"/>
  <c r="G76" i="5"/>
  <c r="Z75" i="5"/>
  <c r="Y75" i="5"/>
  <c r="X75" i="5"/>
  <c r="W75" i="5"/>
  <c r="V75" i="5"/>
  <c r="U75" i="5"/>
  <c r="T75" i="5"/>
  <c r="S75" i="5"/>
  <c r="R75" i="5"/>
  <c r="N75" i="5"/>
  <c r="G75" i="5"/>
  <c r="Z74" i="5"/>
  <c r="Y74" i="5"/>
  <c r="X74" i="5"/>
  <c r="W74" i="5"/>
  <c r="V74" i="5"/>
  <c r="U74" i="5"/>
  <c r="T74" i="5"/>
  <c r="S74" i="5"/>
  <c r="N74" i="5"/>
  <c r="G74" i="5"/>
  <c r="R74" i="5" s="1"/>
  <c r="Z73" i="5"/>
  <c r="Y73" i="5"/>
  <c r="V73" i="5"/>
  <c r="U73" i="5"/>
  <c r="T73" i="5"/>
  <c r="S73" i="5"/>
  <c r="P73" i="5"/>
  <c r="W73" i="5" s="1"/>
  <c r="N73" i="5"/>
  <c r="G73" i="5"/>
  <c r="R73" i="5" s="1"/>
  <c r="Z72" i="5"/>
  <c r="Y72" i="5"/>
  <c r="W72" i="5"/>
  <c r="V72" i="5"/>
  <c r="U72" i="5"/>
  <c r="T72" i="5"/>
  <c r="S72" i="5"/>
  <c r="P72" i="5"/>
  <c r="X72" i="5" s="1"/>
  <c r="N72" i="5"/>
  <c r="G72" i="5"/>
  <c r="R72" i="5" s="1"/>
  <c r="Z71" i="5"/>
  <c r="Y71" i="5"/>
  <c r="X71" i="5"/>
  <c r="V71" i="5"/>
  <c r="U71" i="5"/>
  <c r="T71" i="5"/>
  <c r="S71" i="5"/>
  <c r="P71" i="5"/>
  <c r="W71" i="5" s="1"/>
  <c r="N71" i="5"/>
  <c r="G71" i="5"/>
  <c r="R71" i="5" s="1"/>
  <c r="Z70" i="5"/>
  <c r="Y70" i="5"/>
  <c r="X70" i="5"/>
  <c r="W70" i="5"/>
  <c r="V70" i="5"/>
  <c r="U70" i="5"/>
  <c r="T70" i="5"/>
  <c r="S70" i="5"/>
  <c r="N70" i="5"/>
  <c r="G70" i="5"/>
  <c r="R70" i="5" s="1"/>
  <c r="Z69" i="5"/>
  <c r="Y69" i="5"/>
  <c r="X69" i="5"/>
  <c r="W69" i="5"/>
  <c r="V69" i="5"/>
  <c r="U69" i="5"/>
  <c r="T69" i="5"/>
  <c r="S69" i="5"/>
  <c r="N69" i="5"/>
  <c r="G69" i="5"/>
  <c r="R69" i="5" s="1"/>
  <c r="Z68" i="5"/>
  <c r="Y68" i="5"/>
  <c r="X68" i="5"/>
  <c r="W68" i="5"/>
  <c r="V68" i="5"/>
  <c r="U68" i="5"/>
  <c r="T68" i="5"/>
  <c r="S68" i="5"/>
  <c r="N68" i="5"/>
  <c r="G68" i="5"/>
  <c r="R68" i="5" s="1"/>
  <c r="Z67" i="5"/>
  <c r="Y67" i="5"/>
  <c r="X67" i="5"/>
  <c r="W67" i="5"/>
  <c r="V67" i="5"/>
  <c r="U67" i="5"/>
  <c r="T67" i="5"/>
  <c r="S67" i="5"/>
  <c r="N67" i="5"/>
  <c r="G67" i="5"/>
  <c r="R67" i="5" s="1"/>
  <c r="Z66" i="5"/>
  <c r="Y66" i="5"/>
  <c r="X66" i="5"/>
  <c r="W66" i="5"/>
  <c r="V66" i="5"/>
  <c r="U66" i="5"/>
  <c r="T66" i="5"/>
  <c r="S66" i="5"/>
  <c r="N66" i="5"/>
  <c r="G66" i="5"/>
  <c r="R66" i="5" s="1"/>
  <c r="Z65" i="5"/>
  <c r="Y65" i="5"/>
  <c r="X65" i="5"/>
  <c r="W65" i="5"/>
  <c r="V65" i="5"/>
  <c r="U65" i="5"/>
  <c r="T65" i="5"/>
  <c r="S65" i="5"/>
  <c r="R65" i="5"/>
  <c r="N65" i="5"/>
  <c r="G65" i="5"/>
  <c r="Z64" i="5"/>
  <c r="Y64" i="5"/>
  <c r="X64" i="5"/>
  <c r="W64" i="5"/>
  <c r="V64" i="5"/>
  <c r="U64" i="5"/>
  <c r="T64" i="5"/>
  <c r="S64" i="5"/>
  <c r="R64" i="5"/>
  <c r="N64" i="5"/>
  <c r="G64" i="5"/>
  <c r="Z63" i="5"/>
  <c r="Y63" i="5"/>
  <c r="X63" i="5"/>
  <c r="W63" i="5"/>
  <c r="V63" i="5"/>
  <c r="U63" i="5"/>
  <c r="T63" i="5"/>
  <c r="S63" i="5"/>
  <c r="N63" i="5"/>
  <c r="G63" i="5"/>
  <c r="R63" i="5" s="1"/>
  <c r="Z62" i="5"/>
  <c r="Y62" i="5"/>
  <c r="X62" i="5"/>
  <c r="W62" i="5"/>
  <c r="V62" i="5"/>
  <c r="U62" i="5"/>
  <c r="T62" i="5"/>
  <c r="S62" i="5"/>
  <c r="N62" i="5"/>
  <c r="G62" i="5"/>
  <c r="R62" i="5" s="1"/>
  <c r="Z61" i="5"/>
  <c r="Y61" i="5"/>
  <c r="X61" i="5"/>
  <c r="W61" i="5"/>
  <c r="V61" i="5"/>
  <c r="U61" i="5"/>
  <c r="T61" i="5"/>
  <c r="S61" i="5"/>
  <c r="N61" i="5"/>
  <c r="G61" i="5"/>
  <c r="R61" i="5" s="1"/>
  <c r="Z60" i="5"/>
  <c r="Y60" i="5"/>
  <c r="X60" i="5"/>
  <c r="W60" i="5"/>
  <c r="V60" i="5"/>
  <c r="U60" i="5"/>
  <c r="T60" i="5"/>
  <c r="S60" i="5"/>
  <c r="N60" i="5"/>
  <c r="G60" i="5"/>
  <c r="R60" i="5" s="1"/>
  <c r="Z59" i="5"/>
  <c r="Y59" i="5"/>
  <c r="X59" i="5"/>
  <c r="W59" i="5"/>
  <c r="V59" i="5"/>
  <c r="U59" i="5"/>
  <c r="T59" i="5"/>
  <c r="S59" i="5"/>
  <c r="N59" i="5"/>
  <c r="G59" i="5"/>
  <c r="R59" i="5" s="1"/>
  <c r="Z58" i="5"/>
  <c r="Y58" i="5"/>
  <c r="X58" i="5"/>
  <c r="W58" i="5"/>
  <c r="V58" i="5"/>
  <c r="U58" i="5"/>
  <c r="T58" i="5"/>
  <c r="S58" i="5"/>
  <c r="N58" i="5"/>
  <c r="G58" i="5"/>
  <c r="R58" i="5" s="1"/>
  <c r="Z57" i="5"/>
  <c r="Y57" i="5"/>
  <c r="X57" i="5"/>
  <c r="W57" i="5"/>
  <c r="V57" i="5"/>
  <c r="U57" i="5"/>
  <c r="T57" i="5"/>
  <c r="S57" i="5"/>
  <c r="R57" i="5"/>
  <c r="N57" i="5"/>
  <c r="G57" i="5"/>
  <c r="Z56" i="5"/>
  <c r="Y56" i="5"/>
  <c r="X56" i="5"/>
  <c r="W56" i="5"/>
  <c r="V56" i="5"/>
  <c r="U56" i="5"/>
  <c r="T56" i="5"/>
  <c r="S56" i="5"/>
  <c r="R56" i="5"/>
  <c r="N56" i="5"/>
  <c r="G56" i="5"/>
  <c r="Z55" i="5"/>
  <c r="Y55" i="5"/>
  <c r="X55" i="5"/>
  <c r="W55" i="5"/>
  <c r="V55" i="5"/>
  <c r="U55" i="5"/>
  <c r="T55" i="5"/>
  <c r="S55" i="5"/>
  <c r="N55" i="5"/>
  <c r="G55" i="5"/>
  <c r="R55" i="5" s="1"/>
  <c r="Z54" i="5"/>
  <c r="Y54" i="5"/>
  <c r="X54" i="5"/>
  <c r="W54" i="5"/>
  <c r="V54" i="5"/>
  <c r="U54" i="5"/>
  <c r="T54" i="5"/>
  <c r="S54" i="5"/>
  <c r="N54" i="5"/>
  <c r="G54" i="5"/>
  <c r="R54" i="5" s="1"/>
  <c r="Z53" i="5"/>
  <c r="Y53" i="5"/>
  <c r="X53" i="5"/>
  <c r="W53" i="5"/>
  <c r="V53" i="5"/>
  <c r="U53" i="5"/>
  <c r="T53" i="5"/>
  <c r="S53" i="5"/>
  <c r="N53" i="5"/>
  <c r="G53" i="5"/>
  <c r="R53" i="5" s="1"/>
  <c r="Z52" i="5"/>
  <c r="Y52" i="5"/>
  <c r="X52" i="5"/>
  <c r="W52" i="5"/>
  <c r="V52" i="5"/>
  <c r="U52" i="5"/>
  <c r="T52" i="5"/>
  <c r="S52" i="5"/>
  <c r="N52" i="5"/>
  <c r="G52" i="5"/>
  <c r="R52" i="5" s="1"/>
  <c r="Z51" i="5"/>
  <c r="Y51" i="5"/>
  <c r="X51" i="5"/>
  <c r="W51" i="5"/>
  <c r="V51" i="5"/>
  <c r="U51" i="5"/>
  <c r="T51" i="5"/>
  <c r="S51" i="5"/>
  <c r="N51" i="5"/>
  <c r="G51" i="5"/>
  <c r="R51" i="5" s="1"/>
  <c r="Z50" i="5"/>
  <c r="Y50" i="5"/>
  <c r="X50" i="5"/>
  <c r="W50" i="5"/>
  <c r="V50" i="5"/>
  <c r="U50" i="5"/>
  <c r="T50" i="5"/>
  <c r="S50" i="5"/>
  <c r="N50" i="5"/>
  <c r="G50" i="5"/>
  <c r="R50" i="5" s="1"/>
  <c r="Z49" i="5"/>
  <c r="Y49" i="5"/>
  <c r="X49" i="5"/>
  <c r="W49" i="5"/>
  <c r="V49" i="5"/>
  <c r="U49" i="5"/>
  <c r="T49" i="5"/>
  <c r="S49" i="5"/>
  <c r="R49" i="5"/>
  <c r="N49" i="5"/>
  <c r="G49" i="5"/>
  <c r="Z48" i="5"/>
  <c r="Y48" i="5"/>
  <c r="X48" i="5"/>
  <c r="W48" i="5"/>
  <c r="V48" i="5"/>
  <c r="U48" i="5"/>
  <c r="T48" i="5"/>
  <c r="S48" i="5"/>
  <c r="R48" i="5"/>
  <c r="N48" i="5"/>
  <c r="G48" i="5"/>
  <c r="Z47" i="5"/>
  <c r="Y47" i="5"/>
  <c r="X47" i="5"/>
  <c r="W47" i="5"/>
  <c r="V47" i="5"/>
  <c r="U47" i="5"/>
  <c r="T47" i="5"/>
  <c r="S47" i="5"/>
  <c r="N47" i="5"/>
  <c r="G47" i="5"/>
  <c r="R47" i="5" s="1"/>
  <c r="Z46" i="5"/>
  <c r="Y46" i="5"/>
  <c r="X46" i="5"/>
  <c r="W46" i="5"/>
  <c r="V46" i="5"/>
  <c r="U46" i="5"/>
  <c r="T46" i="5"/>
  <c r="S46" i="5"/>
  <c r="N46" i="5"/>
  <c r="G46" i="5"/>
  <c r="R46" i="5" s="1"/>
  <c r="Z45" i="5"/>
  <c r="Y45" i="5"/>
  <c r="X45" i="5"/>
  <c r="W45" i="5"/>
  <c r="V45" i="5"/>
  <c r="U45" i="5"/>
  <c r="T45" i="5"/>
  <c r="S45" i="5"/>
  <c r="G45" i="5"/>
  <c r="R45" i="5" s="1"/>
  <c r="Z44" i="5"/>
  <c r="Y44" i="5"/>
  <c r="X44" i="5"/>
  <c r="W44" i="5"/>
  <c r="V44" i="5"/>
  <c r="U44" i="5"/>
  <c r="T44" i="5"/>
  <c r="S44" i="5"/>
  <c r="G44" i="5"/>
  <c r="R44" i="5" s="1"/>
  <c r="Z43" i="5"/>
  <c r="Y43" i="5"/>
  <c r="X43" i="5"/>
  <c r="W43" i="5"/>
  <c r="V43" i="5"/>
  <c r="U43" i="5"/>
  <c r="T43" i="5"/>
  <c r="S43" i="5"/>
  <c r="N43" i="5"/>
  <c r="G43" i="5"/>
  <c r="R43" i="5" s="1"/>
  <c r="Z42" i="5"/>
  <c r="Y42" i="5"/>
  <c r="X42" i="5"/>
  <c r="W42" i="5"/>
  <c r="V42" i="5"/>
  <c r="U42" i="5"/>
  <c r="T42" i="5"/>
  <c r="S42" i="5"/>
  <c r="R42" i="5"/>
  <c r="N42" i="5"/>
  <c r="G42" i="5"/>
  <c r="Z41" i="5"/>
  <c r="Y41" i="5"/>
  <c r="X41" i="5"/>
  <c r="W41" i="5"/>
  <c r="V41" i="5"/>
  <c r="U41" i="5"/>
  <c r="T41" i="5"/>
  <c r="S41" i="5"/>
  <c r="N41" i="5"/>
  <c r="G41" i="5"/>
  <c r="R41" i="5" s="1"/>
  <c r="Z40" i="5"/>
  <c r="Y40" i="5"/>
  <c r="X40" i="5"/>
  <c r="W40" i="5"/>
  <c r="V40" i="5"/>
  <c r="U40" i="5"/>
  <c r="T40" i="5"/>
  <c r="S40" i="5"/>
  <c r="N40" i="5"/>
  <c r="G40" i="5"/>
  <c r="R40" i="5" s="1"/>
  <c r="Z39" i="5"/>
  <c r="Y39" i="5"/>
  <c r="X39" i="5"/>
  <c r="W39" i="5"/>
  <c r="V39" i="5"/>
  <c r="U39" i="5"/>
  <c r="T39" i="5"/>
  <c r="S39" i="5"/>
  <c r="R39" i="5"/>
  <c r="N39" i="5"/>
  <c r="G39" i="5"/>
  <c r="Z38" i="5"/>
  <c r="Y38" i="5"/>
  <c r="X38" i="5"/>
  <c r="W38" i="5"/>
  <c r="V38" i="5"/>
  <c r="U38" i="5"/>
  <c r="T38" i="5"/>
  <c r="S38" i="5"/>
  <c r="N38" i="5"/>
  <c r="G38" i="5"/>
  <c r="R38" i="5" s="1"/>
  <c r="Z37" i="5"/>
  <c r="Y37" i="5"/>
  <c r="X37" i="5"/>
  <c r="W37" i="5"/>
  <c r="V37" i="5"/>
  <c r="U37" i="5"/>
  <c r="T37" i="5"/>
  <c r="S37" i="5"/>
  <c r="N37" i="5"/>
  <c r="G37" i="5"/>
  <c r="R37" i="5" s="1"/>
  <c r="Z36" i="5"/>
  <c r="Y36" i="5"/>
  <c r="X36" i="5"/>
  <c r="W36" i="5"/>
  <c r="V36" i="5"/>
  <c r="U36" i="5"/>
  <c r="T36" i="5"/>
  <c r="S36" i="5"/>
  <c r="N36" i="5"/>
  <c r="G36" i="5"/>
  <c r="R36" i="5" s="1"/>
  <c r="Z35" i="5"/>
  <c r="Y35" i="5"/>
  <c r="X35" i="5"/>
  <c r="W35" i="5"/>
  <c r="V35" i="5"/>
  <c r="U35" i="5"/>
  <c r="T35" i="5"/>
  <c r="S35" i="5"/>
  <c r="N35" i="5"/>
  <c r="G35" i="5"/>
  <c r="R35" i="5" s="1"/>
  <c r="Z34" i="5"/>
  <c r="Y34" i="5"/>
  <c r="X34" i="5"/>
  <c r="W34" i="5"/>
  <c r="V34" i="5"/>
  <c r="U34" i="5"/>
  <c r="T34" i="5"/>
  <c r="S34" i="5"/>
  <c r="R34" i="5"/>
  <c r="N34" i="5"/>
  <c r="G34" i="5"/>
  <c r="Z33" i="5"/>
  <c r="Y33" i="5"/>
  <c r="X33" i="5"/>
  <c r="W33" i="5"/>
  <c r="V33" i="5"/>
  <c r="U33" i="5"/>
  <c r="T33" i="5"/>
  <c r="S33" i="5"/>
  <c r="N33" i="5"/>
  <c r="G33" i="5"/>
  <c r="R33" i="5" s="1"/>
  <c r="Z32" i="5"/>
  <c r="Y32" i="5"/>
  <c r="X32" i="5"/>
  <c r="W32" i="5"/>
  <c r="V32" i="5"/>
  <c r="U32" i="5"/>
  <c r="T32" i="5"/>
  <c r="S32" i="5"/>
  <c r="N32" i="5"/>
  <c r="G32" i="5"/>
  <c r="R32" i="5" s="1"/>
  <c r="Z31" i="5"/>
  <c r="Y31" i="5"/>
  <c r="X31" i="5"/>
  <c r="W31" i="5"/>
  <c r="V31" i="5"/>
  <c r="U31" i="5"/>
  <c r="T31" i="5"/>
  <c r="S31" i="5"/>
  <c r="R31" i="5"/>
  <c r="N31" i="5"/>
  <c r="G31" i="5"/>
  <c r="Z30" i="5"/>
  <c r="Y30" i="5"/>
  <c r="X30" i="5"/>
  <c r="W30" i="5"/>
  <c r="V30" i="5"/>
  <c r="U30" i="5"/>
  <c r="T30" i="5"/>
  <c r="S30" i="5"/>
  <c r="N30" i="5"/>
  <c r="G30" i="5"/>
  <c r="R30" i="5" s="1"/>
  <c r="Z29" i="5"/>
  <c r="Y29" i="5"/>
  <c r="X29" i="5"/>
  <c r="W29" i="5"/>
  <c r="V29" i="5"/>
  <c r="U29" i="5"/>
  <c r="T29" i="5"/>
  <c r="S29" i="5"/>
  <c r="N29" i="5"/>
  <c r="G29" i="5"/>
  <c r="R29" i="5" s="1"/>
  <c r="Z28" i="5"/>
  <c r="Y28" i="5"/>
  <c r="X28" i="5"/>
  <c r="W28" i="5"/>
  <c r="V28" i="5"/>
  <c r="U28" i="5"/>
  <c r="T28" i="5"/>
  <c r="S28" i="5"/>
  <c r="N28" i="5"/>
  <c r="G28" i="5"/>
  <c r="R28" i="5" s="1"/>
  <c r="Z27" i="5"/>
  <c r="Y27" i="5"/>
  <c r="X27" i="5"/>
  <c r="W27" i="5"/>
  <c r="V27" i="5"/>
  <c r="U27" i="5"/>
  <c r="T27" i="5"/>
  <c r="S27" i="5"/>
  <c r="N27" i="5"/>
  <c r="G27" i="5"/>
  <c r="R27" i="5" s="1"/>
  <c r="Z26" i="5"/>
  <c r="Y26" i="5"/>
  <c r="X26" i="5"/>
  <c r="W26" i="5"/>
  <c r="V26" i="5"/>
  <c r="U26" i="5"/>
  <c r="T26" i="5"/>
  <c r="S26" i="5"/>
  <c r="R26" i="5"/>
  <c r="N26" i="5"/>
  <c r="G26" i="5"/>
  <c r="Z25" i="5"/>
  <c r="Y25" i="5"/>
  <c r="X25" i="5"/>
  <c r="W25" i="5"/>
  <c r="V25" i="5"/>
  <c r="U25" i="5"/>
  <c r="T25" i="5"/>
  <c r="S25" i="5"/>
  <c r="N25" i="5"/>
  <c r="G25" i="5"/>
  <c r="R25" i="5" s="1"/>
  <c r="Z24" i="5"/>
  <c r="Y24" i="5"/>
  <c r="X24" i="5"/>
  <c r="W24" i="5"/>
  <c r="V24" i="5"/>
  <c r="U24" i="5"/>
  <c r="T24" i="5"/>
  <c r="S24" i="5"/>
  <c r="N24" i="5"/>
  <c r="G24" i="5"/>
  <c r="R24" i="5" s="1"/>
  <c r="Z23" i="5"/>
  <c r="Y23" i="5"/>
  <c r="X23" i="5"/>
  <c r="W23" i="5"/>
  <c r="V23" i="5"/>
  <c r="U23" i="5"/>
  <c r="T23" i="5"/>
  <c r="S23" i="5"/>
  <c r="R23" i="5"/>
  <c r="N23" i="5"/>
  <c r="G23" i="5"/>
  <c r="V22" i="5"/>
  <c r="P22" i="5"/>
  <c r="O22" i="5"/>
  <c r="U22" i="5" s="1"/>
  <c r="N22" i="5"/>
  <c r="M22" i="5"/>
  <c r="L22" i="5"/>
  <c r="K22" i="5"/>
  <c r="J22" i="5"/>
  <c r="Z22" i="5" s="1"/>
  <c r="I22" i="5"/>
  <c r="G22" i="5" s="1"/>
  <c r="H22" i="5"/>
  <c r="F22" i="5"/>
  <c r="E22" i="5"/>
  <c r="D22" i="5"/>
  <c r="P21" i="5"/>
  <c r="X21" i="5" s="1"/>
  <c r="O21" i="5"/>
  <c r="N21" i="5"/>
  <c r="M21" i="5"/>
  <c r="L21" i="5"/>
  <c r="K21" i="5"/>
  <c r="W21" i="5" s="1"/>
  <c r="J21" i="5"/>
  <c r="I21" i="5"/>
  <c r="H21" i="5"/>
  <c r="G21" i="5"/>
  <c r="R21" i="5" s="1"/>
  <c r="F21" i="5"/>
  <c r="E21" i="5"/>
  <c r="D21" i="5"/>
  <c r="Z20" i="5"/>
  <c r="U20" i="5"/>
  <c r="P20" i="5"/>
  <c r="X20" i="5" s="1"/>
  <c r="O20" i="5"/>
  <c r="N20" i="5"/>
  <c r="M20" i="5"/>
  <c r="L20" i="5"/>
  <c r="K20" i="5"/>
  <c r="J20" i="5"/>
  <c r="I20" i="5"/>
  <c r="H20" i="5"/>
  <c r="S20" i="5" s="1"/>
  <c r="F20" i="5"/>
  <c r="E20" i="5"/>
  <c r="D20" i="5"/>
  <c r="Z19" i="5"/>
  <c r="Y19" i="5"/>
  <c r="X19" i="5"/>
  <c r="W19" i="5"/>
  <c r="V19" i="5"/>
  <c r="U19" i="5"/>
  <c r="T19" i="5"/>
  <c r="S19" i="5"/>
  <c r="N19" i="5"/>
  <c r="G19" i="5"/>
  <c r="R19" i="5" s="1"/>
  <c r="Z18" i="5"/>
  <c r="Y18" i="5"/>
  <c r="X18" i="5"/>
  <c r="W18" i="5"/>
  <c r="V18" i="5"/>
  <c r="U18" i="5"/>
  <c r="T18" i="5"/>
  <c r="S18" i="5"/>
  <c r="N18" i="5"/>
  <c r="G18" i="5"/>
  <c r="R18" i="5" s="1"/>
  <c r="Z17" i="5"/>
  <c r="Y17" i="5"/>
  <c r="X17" i="5"/>
  <c r="W17" i="5"/>
  <c r="V17" i="5"/>
  <c r="U17" i="5"/>
  <c r="T17" i="5"/>
  <c r="S17" i="5"/>
  <c r="N17" i="5"/>
  <c r="G17" i="5"/>
  <c r="R17" i="5" s="1"/>
  <c r="Z16" i="5"/>
  <c r="Y16" i="5"/>
  <c r="X16" i="5"/>
  <c r="W16" i="5"/>
  <c r="V16" i="5"/>
  <c r="U16" i="5"/>
  <c r="T16" i="5"/>
  <c r="S16" i="5"/>
  <c r="N16" i="5"/>
  <c r="G16" i="5"/>
  <c r="R16" i="5" s="1"/>
  <c r="Z15" i="5"/>
  <c r="Y15" i="5"/>
  <c r="X15" i="5"/>
  <c r="W15" i="5"/>
  <c r="V15" i="5"/>
  <c r="U15" i="5"/>
  <c r="T15" i="5"/>
  <c r="S15" i="5"/>
  <c r="N15" i="5"/>
  <c r="G15" i="5"/>
  <c r="R15" i="5" s="1"/>
  <c r="Z14" i="5"/>
  <c r="Y14" i="5"/>
  <c r="X14" i="5"/>
  <c r="W14" i="5"/>
  <c r="V14" i="5"/>
  <c r="U14" i="5"/>
  <c r="T14" i="5"/>
  <c r="S14" i="5"/>
  <c r="R14" i="5"/>
  <c r="N14" i="5"/>
  <c r="G14" i="5"/>
  <c r="Z13" i="5"/>
  <c r="Y13" i="5"/>
  <c r="X13" i="5"/>
  <c r="W13" i="5"/>
  <c r="V13" i="5"/>
  <c r="U13" i="5"/>
  <c r="T13" i="5"/>
  <c r="S13" i="5"/>
  <c r="R13" i="5"/>
  <c r="N13" i="5"/>
  <c r="G13" i="5"/>
  <c r="Z12" i="5"/>
  <c r="Y12" i="5"/>
  <c r="X12" i="5"/>
  <c r="W12" i="5"/>
  <c r="V12" i="5"/>
  <c r="U12" i="5"/>
  <c r="T12" i="5"/>
  <c r="S12" i="5"/>
  <c r="N12" i="5"/>
  <c r="G12" i="5"/>
  <c r="R12" i="5" s="1"/>
  <c r="Z11" i="5"/>
  <c r="Y11" i="5"/>
  <c r="X11" i="5"/>
  <c r="W11" i="5"/>
  <c r="V11" i="5"/>
  <c r="U11" i="5"/>
  <c r="T11" i="5"/>
  <c r="S11" i="5"/>
  <c r="N11" i="5"/>
  <c r="G11" i="5"/>
  <c r="R11" i="5" s="1"/>
  <c r="Z10" i="5"/>
  <c r="Y10" i="5"/>
  <c r="X10" i="5"/>
  <c r="W10" i="5"/>
  <c r="V10" i="5"/>
  <c r="U10" i="5"/>
  <c r="T10" i="5"/>
  <c r="S10" i="5"/>
  <c r="N10" i="5"/>
  <c r="G10" i="5"/>
  <c r="R10" i="5" s="1"/>
  <c r="Z9" i="5"/>
  <c r="Y9" i="5"/>
  <c r="X9" i="5"/>
  <c r="W9" i="5"/>
  <c r="V9" i="5"/>
  <c r="U9" i="5"/>
  <c r="T9" i="5"/>
  <c r="S9" i="5"/>
  <c r="N9" i="5"/>
  <c r="G9" i="5"/>
  <c r="R9" i="5" s="1"/>
  <c r="Z8" i="5"/>
  <c r="Y8" i="5"/>
  <c r="X8" i="5"/>
  <c r="W8" i="5"/>
  <c r="V8" i="5"/>
  <c r="U8" i="5"/>
  <c r="T8" i="5"/>
  <c r="S8" i="5"/>
  <c r="N8" i="5"/>
  <c r="G8" i="5"/>
  <c r="R8" i="5" s="1"/>
  <c r="Z7" i="5"/>
  <c r="Y7" i="5"/>
  <c r="X7" i="5"/>
  <c r="W7" i="5"/>
  <c r="V7" i="5"/>
  <c r="U7" i="5"/>
  <c r="T7" i="5"/>
  <c r="S7" i="5"/>
  <c r="G7" i="5"/>
  <c r="R7" i="5" s="1"/>
  <c r="Z6" i="5"/>
  <c r="Y6" i="5"/>
  <c r="X6" i="5"/>
  <c r="W6" i="5"/>
  <c r="V6" i="5"/>
  <c r="U6" i="5"/>
  <c r="T6" i="5"/>
  <c r="S6" i="5"/>
  <c r="R6" i="5"/>
  <c r="N6" i="5"/>
  <c r="G6" i="5"/>
  <c r="Z5" i="5"/>
  <c r="Y5" i="5"/>
  <c r="X5" i="5"/>
  <c r="W5" i="5"/>
  <c r="V5" i="5"/>
  <c r="U5" i="5"/>
  <c r="T5" i="5"/>
  <c r="S5" i="5"/>
  <c r="G5" i="5"/>
  <c r="R5" i="5" s="1"/>
  <c r="Z4" i="5"/>
  <c r="Y4" i="5"/>
  <c r="X4" i="5"/>
  <c r="W4" i="5"/>
  <c r="V4" i="5"/>
  <c r="U4" i="5"/>
  <c r="T4" i="5"/>
  <c r="S4" i="5"/>
  <c r="R4" i="5"/>
  <c r="G4" i="5"/>
  <c r="Z3" i="5"/>
  <c r="Y3" i="5"/>
  <c r="X3" i="5"/>
  <c r="W3" i="5"/>
  <c r="V3" i="5"/>
  <c r="U3" i="5"/>
  <c r="T3" i="5"/>
  <c r="S3" i="5"/>
  <c r="G3" i="5"/>
  <c r="R3" i="5" s="1"/>
  <c r="Z2" i="5"/>
  <c r="Y2" i="5"/>
  <c r="X2" i="5"/>
  <c r="W2" i="5"/>
  <c r="V2" i="5"/>
  <c r="U2" i="5"/>
  <c r="T2" i="5"/>
  <c r="S2" i="5"/>
  <c r="G2" i="5"/>
  <c r="R2" i="5" s="1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N24" i="4"/>
  <c r="G24" i="4"/>
  <c r="R24" i="4" s="1"/>
  <c r="Z23" i="4"/>
  <c r="Y23" i="4"/>
  <c r="X23" i="4"/>
  <c r="W23" i="4"/>
  <c r="V23" i="4"/>
  <c r="U23" i="4"/>
  <c r="T23" i="4"/>
  <c r="S23" i="4"/>
  <c r="N23" i="4"/>
  <c r="G23" i="4"/>
  <c r="R23" i="4" s="1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N18" i="4"/>
  <c r="G18" i="4"/>
  <c r="R18" i="4" s="1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N11" i="4"/>
  <c r="G11" i="4"/>
  <c r="R11" i="4" s="1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B480" i="1"/>
  <c r="AA480" i="1"/>
  <c r="AC480" i="1" s="1"/>
  <c r="Z480" i="1"/>
  <c r="Y480" i="1"/>
  <c r="X480" i="1"/>
  <c r="W480" i="1"/>
  <c r="V480" i="1"/>
  <c r="T480" i="1"/>
  <c r="AB479" i="1"/>
  <c r="AA479" i="1"/>
  <c r="AC479" i="1" s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B476" i="1"/>
  <c r="AA476" i="1"/>
  <c r="AC476" i="1" s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B472" i="1"/>
  <c r="AA472" i="1"/>
  <c r="AC472" i="1" s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B469" i="1"/>
  <c r="AA469" i="1"/>
  <c r="AC469" i="1" s="1"/>
  <c r="Z469" i="1"/>
  <c r="Y469" i="1"/>
  <c r="X469" i="1"/>
  <c r="W469" i="1"/>
  <c r="V469" i="1"/>
  <c r="AB468" i="1"/>
  <c r="AA468" i="1"/>
  <c r="AC468" i="1" s="1"/>
  <c r="Z468" i="1"/>
  <c r="Y468" i="1"/>
  <c r="X468" i="1"/>
  <c r="W468" i="1"/>
  <c r="V468" i="1"/>
  <c r="AB467" i="1"/>
  <c r="AA467" i="1"/>
  <c r="AC467" i="1" s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B464" i="1"/>
  <c r="AA464" i="1"/>
  <c r="AC464" i="1" s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Z460" i="1"/>
  <c r="Y460" i="1"/>
  <c r="X460" i="1"/>
  <c r="W460" i="1"/>
  <c r="V460" i="1"/>
  <c r="P460" i="1"/>
  <c r="AA460" i="1" s="1"/>
  <c r="AC460" i="1" s="1"/>
  <c r="AB459" i="1"/>
  <c r="Z459" i="1"/>
  <c r="Y459" i="1"/>
  <c r="X459" i="1"/>
  <c r="W459" i="1"/>
  <c r="V459" i="1"/>
  <c r="P459" i="1"/>
  <c r="AA459" i="1" s="1"/>
  <c r="AC459" i="1" s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B455" i="1"/>
  <c r="AA455" i="1"/>
  <c r="AC455" i="1" s="1"/>
  <c r="Z455" i="1"/>
  <c r="Y455" i="1"/>
  <c r="X455" i="1"/>
  <c r="W455" i="1"/>
  <c r="V455" i="1"/>
  <c r="T455" i="1"/>
  <c r="H455" i="1"/>
  <c r="AJ454" i="1"/>
  <c r="AB454" i="1"/>
  <c r="AA454" i="1"/>
  <c r="AC454" i="1" s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B451" i="1"/>
  <c r="AA451" i="1"/>
  <c r="AC451" i="1" s="1"/>
  <c r="Z451" i="1"/>
  <c r="Y451" i="1"/>
  <c r="V451" i="1"/>
  <c r="T451" i="1"/>
  <c r="L451" i="1"/>
  <c r="X451" i="1" s="1"/>
  <c r="AJ450" i="1"/>
  <c r="AB450" i="1"/>
  <c r="AA450" i="1"/>
  <c r="AC450" i="1" s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B448" i="1"/>
  <c r="AA448" i="1"/>
  <c r="AC448" i="1" s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B446" i="1"/>
  <c r="AA446" i="1"/>
  <c r="AC446" i="1" s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B440" i="1"/>
  <c r="AA440" i="1"/>
  <c r="AC440" i="1" s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B438" i="1"/>
  <c r="AA438" i="1"/>
  <c r="AC438" i="1" s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B432" i="1"/>
  <c r="AA432" i="1"/>
  <c r="AC432" i="1" s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B428" i="1"/>
  <c r="AA428" i="1"/>
  <c r="AC428" i="1" s="1"/>
  <c r="Z428" i="1"/>
  <c r="Y428" i="1"/>
  <c r="X428" i="1"/>
  <c r="W428" i="1"/>
  <c r="V428" i="1"/>
  <c r="T428" i="1"/>
  <c r="AB427" i="1"/>
  <c r="AA427" i="1"/>
  <c r="AC427" i="1" s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Z414" i="1"/>
  <c r="Y414" i="1"/>
  <c r="X414" i="1"/>
  <c r="W414" i="1"/>
  <c r="V414" i="1"/>
  <c r="P414" i="1"/>
  <c r="AA414" i="1" s="1"/>
  <c r="AC414" i="1" s="1"/>
  <c r="AB413" i="1"/>
  <c r="Z413" i="1"/>
  <c r="Y413" i="1"/>
  <c r="X413" i="1"/>
  <c r="W413" i="1"/>
  <c r="V413" i="1"/>
  <c r="P413" i="1"/>
  <c r="AA413" i="1" s="1"/>
  <c r="AC413" i="1" s="1"/>
  <c r="AC412" i="1"/>
  <c r="AA412" i="1"/>
  <c r="X412" i="1"/>
  <c r="W412" i="1"/>
  <c r="V412" i="1"/>
  <c r="T412" i="1"/>
  <c r="Z412" i="1" s="1"/>
  <c r="AB411" i="1"/>
  <c r="AA411" i="1"/>
  <c r="AC411" i="1" s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B405" i="1"/>
  <c r="AA405" i="1"/>
  <c r="AC405" i="1" s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B398" i="1"/>
  <c r="AA398" i="1"/>
  <c r="AC398" i="1" s="1"/>
  <c r="Z398" i="1"/>
  <c r="Y398" i="1"/>
  <c r="X398" i="1"/>
  <c r="W398" i="1"/>
  <c r="V398" i="1"/>
  <c r="T398" i="1"/>
  <c r="AB397" i="1"/>
  <c r="AA397" i="1"/>
  <c r="AC397" i="1" s="1"/>
  <c r="Z397" i="1"/>
  <c r="Y397" i="1"/>
  <c r="X397" i="1"/>
  <c r="W397" i="1"/>
  <c r="V397" i="1"/>
  <c r="T397" i="1"/>
  <c r="N397" i="1"/>
  <c r="H397" i="1"/>
  <c r="AB396" i="1"/>
  <c r="AA396" i="1"/>
  <c r="AC396" i="1" s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B393" i="1"/>
  <c r="AA393" i="1"/>
  <c r="AC393" i="1" s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B391" i="1"/>
  <c r="AA391" i="1"/>
  <c r="AC391" i="1" s="1"/>
  <c r="Z391" i="1"/>
  <c r="Y391" i="1"/>
  <c r="X391" i="1"/>
  <c r="W391" i="1"/>
  <c r="V391" i="1"/>
  <c r="AB390" i="1"/>
  <c r="AA390" i="1"/>
  <c r="AC390" i="1" s="1"/>
  <c r="Z390" i="1"/>
  <c r="Y390" i="1"/>
  <c r="X390" i="1"/>
  <c r="W390" i="1"/>
  <c r="V390" i="1"/>
  <c r="AB389" i="1"/>
  <c r="AA389" i="1"/>
  <c r="AC389" i="1" s="1"/>
  <c r="Z389" i="1"/>
  <c r="Y389" i="1"/>
  <c r="X389" i="1"/>
  <c r="W389" i="1"/>
  <c r="V389" i="1"/>
  <c r="AB388" i="1"/>
  <c r="AA388" i="1"/>
  <c r="AC388" i="1" s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B386" i="1"/>
  <c r="AA386" i="1"/>
  <c r="AC386" i="1" s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B383" i="1"/>
  <c r="AA383" i="1"/>
  <c r="AC383" i="1" s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B379" i="1"/>
  <c r="AA379" i="1"/>
  <c r="AC379" i="1" s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B375" i="1"/>
  <c r="AA375" i="1"/>
  <c r="AC375" i="1" s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B372" i="1"/>
  <c r="AA372" i="1"/>
  <c r="AC372" i="1" s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B370" i="1"/>
  <c r="AA370" i="1"/>
  <c r="AC370" i="1" s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B365" i="1"/>
  <c r="AA365" i="1"/>
  <c r="AC365" i="1" s="1"/>
  <c r="Z365" i="1"/>
  <c r="Y365" i="1"/>
  <c r="X365" i="1"/>
  <c r="W365" i="1"/>
  <c r="V365" i="1"/>
  <c r="T365" i="1"/>
  <c r="AB364" i="1"/>
  <c r="AA364" i="1"/>
  <c r="AC364" i="1" s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B357" i="1"/>
  <c r="AA357" i="1"/>
  <c r="AC357" i="1" s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B353" i="1"/>
  <c r="AA353" i="1"/>
  <c r="AC353" i="1" s="1"/>
  <c r="Z353" i="1"/>
  <c r="Y353" i="1"/>
  <c r="X353" i="1"/>
  <c r="W353" i="1"/>
  <c r="V353" i="1"/>
  <c r="T353" i="1"/>
  <c r="AB352" i="1"/>
  <c r="AA352" i="1"/>
  <c r="AC352" i="1" s="1"/>
  <c r="Z352" i="1"/>
  <c r="Y352" i="1"/>
  <c r="X352" i="1"/>
  <c r="W352" i="1"/>
  <c r="V352" i="1"/>
  <c r="AB351" i="1"/>
  <c r="AA351" i="1"/>
  <c r="AC351" i="1" s="1"/>
  <c r="Z351" i="1"/>
  <c r="Y351" i="1"/>
  <c r="X351" i="1"/>
  <c r="W351" i="1"/>
  <c r="V351" i="1"/>
  <c r="AB350" i="1"/>
  <c r="AA350" i="1"/>
  <c r="AC350" i="1" s="1"/>
  <c r="Z350" i="1"/>
  <c r="Y350" i="1"/>
  <c r="X350" i="1"/>
  <c r="W350" i="1"/>
  <c r="V350" i="1"/>
  <c r="AB349" i="1"/>
  <c r="AA349" i="1"/>
  <c r="AC349" i="1" s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B347" i="1"/>
  <c r="AA347" i="1"/>
  <c r="AC347" i="1" s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B345" i="1"/>
  <c r="AA345" i="1"/>
  <c r="AC345" i="1" s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B340" i="1"/>
  <c r="AA340" i="1"/>
  <c r="AC340" i="1" s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B333" i="1"/>
  <c r="AA333" i="1"/>
  <c r="AC333" i="1" s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B330" i="1"/>
  <c r="AA330" i="1"/>
  <c r="AC330" i="1" s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B325" i="1"/>
  <c r="AA325" i="1"/>
  <c r="AC325" i="1" s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B322" i="1"/>
  <c r="AA322" i="1"/>
  <c r="AC322" i="1" s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B314" i="1"/>
  <c r="AA314" i="1"/>
  <c r="AC314" i="1" s="1"/>
  <c r="Z314" i="1"/>
  <c r="Y314" i="1"/>
  <c r="X314" i="1"/>
  <c r="W314" i="1"/>
  <c r="V314" i="1"/>
  <c r="T314" i="1"/>
  <c r="AB313" i="1"/>
  <c r="AA313" i="1"/>
  <c r="AC313" i="1" s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B300" i="1"/>
  <c r="AA300" i="1"/>
  <c r="AC300" i="1" s="1"/>
  <c r="Z300" i="1"/>
  <c r="Y300" i="1"/>
  <c r="X300" i="1"/>
  <c r="W300" i="1"/>
  <c r="V300" i="1"/>
  <c r="T300" i="1"/>
  <c r="AB299" i="1"/>
  <c r="AA299" i="1"/>
  <c r="AC299" i="1" s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B292" i="1"/>
  <c r="AA292" i="1"/>
  <c r="AC292" i="1" s="1"/>
  <c r="Z292" i="1"/>
  <c r="Y292" i="1"/>
  <c r="X292" i="1"/>
  <c r="W292" i="1"/>
  <c r="V292" i="1"/>
  <c r="T292" i="1"/>
  <c r="AB291" i="1"/>
  <c r="AA291" i="1"/>
  <c r="AC291" i="1" s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B285" i="1"/>
  <c r="AA285" i="1"/>
  <c r="AC285" i="1" s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B280" i="1"/>
  <c r="AA280" i="1"/>
  <c r="AC280" i="1" s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B277" i="1"/>
  <c r="AA277" i="1"/>
  <c r="AC277" i="1" s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B273" i="1"/>
  <c r="AA273" i="1"/>
  <c r="AC273" i="1" s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B271" i="1"/>
  <c r="AA271" i="1"/>
  <c r="AC271" i="1" s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B264" i="1"/>
  <c r="AA264" i="1"/>
  <c r="AC264" i="1" s="1"/>
  <c r="Z264" i="1"/>
  <c r="Y264" i="1"/>
  <c r="X264" i="1"/>
  <c r="W264" i="1"/>
  <c r="V264" i="1"/>
  <c r="T264" i="1"/>
  <c r="AB263" i="1"/>
  <c r="AA263" i="1"/>
  <c r="AC263" i="1" s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B256" i="1"/>
  <c r="AA256" i="1"/>
  <c r="AC256" i="1" s="1"/>
  <c r="Z256" i="1"/>
  <c r="Y256" i="1"/>
  <c r="X256" i="1"/>
  <c r="W256" i="1"/>
  <c r="V256" i="1"/>
  <c r="T256" i="1"/>
  <c r="AB255" i="1"/>
  <c r="AA255" i="1"/>
  <c r="AC255" i="1" s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B248" i="1"/>
  <c r="AA248" i="1"/>
  <c r="AC248" i="1" s="1"/>
  <c r="Z248" i="1"/>
  <c r="Y248" i="1"/>
  <c r="X248" i="1"/>
  <c r="W248" i="1"/>
  <c r="V248" i="1"/>
  <c r="T248" i="1"/>
  <c r="AB247" i="1"/>
  <c r="AA247" i="1"/>
  <c r="AC247" i="1" s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A244" i="1"/>
  <c r="AC244" i="1" s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B235" i="1"/>
  <c r="AA235" i="1"/>
  <c r="AC235" i="1" s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B232" i="1"/>
  <c r="AA232" i="1"/>
  <c r="AC232" i="1" s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B227" i="1"/>
  <c r="AA227" i="1"/>
  <c r="AC227" i="1" s="1"/>
  <c r="Z227" i="1"/>
  <c r="Y227" i="1"/>
  <c r="X227" i="1"/>
  <c r="W227" i="1"/>
  <c r="V227" i="1"/>
  <c r="T227" i="1"/>
  <c r="AA226" i="1"/>
  <c r="AC226" i="1" s="1"/>
  <c r="X226" i="1"/>
  <c r="W226" i="1"/>
  <c r="V226" i="1"/>
  <c r="U226" i="1"/>
  <c r="Y226" i="1" s="1"/>
  <c r="T226" i="1"/>
  <c r="AB225" i="1"/>
  <c r="AA225" i="1"/>
  <c r="AC225" i="1" s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B222" i="1"/>
  <c r="AA222" i="1"/>
  <c r="AC222" i="1" s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B212" i="1"/>
  <c r="AA212" i="1"/>
  <c r="AC212" i="1" s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B209" i="1"/>
  <c r="AA209" i="1"/>
  <c r="AC209" i="1" s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B204" i="1"/>
  <c r="AA204" i="1"/>
  <c r="AC204" i="1" s="1"/>
  <c r="Z204" i="1"/>
  <c r="Y204" i="1"/>
  <c r="X204" i="1"/>
  <c r="W204" i="1"/>
  <c r="V204" i="1"/>
  <c r="T204" i="1"/>
  <c r="AB203" i="1"/>
  <c r="AA203" i="1"/>
  <c r="AC203" i="1" s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B196" i="1"/>
  <c r="AA196" i="1"/>
  <c r="AC196" i="1" s="1"/>
  <c r="Z196" i="1"/>
  <c r="Y196" i="1"/>
  <c r="X196" i="1"/>
  <c r="W196" i="1"/>
  <c r="V196" i="1"/>
  <c r="AB195" i="1"/>
  <c r="AA195" i="1"/>
  <c r="AC195" i="1" s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B188" i="1"/>
  <c r="AA188" i="1"/>
  <c r="AC188" i="1" s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B184" i="1"/>
  <c r="AA184" i="1"/>
  <c r="AC184" i="1" s="1"/>
  <c r="Z184" i="1"/>
  <c r="Y184" i="1"/>
  <c r="X184" i="1"/>
  <c r="W184" i="1"/>
  <c r="V184" i="1"/>
  <c r="T184" i="1"/>
  <c r="AB183" i="1"/>
  <c r="AA183" i="1"/>
  <c r="AC183" i="1" s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B180" i="1"/>
  <c r="AA180" i="1"/>
  <c r="AC180" i="1" s="1"/>
  <c r="Z180" i="1"/>
  <c r="Y180" i="1"/>
  <c r="X180" i="1"/>
  <c r="W180" i="1"/>
  <c r="V180" i="1"/>
  <c r="T180" i="1"/>
  <c r="AA179" i="1"/>
  <c r="AC179" i="1" s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B177" i="1"/>
  <c r="AA177" i="1"/>
  <c r="AC177" i="1" s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B175" i="1"/>
  <c r="AA175" i="1"/>
  <c r="AC175" i="1" s="1"/>
  <c r="Z175" i="1"/>
  <c r="Y175" i="1"/>
  <c r="X175" i="1"/>
  <c r="W175" i="1"/>
  <c r="V175" i="1"/>
  <c r="AB174" i="1"/>
  <c r="AA174" i="1"/>
  <c r="AC174" i="1" s="1"/>
  <c r="Z174" i="1"/>
  <c r="Y174" i="1"/>
  <c r="X174" i="1"/>
  <c r="W174" i="1"/>
  <c r="V174" i="1"/>
  <c r="AB173" i="1"/>
  <c r="AA173" i="1"/>
  <c r="AC173" i="1" s="1"/>
  <c r="Z173" i="1"/>
  <c r="Y173" i="1"/>
  <c r="X173" i="1"/>
  <c r="W173" i="1"/>
  <c r="V173" i="1"/>
  <c r="AB172" i="1"/>
  <c r="AA172" i="1"/>
  <c r="AC172" i="1" s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A168" i="1"/>
  <c r="AC168" i="1" s="1"/>
  <c r="X168" i="1"/>
  <c r="W168" i="1"/>
  <c r="V168" i="1"/>
  <c r="U168" i="1"/>
  <c r="Z168" i="1" s="1"/>
  <c r="T168" i="1"/>
  <c r="AB167" i="1"/>
  <c r="AA167" i="1"/>
  <c r="AC167" i="1" s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B165" i="1"/>
  <c r="AA165" i="1"/>
  <c r="AC165" i="1" s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B160" i="1"/>
  <c r="AA160" i="1"/>
  <c r="AC160" i="1" s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B157" i="1"/>
  <c r="AA157" i="1"/>
  <c r="AC157" i="1" s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B152" i="1"/>
  <c r="AA152" i="1"/>
  <c r="AC152" i="1" s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B148" i="1"/>
  <c r="AA148" i="1"/>
  <c r="AC148" i="1" s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B142" i="1"/>
  <c r="AA142" i="1"/>
  <c r="AC142" i="1" s="1"/>
  <c r="Z142" i="1"/>
  <c r="Y142" i="1"/>
  <c r="X142" i="1"/>
  <c r="W142" i="1"/>
  <c r="V142" i="1"/>
  <c r="AB141" i="1"/>
  <c r="AA141" i="1"/>
  <c r="AC141" i="1" s="1"/>
  <c r="Z141" i="1"/>
  <c r="Y141" i="1"/>
  <c r="X141" i="1"/>
  <c r="W141" i="1"/>
  <c r="V141" i="1"/>
  <c r="AB140" i="1"/>
  <c r="AA140" i="1"/>
  <c r="AC140" i="1" s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B134" i="1"/>
  <c r="AA134" i="1"/>
  <c r="AC134" i="1" s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B131" i="1"/>
  <c r="AA131" i="1"/>
  <c r="AC131" i="1" s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Z125" i="1"/>
  <c r="Y125" i="1"/>
  <c r="X125" i="1"/>
  <c r="W125" i="1"/>
  <c r="V125" i="1"/>
  <c r="P125" i="1"/>
  <c r="AA125" i="1" s="1"/>
  <c r="AC125" i="1" s="1"/>
  <c r="O125" i="1"/>
  <c r="AB125" i="1" s="1"/>
  <c r="AC124" i="1"/>
  <c r="AB124" i="1"/>
  <c r="AA124" i="1"/>
  <c r="Z124" i="1"/>
  <c r="Y124" i="1"/>
  <c r="X124" i="1"/>
  <c r="W124" i="1"/>
  <c r="V124" i="1"/>
  <c r="AB123" i="1"/>
  <c r="AA123" i="1"/>
  <c r="AC123" i="1" s="1"/>
  <c r="Z123" i="1"/>
  <c r="Y123" i="1"/>
  <c r="X123" i="1"/>
  <c r="W123" i="1"/>
  <c r="V123" i="1"/>
  <c r="AB122" i="1"/>
  <c r="AA122" i="1"/>
  <c r="AC122" i="1" s="1"/>
  <c r="Z122" i="1"/>
  <c r="Y122" i="1"/>
  <c r="X122" i="1"/>
  <c r="W122" i="1"/>
  <c r="V122" i="1"/>
  <c r="AB121" i="1"/>
  <c r="AA121" i="1"/>
  <c r="AC121" i="1" s="1"/>
  <c r="Z121" i="1"/>
  <c r="Y121" i="1"/>
  <c r="X121" i="1"/>
  <c r="W121" i="1"/>
  <c r="V121" i="1"/>
  <c r="AB120" i="1"/>
  <c r="AA120" i="1"/>
  <c r="AC120" i="1" s="1"/>
  <c r="Z120" i="1"/>
  <c r="Y120" i="1"/>
  <c r="X120" i="1"/>
  <c r="W120" i="1"/>
  <c r="V120" i="1"/>
  <c r="AB119" i="1"/>
  <c r="AA119" i="1"/>
  <c r="AC119" i="1" s="1"/>
  <c r="Z119" i="1"/>
  <c r="Y119" i="1"/>
  <c r="X119" i="1"/>
  <c r="W119" i="1"/>
  <c r="V119" i="1"/>
  <c r="Z118" i="1"/>
  <c r="Y118" i="1"/>
  <c r="X118" i="1"/>
  <c r="W118" i="1"/>
  <c r="V118" i="1"/>
  <c r="P118" i="1"/>
  <c r="AA118" i="1" s="1"/>
  <c r="AC118" i="1" s="1"/>
  <c r="O118" i="1"/>
  <c r="AB118" i="1" s="1"/>
  <c r="Z117" i="1"/>
  <c r="Y117" i="1"/>
  <c r="X117" i="1"/>
  <c r="W117" i="1"/>
  <c r="V117" i="1"/>
  <c r="P117" i="1"/>
  <c r="O117" i="1"/>
  <c r="AB117" i="1" s="1"/>
  <c r="Z116" i="1"/>
  <c r="Y116" i="1"/>
  <c r="X116" i="1"/>
  <c r="W116" i="1"/>
  <c r="V116" i="1"/>
  <c r="P116" i="1"/>
  <c r="O116" i="1"/>
  <c r="AB116" i="1" s="1"/>
  <c r="AB115" i="1"/>
  <c r="AA115" i="1"/>
  <c r="AC115" i="1" s="1"/>
  <c r="Z115" i="1"/>
  <c r="Y115" i="1"/>
  <c r="X115" i="1"/>
  <c r="W115" i="1"/>
  <c r="V115" i="1"/>
  <c r="AB114" i="1"/>
  <c r="AA114" i="1"/>
  <c r="AC114" i="1" s="1"/>
  <c r="Z114" i="1"/>
  <c r="Y114" i="1"/>
  <c r="X114" i="1"/>
  <c r="W114" i="1"/>
  <c r="V114" i="1"/>
  <c r="AB113" i="1"/>
  <c r="AA113" i="1"/>
  <c r="AC113" i="1" s="1"/>
  <c r="Z113" i="1"/>
  <c r="Y113" i="1"/>
  <c r="X113" i="1"/>
  <c r="W113" i="1"/>
  <c r="V113" i="1"/>
  <c r="AB112" i="1"/>
  <c r="AA112" i="1"/>
  <c r="AC112" i="1" s="1"/>
  <c r="Z112" i="1"/>
  <c r="Y112" i="1"/>
  <c r="X112" i="1"/>
  <c r="W112" i="1"/>
  <c r="V112" i="1"/>
  <c r="T112" i="1"/>
  <c r="AB111" i="1"/>
  <c r="AA111" i="1"/>
  <c r="AC111" i="1" s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B108" i="1"/>
  <c r="AA108" i="1"/>
  <c r="AC108" i="1" s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B103" i="1"/>
  <c r="AA103" i="1"/>
  <c r="AC103" i="1" s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Z98" i="1"/>
  <c r="Y98" i="1"/>
  <c r="X98" i="1"/>
  <c r="W98" i="1"/>
  <c r="V98" i="1"/>
  <c r="P98" i="1"/>
  <c r="O98" i="1"/>
  <c r="AB98" i="1" s="1"/>
  <c r="AE97" i="1"/>
  <c r="Z97" i="1"/>
  <c r="Y97" i="1"/>
  <c r="X97" i="1"/>
  <c r="W97" i="1"/>
  <c r="V97" i="1"/>
  <c r="P97" i="1"/>
  <c r="AA97" i="1" s="1"/>
  <c r="AC97" i="1" s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O95" i="1"/>
  <c r="AB95" i="1" s="1"/>
  <c r="N95" i="1"/>
  <c r="AB94" i="1"/>
  <c r="AA94" i="1"/>
  <c r="AC94" i="1" s="1"/>
  <c r="Z94" i="1"/>
  <c r="Y94" i="1"/>
  <c r="X94" i="1"/>
  <c r="W94" i="1"/>
  <c r="V94" i="1"/>
  <c r="AB93" i="1"/>
  <c r="AA93" i="1"/>
  <c r="AC93" i="1" s="1"/>
  <c r="Z93" i="1"/>
  <c r="Y93" i="1"/>
  <c r="X93" i="1"/>
  <c r="W93" i="1"/>
  <c r="V93" i="1"/>
  <c r="AB92" i="1"/>
  <c r="AA92" i="1"/>
  <c r="AC92" i="1" s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N91" i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Z85" i="1"/>
  <c r="Y85" i="1"/>
  <c r="X85" i="1"/>
  <c r="W85" i="1"/>
  <c r="V85" i="1"/>
  <c r="P85" i="1"/>
  <c r="AA85" i="1" s="1"/>
  <c r="AC85" i="1" s="1"/>
  <c r="N85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B82" i="1"/>
  <c r="AA82" i="1"/>
  <c r="AC82" i="1" s="1"/>
  <c r="Z82" i="1"/>
  <c r="Y82" i="1"/>
  <c r="X82" i="1"/>
  <c r="W82" i="1"/>
  <c r="V82" i="1"/>
  <c r="AB81" i="1"/>
  <c r="AA81" i="1"/>
  <c r="AC81" i="1" s="1"/>
  <c r="Z81" i="1"/>
  <c r="Y81" i="1"/>
  <c r="X81" i="1"/>
  <c r="W81" i="1"/>
  <c r="V81" i="1"/>
  <c r="T81" i="1"/>
  <c r="AB80" i="1"/>
  <c r="AA80" i="1"/>
  <c r="AC80" i="1" s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B78" i="1"/>
  <c r="AA78" i="1"/>
  <c r="AC78" i="1" s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B76" i="1"/>
  <c r="AA76" i="1"/>
  <c r="AC76" i="1" s="1"/>
  <c r="Z76" i="1"/>
  <c r="Y76" i="1"/>
  <c r="X76" i="1"/>
  <c r="W76" i="1"/>
  <c r="V76" i="1"/>
  <c r="AB75" i="1"/>
  <c r="AA75" i="1"/>
  <c r="AC75" i="1" s="1"/>
  <c r="Z75" i="1"/>
  <c r="Y75" i="1"/>
  <c r="X75" i="1"/>
  <c r="W75" i="1"/>
  <c r="V75" i="1"/>
  <c r="AB74" i="1"/>
  <c r="AA74" i="1"/>
  <c r="AC74" i="1" s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B68" i="1"/>
  <c r="AA68" i="1"/>
  <c r="AC68" i="1" s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B63" i="1"/>
  <c r="AA63" i="1"/>
  <c r="AC63" i="1" s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B61" i="1"/>
  <c r="AA61" i="1"/>
  <c r="AC61" i="1" s="1"/>
  <c r="Z61" i="1"/>
  <c r="Y61" i="1"/>
  <c r="X61" i="1"/>
  <c r="W61" i="1"/>
  <c r="V61" i="1"/>
  <c r="AB60" i="1"/>
  <c r="AA60" i="1"/>
  <c r="AC60" i="1" s="1"/>
  <c r="Z60" i="1"/>
  <c r="Y60" i="1"/>
  <c r="X60" i="1"/>
  <c r="W60" i="1"/>
  <c r="V60" i="1"/>
  <c r="AB59" i="1"/>
  <c r="AA59" i="1"/>
  <c r="AC59" i="1" s="1"/>
  <c r="Z59" i="1"/>
  <c r="Y59" i="1"/>
  <c r="X59" i="1"/>
  <c r="W59" i="1"/>
  <c r="V59" i="1"/>
  <c r="AB58" i="1"/>
  <c r="AA58" i="1"/>
  <c r="AC58" i="1" s="1"/>
  <c r="Z58" i="1"/>
  <c r="Y58" i="1"/>
  <c r="X58" i="1"/>
  <c r="W58" i="1"/>
  <c r="V58" i="1"/>
  <c r="AB57" i="1"/>
  <c r="AA57" i="1"/>
  <c r="AC57" i="1" s="1"/>
  <c r="Z57" i="1"/>
  <c r="Y57" i="1"/>
  <c r="X57" i="1"/>
  <c r="W57" i="1"/>
  <c r="V57" i="1"/>
  <c r="AB56" i="1"/>
  <c r="AA56" i="1"/>
  <c r="AC56" i="1" s="1"/>
  <c r="Z56" i="1"/>
  <c r="Y56" i="1"/>
  <c r="X56" i="1"/>
  <c r="W56" i="1"/>
  <c r="V56" i="1"/>
  <c r="AB55" i="1"/>
  <c r="AA55" i="1"/>
  <c r="AC55" i="1" s="1"/>
  <c r="Z55" i="1"/>
  <c r="Y55" i="1"/>
  <c r="X55" i="1"/>
  <c r="W55" i="1"/>
  <c r="V55" i="1"/>
  <c r="AB54" i="1"/>
  <c r="AA54" i="1"/>
  <c r="AC54" i="1" s="1"/>
  <c r="Z54" i="1"/>
  <c r="Y54" i="1"/>
  <c r="X54" i="1"/>
  <c r="W54" i="1"/>
  <c r="V54" i="1"/>
  <c r="AB53" i="1"/>
  <c r="AA53" i="1"/>
  <c r="AC53" i="1" s="1"/>
  <c r="Z53" i="1"/>
  <c r="Y53" i="1"/>
  <c r="X53" i="1"/>
  <c r="W53" i="1"/>
  <c r="V53" i="1"/>
  <c r="AB52" i="1"/>
  <c r="AA52" i="1"/>
  <c r="AC52" i="1" s="1"/>
  <c r="Z52" i="1"/>
  <c r="Y52" i="1"/>
  <c r="X52" i="1"/>
  <c r="W52" i="1"/>
  <c r="V52" i="1"/>
  <c r="AB51" i="1"/>
  <c r="AA51" i="1"/>
  <c r="AC51" i="1" s="1"/>
  <c r="Z51" i="1"/>
  <c r="Y51" i="1"/>
  <c r="X51" i="1"/>
  <c r="W51" i="1"/>
  <c r="V51" i="1"/>
  <c r="AB50" i="1"/>
  <c r="AA50" i="1"/>
  <c r="AC50" i="1" s="1"/>
  <c r="Z50" i="1"/>
  <c r="Y50" i="1"/>
  <c r="X50" i="1"/>
  <c r="W50" i="1"/>
  <c r="V50" i="1"/>
  <c r="AB49" i="1"/>
  <c r="AA49" i="1"/>
  <c r="AC49" i="1" s="1"/>
  <c r="Z49" i="1"/>
  <c r="Y49" i="1"/>
  <c r="X49" i="1"/>
  <c r="W49" i="1"/>
  <c r="V49" i="1"/>
  <c r="AB48" i="1"/>
  <c r="AA48" i="1"/>
  <c r="AC48" i="1" s="1"/>
  <c r="Z48" i="1"/>
  <c r="Y48" i="1"/>
  <c r="X48" i="1"/>
  <c r="W48" i="1"/>
  <c r="V48" i="1"/>
  <c r="AB47" i="1"/>
  <c r="AA47" i="1"/>
  <c r="AC47" i="1" s="1"/>
  <c r="Z47" i="1"/>
  <c r="Y47" i="1"/>
  <c r="X47" i="1"/>
  <c r="W47" i="1"/>
  <c r="V47" i="1"/>
  <c r="AB46" i="1"/>
  <c r="AA46" i="1"/>
  <c r="AC46" i="1" s="1"/>
  <c r="Z46" i="1"/>
  <c r="Y46" i="1"/>
  <c r="X46" i="1"/>
  <c r="W46" i="1"/>
  <c r="V46" i="1"/>
  <c r="AB45" i="1"/>
  <c r="AA45" i="1"/>
  <c r="AC45" i="1" s="1"/>
  <c r="Z45" i="1"/>
  <c r="Y45" i="1"/>
  <c r="X45" i="1"/>
  <c r="W45" i="1"/>
  <c r="V45" i="1"/>
  <c r="AB44" i="1"/>
  <c r="AA44" i="1"/>
  <c r="AC44" i="1" s="1"/>
  <c r="Z44" i="1"/>
  <c r="Y44" i="1"/>
  <c r="X44" i="1"/>
  <c r="W44" i="1"/>
  <c r="V44" i="1"/>
  <c r="AB43" i="1"/>
  <c r="AA43" i="1"/>
  <c r="AC43" i="1" s="1"/>
  <c r="Z43" i="1"/>
  <c r="Y43" i="1"/>
  <c r="X43" i="1"/>
  <c r="W43" i="1"/>
  <c r="V43" i="1"/>
  <c r="AB42" i="1"/>
  <c r="AA42" i="1"/>
  <c r="AC42" i="1" s="1"/>
  <c r="Z42" i="1"/>
  <c r="Y42" i="1"/>
  <c r="X42" i="1"/>
  <c r="W42" i="1"/>
  <c r="V42" i="1"/>
  <c r="AB41" i="1"/>
  <c r="AA41" i="1"/>
  <c r="AC41" i="1" s="1"/>
  <c r="Z41" i="1"/>
  <c r="Y41" i="1"/>
  <c r="X41" i="1"/>
  <c r="W41" i="1"/>
  <c r="V41" i="1"/>
  <c r="AB40" i="1"/>
  <c r="AA40" i="1"/>
  <c r="AC40" i="1" s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B36" i="1"/>
  <c r="AA36" i="1"/>
  <c r="AC36" i="1" s="1"/>
  <c r="Z36" i="1"/>
  <c r="Y36" i="1"/>
  <c r="X36" i="1"/>
  <c r="W36" i="1"/>
  <c r="V36" i="1"/>
  <c r="H36" i="1"/>
  <c r="AB35" i="1"/>
  <c r="AA35" i="1"/>
  <c r="AC35" i="1" s="1"/>
  <c r="Z35" i="1"/>
  <c r="Y35" i="1"/>
  <c r="X35" i="1"/>
  <c r="W35" i="1"/>
  <c r="V35" i="1" s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B22" i="1"/>
  <c r="AA22" i="1"/>
  <c r="AC22" i="1" s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B19" i="1"/>
  <c r="AA19" i="1"/>
  <c r="AC19" i="1" s="1"/>
  <c r="Z19" i="1"/>
  <c r="Y19" i="1"/>
  <c r="X19" i="1"/>
  <c r="W19" i="1"/>
  <c r="V19" i="1"/>
  <c r="T19" i="1"/>
  <c r="AB18" i="1"/>
  <c r="AA18" i="1"/>
  <c r="AC18" i="1" s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B11" i="1"/>
  <c r="AA11" i="1"/>
  <c r="AC11" i="1" s="1"/>
  <c r="Z11" i="1"/>
  <c r="Y11" i="1"/>
  <c r="X11" i="1"/>
  <c r="W11" i="1"/>
  <c r="V11" i="1"/>
  <c r="T11" i="1"/>
  <c r="N11" i="1"/>
  <c r="AB10" i="1"/>
  <c r="Z10" i="1"/>
  <c r="Y10" i="1"/>
  <c r="X10" i="1"/>
  <c r="W10" i="1"/>
  <c r="V10" i="1"/>
  <c r="T10" i="1"/>
  <c r="P10" i="1"/>
  <c r="AA10" i="1" s="1"/>
  <c r="AC10" i="1" s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B7" i="1"/>
  <c r="AA7" i="1"/>
  <c r="AC7" i="1" s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B2" i="1"/>
  <c r="AA2" i="1"/>
  <c r="AC2" i="1" s="1"/>
  <c r="Z2" i="1"/>
  <c r="Y2" i="1"/>
  <c r="X2" i="1"/>
  <c r="W2" i="1"/>
  <c r="V2" i="1"/>
  <c r="T2" i="1"/>
  <c r="AA91" i="1" l="1"/>
  <c r="AC91" i="1" s="1"/>
  <c r="AA99" i="1"/>
  <c r="AC99" i="1" s="1"/>
  <c r="AA116" i="1"/>
  <c r="AC116" i="1" s="1"/>
  <c r="AB168" i="1"/>
  <c r="AB226" i="1"/>
  <c r="AA89" i="1"/>
  <c r="AC89" i="1" s="1"/>
  <c r="AA90" i="1"/>
  <c r="AC90" i="1" s="1"/>
  <c r="AA95" i="1"/>
  <c r="AC95" i="1" s="1"/>
  <c r="AA100" i="1"/>
  <c r="AC100" i="1" s="1"/>
  <c r="AA127" i="1"/>
  <c r="AC127" i="1" s="1"/>
  <c r="Y244" i="1"/>
  <c r="AB84" i="1"/>
  <c r="Z226" i="1"/>
  <c r="AB412" i="1"/>
  <c r="T20" i="5"/>
  <c r="Y20" i="5"/>
  <c r="S21" i="5"/>
  <c r="R22" i="5"/>
  <c r="X73" i="5"/>
  <c r="W79" i="5"/>
  <c r="X7" i="6"/>
  <c r="Z8" i="6"/>
  <c r="Z10" i="6"/>
  <c r="X32" i="6"/>
  <c r="W27" i="8"/>
  <c r="Z49" i="8"/>
  <c r="Z53" i="8"/>
  <c r="W73" i="8"/>
  <c r="Z84" i="8"/>
  <c r="Y85" i="8"/>
  <c r="W112" i="8"/>
  <c r="Z123" i="8"/>
  <c r="W170" i="8"/>
  <c r="W172" i="8"/>
  <c r="Y359" i="8"/>
  <c r="W361" i="8"/>
  <c r="Z14" i="6"/>
  <c r="Z16" i="6"/>
  <c r="Y26" i="8"/>
  <c r="Z36" i="8"/>
  <c r="Z110" i="8"/>
  <c r="Y111" i="8"/>
  <c r="Z127" i="8"/>
  <c r="S197" i="8"/>
  <c r="X256" i="8"/>
  <c r="W304" i="8"/>
  <c r="Y305" i="8"/>
  <c r="W306" i="8"/>
  <c r="W311" i="8"/>
  <c r="W330" i="8"/>
  <c r="Z359" i="8"/>
  <c r="W360" i="8"/>
  <c r="G20" i="5"/>
  <c r="R20" i="5" s="1"/>
  <c r="T22" i="5"/>
  <c r="Y22" i="5"/>
  <c r="Z9" i="6"/>
  <c r="Z27" i="8"/>
  <c r="Z73" i="8"/>
  <c r="Z112" i="8"/>
  <c r="W123" i="8"/>
  <c r="Z170" i="8"/>
  <c r="Z172" i="8"/>
  <c r="W312" i="8"/>
  <c r="Y361" i="8"/>
  <c r="V20" i="5"/>
  <c r="S22" i="5"/>
  <c r="X22" i="5"/>
  <c r="Z15" i="6"/>
  <c r="X33" i="6"/>
  <c r="W36" i="8"/>
  <c r="W48" i="8"/>
  <c r="W50" i="8"/>
  <c r="W51" i="8"/>
  <c r="W76" i="8"/>
  <c r="W110" i="8"/>
  <c r="W127" i="8"/>
  <c r="G198" i="8"/>
  <c r="R198" i="8" s="1"/>
  <c r="W305" i="8"/>
  <c r="Y306" i="8"/>
  <c r="W307" i="8"/>
  <c r="W313" i="8"/>
  <c r="W329" i="8"/>
  <c r="W331" i="8"/>
  <c r="W249" i="8"/>
  <c r="X249" i="8"/>
  <c r="Z31" i="7"/>
  <c r="W31" i="7"/>
  <c r="Y31" i="7"/>
  <c r="W47" i="8"/>
  <c r="Z47" i="8"/>
  <c r="Y47" i="8"/>
  <c r="W75" i="8"/>
  <c r="Z75" i="8"/>
  <c r="Y75" i="8"/>
  <c r="AA83" i="1"/>
  <c r="AC83" i="1" s="1"/>
  <c r="AA98" i="1"/>
  <c r="AC98" i="1" s="1"/>
  <c r="AA117" i="1"/>
  <c r="AC117" i="1" s="1"/>
  <c r="Z179" i="1"/>
  <c r="AB244" i="1"/>
  <c r="Y412" i="1"/>
  <c r="Z72" i="8"/>
  <c r="W72" i="8"/>
  <c r="Y72" i="8"/>
  <c r="Z52" i="8"/>
  <c r="W52" i="8"/>
  <c r="Y52" i="8"/>
  <c r="R199" i="8"/>
  <c r="W317" i="8"/>
  <c r="X317" i="8"/>
  <c r="Y179" i="1"/>
  <c r="AB99" i="1"/>
  <c r="Y168" i="1"/>
  <c r="X450" i="1"/>
  <c r="W55" i="8"/>
  <c r="Z55" i="8"/>
  <c r="Y55" i="8"/>
  <c r="V21" i="5"/>
  <c r="Y21" i="5"/>
  <c r="U21" i="5"/>
  <c r="W451" i="1"/>
  <c r="X6" i="6"/>
  <c r="W6" i="6"/>
  <c r="W29" i="7"/>
  <c r="Z29" i="7"/>
  <c r="Y29" i="7"/>
  <c r="W197" i="8"/>
  <c r="X197" i="8"/>
  <c r="Z198" i="8"/>
  <c r="S198" i="8"/>
  <c r="V198" i="8"/>
  <c r="Y198" i="8"/>
  <c r="U198" i="8"/>
  <c r="X198" i="8"/>
  <c r="T198" i="8"/>
  <c r="T21" i="5"/>
  <c r="W30" i="7"/>
  <c r="Z30" i="7"/>
  <c r="Y30" i="7"/>
  <c r="W35" i="8"/>
  <c r="Y35" i="8"/>
  <c r="Z122" i="8"/>
  <c r="W122" i="8"/>
  <c r="Z126" i="8"/>
  <c r="W126" i="8"/>
  <c r="Y126" i="8"/>
  <c r="W20" i="5"/>
  <c r="W22" i="5"/>
  <c r="W78" i="5"/>
  <c r="W8" i="6"/>
  <c r="W9" i="6"/>
  <c r="W10" i="6"/>
  <c r="W14" i="6"/>
  <c r="W15" i="6"/>
  <c r="W16" i="6"/>
  <c r="Z28" i="8"/>
  <c r="Y37" i="8"/>
  <c r="W49" i="8"/>
  <c r="Y50" i="8"/>
  <c r="W54" i="8"/>
  <c r="W69" i="8"/>
  <c r="Y70" i="8"/>
  <c r="W74" i="8"/>
  <c r="Z111" i="8"/>
  <c r="W124" i="8"/>
  <c r="W171" i="8"/>
  <c r="Z171" i="8"/>
  <c r="R197" i="8"/>
  <c r="W318" i="8"/>
  <c r="X318" i="8"/>
  <c r="Z21" i="5"/>
  <c r="Z37" i="8"/>
  <c r="Y48" i="8"/>
  <c r="Y51" i="8"/>
  <c r="Y68" i="8"/>
  <c r="Y71" i="8"/>
  <c r="Y76" i="8"/>
  <c r="W248" i="8"/>
  <c r="X248" i="8"/>
  <c r="W250" i="8"/>
  <c r="X250" i="8"/>
  <c r="W319" i="8"/>
  <c r="X319" i="8"/>
  <c r="Z26" i="8"/>
  <c r="Y54" i="8"/>
  <c r="Y74" i="8"/>
  <c r="Z85" i="8"/>
  <c r="Y124" i="8"/>
  <c r="V197" i="8"/>
  <c r="T197" i="8"/>
  <c r="V199" i="8"/>
  <c r="Z307" i="8"/>
  <c r="Z311" i="8"/>
  <c r="Z312" i="8"/>
  <c r="Z313" i="8"/>
  <c r="T199" i="8"/>
  <c r="X199" i="8"/>
  <c r="U19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<sst xmlns="http://schemas.openxmlformats.org/spreadsheetml/2006/main" count="3623" uniqueCount="508">
  <si>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</si>
  <si>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</si>
  <si>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</si>
  <si>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</si>
  <si>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</si>
  <si>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</si>
  <si>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</si>
  <si>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</si>
  <si>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</si>
  <si>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</si>
  <si>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</si>
  <si>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</si>
  <si>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</si>
  <si>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</si>
  <si>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</si>
  <si>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</si>
  <si>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</si>
  <si>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</si>
  <si>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</si>
  <si>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</si>
  <si>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</si>
  <si>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</si>
  <si>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</si>
  <si>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</si>
  <si>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</si>
  <si>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</si>
  <si>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</si>
  <si>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</si>
  <si>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</si>
  <si>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</si>
  <si>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</si>
  <si>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</si>
  <si>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</si>
  <si>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</si>
  <si>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</si>
  <si>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</si>
  <si>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</si>
  <si>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</si>
  <si>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</si>
  <si>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</si>
  <si>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</si>
  <si>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</si>
  <si>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</si>
  <si>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</si>
  <si>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</si>
  <si>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</si>
  <si>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</si>
  <si>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</si>
  <si>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</si>
  <si>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</si>
  <si>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</si>
  <si>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</si>
  <si>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</si>
  <si>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</si>
  <si>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</si>
  <si>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</si>
  <si>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</si>
  <si>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</si>
  <si>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</si>
  <si>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</si>
  <si>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</si>
  <si>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</si>
  <si>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</si>
  <si>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</si>
  <si>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</si>
  <si>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</si>
  <si>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</si>
  <si>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</si>
  <si>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</si>
  <si>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</si>
  <si>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</si>
  <si>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</si>
  <si>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</si>
  <si>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</si>
  <si>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</si>
  <si>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</si>
  <si>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</si>
  <si>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</si>
  <si>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</si>
  <si>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</si>
  <si>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</si>
  <si>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</si>
  <si>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</si>
  <si>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</si>
  <si>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</si>
  <si>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</si>
  <si>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</si>
  <si>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</si>
  <si>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</si>
  <si>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</si>
  <si>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</si>
  <si>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</si>
  <si>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</si>
  <si>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</si>
  <si>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</si>
  <si>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</si>
  <si>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</si>
  <si>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</si>
  <si>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</si>
  <si>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</si>
  <si>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</si>
  <si>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</si>
  <si>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</si>
  <si>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</si>
  <si>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</si>
  <si>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</si>
  <si>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</si>
  <si>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</si>
  <si>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</si>
  <si>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</si>
  <si>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</si>
  <si>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</si>
  <si>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</si>
  <si>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</si>
  <si>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</si>
  <si>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</si>
  <si>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</si>
  <si>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</si>
  <si>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</si>
  <si>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</si>
  <si>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</si>
  <si>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</si>
  <si>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</si>
  <si>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</si>
  <si>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</si>
  <si>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</si>
  <si>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</si>
  <si>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</si>
  <si>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</si>
  <si>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</si>
  <si>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</si>
  <si>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</si>
  <si>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</si>
  <si>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</si>
  <si>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</si>
  <si>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</si>
  <si>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</si>
  <si>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</si>
  <si>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</si>
  <si>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</si>
  <si>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</si>
  <si>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</si>
  <si>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</si>
  <si>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</si>
  <si>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</si>
  <si>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</si>
  <si>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</si>
  <si>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</si>
  <si>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</si>
  <si>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</si>
  <si>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</si>
  <si>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</si>
  <si>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</si>
  <si>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</si>
  <si>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</si>
  <si>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</si>
  <si>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</si>
  <si>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</si>
  <si>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</si>
  <si>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</si>
  <si>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</si>
  <si>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</si>
  <si>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</si>
  <si>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</si>
  <si>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</si>
  <si>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</si>
  <si>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</si>
  <si>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</si>
  <si>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</si>
  <si>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</si>
  <si>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</si>
  <si>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</si>
  <si>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</si>
  <si>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</si>
  <si>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</si>
  <si>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</si>
  <si>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</si>
  <si>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</si>
  <si>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</si>
  <si>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</si>
  <si>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</si>
  <si>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</si>
  <si>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</si>
  <si>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</si>
  <si>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</si>
  <si>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</si>
  <si>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</si>
  <si>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</si>
  <si>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</si>
  <si>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</si>
  <si>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</si>
  <si>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</si>
  <si>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</si>
  <si>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</si>
  <si>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</si>
  <si>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</si>
  <si>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</si>
  <si>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</si>
  <si>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</si>
  <si>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</si>
  <si>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</si>
  <si>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</si>
  <si>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</si>
  <si>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</si>
  <si>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</si>
  <si>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</si>
  <si>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</si>
  <si>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</si>
  <si>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</si>
  <si>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</si>
  <si>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</si>
  <si>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</si>
  <si>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</si>
  <si>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</si>
  <si>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</si>
  <si>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</si>
  <si>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</si>
  <si>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</si>
  <si>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</si>
  <si>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</si>
  <si>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</si>
  <si>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</si>
  <si>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</si>
  <si>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</si>
  <si>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</si>
  <si>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</si>
  <si>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</si>
  <si>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</si>
  <si>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</si>
  <si>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</si>
  <si>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</si>
  <si>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</si>
  <si>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</si>
  <si>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</si>
  <si>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</si>
  <si>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</si>
  <si>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</si>
  <si>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</si>
  <si>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</si>
  <si>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</si>
  <si>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</si>
  <si>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</si>
  <si>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</si>
  <si>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</si>
  <si>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</si>
  <si>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</si>
  <si>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</si>
  <si>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</si>
  <si>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</si>
  <si>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</si>
  <si>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</si>
  <si>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</si>
  <si>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</si>
  <si>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</si>
  <si>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</si>
  <si>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</si>
  <si>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</si>
  <si>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</si>
  <si>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</si>
  <si>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</si>
  <si>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</si>
  <si>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</si>
  <si>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</si>
  <si>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</si>
  <si>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</si>
  <si>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</si>
  <si>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</si>
  <si>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</si>
  <si>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</si>
  <si>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</si>
  <si>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</si>
  <si>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</si>
  <si>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</si>
  <si>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</si>
  <si>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</si>
  <si>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</si>
  <si>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</si>
  <si>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</si>
  <si>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</si>
  <si>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</si>
  <si>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</si>
  <si>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</si>
  <si>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</si>
  <si>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</si>
  <si>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</si>
  <si>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</si>
  <si>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</si>
  <si>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</si>
  <si>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</si>
  <si>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</si>
  <si>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</si>
  <si>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</si>
  <si>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</si>
  <si>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</si>
  <si>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</si>
  <si>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</si>
  <si>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</si>
  <si>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</si>
  <si>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</si>
  <si>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</si>
  <si>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</si>
  <si>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</si>
  <si>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</si>
  <si>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</si>
  <si>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</si>
  <si>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</si>
  <si>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</si>
  <si>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</si>
  <si>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</si>
  <si>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</si>
  <si>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</si>
  <si>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</si>
  <si>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</si>
  <si>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</si>
  <si>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</si>
  <si>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</si>
  <si>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</si>
  <si>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</si>
  <si>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</si>
  <si>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</si>
  <si>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</si>
  <si>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</si>
  <si>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</si>
  <si>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</si>
  <si>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</si>
  <si>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</si>
  <si>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</si>
  <si>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</si>
  <si>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</si>
  <si>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</si>
  <si>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</si>
  <si>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</si>
  <si>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</si>
  <si>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</si>
  <si>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</si>
  <si>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</si>
  <si>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</si>
  <si>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</si>
  <si>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</si>
  <si>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</si>
  <si>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</si>
  <si>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</si>
  <si>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</si>
  <si>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</si>
  <si>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</si>
  <si>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</si>
  <si>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</si>
  <si>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</si>
  <si>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</si>
  <si>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</si>
  <si>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</si>
  <si>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</si>
  <si>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</si>
  <si>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</si>
  <si>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</si>
  <si>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</si>
  <si>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</si>
  <si>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</si>
  <si>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</si>
  <si>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</si>
  <si>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</si>
  <si>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</si>
  <si>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</si>
  <si>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</si>
  <si>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</si>
  <si>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</si>
  <si>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</si>
  <si>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</si>
  <si>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</si>
  <si>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</si>
  <si>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</si>
  <si>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</si>
  <si>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</si>
  <si>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</si>
  <si>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</si>
  <si>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</si>
  <si>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</si>
  <si>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</si>
  <si>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</si>
  <si>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</si>
  <si>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</si>
  <si>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</si>
  <si>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</si>
  <si>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</si>
  <si>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</si>
  <si>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</si>
  <si>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</si>
  <si>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</si>
  <si>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</si>
  <si>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</si>
  <si>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</si>
  <si>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</si>
  <si>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</si>
  <si>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</si>
  <si>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</si>
  <si>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</si>
  <si>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</si>
  <si>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</si>
  <si>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</si>
  <si>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</si>
  <si>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</si>
  <si>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</si>
  <si>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</si>
  <si>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</si>
  <si>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</si>
  <si>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</si>
  <si>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</si>
  <si>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</si>
  <si>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</si>
  <si>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</si>
  <si>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</si>
  <si>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</si>
  <si>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</si>
  <si>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</si>
  <si>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</si>
  <si>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</si>
  <si>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</si>
  <si>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</si>
  <si>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</si>
  <si>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</si>
  <si>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</si>
  <si>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</si>
  <si>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</si>
  <si>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</si>
  <si>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</si>
  <si>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</si>
  <si>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</si>
  <si>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</si>
  <si>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</si>
  <si>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</si>
  <si>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</si>
  <si>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</si>
  <si>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</si>
  <si>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</si>
  <si>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</si>
  <si>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</si>
  <si>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</si>
  <si>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</si>
  <si>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</si>
  <si>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</si>
  <si>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</si>
  <si>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</si>
  <si>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</si>
  <si>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</si>
  <si>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</si>
  <si>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</si>
  <si>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</si>
  <si>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</si>
  <si>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</si>
  <si>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</si>
  <si>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</si>
  <si>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</si>
  <si>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</si>
  <si>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</si>
  <si>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</si>
  <si>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</si>
  <si>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</si>
  <si>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</si>
  <si>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</si>
  <si>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</si>
  <si>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</si>
  <si>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</si>
  <si>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</si>
  <si>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</si>
  <si>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</si>
  <si>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</si>
  <si>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</si>
  <si>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</si>
  <si>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</si>
  <si>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</si>
  <si>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</si>
  <si>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</si>
  <si>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</si>
  <si>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</si>
  <si>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</si>
  <si>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</si>
  <si>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</si>
  <si>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</si>
  <si>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</si>
  <si>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</si>
  <si>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</si>
  <si>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</si>
  <si>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</si>
  <si>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</si>
  <si>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</si>
  <si>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</si>
  <si>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</si>
  <si>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</si>
  <si>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</si>
  <si>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</si>
  <si>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</si>
  <si>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</si>
  <si>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</si>
  <si>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</si>
  <si>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</si>
  <si>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</si>
  <si>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</si>
  <si>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</si>
  <si>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</si>
  <si>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</si>
  <si>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</si>
  <si>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</si>
  <si>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</si>
  <si>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</si>
  <si>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</si>
  <si>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</si>
  <si>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</si>
  <si>
    <t>Klasifikasi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</si>
</sst>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/>
    <xf numFmtId="4" fontId="6" fillId="9" borderId="0" xfId="0" applyNumberFormat="1" applyFont="1" applyFill="1"/>
    <xf numFmtId="3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/>
    <xf numFmtId="165" fontId="6" fillId="10" borderId="0" xfId="0" applyNumberFormat="1" applyFont="1" applyFill="1"/>
    <xf numFmtId="166" fontId="1" fillId="0" borderId="0" xfId="0" applyNumberFormat="1" applyFont="1" applyAlignment="1">
      <alignment horizontal="center"/>
    </xf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08984375" customWidth="1"/>
    <col min="6" max="6" width="49.26953125" customWidth="1"/>
    <col min="7" max="20" width="21.08984375" customWidth="1"/>
    <col min="21" max="21" width="23.81640625" customWidth="1"/>
    <col min="22" max="22" width="23.08984375" customWidth="1"/>
    <col min="23" max="23" width="17.7265625" customWidth="1"/>
    <col min="24" max="24" width="17.089843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08984375" customWidth="1"/>
    <col min="30" max="30" width="25.7265625" customWidth="1"/>
    <col min="31" max="31" width="25" customWidth="1"/>
    <col min="32" max="32" width="22.089843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089843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88" t="s">
        <v>442</v>
      </c>
      <c r="B2" s="89"/>
      <c r="C2" s="8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88" t="s">
        <v>443</v>
      </c>
      <c r="B14" s="89"/>
      <c r="C14" s="8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88" t="s">
        <v>444</v>
      </c>
      <c r="B25" s="89"/>
      <c r="C25" s="8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90" t="s">
        <v>445</v>
      </c>
      <c r="B30" s="89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90" t="s">
        <v>448</v>
      </c>
      <c r="B47" s="89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640000000</v>
      </c>
      <c r="L2" s="50">
        <v>264899142000</v>
      </c>
      <c r="M2" s="50">
        <v>124758053000</v>
      </c>
      <c r="N2" s="50">
        <v>3501669000</v>
      </c>
      <c r="O2" s="50">
        <v>3274307000</v>
      </c>
      <c r="P2" s="50">
        <v>3658165000</v>
      </c>
      <c r="Q2" s="52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1">
        <f t="shared" ref="T2:T154" si="2">O2/F2</f>
        <v>3.7443207730415077E-3</v>
      </c>
      <c r="U2" s="51">
        <f t="shared" ref="U2:U154" si="3">O2/J2</f>
        <v>1.1637349958412459E-2</v>
      </c>
      <c r="V2" s="51">
        <f t="shared" ref="V2:V154" si="4">O2/L2</f>
        <v>1.2360579861749798E-2</v>
      </c>
      <c r="W2" s="51">
        <f t="shared" ref="W2:W154" si="5">(P2/K2)/Q2</f>
        <v>2.2863531250000003E-2</v>
      </c>
      <c r="X2" s="51">
        <f t="shared" ref="X2:X154" si="6">P2/O2</f>
        <v>1.117233356554532</v>
      </c>
      <c r="Y2" s="51">
        <f t="shared" ref="Y2:Y154" si="7">Q2/(O2/K2)</f>
        <v>48.865301879145726</v>
      </c>
      <c r="Z2" s="51">
        <f t="shared" ref="Z2:Z154" si="8">Q2/(J2/K2)</f>
        <v>0.5686626187910887</v>
      </c>
      <c r="AA2" s="52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640000000</v>
      </c>
      <c r="L3" s="50">
        <v>250804486000</v>
      </c>
      <c r="M3" s="50">
        <v>134257087000</v>
      </c>
      <c r="N3" s="50">
        <v>1102516000</v>
      </c>
      <c r="O3" s="50">
        <v>3581215000</v>
      </c>
      <c r="P3" s="50">
        <v>3516989000</v>
      </c>
      <c r="Q3" s="52">
        <v>308</v>
      </c>
      <c r="R3" s="49">
        <f t="shared" si="0"/>
        <v>1.1547219669087405</v>
      </c>
      <c r="S3" s="49">
        <f t="shared" si="1"/>
        <v>1.9427910913681465</v>
      </c>
      <c r="T3" s="51">
        <f t="shared" si="2"/>
        <v>4.1762437691218804E-3</v>
      </c>
      <c r="U3" s="51">
        <f t="shared" si="3"/>
        <v>1.2291733777757803E-2</v>
      </c>
      <c r="V3" s="51">
        <f t="shared" si="4"/>
        <v>1.4278911263174137E-2</v>
      </c>
      <c r="W3" s="51">
        <f t="shared" si="5"/>
        <v>1.7841867897727272E-2</v>
      </c>
      <c r="X3" s="51">
        <f t="shared" si="6"/>
        <v>0.98206586312187349</v>
      </c>
      <c r="Y3" s="51">
        <f t="shared" si="7"/>
        <v>55.042771796722619</v>
      </c>
      <c r="Z3" s="51">
        <f t="shared" si="8"/>
        <v>0.67657109731519005</v>
      </c>
      <c r="AA3" s="52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640000000</v>
      </c>
      <c r="L4" s="50">
        <v>231470118000</v>
      </c>
      <c r="M4" s="50">
        <v>109895092000</v>
      </c>
      <c r="N4" s="50">
        <v>1205232000</v>
      </c>
      <c r="O4" s="50">
        <v>10456654000</v>
      </c>
      <c r="P4" s="50">
        <v>2091802000</v>
      </c>
      <c r="Q4" s="52">
        <v>310</v>
      </c>
      <c r="R4" s="49">
        <f t="shared" si="0"/>
        <v>1.1334607312866367</v>
      </c>
      <c r="S4" s="49">
        <f t="shared" si="1"/>
        <v>1.778354761984597</v>
      </c>
      <c r="T4" s="51">
        <f t="shared" si="2"/>
        <v>1.1994750679320583E-2</v>
      </c>
      <c r="U4" s="51">
        <f t="shared" si="3"/>
        <v>3.3325672668708325E-2</v>
      </c>
      <c r="V4" s="51">
        <f t="shared" si="4"/>
        <v>4.5174962929772217E-2</v>
      </c>
      <c r="W4" s="51">
        <f t="shared" si="5"/>
        <v>1.054335685483871E-2</v>
      </c>
      <c r="X4" s="51">
        <f t="shared" si="6"/>
        <v>0.20004506221588664</v>
      </c>
      <c r="Y4" s="51">
        <f t="shared" si="7"/>
        <v>18.973564583852539</v>
      </c>
      <c r="Z4" s="51">
        <f t="shared" si="8"/>
        <v>0.63230680268006678</v>
      </c>
      <c r="AA4" s="52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25000000000</v>
      </c>
      <c r="L5" s="50">
        <v>135633770098</v>
      </c>
      <c r="M5" s="50">
        <v>68591523905</v>
      </c>
      <c r="N5" s="50">
        <v>76025853817</v>
      </c>
      <c r="O5" s="50">
        <v>71761034881</v>
      </c>
      <c r="P5" s="50"/>
      <c r="Q5" s="52">
        <v>700</v>
      </c>
      <c r="R5" s="49">
        <f t="shared" si="0"/>
        <v>2.0434366734220619</v>
      </c>
      <c r="S5" s="49">
        <f t="shared" si="1"/>
        <v>0.8665843065089549</v>
      </c>
      <c r="T5" s="51">
        <f t="shared" si="2"/>
        <v>7.3990626925816622E-2</v>
      </c>
      <c r="U5" s="51">
        <f t="shared" si="3"/>
        <v>0.13810974304848825</v>
      </c>
      <c r="V5" s="51">
        <f t="shared" si="4"/>
        <v>0.52907940868376824</v>
      </c>
      <c r="W5" s="51">
        <f t="shared" si="5"/>
        <v>0</v>
      </c>
      <c r="X5" s="51">
        <f t="shared" si="6"/>
        <v>0</v>
      </c>
      <c r="Y5" s="51">
        <f t="shared" si="7"/>
        <v>243.86493351189719</v>
      </c>
      <c r="Z5" s="51">
        <f t="shared" si="8"/>
        <v>33.68012330586479</v>
      </c>
      <c r="AA5" s="52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25000000000</v>
      </c>
      <c r="L6" s="50">
        <v>175174507884</v>
      </c>
      <c r="M6" s="50">
        <v>101954815930</v>
      </c>
      <c r="N6" s="50">
        <v>72793612247</v>
      </c>
      <c r="O6" s="50">
        <v>8260755476</v>
      </c>
      <c r="P6" s="50"/>
      <c r="Q6" s="52">
        <v>1285</v>
      </c>
      <c r="R6" s="49">
        <f t="shared" si="0"/>
        <v>2.0703608731598826</v>
      </c>
      <c r="S6" s="49">
        <f t="shared" si="1"/>
        <v>0.83989622945162901</v>
      </c>
      <c r="T6" s="51">
        <f t="shared" si="2"/>
        <v>8.4666000044721756E-3</v>
      </c>
      <c r="U6" s="51">
        <f t="shared" si="3"/>
        <v>1.5577665424503501E-2</v>
      </c>
      <c r="V6" s="51">
        <f t="shared" si="4"/>
        <v>4.7157292324007817E-2</v>
      </c>
      <c r="W6" s="51">
        <f t="shared" si="5"/>
        <v>0</v>
      </c>
      <c r="X6" s="51">
        <f t="shared" si="6"/>
        <v>0</v>
      </c>
      <c r="Y6" s="51">
        <f t="shared" si="7"/>
        <v>3888.8694978725457</v>
      </c>
      <c r="Z6" s="51">
        <f t="shared" si="8"/>
        <v>60.579507917415448</v>
      </c>
      <c r="AA6" s="52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25000000000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49">
        <f t="shared" si="0"/>
        <v>1.6889726204866975</v>
      </c>
      <c r="S7" s="49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1">
        <f t="shared" si="6"/>
        <v>0</v>
      </c>
      <c r="Y7" s="51">
        <f t="shared" si="7"/>
        <v>-279.57700568270286</v>
      </c>
      <c r="Z7" s="51">
        <f t="shared" si="8"/>
        <v>55.812340004361054</v>
      </c>
      <c r="AA7" s="52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420000000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49">
        <f t="shared" si="0"/>
        <v>1.1292837249415355</v>
      </c>
      <c r="S8" s="49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2.1577821372847011E-2</v>
      </c>
      <c r="X8" s="51">
        <f t="shared" si="6"/>
        <v>5.9597458507047518</v>
      </c>
      <c r="Y8" s="51">
        <f t="shared" si="7"/>
        <v>276.19775637796067</v>
      </c>
      <c r="Z8" s="51">
        <f t="shared" si="8"/>
        <v>2.4323205066976659</v>
      </c>
      <c r="AA8" s="52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420000000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49">
        <f t="shared" si="0"/>
        <v>1.135192812597674</v>
      </c>
      <c r="S9" s="49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2.1603353316749584E-2</v>
      </c>
      <c r="X9" s="51">
        <f t="shared" si="6"/>
        <v>8.7293581106187599</v>
      </c>
      <c r="Y9" s="51">
        <f t="shared" si="7"/>
        <v>404.07421860062271</v>
      </c>
      <c r="Z9" s="51">
        <f t="shared" si="8"/>
        <v>1.9043997662413443</v>
      </c>
      <c r="AA9" s="52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420000000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49">
        <f t="shared" si="0"/>
        <v>1.1979194187627924</v>
      </c>
      <c r="S10" s="49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2.30623902196712E-2</v>
      </c>
      <c r="X10" s="51">
        <f t="shared" si="6"/>
        <v>0.99013912460751408</v>
      </c>
      <c r="Y10" s="51">
        <f t="shared" si="7"/>
        <v>42.933066138260429</v>
      </c>
      <c r="Z10" s="51">
        <f t="shared" si="8"/>
        <v>1.4022781038833689</v>
      </c>
      <c r="AA10" s="52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350000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49">
        <f t="shared" si="0"/>
        <v>1.4424938621242545</v>
      </c>
      <c r="S11" s="49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24.406883720930235</v>
      </c>
      <c r="X11" s="51">
        <f t="shared" si="6"/>
        <v>0.53477796094719032</v>
      </c>
      <c r="Y11" s="51">
        <f t="shared" si="7"/>
        <v>2.1910948036704458E-2</v>
      </c>
      <c r="Z11" s="51">
        <f t="shared" si="8"/>
        <v>1.7105781475529648E-3</v>
      </c>
      <c r="AA11" s="52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350000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49">
        <f t="shared" si="0"/>
        <v>1.4190580647310562</v>
      </c>
      <c r="S12" s="49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38.671904761904756</v>
      </c>
      <c r="X12" s="51">
        <f t="shared" si="6"/>
        <v>0.60906313539338031</v>
      </c>
      <c r="Y12" s="51">
        <f t="shared" si="7"/>
        <v>1.5749499259042479E-2</v>
      </c>
      <c r="Z12" s="51">
        <f t="shared" si="8"/>
        <v>1.4849529484577486E-3</v>
      </c>
      <c r="AA12" s="52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350000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49">
        <f t="shared" si="0"/>
        <v>1.3428581087951845</v>
      </c>
      <c r="S13" s="49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27.041375474083438</v>
      </c>
      <c r="X13" s="51">
        <f t="shared" si="6"/>
        <v>0.34533543396156535</v>
      </c>
      <c r="Y13" s="51">
        <f t="shared" si="7"/>
        <v>1.2770631223716272E-2</v>
      </c>
      <c r="Z13" s="51">
        <f t="shared" si="8"/>
        <v>1.3779215901391247E-3</v>
      </c>
      <c r="AA13" s="52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1500000000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49">
        <f t="shared" si="0"/>
        <v>1.2968129531115076</v>
      </c>
      <c r="S14" s="49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3.6982082300653593E-3</v>
      </c>
      <c r="X14" s="51">
        <f t="shared" si="6"/>
        <v>0.20083668865863266</v>
      </c>
      <c r="Y14" s="51">
        <f t="shared" si="7"/>
        <v>54.30648469869508</v>
      </c>
      <c r="Z14" s="51">
        <f t="shared" si="8"/>
        <v>5.4236972095157414</v>
      </c>
      <c r="AA14" s="52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1500000000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49">
        <f t="shared" si="0"/>
        <v>1.3145000049873461</v>
      </c>
      <c r="S15" s="49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4.0116517881619938E-3</v>
      </c>
      <c r="X15" s="51">
        <f t="shared" si="6"/>
        <v>0.14365521041185381</v>
      </c>
      <c r="Y15" s="51">
        <f t="shared" si="7"/>
        <v>35.809491450820033</v>
      </c>
      <c r="Z15" s="51">
        <f t="shared" si="8"/>
        <v>4.0248606727523439</v>
      </c>
      <c r="AA15" s="52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1500000000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49">
        <f t="shared" si="0"/>
        <v>1.3528883717732667</v>
      </c>
      <c r="S16" s="49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3.6480072676595746E-3</v>
      </c>
      <c r="X16" s="51">
        <f t="shared" si="6"/>
        <v>0.244511810506572</v>
      </c>
      <c r="Y16" s="51">
        <f t="shared" si="7"/>
        <v>67.026130313452384</v>
      </c>
      <c r="Z16" s="51">
        <f t="shared" si="8"/>
        <v>4.0152644177788002</v>
      </c>
      <c r="AA16" s="52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4250000000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49">
        <f t="shared" si="0"/>
        <v>3.1098644258179808</v>
      </c>
      <c r="S17" s="49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4.3431042427637722E-3</v>
      </c>
      <c r="X17" s="51">
        <f t="shared" si="6"/>
        <v>0.58914231358541147</v>
      </c>
      <c r="Y17" s="51">
        <f t="shared" si="7"/>
        <v>135.65005135831268</v>
      </c>
      <c r="Z17" s="51">
        <f t="shared" si="8"/>
        <v>2.9794971291852392</v>
      </c>
      <c r="AA17" s="52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4250000000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49">
        <f t="shared" si="0"/>
        <v>2.8494617041435282</v>
      </c>
      <c r="S18" s="49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2.4191620258249641E-2</v>
      </c>
      <c r="X18" s="51">
        <f t="shared" si="6"/>
        <v>0.57993910271708737</v>
      </c>
      <c r="Y18" s="51">
        <f t="shared" si="7"/>
        <v>23.972726775889303</v>
      </c>
      <c r="Z18" s="51">
        <f t="shared" si="8"/>
        <v>2.8054722606468951</v>
      </c>
      <c r="AA18" s="52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4250000000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49">
        <f t="shared" si="0"/>
        <v>2.2971449590049833</v>
      </c>
      <c r="S19" s="49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3.587432703813833E-2</v>
      </c>
      <c r="X19" s="51">
        <f t="shared" si="6"/>
        <v>2.2336103066724848</v>
      </c>
      <c r="Y19" s="51">
        <f t="shared" si="7"/>
        <v>62.262082416149937</v>
      </c>
      <c r="Z19" s="51">
        <f t="shared" si="8"/>
        <v>2.0990833508849827</v>
      </c>
      <c r="AA19" s="52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60000000000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49">
        <f t="shared" si="0"/>
        <v>1.2158656429991013</v>
      </c>
      <c r="S20" s="49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2.8703383870967744E-3</v>
      </c>
      <c r="X20" s="51">
        <f t="shared" si="6"/>
        <v>0.37423396909087531</v>
      </c>
      <c r="Y20" s="51">
        <f t="shared" si="7"/>
        <v>130.37973876989366</v>
      </c>
      <c r="Z20" s="51">
        <f t="shared" si="8"/>
        <v>4.2040683566904526</v>
      </c>
      <c r="AA20" s="52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60000000000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49">
        <f t="shared" si="0"/>
        <v>1.1818338628445513</v>
      </c>
      <c r="S21" s="49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3.4379229797979797E-3</v>
      </c>
      <c r="X21" s="51">
        <f t="shared" si="6"/>
        <v>0.47290490720359157</v>
      </c>
      <c r="Y21" s="51">
        <f t="shared" si="7"/>
        <v>137.55541063092127</v>
      </c>
      <c r="Z21" s="51">
        <f t="shared" si="8"/>
        <v>2.6507773426089187</v>
      </c>
      <c r="AA21" s="52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60000000000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49">
        <f t="shared" si="0"/>
        <v>1.1605100853342414</v>
      </c>
      <c r="S22" s="49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1">
        <f t="shared" si="6"/>
        <v>0</v>
      </c>
      <c r="Y22" s="51">
        <f t="shared" si="7"/>
        <v>529.83622992496601</v>
      </c>
      <c r="Z22" s="51">
        <f t="shared" si="8"/>
        <v>14.483322475276655</v>
      </c>
      <c r="AA22" s="52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11800000000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49">
        <f t="shared" si="0"/>
        <v>1.1153526415922403</v>
      </c>
      <c r="S23" s="49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1">
        <f t="shared" si="6"/>
        <v>0</v>
      </c>
      <c r="Y23" s="51">
        <f t="shared" si="7"/>
        <v>-90.238416554206026</v>
      </c>
      <c r="Z23" s="51">
        <f t="shared" si="8"/>
        <v>5.2709913420157175</v>
      </c>
      <c r="AA23" s="52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11800000000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49">
        <f t="shared" si="0"/>
        <v>1.1655703393058459</v>
      </c>
      <c r="S24" s="49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1">
        <f t="shared" si="6"/>
        <v>0</v>
      </c>
      <c r="Y24" s="51">
        <f t="shared" si="7"/>
        <v>-6.1381369810230231</v>
      </c>
      <c r="Z24" s="51">
        <f t="shared" si="8"/>
        <v>1.3246299684017961</v>
      </c>
      <c r="AA24" s="52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11800000000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49">
        <f t="shared" si="0"/>
        <v>0.99410311311122923</v>
      </c>
      <c r="S25" s="49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1">
        <f t="shared" si="6"/>
        <v>0</v>
      </c>
      <c r="Y25" s="51">
        <f t="shared" si="7"/>
        <v>-13.610534707655079</v>
      </c>
      <c r="Z25" s="51">
        <f t="shared" si="8"/>
        <v>1.2670554015658178</v>
      </c>
      <c r="AA25" s="52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v>60000000000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49">
        <f t="shared" si="0"/>
        <v>1.0576666084872304</v>
      </c>
      <c r="S26" s="49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1">
        <f t="shared" si="6"/>
        <v>0</v>
      </c>
      <c r="Y26" s="51">
        <f t="shared" si="7"/>
        <v>52.612195506918503</v>
      </c>
      <c r="Z26" s="51">
        <f t="shared" si="8"/>
        <v>2.0979167686487319</v>
      </c>
      <c r="AA26" s="52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v>60000000000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49">
        <f t="shared" si="0"/>
        <v>1.0257887860975645</v>
      </c>
      <c r="S27" s="49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1">
        <f t="shared" si="6"/>
        <v>0</v>
      </c>
      <c r="Y27" s="51">
        <f t="shared" si="7"/>
        <v>146.82131845543972</v>
      </c>
      <c r="Z27" s="51">
        <f t="shared" si="8"/>
        <v>1.9237551700920195</v>
      </c>
      <c r="AA27" s="52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v>60000000000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49">
        <f t="shared" si="0"/>
        <v>10.161525815491641</v>
      </c>
      <c r="S28" s="49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1">
        <f t="shared" si="6"/>
        <v>0</v>
      </c>
      <c r="Y28" s="51">
        <f t="shared" si="7"/>
        <v>288.07374687920105</v>
      </c>
      <c r="Z28" s="51">
        <f t="shared" si="8"/>
        <v>0.25744655581132392</v>
      </c>
      <c r="AA28" s="52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88000000000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49">
        <f t="shared" si="0"/>
        <v>1.1792581890285572</v>
      </c>
      <c r="S29" s="49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2.8017054195804193E-3</v>
      </c>
      <c r="X29" s="51">
        <f t="shared" si="6"/>
        <v>0.24796481154401689</v>
      </c>
      <c r="Y29" s="51">
        <f t="shared" si="7"/>
        <v>88.50495480754428</v>
      </c>
      <c r="Z29" s="51">
        <f t="shared" si="8"/>
        <v>15.077089494657674</v>
      </c>
      <c r="AA29" s="52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88000000000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49">
        <f t="shared" si="0"/>
        <v>1.1875698000027504</v>
      </c>
      <c r="S30" s="49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2.9756337118379004E-3</v>
      </c>
      <c r="X30" s="51">
        <f t="shared" si="6"/>
        <v>0.30635411148781583</v>
      </c>
      <c r="Y30" s="51">
        <f t="shared" si="7"/>
        <v>102.95424140042969</v>
      </c>
      <c r="Z30" s="51">
        <f t="shared" si="8"/>
        <v>16.890701119485854</v>
      </c>
      <c r="AA30" s="52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88000000000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49">
        <f t="shared" si="0"/>
        <v>1.1637335566202898</v>
      </c>
      <c r="S31" s="49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4.5770850678125419E-3</v>
      </c>
      <c r="X31" s="51">
        <f t="shared" si="6"/>
        <v>0.50223473151413656</v>
      </c>
      <c r="Y31" s="51">
        <f t="shared" si="7"/>
        <v>109.72807454377555</v>
      </c>
      <c r="Z31" s="51">
        <f t="shared" si="8"/>
        <v>16.126490500548066</v>
      </c>
      <c r="AA31" s="52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49">
        <f t="shared" si="0"/>
        <v>1.0479475051552787</v>
      </c>
      <c r="S32" s="49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1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10000000000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49">
        <f t="shared" si="0"/>
        <v>1.0269498070883849</v>
      </c>
      <c r="S33" s="49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1">
        <f t="shared" si="6"/>
        <v>0</v>
      </c>
      <c r="Y33" s="51">
        <f t="shared" si="7"/>
        <v>-34.200041558144932</v>
      </c>
      <c r="Z33" s="51">
        <f t="shared" si="8"/>
        <v>4.1699209056336031</v>
      </c>
      <c r="AA33" s="52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10000000000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49">
        <f t="shared" si="0"/>
        <v>1.0296756278997248</v>
      </c>
      <c r="S34" s="49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1">
        <f t="shared" si="6"/>
        <v>0</v>
      </c>
      <c r="Y34" s="51">
        <f t="shared" si="7"/>
        <v>114.55932476013959</v>
      </c>
      <c r="Z34" s="51">
        <f t="shared" si="8"/>
        <v>12.216680408226017</v>
      </c>
      <c r="AA34" s="52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v>22887540178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49">
        <f t="shared" si="0"/>
        <v>0.98046938496569636</v>
      </c>
      <c r="S35" s="49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1">
        <f t="shared" si="6"/>
        <v>0</v>
      </c>
      <c r="Y35" s="51">
        <f t="shared" si="7"/>
        <v>32.770494964552299</v>
      </c>
      <c r="Z35" s="51">
        <f t="shared" si="8"/>
        <v>0.72435354734882573</v>
      </c>
      <c r="AA35" s="52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v>22887540178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49">
        <f t="shared" si="0"/>
        <v>0.95960773899707907</v>
      </c>
      <c r="S36" s="49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1">
        <f t="shared" si="6"/>
        <v>0</v>
      </c>
      <c r="Y36" s="51">
        <f t="shared" si="7"/>
        <v>23.653207165301801</v>
      </c>
      <c r="Z36" s="51">
        <f t="shared" si="8"/>
        <v>0.57569116110711538</v>
      </c>
      <c r="AA36" s="52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v>22887540178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49">
        <f t="shared" si="0"/>
        <v>0.96568685172638469</v>
      </c>
      <c r="S37" s="49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1">
        <f t="shared" si="6"/>
        <v>0</v>
      </c>
      <c r="Y37" s="51">
        <f t="shared" si="7"/>
        <v>-4.0392557776151756</v>
      </c>
      <c r="Z37" s="51">
        <f t="shared" si="8"/>
        <v>1.5544115937190617</v>
      </c>
      <c r="AA37" s="52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10000000000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49">
        <f t="shared" si="0"/>
        <v>1.2720288802073363</v>
      </c>
      <c r="S38" s="49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1">
        <f t="shared" si="6"/>
        <v>0</v>
      </c>
      <c r="Y38" s="51">
        <f t="shared" si="7"/>
        <v>51.906517994642428</v>
      </c>
      <c r="Z38" s="51">
        <f t="shared" si="8"/>
        <v>4.4688929800761645</v>
      </c>
      <c r="AA38" s="52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10000000000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49">
        <f t="shared" si="0"/>
        <v>1.3032737618928585</v>
      </c>
      <c r="S39" s="49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1">
        <f t="shared" si="6"/>
        <v>0</v>
      </c>
      <c r="Y39" s="51">
        <f t="shared" si="7"/>
        <v>113.09762320781623</v>
      </c>
      <c r="Z39" s="51">
        <f t="shared" si="8"/>
        <v>8.0448925196286858</v>
      </c>
      <c r="AA39" s="52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10000000000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49">
        <f t="shared" si="0"/>
        <v>1.3321996167687069</v>
      </c>
      <c r="S40" s="49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1">
        <f t="shared" si="6"/>
        <v>0</v>
      </c>
      <c r="Y40" s="51">
        <f t="shared" si="7"/>
        <v>46.021852856748986</v>
      </c>
      <c r="Z40" s="51">
        <f t="shared" si="8"/>
        <v>3.7413363505922534</v>
      </c>
      <c r="AA40" s="52">
        <v>1</v>
      </c>
    </row>
    <row r="41" spans="1:27">
      <c r="A41" s="49">
        <v>2018</v>
      </c>
      <c r="B41" s="49" t="s">
        <v>84</v>
      </c>
      <c r="C41" s="49" t="s">
        <v>85</v>
      </c>
      <c r="D41" s="50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50"/>
      <c r="P41" s="50"/>
      <c r="Q41" s="52">
        <v>2200</v>
      </c>
      <c r="R41" s="49" t="e">
        <f t="shared" si="0"/>
        <v>#DIV/0!</v>
      </c>
      <c r="S41" s="49" t="e">
        <f t="shared" si="1"/>
        <v>#DIV/0!</v>
      </c>
      <c r="T41" s="51" t="e">
        <f t="shared" si="2"/>
        <v>#DIV/0!</v>
      </c>
      <c r="U41" s="51" t="e">
        <f t="shared" si="3"/>
        <v>#DIV/0!</v>
      </c>
      <c r="V41" s="51" t="e">
        <f t="shared" si="4"/>
        <v>#DIV/0!</v>
      </c>
      <c r="W41" s="51" t="e">
        <f t="shared" si="5"/>
        <v>#DIV/0!</v>
      </c>
      <c r="X41" s="51" t="e">
        <f t="shared" si="6"/>
        <v>#DIV/0!</v>
      </c>
      <c r="Y41" s="51" t="e">
        <f t="shared" si="7"/>
        <v>#DIV/0!</v>
      </c>
      <c r="Z41" s="51" t="e">
        <f t="shared" si="8"/>
        <v>#DIV/0!</v>
      </c>
      <c r="AA41" s="52">
        <v>1</v>
      </c>
    </row>
    <row r="42" spans="1:27">
      <c r="A42" s="49">
        <v>2019</v>
      </c>
      <c r="B42" s="49" t="s">
        <v>84</v>
      </c>
      <c r="C42" s="49" t="s">
        <v>85</v>
      </c>
      <c r="D42" s="50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50"/>
      <c r="P42" s="50"/>
      <c r="Q42" s="52">
        <v>0</v>
      </c>
      <c r="R42" s="49" t="e">
        <f t="shared" si="0"/>
        <v>#DIV/0!</v>
      </c>
      <c r="S42" s="49" t="e">
        <f t="shared" si="1"/>
        <v>#DIV/0!</v>
      </c>
      <c r="T42" s="51" t="e">
        <f t="shared" si="2"/>
        <v>#DIV/0!</v>
      </c>
      <c r="U42" s="51" t="e">
        <f t="shared" si="3"/>
        <v>#DIV/0!</v>
      </c>
      <c r="V42" s="51" t="e">
        <f t="shared" si="4"/>
        <v>#DIV/0!</v>
      </c>
      <c r="W42" s="51" t="e">
        <f t="shared" si="5"/>
        <v>#DIV/0!</v>
      </c>
      <c r="X42" s="51" t="e">
        <f t="shared" si="6"/>
        <v>#DIV/0!</v>
      </c>
      <c r="Y42" s="51" t="e">
        <f t="shared" si="7"/>
        <v>#DIV/0!</v>
      </c>
      <c r="Z42" s="51" t="e">
        <f t="shared" si="8"/>
        <v>#DIV/0!</v>
      </c>
      <c r="AA42" s="52">
        <v>1</v>
      </c>
    </row>
    <row r="43" spans="1:27">
      <c r="A43" s="49">
        <v>2020</v>
      </c>
      <c r="B43" s="49" t="s">
        <v>84</v>
      </c>
      <c r="C43" s="49" t="s">
        <v>85</v>
      </c>
      <c r="D43" s="50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50"/>
      <c r="P43" s="50"/>
      <c r="Q43" s="52"/>
      <c r="R43" s="49" t="e">
        <f t="shared" si="0"/>
        <v>#DIV/0!</v>
      </c>
      <c r="S43" s="49" t="e">
        <f t="shared" si="1"/>
        <v>#DIV/0!</v>
      </c>
      <c r="T43" s="51" t="e">
        <f t="shared" si="2"/>
        <v>#DIV/0!</v>
      </c>
      <c r="U43" s="51" t="e">
        <f t="shared" si="3"/>
        <v>#DIV/0!</v>
      </c>
      <c r="V43" s="51" t="e">
        <f t="shared" si="4"/>
        <v>#DIV/0!</v>
      </c>
      <c r="W43" s="51" t="e">
        <f t="shared" si="5"/>
        <v>#DIV/0!</v>
      </c>
      <c r="X43" s="51" t="e">
        <f t="shared" si="6"/>
        <v>#DIV/0!</v>
      </c>
      <c r="Y43" s="51" t="e">
        <f t="shared" si="7"/>
        <v>#DIV/0!</v>
      </c>
      <c r="Z43" s="51" t="e">
        <f t="shared" si="8"/>
        <v>#DIV/0!</v>
      </c>
      <c r="AA43" s="52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0">
        <v>26914859000000</v>
      </c>
      <c r="F44" s="50">
        <v>1296898292000000</v>
      </c>
      <c r="G44" s="50"/>
      <c r="H44" s="50"/>
      <c r="I44" s="50">
        <v>109066408400000</v>
      </c>
      <c r="J44" s="50">
        <v>185275331000000</v>
      </c>
      <c r="K44" s="51">
        <v>300000000000</v>
      </c>
      <c r="L44" s="50">
        <v>111582804000000</v>
      </c>
      <c r="M44" s="50">
        <v>33917032000000</v>
      </c>
      <c r="N44" s="50">
        <v>41990284000000</v>
      </c>
      <c r="O44" s="50">
        <v>32418486000000</v>
      </c>
      <c r="P44" s="50">
        <v>13048441000000</v>
      </c>
      <c r="Q44" s="52">
        <v>3660</v>
      </c>
      <c r="R44" s="49">
        <f t="shared" si="0"/>
        <v>11.378655932709709</v>
      </c>
      <c r="S44" s="49">
        <f t="shared" si="1"/>
        <v>0.58867204722467881</v>
      </c>
      <c r="T44" s="51">
        <f t="shared" si="2"/>
        <v>2.4996937847767634E-2</v>
      </c>
      <c r="U44" s="51">
        <f t="shared" si="3"/>
        <v>0.17497464894557388</v>
      </c>
      <c r="V44" s="51">
        <f t="shared" si="4"/>
        <v>0.29053299287944045</v>
      </c>
      <c r="W44" s="51">
        <f t="shared" si="5"/>
        <v>1.1883826047358834E-2</v>
      </c>
      <c r="X44" s="51">
        <f t="shared" si="6"/>
        <v>0.40250001187594014</v>
      </c>
      <c r="Y44" s="51">
        <f t="shared" si="7"/>
        <v>33.869564420744382</v>
      </c>
      <c r="Z44" s="51">
        <f t="shared" si="8"/>
        <v>5.9263151444592479</v>
      </c>
      <c r="AA44" s="52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0">
        <v>31432629000000</v>
      </c>
      <c r="F45" s="50">
        <v>1416758840000000</v>
      </c>
      <c r="G45" s="50"/>
      <c r="H45" s="50"/>
      <c r="I45" s="50">
        <v>1183155670000000</v>
      </c>
      <c r="J45" s="50">
        <v>208784336000000</v>
      </c>
      <c r="K45" s="51">
        <v>300000000000</v>
      </c>
      <c r="L45" s="50">
        <v>121756276000000</v>
      </c>
      <c r="M45" s="50">
        <v>38671838000000</v>
      </c>
      <c r="N45" s="50">
        <v>45033505000000</v>
      </c>
      <c r="O45" s="50">
        <v>34413825000000</v>
      </c>
      <c r="P45" s="50">
        <v>16175565000000</v>
      </c>
      <c r="Q45" s="52">
        <v>4400</v>
      </c>
      <c r="R45" s="49">
        <f t="shared" si="0"/>
        <v>1.1492766011086268</v>
      </c>
      <c r="S45" s="49">
        <f t="shared" si="1"/>
        <v>5.6668794827596649</v>
      </c>
      <c r="T45" s="51">
        <f t="shared" si="2"/>
        <v>2.4290531337005809E-2</v>
      </c>
      <c r="U45" s="51">
        <f t="shared" si="3"/>
        <v>0.16482953491300228</v>
      </c>
      <c r="V45" s="51">
        <f t="shared" si="4"/>
        <v>0.28264518372753122</v>
      </c>
      <c r="W45" s="51">
        <f t="shared" si="5"/>
        <v>1.2254215909090909E-2</v>
      </c>
      <c r="X45" s="51">
        <f t="shared" si="6"/>
        <v>0.47003101224580529</v>
      </c>
      <c r="Y45" s="51">
        <f t="shared" si="7"/>
        <v>38.356677875824616</v>
      </c>
      <c r="Z45" s="51">
        <f t="shared" si="8"/>
        <v>6.3223133750800162</v>
      </c>
      <c r="AA45" s="52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0">
        <v>32185160000000</v>
      </c>
      <c r="F46" s="50">
        <v>1511804628000000</v>
      </c>
      <c r="G46" s="50"/>
      <c r="H46" s="50"/>
      <c r="I46" s="50">
        <v>1278346276000000</v>
      </c>
      <c r="J46" s="50">
        <v>199911376000000</v>
      </c>
      <c r="K46" s="51">
        <v>300000000000</v>
      </c>
      <c r="L46" s="50">
        <v>116932512000000</v>
      </c>
      <c r="M46" s="50">
        <v>37722595000000</v>
      </c>
      <c r="N46" s="50">
        <v>68827650000000</v>
      </c>
      <c r="O46" s="50">
        <v>34413825000000</v>
      </c>
      <c r="P46" s="50">
        <v>20623565000000</v>
      </c>
      <c r="Q46" s="52"/>
      <c r="R46" s="49">
        <f t="shared" si="0"/>
        <v>1.1285050021923793</v>
      </c>
      <c r="S46" s="49">
        <f t="shared" si="1"/>
        <v>6.3945649396160427</v>
      </c>
      <c r="T46" s="51">
        <f t="shared" si="2"/>
        <v>2.2763407627298254E-2</v>
      </c>
      <c r="U46" s="51">
        <f t="shared" si="3"/>
        <v>0.17214540607233877</v>
      </c>
      <c r="V46" s="51">
        <f t="shared" si="4"/>
        <v>0.29430501758142336</v>
      </c>
      <c r="W46" s="51" t="e">
        <f t="shared" si="5"/>
        <v>#DIV/0!</v>
      </c>
      <c r="X46" s="51">
        <f t="shared" si="6"/>
        <v>0.59928139345161424</v>
      </c>
      <c r="Y46" s="51">
        <f t="shared" si="7"/>
        <v>0</v>
      </c>
      <c r="Z46" s="51">
        <f t="shared" si="8"/>
        <v>0</v>
      </c>
      <c r="AA46" s="52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0">
        <v>83206069558</v>
      </c>
      <c r="F47" s="50">
        <v>4533729146622</v>
      </c>
      <c r="G47" s="50"/>
      <c r="H47" s="50"/>
      <c r="I47" s="50">
        <v>3933343821678</v>
      </c>
      <c r="J47" s="50">
        <v>600385324944</v>
      </c>
      <c r="K47" s="51">
        <v>15000000000</v>
      </c>
      <c r="L47" s="50">
        <v>589663115314</v>
      </c>
      <c r="M47" s="50">
        <v>303322028671</v>
      </c>
      <c r="N47" s="50">
        <v>440184797149</v>
      </c>
      <c r="O47" s="50">
        <v>-136988450929</v>
      </c>
      <c r="P47" s="50">
        <v>5763770665</v>
      </c>
      <c r="Q47" s="52">
        <v>284</v>
      </c>
      <c r="R47" s="49">
        <f t="shared" si="0"/>
        <v>1.2155405621251596</v>
      </c>
      <c r="S47" s="49">
        <f t="shared" si="1"/>
        <v>6.5513656950973553</v>
      </c>
      <c r="T47" s="51">
        <f t="shared" si="2"/>
        <v>-3.0215402486288276E-2</v>
      </c>
      <c r="U47" s="51">
        <f t="shared" si="3"/>
        <v>-0.22816755379851661</v>
      </c>
      <c r="V47" s="51">
        <f t="shared" si="4"/>
        <v>-0.23231646574341458</v>
      </c>
      <c r="W47" s="51">
        <f t="shared" si="5"/>
        <v>1.352997808685446E-3</v>
      </c>
      <c r="X47" s="51">
        <f t="shared" si="6"/>
        <v>-4.2074865624893557E-2</v>
      </c>
      <c r="Y47" s="51">
        <f t="shared" si="7"/>
        <v>-31.097512024629896</v>
      </c>
      <c r="Z47" s="51">
        <f t="shared" si="8"/>
        <v>7.0954432478797589</v>
      </c>
      <c r="AA47" s="52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0">
        <v>87885955385</v>
      </c>
      <c r="F48" s="50">
        <v>5123734649117</v>
      </c>
      <c r="G48" s="50"/>
      <c r="H48" s="50"/>
      <c r="I48" s="50">
        <v>4177951053821</v>
      </c>
      <c r="J48" s="50">
        <v>945783595296</v>
      </c>
      <c r="K48" s="51">
        <v>15000000000</v>
      </c>
      <c r="L48" s="50">
        <v>532495206620</v>
      </c>
      <c r="M48" s="50">
        <v>316396580171</v>
      </c>
      <c r="N48" s="50">
        <v>403790198835</v>
      </c>
      <c r="O48" s="50">
        <v>16002797471</v>
      </c>
      <c r="P48" s="50">
        <v>0</v>
      </c>
      <c r="Q48" s="52">
        <v>284</v>
      </c>
      <c r="R48" s="49">
        <f t="shared" si="0"/>
        <v>1.1771390241805613</v>
      </c>
      <c r="S48" s="49">
        <f t="shared" si="1"/>
        <v>4.4174492712716535</v>
      </c>
      <c r="T48" s="51">
        <f t="shared" si="2"/>
        <v>3.1232681953500159E-3</v>
      </c>
      <c r="U48" s="51">
        <f t="shared" si="3"/>
        <v>1.6920147008884879E-2</v>
      </c>
      <c r="V48" s="51">
        <f t="shared" si="4"/>
        <v>3.0052472345389467E-2</v>
      </c>
      <c r="W48" s="51">
        <f t="shared" si="5"/>
        <v>0</v>
      </c>
      <c r="X48" s="51">
        <f t="shared" si="6"/>
        <v>0</v>
      </c>
      <c r="Y48" s="51">
        <f t="shared" si="7"/>
        <v>266.20345647190129</v>
      </c>
      <c r="Z48" s="51">
        <f t="shared" si="8"/>
        <v>4.5042016177778557</v>
      </c>
      <c r="AA48" s="52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0">
        <v>108803796324</v>
      </c>
      <c r="F49" s="50">
        <v>5421324398438</v>
      </c>
      <c r="G49" s="50"/>
      <c r="H49" s="50"/>
      <c r="I49" s="50">
        <v>4300705118122</v>
      </c>
      <c r="J49" s="50">
        <v>1120619280316</v>
      </c>
      <c r="K49" s="51">
        <v>15000000000</v>
      </c>
      <c r="L49" s="50">
        <v>435200503846</v>
      </c>
      <c r="M49" s="50">
        <v>276969580433</v>
      </c>
      <c r="N49" s="50">
        <v>229554559339</v>
      </c>
      <c r="O49" s="50">
        <v>15871502695</v>
      </c>
      <c r="P49" s="50">
        <v>1598830857</v>
      </c>
      <c r="Q49" s="52">
        <v>298</v>
      </c>
      <c r="R49" s="49">
        <f t="shared" si="0"/>
        <v>1.1575388302399718</v>
      </c>
      <c r="S49" s="49">
        <f t="shared" si="1"/>
        <v>3.8377932574114353</v>
      </c>
      <c r="T49" s="51">
        <f t="shared" si="2"/>
        <v>2.9276061582983156E-3</v>
      </c>
      <c r="U49" s="51">
        <f t="shared" si="3"/>
        <v>1.4163153332971787E-2</v>
      </c>
      <c r="V49" s="51">
        <f t="shared" si="4"/>
        <v>3.6469403308908598E-2</v>
      </c>
      <c r="W49" s="51">
        <f t="shared" si="5"/>
        <v>3.5768028120805367E-4</v>
      </c>
      <c r="X49" s="51">
        <f t="shared" si="6"/>
        <v>0.10073594717050199</v>
      </c>
      <c r="Y49" s="51">
        <f t="shared" si="7"/>
        <v>281.63684850131955</v>
      </c>
      <c r="Z49" s="51">
        <f t="shared" si="8"/>
        <v>3.9888658695391346</v>
      </c>
      <c r="AA49" s="52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0">
        <v>194079000000</v>
      </c>
      <c r="F50" s="50">
        <v>17823669000000</v>
      </c>
      <c r="G50" s="50"/>
      <c r="H50" s="50"/>
      <c r="I50" s="50">
        <v>16508766000000</v>
      </c>
      <c r="J50" s="50">
        <v>1314903000000</v>
      </c>
      <c r="K50" s="51">
        <v>12384618000</v>
      </c>
      <c r="L50" s="50">
        <v>1426813000000</v>
      </c>
      <c r="M50" s="50">
        <v>1035272000000</v>
      </c>
      <c r="N50" s="50">
        <v>734524000000</v>
      </c>
      <c r="O50" s="50">
        <v>-401101000000</v>
      </c>
      <c r="P50" s="50">
        <v>0</v>
      </c>
      <c r="Q50" s="52">
        <v>450</v>
      </c>
      <c r="R50" s="49">
        <f t="shared" si="0"/>
        <v>0.75957064265130414</v>
      </c>
      <c r="S50" s="49">
        <f t="shared" si="1"/>
        <v>12.555120795982669</v>
      </c>
      <c r="T50" s="51">
        <f t="shared" si="2"/>
        <v>-2.2503840258703188E-2</v>
      </c>
      <c r="U50" s="51">
        <f t="shared" si="3"/>
        <v>-0.30504227308021958</v>
      </c>
      <c r="V50" s="51">
        <f t="shared" si="4"/>
        <v>-0.28111672657874576</v>
      </c>
      <c r="W50" s="51">
        <f t="shared" si="5"/>
        <v>0</v>
      </c>
      <c r="X50" s="51">
        <f t="shared" si="6"/>
        <v>0</v>
      </c>
      <c r="Y50" s="51">
        <f t="shared" si="7"/>
        <v>-13.894450774243893</v>
      </c>
      <c r="Z50" s="51">
        <f t="shared" si="8"/>
        <v>4.2383948473765747</v>
      </c>
      <c r="AA50" s="52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0">
        <v>199165000000</v>
      </c>
      <c r="F51" s="50">
        <v>17311597000000</v>
      </c>
      <c r="G51" s="50"/>
      <c r="H51" s="50"/>
      <c r="I51" s="50">
        <v>15637771000000</v>
      </c>
      <c r="J51" s="50">
        <v>1673826000000</v>
      </c>
      <c r="K51" s="51">
        <v>12384618000</v>
      </c>
      <c r="L51" s="50">
        <v>1132243000000</v>
      </c>
      <c r="M51" s="50">
        <v>1081987000000</v>
      </c>
      <c r="N51" s="50">
        <v>743645000000</v>
      </c>
      <c r="O51" s="50">
        <v>49495000000</v>
      </c>
      <c r="P51" s="50">
        <v>0</v>
      </c>
      <c r="Q51" s="52">
        <v>450</v>
      </c>
      <c r="R51" s="49">
        <f t="shared" si="0"/>
        <v>0.52892902703332845</v>
      </c>
      <c r="S51" s="49">
        <f t="shared" si="1"/>
        <v>9.3425308245898915</v>
      </c>
      <c r="T51" s="51">
        <f t="shared" si="2"/>
        <v>2.8590660930935489E-3</v>
      </c>
      <c r="U51" s="51">
        <f t="shared" si="3"/>
        <v>2.9569979197359823E-2</v>
      </c>
      <c r="V51" s="51">
        <f t="shared" si="4"/>
        <v>4.3714114372974705E-2</v>
      </c>
      <c r="W51" s="51">
        <f t="shared" si="5"/>
        <v>0</v>
      </c>
      <c r="X51" s="51">
        <f t="shared" si="6"/>
        <v>0</v>
      </c>
      <c r="Y51" s="51">
        <f t="shared" si="7"/>
        <v>112.59880998080614</v>
      </c>
      <c r="Z51" s="51">
        <f t="shared" si="8"/>
        <v>3.329544468779909</v>
      </c>
      <c r="AA51" s="52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0">
        <v>194214000000</v>
      </c>
      <c r="F52" s="50">
        <v>16204908000000</v>
      </c>
      <c r="G52" s="50"/>
      <c r="H52" s="50"/>
      <c r="I52" s="50">
        <v>14761678000000</v>
      </c>
      <c r="J52" s="50">
        <v>1443230000000</v>
      </c>
      <c r="K52" s="51">
        <v>12384618000</v>
      </c>
      <c r="L52" s="50">
        <v>978794000000</v>
      </c>
      <c r="M52" s="50">
        <v>952657000000</v>
      </c>
      <c r="N52" s="50">
        <v>662860000000</v>
      </c>
      <c r="O52" s="50">
        <v>-484441000000</v>
      </c>
      <c r="P52" s="50">
        <v>0</v>
      </c>
      <c r="Q52" s="52">
        <v>700</v>
      </c>
      <c r="R52" s="49">
        <f t="shared" si="0"/>
        <v>0.75207798192048358</v>
      </c>
      <c r="S52" s="49">
        <f t="shared" si="1"/>
        <v>10.228222805789791</v>
      </c>
      <c r="T52" s="51">
        <f t="shared" si="2"/>
        <v>-2.9894708442652067E-2</v>
      </c>
      <c r="U52" s="51">
        <f t="shared" si="3"/>
        <v>-0.33566444710822252</v>
      </c>
      <c r="V52" s="51">
        <f t="shared" si="4"/>
        <v>-0.4949366260929266</v>
      </c>
      <c r="W52" s="51">
        <f t="shared" si="5"/>
        <v>0</v>
      </c>
      <c r="X52" s="51">
        <f t="shared" si="6"/>
        <v>0</v>
      </c>
      <c r="Y52" s="51">
        <f t="shared" si="7"/>
        <v>-17.89533214571021</v>
      </c>
      <c r="Z52" s="51">
        <f t="shared" si="8"/>
        <v>6.0068267705078195</v>
      </c>
      <c r="AA52" s="52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0">
        <v>1902608000000</v>
      </c>
      <c r="F53" s="50">
        <v>186762189000000</v>
      </c>
      <c r="G53" s="50"/>
      <c r="H53" s="50"/>
      <c r="I53" s="50">
        <v>144822368000000</v>
      </c>
      <c r="J53" s="50">
        <v>41939821000000</v>
      </c>
      <c r="K53" s="51">
        <v>17782400000</v>
      </c>
      <c r="L53" s="50">
        <v>20172187000000</v>
      </c>
      <c r="M53" s="50">
        <v>5931103000000</v>
      </c>
      <c r="N53" s="50">
        <v>13129417000000</v>
      </c>
      <c r="O53" s="50">
        <v>4107068000000</v>
      </c>
      <c r="P53" s="50">
        <v>1341456000000</v>
      </c>
      <c r="Q53" s="52">
        <v>7600</v>
      </c>
      <c r="R53" s="49">
        <f t="shared" si="0"/>
        <v>1.185245113517271</v>
      </c>
      <c r="S53" s="49">
        <f t="shared" si="1"/>
        <v>3.4530993348779435</v>
      </c>
      <c r="T53" s="51">
        <f t="shared" si="2"/>
        <v>2.199089666913253E-2</v>
      </c>
      <c r="U53" s="51">
        <f t="shared" si="3"/>
        <v>9.7927647330683654E-2</v>
      </c>
      <c r="V53" s="51">
        <f t="shared" si="4"/>
        <v>0.2036005317618759</v>
      </c>
      <c r="W53" s="51">
        <f t="shared" si="5"/>
        <v>9.925958724415861E-3</v>
      </c>
      <c r="X53" s="51">
        <f t="shared" si="6"/>
        <v>0.32662132694175017</v>
      </c>
      <c r="Y53" s="51">
        <f t="shared" si="7"/>
        <v>32.905771221708527</v>
      </c>
      <c r="Z53" s="51">
        <f t="shared" si="8"/>
        <v>3.2223847593436314</v>
      </c>
      <c r="AA53" s="52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0">
        <v>1785994000000</v>
      </c>
      <c r="F54" s="50">
        <v>193533970000000</v>
      </c>
      <c r="G54" s="50"/>
      <c r="H54" s="50"/>
      <c r="I54" s="50">
        <v>148116943000000</v>
      </c>
      <c r="J54" s="50">
        <v>45417027000000</v>
      </c>
      <c r="K54" s="51">
        <v>17782400000</v>
      </c>
      <c r="L54" s="50">
        <v>21970144000000</v>
      </c>
      <c r="M54" s="50">
        <v>7390746000000</v>
      </c>
      <c r="N54" s="50">
        <v>15538521000000</v>
      </c>
      <c r="O54" s="50">
        <v>4240671000000</v>
      </c>
      <c r="P54" s="50">
        <v>1444699000000</v>
      </c>
      <c r="Q54" s="52">
        <v>3950</v>
      </c>
      <c r="R54" s="49">
        <f t="shared" si="0"/>
        <v>1.2269229996192941</v>
      </c>
      <c r="S54" s="49">
        <f t="shared" si="1"/>
        <v>3.2612646133794709</v>
      </c>
      <c r="T54" s="51">
        <f t="shared" si="2"/>
        <v>2.1911765670905217E-2</v>
      </c>
      <c r="U54" s="51">
        <f t="shared" si="3"/>
        <v>9.3371831670091485E-2</v>
      </c>
      <c r="V54" s="51">
        <f t="shared" si="4"/>
        <v>0.19301971803188908</v>
      </c>
      <c r="W54" s="51">
        <f t="shared" si="5"/>
        <v>2.0567897599788609E-2</v>
      </c>
      <c r="X54" s="51">
        <f t="shared" si="6"/>
        <v>0.34067698248696965</v>
      </c>
      <c r="Y54" s="51">
        <f t="shared" si="7"/>
        <v>16.56352968669345</v>
      </c>
      <c r="Z54" s="51">
        <f t="shared" si="8"/>
        <v>1.546567105768504</v>
      </c>
      <c r="AA54" s="52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0">
        <v>2105691000000</v>
      </c>
      <c r="F55" s="50">
        <v>200890068000000</v>
      </c>
      <c r="G55" s="50"/>
      <c r="H55" s="50"/>
      <c r="I55" s="50">
        <v>157314590000000</v>
      </c>
      <c r="J55" s="50">
        <v>43575499000000</v>
      </c>
      <c r="K55" s="51">
        <v>17782400000</v>
      </c>
      <c r="L55" s="50">
        <v>20087555000000</v>
      </c>
      <c r="M55" s="50">
        <v>6363892000000</v>
      </c>
      <c r="N55" s="50">
        <v>15958508000000</v>
      </c>
      <c r="O55" s="50">
        <v>1088942000000</v>
      </c>
      <c r="P55" s="50">
        <v>1916205000000</v>
      </c>
      <c r="Q55" s="52">
        <v>3140</v>
      </c>
      <c r="R55" s="49">
        <f t="shared" si="0"/>
        <v>1.1947155886812533</v>
      </c>
      <c r="S55" s="49">
        <f t="shared" si="1"/>
        <v>3.6101615267790739</v>
      </c>
      <c r="T55" s="51">
        <f t="shared" si="2"/>
        <v>5.4205865468670159E-3</v>
      </c>
      <c r="U55" s="51">
        <f t="shared" si="3"/>
        <v>2.4989776938641597E-2</v>
      </c>
      <c r="V55" s="51">
        <f t="shared" si="4"/>
        <v>5.4209783121937936E-2</v>
      </c>
      <c r="W55" s="51">
        <f t="shared" si="5"/>
        <v>3.4317998100748585E-2</v>
      </c>
      <c r="X55" s="51">
        <f t="shared" si="6"/>
        <v>1.7596942720548936</v>
      </c>
      <c r="Y55" s="51">
        <f t="shared" si="7"/>
        <v>51.276134082439654</v>
      </c>
      <c r="Z55" s="51">
        <f t="shared" si="8"/>
        <v>1.2813791529960448</v>
      </c>
      <c r="AA55" s="52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0">
        <v>77068000000</v>
      </c>
      <c r="F56" s="50">
        <v>9482130000000</v>
      </c>
      <c r="G56" s="50"/>
      <c r="H56" s="50"/>
      <c r="I56" s="50">
        <v>8788732000000</v>
      </c>
      <c r="J56" s="50">
        <v>693398000000</v>
      </c>
      <c r="K56" s="51">
        <v>125693155976</v>
      </c>
      <c r="L56" s="50">
        <v>571662000000</v>
      </c>
      <c r="M56" s="50">
        <v>436252000000</v>
      </c>
      <c r="N56" s="50">
        <v>296067000000</v>
      </c>
      <c r="O56" s="50">
        <v>-100131000000</v>
      </c>
      <c r="P56" s="50">
        <v>0</v>
      </c>
      <c r="Q56" s="52">
        <v>50</v>
      </c>
      <c r="R56" s="49">
        <f t="shared" si="0"/>
        <v>0.96583796160811364</v>
      </c>
      <c r="S56" s="49">
        <f t="shared" si="1"/>
        <v>12.674873593520605</v>
      </c>
      <c r="T56" s="51">
        <f t="shared" si="2"/>
        <v>-1.0559969120862085E-2</v>
      </c>
      <c r="U56" s="51">
        <f t="shared" si="3"/>
        <v>-0.14440624287926992</v>
      </c>
      <c r="V56" s="51">
        <f t="shared" si="4"/>
        <v>-0.17515769808033418</v>
      </c>
      <c r="W56" s="51">
        <f t="shared" si="5"/>
        <v>0</v>
      </c>
      <c r="X56" s="51">
        <f t="shared" si="6"/>
        <v>0</v>
      </c>
      <c r="Y56" s="51">
        <f t="shared" si="7"/>
        <v>-62.764356680748215</v>
      </c>
      <c r="Z56" s="51">
        <f t="shared" si="8"/>
        <v>9.0635649350012546</v>
      </c>
      <c r="AA56" s="52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0">
        <v>65551000000</v>
      </c>
      <c r="F57" s="50">
        <v>8097328000000</v>
      </c>
      <c r="G57" s="50"/>
      <c r="H57" s="50"/>
      <c r="I57" s="50">
        <v>7547795000000</v>
      </c>
      <c r="J57" s="50">
        <v>549533000000</v>
      </c>
      <c r="K57" s="51">
        <v>125693155976</v>
      </c>
      <c r="L57" s="50">
        <v>553871000000</v>
      </c>
      <c r="M57" s="50">
        <v>481024000000</v>
      </c>
      <c r="N57" s="50">
        <v>308662000000</v>
      </c>
      <c r="O57" s="50">
        <v>-137559000000</v>
      </c>
      <c r="P57" s="50">
        <v>0</v>
      </c>
      <c r="Q57" s="52">
        <v>50</v>
      </c>
      <c r="R57" s="49">
        <f t="shared" si="0"/>
        <v>0.92990880117968233</v>
      </c>
      <c r="S57" s="49">
        <f t="shared" si="1"/>
        <v>13.734925837028895</v>
      </c>
      <c r="T57" s="51">
        <f t="shared" si="2"/>
        <v>-1.6988196600162424E-2</v>
      </c>
      <c r="U57" s="51">
        <f t="shared" si="3"/>
        <v>-0.25031981700825973</v>
      </c>
      <c r="V57" s="51">
        <f t="shared" si="4"/>
        <v>-0.24835927499363569</v>
      </c>
      <c r="W57" s="51">
        <f t="shared" si="5"/>
        <v>0</v>
      </c>
      <c r="X57" s="51">
        <f t="shared" si="6"/>
        <v>0</v>
      </c>
      <c r="Y57" s="51">
        <f t="shared" si="7"/>
        <v>-45.686998297457812</v>
      </c>
      <c r="Z57" s="51">
        <f t="shared" si="8"/>
        <v>11.436361053476315</v>
      </c>
      <c r="AA57" s="52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0">
        <v>65323000000</v>
      </c>
      <c r="F58" s="50">
        <v>5337281000000</v>
      </c>
      <c r="G58" s="50"/>
      <c r="H58" s="50"/>
      <c r="I58" s="50">
        <v>3975700000000</v>
      </c>
      <c r="J58" s="50">
        <v>1361581000000</v>
      </c>
      <c r="K58" s="51">
        <v>125693155976</v>
      </c>
      <c r="L58" s="50">
        <v>372209000000</v>
      </c>
      <c r="M58" s="50">
        <v>338465000000</v>
      </c>
      <c r="N58" s="50">
        <v>294640000000</v>
      </c>
      <c r="O58" s="50">
        <v>308158000000</v>
      </c>
      <c r="P58" s="50">
        <v>0</v>
      </c>
      <c r="Q58" s="52">
        <v>98</v>
      </c>
      <c r="R58" s="49">
        <f t="shared" si="0"/>
        <v>1.0360643408707901</v>
      </c>
      <c r="S58" s="49">
        <f t="shared" si="1"/>
        <v>2.9199144230126595</v>
      </c>
      <c r="T58" s="51">
        <f t="shared" si="2"/>
        <v>5.7736888876564675E-2</v>
      </c>
      <c r="U58" s="51">
        <f t="shared" si="3"/>
        <v>0.22632366344712507</v>
      </c>
      <c r="V58" s="51">
        <f t="shared" si="4"/>
        <v>0.82791657375291838</v>
      </c>
      <c r="W58" s="51">
        <f t="shared" si="5"/>
        <v>0</v>
      </c>
      <c r="X58" s="51">
        <f t="shared" si="6"/>
        <v>0</v>
      </c>
      <c r="Y58" s="51">
        <f t="shared" si="7"/>
        <v>39.972771388858959</v>
      </c>
      <c r="Z58" s="51">
        <f t="shared" si="8"/>
        <v>9.046784058860986</v>
      </c>
      <c r="AA58" s="52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0">
        <v>119656000000</v>
      </c>
      <c r="F59" s="50">
        <v>20486926000000</v>
      </c>
      <c r="G59" s="50"/>
      <c r="H59" s="50"/>
      <c r="I59" s="50">
        <v>15814866000000</v>
      </c>
      <c r="J59" s="50">
        <v>4672060000000</v>
      </c>
      <c r="K59" s="51">
        <v>32000000000</v>
      </c>
      <c r="L59" s="50">
        <v>1353059000000</v>
      </c>
      <c r="M59" s="50">
        <v>1050216000000</v>
      </c>
      <c r="N59" s="50">
        <v>2149585000000</v>
      </c>
      <c r="O59" s="50">
        <v>14568000000</v>
      </c>
      <c r="P59" s="50">
        <v>0</v>
      </c>
      <c r="Q59" s="52">
        <v>182</v>
      </c>
      <c r="R59" s="49">
        <f t="shared" si="0"/>
        <v>1.1650528686110904</v>
      </c>
      <c r="S59" s="49">
        <f t="shared" si="1"/>
        <v>3.3849877784103799</v>
      </c>
      <c r="T59" s="51">
        <f t="shared" si="2"/>
        <v>7.1108764682412584E-4</v>
      </c>
      <c r="U59" s="51">
        <f t="shared" si="3"/>
        <v>3.1181106407023882E-3</v>
      </c>
      <c r="V59" s="51">
        <f t="shared" si="4"/>
        <v>1.0766714533512581E-2</v>
      </c>
      <c r="W59" s="51">
        <f t="shared" si="5"/>
        <v>0</v>
      </c>
      <c r="X59" s="51">
        <f t="shared" si="6"/>
        <v>0</v>
      </c>
      <c r="Y59" s="51">
        <f t="shared" si="7"/>
        <v>399.78034047226799</v>
      </c>
      <c r="Z59" s="51">
        <f t="shared" si="8"/>
        <v>1.2465593335702023</v>
      </c>
      <c r="AA59" s="52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0">
        <v>138903000000</v>
      </c>
      <c r="F60" s="50">
        <v>23021785000000</v>
      </c>
      <c r="G60" s="50"/>
      <c r="H60" s="50"/>
      <c r="I60" s="50">
        <v>18332221000000</v>
      </c>
      <c r="J60" s="50">
        <v>4689564000000</v>
      </c>
      <c r="K60" s="51">
        <v>32000000000</v>
      </c>
      <c r="L60" s="50">
        <v>1401513000000</v>
      </c>
      <c r="M60" s="50">
        <v>979937000000</v>
      </c>
      <c r="N60" s="50">
        <v>594032000000</v>
      </c>
      <c r="O60" s="50">
        <v>5277000000</v>
      </c>
      <c r="P60" s="50">
        <v>0</v>
      </c>
      <c r="Q60" s="52">
        <v>180</v>
      </c>
      <c r="R60" s="49">
        <f t="shared" si="0"/>
        <v>1.141149236636412</v>
      </c>
      <c r="S60" s="49">
        <f t="shared" si="1"/>
        <v>3.9091525352889951</v>
      </c>
      <c r="T60" s="51">
        <f t="shared" si="2"/>
        <v>2.2921767360784578E-4</v>
      </c>
      <c r="U60" s="51">
        <f t="shared" si="3"/>
        <v>1.1252645235250015E-3</v>
      </c>
      <c r="V60" s="51">
        <f t="shared" si="4"/>
        <v>3.7652165909270907E-3</v>
      </c>
      <c r="W60" s="51">
        <f t="shared" si="5"/>
        <v>0</v>
      </c>
      <c r="X60" s="51">
        <f t="shared" si="6"/>
        <v>0</v>
      </c>
      <c r="Y60" s="51">
        <f t="shared" si="7"/>
        <v>1091.5292779988629</v>
      </c>
      <c r="Z60" s="51">
        <f t="shared" si="8"/>
        <v>1.2282591729209793</v>
      </c>
      <c r="AA60" s="52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0">
        <v>365906000000</v>
      </c>
      <c r="F61" s="50">
        <v>18297700000000</v>
      </c>
      <c r="G61" s="50"/>
      <c r="H61" s="50"/>
      <c r="I61" s="50">
        <v>14185258000000</v>
      </c>
      <c r="J61" s="50">
        <v>4112442000000</v>
      </c>
      <c r="K61" s="51">
        <v>32000000000</v>
      </c>
      <c r="L61" s="50">
        <v>1233605000000</v>
      </c>
      <c r="M61" s="50">
        <v>971493000000</v>
      </c>
      <c r="N61" s="50">
        <v>663981000000</v>
      </c>
      <c r="O61" s="50">
        <v>-422168000000</v>
      </c>
      <c r="P61" s="50">
        <v>0</v>
      </c>
      <c r="Q61" s="52">
        <v>106</v>
      </c>
      <c r="R61" s="49">
        <f t="shared" si="0"/>
        <v>1.1311008231221455</v>
      </c>
      <c r="S61" s="49">
        <f t="shared" si="1"/>
        <v>3.4493515045318572</v>
      </c>
      <c r="T61" s="51">
        <f t="shared" si="2"/>
        <v>-2.3072189400853659E-2</v>
      </c>
      <c r="U61" s="51">
        <f t="shared" si="3"/>
        <v>-0.1026562806235322</v>
      </c>
      <c r="V61" s="51">
        <f t="shared" si="4"/>
        <v>-0.34222299682637475</v>
      </c>
      <c r="W61" s="51">
        <f t="shared" si="5"/>
        <v>0</v>
      </c>
      <c r="X61" s="51">
        <f t="shared" si="6"/>
        <v>0</v>
      </c>
      <c r="Y61" s="51">
        <f t="shared" si="7"/>
        <v>-8.0347160372174109</v>
      </c>
      <c r="Z61" s="51">
        <f t="shared" si="8"/>
        <v>0.82481406424698511</v>
      </c>
      <c r="AA61" s="52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0">
        <v>439337143000</v>
      </c>
      <c r="F62" s="50">
        <v>6694023677000</v>
      </c>
      <c r="G62" s="50"/>
      <c r="H62" s="50"/>
      <c r="I62" s="50">
        <v>5493283082000</v>
      </c>
      <c r="J62" s="50">
        <v>1200740595000</v>
      </c>
      <c r="K62" s="51">
        <v>12000000000</v>
      </c>
      <c r="L62" s="50">
        <v>511186044000</v>
      </c>
      <c r="M62" s="50">
        <v>276263254000</v>
      </c>
      <c r="N62" s="50">
        <v>196095958000</v>
      </c>
      <c r="O62" s="50">
        <v>71013866000</v>
      </c>
      <c r="P62" s="50">
        <v>35547692000</v>
      </c>
      <c r="Q62" s="52">
        <v>368</v>
      </c>
      <c r="R62" s="49">
        <f t="shared" si="0"/>
        <v>1.1098902226571983</v>
      </c>
      <c r="S62" s="49">
        <f t="shared" si="1"/>
        <v>4.5749124372696004</v>
      </c>
      <c r="T62" s="51">
        <f t="shared" si="2"/>
        <v>1.0608547179777177E-2</v>
      </c>
      <c r="U62" s="51">
        <f t="shared" si="3"/>
        <v>5.9141721613901126E-2</v>
      </c>
      <c r="V62" s="51">
        <f t="shared" si="4"/>
        <v>0.13891980587795547</v>
      </c>
      <c r="W62" s="51">
        <f t="shared" si="5"/>
        <v>8.0497490942028991E-3</v>
      </c>
      <c r="X62" s="51">
        <f t="shared" si="6"/>
        <v>0.50057395833089835</v>
      </c>
      <c r="Y62" s="51">
        <f t="shared" si="7"/>
        <v>62.185038623302106</v>
      </c>
      <c r="Z62" s="51">
        <f t="shared" si="8"/>
        <v>3.6777302428090222</v>
      </c>
      <c r="AA62" s="52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0">
        <v>438379326000</v>
      </c>
      <c r="F63" s="50">
        <v>7569580138000</v>
      </c>
      <c r="G63" s="50"/>
      <c r="H63" s="50"/>
      <c r="I63" s="50">
        <v>6340648554000</v>
      </c>
      <c r="J63" s="50">
        <v>1228931584000</v>
      </c>
      <c r="K63" s="51">
        <v>12000000000</v>
      </c>
      <c r="L63" s="50">
        <v>595200789000</v>
      </c>
      <c r="M63" s="50">
        <v>354239522000</v>
      </c>
      <c r="N63" s="50">
        <v>197195767000</v>
      </c>
      <c r="O63" s="50">
        <v>59746814000</v>
      </c>
      <c r="P63" s="50">
        <v>35547692000</v>
      </c>
      <c r="Q63" s="52">
        <v>358</v>
      </c>
      <c r="R63" s="49">
        <f t="shared" si="0"/>
        <v>1.1046393251967013</v>
      </c>
      <c r="S63" s="49">
        <f t="shared" si="1"/>
        <v>5.1594805085585627</v>
      </c>
      <c r="T63" s="51">
        <f t="shared" si="2"/>
        <v>7.8930155848493371E-3</v>
      </c>
      <c r="U63" s="51">
        <f t="shared" si="3"/>
        <v>4.861687564862846E-2</v>
      </c>
      <c r="V63" s="51">
        <f t="shared" si="4"/>
        <v>0.1003809388431439</v>
      </c>
      <c r="W63" s="51">
        <f t="shared" si="5"/>
        <v>8.2746024208566107E-3</v>
      </c>
      <c r="X63" s="51">
        <f t="shared" si="6"/>
        <v>0.59497217709382799</v>
      </c>
      <c r="Y63" s="51">
        <f t="shared" si="7"/>
        <v>71.903415636522482</v>
      </c>
      <c r="Z63" s="51">
        <f t="shared" si="8"/>
        <v>3.4957194167124603</v>
      </c>
      <c r="AA63" s="52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0">
        <v>433371108000</v>
      </c>
      <c r="F64" s="50">
        <v>10110519691000</v>
      </c>
      <c r="G64" s="50"/>
      <c r="H64" s="50"/>
      <c r="I64" s="50">
        <v>8826257598000</v>
      </c>
      <c r="J64" s="50">
        <v>1284262093000</v>
      </c>
      <c r="K64" s="51">
        <v>12000000000</v>
      </c>
      <c r="L64" s="50">
        <v>630419914000</v>
      </c>
      <c r="M64" s="50">
        <v>401285815000</v>
      </c>
      <c r="N64" s="50">
        <v>209895189000</v>
      </c>
      <c r="O64" s="50">
        <v>66986471000</v>
      </c>
      <c r="P64" s="50">
        <v>0</v>
      </c>
      <c r="Q64" s="52">
        <v>430</v>
      </c>
      <c r="R64" s="49">
        <f t="shared" si="0"/>
        <v>1.0573443398156301</v>
      </c>
      <c r="S64" s="49">
        <f t="shared" si="1"/>
        <v>6.8726295404251259</v>
      </c>
      <c r="T64" s="51">
        <f t="shared" si="2"/>
        <v>6.6254231283114761E-3</v>
      </c>
      <c r="U64" s="51">
        <f t="shared" si="3"/>
        <v>5.2159501837760774E-2</v>
      </c>
      <c r="V64" s="51">
        <f t="shared" si="4"/>
        <v>0.10625690831206833</v>
      </c>
      <c r="W64" s="51">
        <f t="shared" si="5"/>
        <v>0</v>
      </c>
      <c r="X64" s="51">
        <f t="shared" si="6"/>
        <v>0</v>
      </c>
      <c r="Y64" s="51">
        <f t="shared" si="7"/>
        <v>77.030479781506926</v>
      </c>
      <c r="Z64" s="51">
        <f t="shared" si="8"/>
        <v>4.017871451727105</v>
      </c>
      <c r="AA64" s="52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0">
        <v>38442696000000</v>
      </c>
      <c r="F65" s="50">
        <v>1202252094000000</v>
      </c>
      <c r="G65" s="50"/>
      <c r="H65" s="50"/>
      <c r="I65" s="50">
        <v>941953100000000</v>
      </c>
      <c r="J65" s="50">
        <v>184960305000000</v>
      </c>
      <c r="K65" s="51">
        <v>32000000000</v>
      </c>
      <c r="L65" s="50">
        <v>91335057000000</v>
      </c>
      <c r="M65" s="50">
        <v>34005292000000</v>
      </c>
      <c r="N65" s="50">
        <v>37566139000000</v>
      </c>
      <c r="O65" s="50">
        <v>25851937000000</v>
      </c>
      <c r="P65" s="50">
        <v>9287857000000</v>
      </c>
      <c r="Q65" s="52">
        <v>7375</v>
      </c>
      <c r="R65" s="49">
        <f t="shared" si="0"/>
        <v>1.2026858640838913</v>
      </c>
      <c r="S65" s="49">
        <f t="shared" si="1"/>
        <v>5.0927311133056357</v>
      </c>
      <c r="T65" s="51">
        <f t="shared" si="2"/>
        <v>2.1502925325742873E-2</v>
      </c>
      <c r="U65" s="51">
        <f t="shared" si="3"/>
        <v>0.13977019014971889</v>
      </c>
      <c r="V65" s="51">
        <f t="shared" si="4"/>
        <v>0.28304506340867558</v>
      </c>
      <c r="W65" s="51">
        <f t="shared" si="5"/>
        <v>3.9355326271186437E-2</v>
      </c>
      <c r="X65" s="51">
        <f t="shared" si="6"/>
        <v>0.35927122211384005</v>
      </c>
      <c r="Y65" s="51">
        <f t="shared" si="7"/>
        <v>9.1289097602241558</v>
      </c>
      <c r="Z65" s="51">
        <f t="shared" si="8"/>
        <v>1.275949453046155</v>
      </c>
      <c r="AA65" s="52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0">
        <v>44612199000000</v>
      </c>
      <c r="F66" s="50">
        <v>1318246335000000</v>
      </c>
      <c r="G66" s="50"/>
      <c r="H66" s="50"/>
      <c r="I66" s="50">
        <v>1025749580000000</v>
      </c>
      <c r="J66" s="50">
        <v>209034525000000</v>
      </c>
      <c r="K66" s="51">
        <v>64000000000</v>
      </c>
      <c r="L66" s="50">
        <v>102638740000000</v>
      </c>
      <c r="M66" s="50">
        <v>41391049000000</v>
      </c>
      <c r="N66" s="50">
        <v>40086241000000</v>
      </c>
      <c r="O66" s="50">
        <v>28455592000000</v>
      </c>
      <c r="P66" s="50">
        <v>11256759000000</v>
      </c>
      <c r="Q66" s="52">
        <v>7675</v>
      </c>
      <c r="R66" s="49">
        <f t="shared" si="0"/>
        <v>1.2135670852529132</v>
      </c>
      <c r="S66" s="49">
        <f t="shared" si="1"/>
        <v>4.9070821195685257</v>
      </c>
      <c r="T66" s="51">
        <f t="shared" si="2"/>
        <v>2.1585944329592998E-2</v>
      </c>
      <c r="U66" s="51">
        <f t="shared" si="3"/>
        <v>0.13612867061075198</v>
      </c>
      <c r="V66" s="51">
        <f t="shared" si="4"/>
        <v>0.27724027009684649</v>
      </c>
      <c r="W66" s="51">
        <f t="shared" si="5"/>
        <v>2.291685464169381E-2</v>
      </c>
      <c r="X66" s="51">
        <f t="shared" si="6"/>
        <v>0.39559039924384637</v>
      </c>
      <c r="Y66" s="51">
        <f t="shared" si="7"/>
        <v>17.261984920222361</v>
      </c>
      <c r="Z66" s="51">
        <f t="shared" si="8"/>
        <v>2.3498510592927175</v>
      </c>
      <c r="AA66" s="52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0">
        <v>46728153000000</v>
      </c>
      <c r="F67" s="50">
        <v>1429334484000000</v>
      </c>
      <c r="G67" s="50"/>
      <c r="H67" s="50"/>
      <c r="I67" s="50">
        <v>1151267847000000</v>
      </c>
      <c r="J67" s="50">
        <v>193796083000000</v>
      </c>
      <c r="K67" s="51">
        <v>64000000000</v>
      </c>
      <c r="L67" s="50">
        <v>100211477000000</v>
      </c>
      <c r="M67" s="50">
        <v>42189633000000</v>
      </c>
      <c r="N67" s="50">
        <v>40646791000000</v>
      </c>
      <c r="O67" s="50">
        <v>17645624000000</v>
      </c>
      <c r="P67" s="50">
        <v>16489280000000</v>
      </c>
      <c r="Q67" s="52">
        <v>6325</v>
      </c>
      <c r="R67" s="49">
        <f t="shared" si="0"/>
        <v>1.1671641178041168</v>
      </c>
      <c r="S67" s="49">
        <f t="shared" si="1"/>
        <v>5.9406146356425582</v>
      </c>
      <c r="T67" s="51">
        <f t="shared" si="2"/>
        <v>1.2345342673478799E-2</v>
      </c>
      <c r="U67" s="51">
        <f t="shared" si="3"/>
        <v>9.1052531748022997E-2</v>
      </c>
      <c r="V67" s="51">
        <f t="shared" si="4"/>
        <v>0.17608386312877117</v>
      </c>
      <c r="W67" s="51">
        <f t="shared" si="5"/>
        <v>4.0734387351778652E-2</v>
      </c>
      <c r="X67" s="51">
        <f t="shared" si="6"/>
        <v>0.93446851185313706</v>
      </c>
      <c r="Y67" s="51">
        <f t="shared" si="7"/>
        <v>22.940531884845782</v>
      </c>
      <c r="Z67" s="51">
        <f t="shared" si="8"/>
        <v>2.0887935077614546</v>
      </c>
      <c r="AA67" s="52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0">
        <v>788081883230</v>
      </c>
      <c r="F68" s="50">
        <v>7297273467260</v>
      </c>
      <c r="G68" s="50"/>
      <c r="H68" s="50"/>
      <c r="I68" s="50">
        <v>5802518829966</v>
      </c>
      <c r="J68" s="50">
        <v>1494754637294</v>
      </c>
      <c r="K68" s="51">
        <v>8000000000</v>
      </c>
      <c r="L68" s="50">
        <v>645259846041</v>
      </c>
      <c r="M68" s="50">
        <v>311140279900</v>
      </c>
      <c r="N68" s="50">
        <v>244105811984</v>
      </c>
      <c r="O68" s="50">
        <v>92897864488</v>
      </c>
      <c r="P68" s="50">
        <v>23100000000</v>
      </c>
      <c r="Q68" s="52">
        <v>278</v>
      </c>
      <c r="R68" s="49">
        <f t="shared" si="0"/>
        <v>1.1101521381089159</v>
      </c>
      <c r="S68" s="49">
        <f t="shared" si="1"/>
        <v>3.8819206076995201</v>
      </c>
      <c r="T68" s="51">
        <f t="shared" si="2"/>
        <v>1.2730489669161535E-2</v>
      </c>
      <c r="U68" s="51">
        <f t="shared" si="3"/>
        <v>6.214923986198554E-2</v>
      </c>
      <c r="V68" s="51">
        <f t="shared" si="4"/>
        <v>0.14396969694918416</v>
      </c>
      <c r="W68" s="51">
        <f t="shared" si="5"/>
        <v>1.0386690647482015E-2</v>
      </c>
      <c r="X68" s="51">
        <f t="shared" si="6"/>
        <v>0.24866018317335942</v>
      </c>
      <c r="Y68" s="51">
        <f t="shared" si="7"/>
        <v>23.940270449244647</v>
      </c>
      <c r="Z68" s="51">
        <f t="shared" si="8"/>
        <v>1.4878696105109097</v>
      </c>
      <c r="AA68" s="52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0">
        <v>790755582369</v>
      </c>
      <c r="F69" s="50">
        <v>7607653715376</v>
      </c>
      <c r="G69" s="50"/>
      <c r="H69" s="50"/>
      <c r="I69" s="50">
        <v>6083998151873</v>
      </c>
      <c r="J69" s="50">
        <v>1523655563503</v>
      </c>
      <c r="K69" s="51">
        <v>8000000000</v>
      </c>
      <c r="L69" s="50">
        <v>653036862635</v>
      </c>
      <c r="M69" s="50">
        <v>345037801425</v>
      </c>
      <c r="N69" s="50">
        <v>253248805324</v>
      </c>
      <c r="O69" s="50">
        <v>51167901115</v>
      </c>
      <c r="P69" s="50">
        <v>25410000000</v>
      </c>
      <c r="Q69" s="52">
        <v>322</v>
      </c>
      <c r="R69" s="49">
        <f t="shared" si="0"/>
        <v>1.1076044297147685</v>
      </c>
      <c r="S69" s="49">
        <f t="shared" si="1"/>
        <v>3.993027228467191</v>
      </c>
      <c r="T69" s="51">
        <f t="shared" si="2"/>
        <v>6.7258451855640332E-3</v>
      </c>
      <c r="U69" s="51">
        <f t="shared" si="3"/>
        <v>3.3582328145976184E-2</v>
      </c>
      <c r="V69" s="51">
        <f t="shared" si="4"/>
        <v>7.8353771498499813E-2</v>
      </c>
      <c r="W69" s="51">
        <f t="shared" si="5"/>
        <v>9.864130434782608E-3</v>
      </c>
      <c r="X69" s="51">
        <f t="shared" si="6"/>
        <v>0.49660039685604757</v>
      </c>
      <c r="Y69" s="51">
        <f t="shared" si="7"/>
        <v>50.344062270805928</v>
      </c>
      <c r="Z69" s="51">
        <f t="shared" si="8"/>
        <v>1.6906708193796636</v>
      </c>
      <c r="AA69" s="52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0">
        <v>815641804959</v>
      </c>
      <c r="F70" s="50">
        <v>7637524325854</v>
      </c>
      <c r="G70" s="50"/>
      <c r="H70" s="50"/>
      <c r="I70" s="50">
        <v>6128138202911</v>
      </c>
      <c r="J70" s="50">
        <v>1509386122943</v>
      </c>
      <c r="K70" s="51">
        <v>8000000000</v>
      </c>
      <c r="L70" s="50">
        <v>633832905528</v>
      </c>
      <c r="M70" s="50">
        <v>346829023353</v>
      </c>
      <c r="N70" s="50">
        <v>247615102198</v>
      </c>
      <c r="O70" s="50">
        <v>35053333152</v>
      </c>
      <c r="P70" s="50">
        <v>13282500000</v>
      </c>
      <c r="Q70" s="52">
        <v>378</v>
      </c>
      <c r="R70" s="49">
        <f t="shared" si="0"/>
        <v>1.1012945087829664</v>
      </c>
      <c r="S70" s="49">
        <f t="shared" si="1"/>
        <v>4.0600202358839503</v>
      </c>
      <c r="T70" s="51">
        <f t="shared" si="2"/>
        <v>4.5896198370642136E-3</v>
      </c>
      <c r="U70" s="51">
        <f t="shared" si="3"/>
        <v>2.3223569250559316E-2</v>
      </c>
      <c r="V70" s="51">
        <f t="shared" si="4"/>
        <v>5.5303744640394809E-2</v>
      </c>
      <c r="W70" s="51">
        <f t="shared" si="5"/>
        <v>4.3923611111111116E-3</v>
      </c>
      <c r="X70" s="51">
        <f t="shared" si="6"/>
        <v>0.37892259610245238</v>
      </c>
      <c r="Y70" s="51">
        <f t="shared" si="7"/>
        <v>86.268543618582044</v>
      </c>
      <c r="Z70" s="51">
        <f t="shared" si="8"/>
        <v>2.0034634968710372</v>
      </c>
      <c r="AA70" s="52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0">
        <v>5453282000000</v>
      </c>
      <c r="F71" s="50">
        <v>266781498000000</v>
      </c>
      <c r="G71" s="50"/>
      <c r="H71" s="50"/>
      <c r="I71" s="50">
        <v>227200919000000</v>
      </c>
      <c r="J71" s="50">
        <v>39580579000000</v>
      </c>
      <c r="K71" s="51">
        <v>50886460336</v>
      </c>
      <c r="L71" s="50">
        <v>20293247000000</v>
      </c>
      <c r="M71" s="50">
        <v>8281516000000</v>
      </c>
      <c r="N71" s="50">
        <v>8004128000000</v>
      </c>
      <c r="O71" s="50">
        <v>3482428000000</v>
      </c>
      <c r="P71" s="50">
        <v>595420000000</v>
      </c>
      <c r="Q71" s="52">
        <v>915</v>
      </c>
      <c r="R71" s="49">
        <f t="shared" si="0"/>
        <v>1.0554547800926808</v>
      </c>
      <c r="S71" s="49">
        <f t="shared" si="1"/>
        <v>5.7402121126120971</v>
      </c>
      <c r="T71" s="51">
        <f t="shared" si="2"/>
        <v>1.3053483941378874E-2</v>
      </c>
      <c r="U71" s="51">
        <f t="shared" si="3"/>
        <v>8.7983250573469382E-2</v>
      </c>
      <c r="V71" s="51">
        <f t="shared" si="4"/>
        <v>0.17160526356378553</v>
      </c>
      <c r="W71" s="51">
        <f t="shared" si="5"/>
        <v>1.2787925042151009E-2</v>
      </c>
      <c r="X71" s="51">
        <f t="shared" si="6"/>
        <v>0.17097840931671809</v>
      </c>
      <c r="Y71" s="51">
        <f t="shared" si="7"/>
        <v>13.370301182806937</v>
      </c>
      <c r="Z71" s="51">
        <f t="shared" si="8"/>
        <v>1.1763625592096567</v>
      </c>
      <c r="AA71" s="52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0">
        <v>6248281000000</v>
      </c>
      <c r="F72" s="50">
        <v>274467227000000</v>
      </c>
      <c r="G72" s="50"/>
      <c r="H72" s="50"/>
      <c r="I72" s="50">
        <v>231173061000000</v>
      </c>
      <c r="J72" s="50">
        <v>43294166000000</v>
      </c>
      <c r="K72" s="51">
        <v>50886460336</v>
      </c>
      <c r="L72" s="50">
        <v>21689486000000</v>
      </c>
      <c r="M72" s="50">
        <v>9121468000000</v>
      </c>
      <c r="N72" s="50">
        <v>8634364000000</v>
      </c>
      <c r="O72" s="50">
        <v>3642935000000</v>
      </c>
      <c r="P72" s="50">
        <v>696485000000</v>
      </c>
      <c r="Q72" s="52">
        <v>965</v>
      </c>
      <c r="R72" s="49">
        <f t="shared" si="0"/>
        <v>1.1719617667735083</v>
      </c>
      <c r="S72" s="49">
        <f t="shared" si="1"/>
        <v>5.3395891954588057</v>
      </c>
      <c r="T72" s="51">
        <f t="shared" si="2"/>
        <v>1.3272750411108281E-2</v>
      </c>
      <c r="U72" s="51">
        <f t="shared" si="3"/>
        <v>8.4143785100283489E-2</v>
      </c>
      <c r="V72" s="51">
        <f t="shared" si="4"/>
        <v>0.16795856757509145</v>
      </c>
      <c r="W72" s="51">
        <f t="shared" si="5"/>
        <v>1.418346077176511E-2</v>
      </c>
      <c r="X72" s="51">
        <f t="shared" si="6"/>
        <v>0.19118787461209164</v>
      </c>
      <c r="Y72" s="51">
        <f t="shared" si="7"/>
        <v>13.479635026219244</v>
      </c>
      <c r="Z72" s="51">
        <f t="shared" si="8"/>
        <v>1.1342275128764463</v>
      </c>
      <c r="AA72" s="52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0">
        <v>6989721000000</v>
      </c>
      <c r="F73" s="50">
        <v>280943605000000</v>
      </c>
      <c r="G73" s="50"/>
      <c r="H73" s="50"/>
      <c r="I73" s="50">
        <v>239890554000000</v>
      </c>
      <c r="J73" s="50">
        <v>41053051000000</v>
      </c>
      <c r="K73" s="51">
        <v>50886460336</v>
      </c>
      <c r="L73" s="50">
        <v>20703099000000</v>
      </c>
      <c r="M73" s="50">
        <v>8232581000000</v>
      </c>
      <c r="N73" s="50">
        <v>8100784000000</v>
      </c>
      <c r="O73" s="50">
        <v>2011254000000</v>
      </c>
      <c r="P73" s="50">
        <v>1392161000000</v>
      </c>
      <c r="Q73" s="52">
        <v>995</v>
      </c>
      <c r="R73" s="49">
        <f t="shared" si="0"/>
        <v>1.0908595633990656</v>
      </c>
      <c r="S73" s="49">
        <f t="shared" si="1"/>
        <v>5.8434281534885191</v>
      </c>
      <c r="T73" s="51">
        <f t="shared" si="2"/>
        <v>7.1589242972802314E-3</v>
      </c>
      <c r="U73" s="51">
        <f t="shared" si="3"/>
        <v>4.899158408470055E-2</v>
      </c>
      <c r="V73" s="51">
        <f t="shared" si="4"/>
        <v>9.7147485021445337E-2</v>
      </c>
      <c r="W73" s="51">
        <f t="shared" si="5"/>
        <v>2.7495659448133283E-2</v>
      </c>
      <c r="X73" s="51">
        <f t="shared" si="6"/>
        <v>0.69218557178755147</v>
      </c>
      <c r="Y73" s="51">
        <f t="shared" si="7"/>
        <v>25.174357905227289</v>
      </c>
      <c r="Z73" s="51">
        <f t="shared" si="8"/>
        <v>1.2333316720922887</v>
      </c>
      <c r="AA73" s="52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0">
        <v>2926594000000</v>
      </c>
      <c r="F74" s="50">
        <v>177532858000000</v>
      </c>
      <c r="G74" s="50"/>
      <c r="H74" s="50"/>
      <c r="I74" s="50">
        <v>152442167000000</v>
      </c>
      <c r="J74" s="50">
        <v>25090691000000</v>
      </c>
      <c r="K74" s="51">
        <v>476608857231</v>
      </c>
      <c r="L74" s="50">
        <v>14790035000000</v>
      </c>
      <c r="M74" s="50">
        <v>6690157000000</v>
      </c>
      <c r="N74" s="50">
        <v>7333658000000</v>
      </c>
      <c r="O74" s="50">
        <v>2262245000000</v>
      </c>
      <c r="P74" s="50">
        <v>377734000000</v>
      </c>
      <c r="Q74" s="52">
        <v>206</v>
      </c>
      <c r="R74" s="49">
        <f t="shared" si="0"/>
        <v>1.1127760208236872</v>
      </c>
      <c r="S74" s="49">
        <f t="shared" si="1"/>
        <v>6.0756464220136461</v>
      </c>
      <c r="T74" s="51">
        <f t="shared" si="2"/>
        <v>1.2742683385404633E-2</v>
      </c>
      <c r="U74" s="51">
        <f t="shared" si="3"/>
        <v>9.0162722102791026E-2</v>
      </c>
      <c r="V74" s="51">
        <f t="shared" si="4"/>
        <v>0.15295737974927037</v>
      </c>
      <c r="W74" s="51">
        <f t="shared" si="5"/>
        <v>3.8473061638592872E-3</v>
      </c>
      <c r="X74" s="51">
        <f t="shared" si="6"/>
        <v>0.16697307320825108</v>
      </c>
      <c r="Y74" s="51">
        <f t="shared" si="7"/>
        <v>43.399996282270934</v>
      </c>
      <c r="Z74" s="51">
        <f t="shared" si="8"/>
        <v>3.9130618040605576</v>
      </c>
      <c r="AA74" s="52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0">
        <v>2927444000000</v>
      </c>
      <c r="F75" s="50">
        <v>169082830000000</v>
      </c>
      <c r="G75" s="50"/>
      <c r="H75" s="50"/>
      <c r="I75" s="50">
        <v>142397914000000</v>
      </c>
      <c r="J75" s="50">
        <v>26684916000000</v>
      </c>
      <c r="K75" s="51">
        <v>476608857231</v>
      </c>
      <c r="L75" s="50">
        <v>15479869000000</v>
      </c>
      <c r="M75" s="50">
        <v>7311894000000</v>
      </c>
      <c r="N75" s="50">
        <v>8178275000000</v>
      </c>
      <c r="O75" s="50">
        <v>1924180000000</v>
      </c>
      <c r="P75" s="50">
        <v>524096000000</v>
      </c>
      <c r="Q75" s="52">
        <v>206</v>
      </c>
      <c r="R75" s="49">
        <f t="shared" si="0"/>
        <v>1.1328750223124757</v>
      </c>
      <c r="S75" s="49">
        <f t="shared" si="1"/>
        <v>5.3362698986948285</v>
      </c>
      <c r="T75" s="51">
        <f t="shared" si="2"/>
        <v>1.1380102876205703E-2</v>
      </c>
      <c r="U75" s="51">
        <f t="shared" si="3"/>
        <v>7.2107403298552641E-2</v>
      </c>
      <c r="V75" s="51">
        <f t="shared" si="4"/>
        <v>0.12430208550214475</v>
      </c>
      <c r="W75" s="51">
        <f t="shared" si="5"/>
        <v>5.3380362139865542E-3</v>
      </c>
      <c r="X75" s="51">
        <f t="shared" si="6"/>
        <v>0.27237368645345028</v>
      </c>
      <c r="Y75" s="51">
        <f t="shared" si="7"/>
        <v>51.025072804823871</v>
      </c>
      <c r="Z75" s="51">
        <f t="shared" si="8"/>
        <v>3.679285503075445</v>
      </c>
      <c r="AA75" s="52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0">
        <v>3479263000000</v>
      </c>
      <c r="F76" s="50">
        <v>173224412000000</v>
      </c>
      <c r="G76" s="50"/>
      <c r="H76" s="50"/>
      <c r="I76" s="50">
        <v>146000782000000</v>
      </c>
      <c r="J76" s="50">
        <v>27223630000000</v>
      </c>
      <c r="K76" s="51">
        <v>476608857231</v>
      </c>
      <c r="L76" s="50">
        <v>12826683000000</v>
      </c>
      <c r="M76" s="50">
        <v>5566873000000</v>
      </c>
      <c r="N76" s="50">
        <v>7793430000000</v>
      </c>
      <c r="O76" s="50">
        <v>1254392000000</v>
      </c>
      <c r="P76" s="50">
        <v>392907000000</v>
      </c>
      <c r="Q76" s="52">
        <v>346</v>
      </c>
      <c r="R76" s="49">
        <f t="shared" si="0"/>
        <v>1.131544583096822</v>
      </c>
      <c r="S76" s="49">
        <f t="shared" si="1"/>
        <v>5.3630166880757635</v>
      </c>
      <c r="T76" s="51">
        <f t="shared" si="2"/>
        <v>7.2414273803394404E-3</v>
      </c>
      <c r="U76" s="51">
        <f t="shared" si="3"/>
        <v>4.6077323266588623E-2</v>
      </c>
      <c r="V76" s="51">
        <f t="shared" si="4"/>
        <v>9.7795509563930128E-2</v>
      </c>
      <c r="W76" s="51">
        <f t="shared" si="5"/>
        <v>2.3826023099093783E-3</v>
      </c>
      <c r="X76" s="51">
        <f t="shared" si="6"/>
        <v>0.31322505245569165</v>
      </c>
      <c r="Y76" s="51">
        <f t="shared" si="7"/>
        <v>131.46342180269485</v>
      </c>
      <c r="Z76" s="51">
        <f t="shared" si="8"/>
        <v>6.0574825841346653</v>
      </c>
      <c r="AA76" s="52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0">
        <v>2552305000000</v>
      </c>
      <c r="F77" s="50">
        <v>152892866000000</v>
      </c>
      <c r="G77" s="50"/>
      <c r="H77" s="50"/>
      <c r="I77" s="50">
        <v>130440930000000</v>
      </c>
      <c r="J77" s="50">
        <v>22451936000000</v>
      </c>
      <c r="K77" s="51">
        <v>97338856834</v>
      </c>
      <c r="L77" s="50">
        <v>11080952000000</v>
      </c>
      <c r="M77" s="50">
        <v>5680767000000</v>
      </c>
      <c r="N77" s="50">
        <v>4465833000000</v>
      </c>
      <c r="O77" s="50">
        <v>901252000000</v>
      </c>
      <c r="P77" s="50"/>
      <c r="Q77" s="52">
        <v>625</v>
      </c>
      <c r="R77" s="49">
        <f t="shared" si="0"/>
        <v>1.0823048026413182</v>
      </c>
      <c r="S77" s="49">
        <f t="shared" si="1"/>
        <v>5.8097854011342269</v>
      </c>
      <c r="T77" s="51">
        <f t="shared" si="2"/>
        <v>5.8946635221031173E-3</v>
      </c>
      <c r="U77" s="51">
        <f t="shared" si="3"/>
        <v>4.0141393597416274E-2</v>
      </c>
      <c r="V77" s="51">
        <f t="shared" si="4"/>
        <v>8.1333444996422685E-2</v>
      </c>
      <c r="W77" s="51">
        <f t="shared" si="5"/>
        <v>0</v>
      </c>
      <c r="X77" s="51">
        <f t="shared" si="6"/>
        <v>0</v>
      </c>
      <c r="Y77" s="51">
        <f t="shared" si="7"/>
        <v>67.502524844605063</v>
      </c>
      <c r="Z77" s="51">
        <f t="shared" si="8"/>
        <v>2.7096454186066627</v>
      </c>
      <c r="AA77" s="52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0">
        <v>2451459000000</v>
      </c>
      <c r="F78" s="50">
        <v>161451259000000</v>
      </c>
      <c r="G78" s="50"/>
      <c r="H78" s="50"/>
      <c r="I78" s="50">
        <v>137413908000000</v>
      </c>
      <c r="J78" s="50">
        <v>24037351000000</v>
      </c>
      <c r="K78" s="51">
        <v>97338856834</v>
      </c>
      <c r="L78" s="50">
        <v>11742063000000</v>
      </c>
      <c r="M78" s="50">
        <v>6021095000000</v>
      </c>
      <c r="N78" s="50">
        <v>4737632000000</v>
      </c>
      <c r="O78" s="50">
        <v>1500420000000</v>
      </c>
      <c r="P78" s="50"/>
      <c r="Q78" s="52">
        <v>1265</v>
      </c>
      <c r="R78" s="49">
        <f t="shared" si="0"/>
        <v>1.0941817912638072</v>
      </c>
      <c r="S78" s="49">
        <f t="shared" si="1"/>
        <v>5.7166826743928647</v>
      </c>
      <c r="T78" s="51">
        <f t="shared" si="2"/>
        <v>9.2933310603666459E-3</v>
      </c>
      <c r="U78" s="51">
        <f t="shared" si="3"/>
        <v>6.2420355720561718E-2</v>
      </c>
      <c r="V78" s="51">
        <f t="shared" si="4"/>
        <v>0.1277816342835156</v>
      </c>
      <c r="W78" s="51">
        <f t="shared" si="5"/>
        <v>0</v>
      </c>
      <c r="X78" s="51">
        <f t="shared" si="6"/>
        <v>0</v>
      </c>
      <c r="Y78" s="51">
        <f t="shared" si="7"/>
        <v>82.066124081930397</v>
      </c>
      <c r="Z78" s="51">
        <f t="shared" si="8"/>
        <v>5.1225966578018518</v>
      </c>
      <c r="AA78" s="52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0">
        <v>3073596000000</v>
      </c>
      <c r="F79" s="50">
        <v>197726097000000</v>
      </c>
      <c r="G79" s="50"/>
      <c r="H79" s="50"/>
      <c r="I79" s="50">
        <v>162654644000000</v>
      </c>
      <c r="J79" s="50">
        <v>35071453000000</v>
      </c>
      <c r="K79" s="51">
        <v>117338856834</v>
      </c>
      <c r="L79" s="50">
        <v>11923778000000</v>
      </c>
      <c r="M79" s="50">
        <v>5291988000000</v>
      </c>
      <c r="N79" s="50">
        <v>5076563000000</v>
      </c>
      <c r="O79" s="50">
        <v>721587000000</v>
      </c>
      <c r="P79" s="50"/>
      <c r="Q79" s="52">
        <v>3020</v>
      </c>
      <c r="R79" s="49">
        <f t="shared" si="0"/>
        <v>1.1459131102337292</v>
      </c>
      <c r="S79" s="49">
        <f t="shared" si="1"/>
        <v>4.6378073928103296</v>
      </c>
      <c r="T79" s="51">
        <f t="shared" si="2"/>
        <v>3.6494272174906685E-3</v>
      </c>
      <c r="U79" s="51">
        <f t="shared" si="3"/>
        <v>2.0574767746292119E-2</v>
      </c>
      <c r="V79" s="51">
        <f t="shared" si="4"/>
        <v>6.0516641621472654E-2</v>
      </c>
      <c r="W79" s="51">
        <f t="shared" si="5"/>
        <v>0</v>
      </c>
      <c r="X79" s="51">
        <f t="shared" si="6"/>
        <v>0</v>
      </c>
      <c r="Y79" s="51">
        <f t="shared" si="7"/>
        <v>491.08887443742748</v>
      </c>
      <c r="Z79" s="51">
        <f t="shared" si="8"/>
        <v>10.104039534338083</v>
      </c>
      <c r="AA79" s="52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0">
        <v>1211744000000</v>
      </c>
      <c r="F80" s="50">
        <v>30748742000000</v>
      </c>
      <c r="G80" s="50"/>
      <c r="H80" s="50"/>
      <c r="I80" s="50">
        <v>23532846000000</v>
      </c>
      <c r="J80" s="50">
        <v>4856420000000</v>
      </c>
      <c r="K80" s="51">
        <v>60000000000</v>
      </c>
      <c r="L80" s="50">
        <v>3085519000000</v>
      </c>
      <c r="M80" s="50">
        <v>919577000000</v>
      </c>
      <c r="N80" s="50">
        <v>781734000000</v>
      </c>
      <c r="O80" s="50">
        <v>50472000000</v>
      </c>
      <c r="P80" s="50"/>
      <c r="Q80" s="52">
        <v>550</v>
      </c>
      <c r="R80" s="49">
        <f t="shared" si="0"/>
        <v>1.1735896712195371</v>
      </c>
      <c r="S80" s="49">
        <f t="shared" si="1"/>
        <v>4.8457188628660619</v>
      </c>
      <c r="T80" s="51">
        <f t="shared" si="2"/>
        <v>1.6414330056169451E-3</v>
      </c>
      <c r="U80" s="51">
        <f t="shared" si="3"/>
        <v>1.0392840816898044E-2</v>
      </c>
      <c r="V80" s="51">
        <f t="shared" si="4"/>
        <v>1.6357701897152473E-2</v>
      </c>
      <c r="W80" s="51">
        <f t="shared" si="5"/>
        <v>0</v>
      </c>
      <c r="X80" s="51">
        <f t="shared" si="6"/>
        <v>0</v>
      </c>
      <c r="Y80" s="51">
        <f t="shared" si="7"/>
        <v>653.82786495482651</v>
      </c>
      <c r="Z80" s="51">
        <f t="shared" si="8"/>
        <v>6.795128922127823</v>
      </c>
      <c r="AA80" s="52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0">
        <v>1399242000000</v>
      </c>
      <c r="F81" s="50">
        <v>36559556000000</v>
      </c>
      <c r="G81" s="50"/>
      <c r="H81" s="50"/>
      <c r="I81" s="50">
        <v>26385919000000</v>
      </c>
      <c r="J81" s="50">
        <v>6074463000000</v>
      </c>
      <c r="K81" s="51">
        <v>60000000000</v>
      </c>
      <c r="L81" s="50">
        <v>3360860000000</v>
      </c>
      <c r="M81" s="50">
        <v>1150357000000</v>
      </c>
      <c r="N81" s="50">
        <v>987162000000</v>
      </c>
      <c r="O81" s="50">
        <v>6752000000</v>
      </c>
      <c r="P81" s="50"/>
      <c r="Q81" s="52">
        <v>585</v>
      </c>
      <c r="R81" s="49">
        <f t="shared" si="0"/>
        <v>1.2001660810070705</v>
      </c>
      <c r="S81" s="49">
        <f t="shared" si="1"/>
        <v>4.3437451178812019</v>
      </c>
      <c r="T81" s="51">
        <f t="shared" si="2"/>
        <v>1.8468495623962173E-4</v>
      </c>
      <c r="U81" s="51">
        <f t="shared" si="3"/>
        <v>1.1115385837398302E-3</v>
      </c>
      <c r="V81" s="51">
        <f t="shared" si="4"/>
        <v>2.0090095987336577E-3</v>
      </c>
      <c r="W81" s="51">
        <f t="shared" si="5"/>
        <v>0</v>
      </c>
      <c r="X81" s="51">
        <f t="shared" si="6"/>
        <v>0</v>
      </c>
      <c r="Y81" s="51">
        <f t="shared" si="7"/>
        <v>5198.4597156398104</v>
      </c>
      <c r="Z81" s="51">
        <f t="shared" si="8"/>
        <v>5.778288549950835</v>
      </c>
      <c r="AA81" s="52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0">
        <v>1584298000000</v>
      </c>
      <c r="F82" s="50">
        <v>44612045000000</v>
      </c>
      <c r="G82" s="50"/>
      <c r="H82" s="50"/>
      <c r="I82" s="50">
        <v>32557921000000</v>
      </c>
      <c r="J82" s="50">
        <v>6056844000000</v>
      </c>
      <c r="K82" s="51">
        <v>60000000000</v>
      </c>
      <c r="L82" s="50">
        <v>3300261000000</v>
      </c>
      <c r="M82" s="50">
        <v>1112057000000</v>
      </c>
      <c r="N82" s="50">
        <v>1201125000000</v>
      </c>
      <c r="O82" s="50">
        <v>118522000000</v>
      </c>
      <c r="P82" s="50"/>
      <c r="Q82" s="52">
        <v>505</v>
      </c>
      <c r="R82" s="49">
        <f t="shared" si="0"/>
        <v>1.2100787086497322</v>
      </c>
      <c r="S82" s="49">
        <f t="shared" si="1"/>
        <v>5.3753936868771923</v>
      </c>
      <c r="T82" s="51">
        <f t="shared" si="2"/>
        <v>2.6567264513429052E-3</v>
      </c>
      <c r="U82" s="51">
        <f t="shared" si="3"/>
        <v>1.9568276812148372E-2</v>
      </c>
      <c r="V82" s="51">
        <f t="shared" si="4"/>
        <v>3.591291719048887E-2</v>
      </c>
      <c r="W82" s="51">
        <f t="shared" si="5"/>
        <v>0</v>
      </c>
      <c r="X82" s="51">
        <f t="shared" si="6"/>
        <v>0</v>
      </c>
      <c r="Y82" s="51">
        <f t="shared" si="7"/>
        <v>255.64874031825315</v>
      </c>
      <c r="Z82" s="51">
        <f t="shared" si="8"/>
        <v>5.0026053172246137</v>
      </c>
      <c r="AA82" s="52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0">
        <v>125754140019</v>
      </c>
      <c r="F83" s="50">
        <v>3896760492444</v>
      </c>
      <c r="G83" s="50"/>
      <c r="H83" s="50"/>
      <c r="I83" s="50">
        <v>2766528043722</v>
      </c>
      <c r="J83" s="50">
        <v>1130232448722</v>
      </c>
      <c r="K83" s="51">
        <v>3450000000</v>
      </c>
      <c r="L83" s="50">
        <v>314850371256</v>
      </c>
      <c r="M83" s="50">
        <v>176462730317</v>
      </c>
      <c r="N83" s="50">
        <v>10669420520</v>
      </c>
      <c r="O83" s="50">
        <v>9879658315</v>
      </c>
      <c r="P83" s="50"/>
      <c r="Q83" s="52">
        <v>1750</v>
      </c>
      <c r="R83" s="49">
        <f t="shared" si="0"/>
        <v>1.2974553202717118</v>
      </c>
      <c r="S83" s="49">
        <f t="shared" si="1"/>
        <v>2.4477513867613925</v>
      </c>
      <c r="T83" s="51">
        <f t="shared" si="2"/>
        <v>2.5353516938382836E-3</v>
      </c>
      <c r="U83" s="51">
        <f t="shared" si="3"/>
        <v>8.7412623183587886E-3</v>
      </c>
      <c r="V83" s="51">
        <f t="shared" si="4"/>
        <v>3.1378900001254886E-2</v>
      </c>
      <c r="W83" s="51">
        <f t="shared" si="5"/>
        <v>0</v>
      </c>
      <c r="X83" s="51">
        <f t="shared" si="6"/>
        <v>0</v>
      </c>
      <c r="Y83" s="51">
        <f t="shared" si="7"/>
        <v>611.10413007233637</v>
      </c>
      <c r="Z83" s="51">
        <f t="shared" si="8"/>
        <v>5.3418215047947415</v>
      </c>
      <c r="AA83" s="52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0">
        <v>123155112941</v>
      </c>
      <c r="F84" s="50">
        <v>4007412556573</v>
      </c>
      <c r="G84" s="50"/>
      <c r="H84" s="50"/>
      <c r="I84" s="50">
        <v>2846135386095</v>
      </c>
      <c r="J84" s="50">
        <v>1161277170478</v>
      </c>
      <c r="K84" s="51">
        <v>3450000000</v>
      </c>
      <c r="L84" s="50">
        <v>287717146129</v>
      </c>
      <c r="M84" s="50">
        <v>145535047285</v>
      </c>
      <c r="N84" s="50">
        <v>1675418516</v>
      </c>
      <c r="O84" s="50">
        <v>30952161285</v>
      </c>
      <c r="P84" s="50"/>
      <c r="Q84" s="52">
        <v>1750</v>
      </c>
      <c r="R84" s="49">
        <f t="shared" si="0"/>
        <v>1.2749033352982893</v>
      </c>
      <c r="S84" s="49">
        <f t="shared" si="1"/>
        <v>2.4508665617903138</v>
      </c>
      <c r="T84" s="51">
        <f t="shared" si="2"/>
        <v>7.7237271800808084E-3</v>
      </c>
      <c r="U84" s="51">
        <f t="shared" si="3"/>
        <v>2.6653551858131855E-2</v>
      </c>
      <c r="V84" s="51">
        <f t="shared" si="4"/>
        <v>0.10757843841229532</v>
      </c>
      <c r="W84" s="51">
        <f t="shared" si="5"/>
        <v>0</v>
      </c>
      <c r="X84" s="51">
        <f t="shared" si="6"/>
        <v>0</v>
      </c>
      <c r="Y84" s="51">
        <f t="shared" si="7"/>
        <v>195.05907663145595</v>
      </c>
      <c r="Z84" s="51">
        <f t="shared" si="8"/>
        <v>5.1990172143958278</v>
      </c>
      <c r="AA84" s="52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0">
        <v>122716526336</v>
      </c>
      <c r="F85" s="50">
        <v>3721363459751</v>
      </c>
      <c r="G85" s="50"/>
      <c r="H85" s="50"/>
      <c r="I85" s="50">
        <v>2663693880300</v>
      </c>
      <c r="J85" s="50">
        <v>1057669579451</v>
      </c>
      <c r="K85" s="51">
        <v>3450000000</v>
      </c>
      <c r="L85" s="50">
        <v>230453382943</v>
      </c>
      <c r="M85" s="50">
        <v>142465319309</v>
      </c>
      <c r="N85" s="50">
        <v>2848631236</v>
      </c>
      <c r="O85" s="50">
        <v>70581531876</v>
      </c>
      <c r="P85" s="50"/>
      <c r="Q85" s="52">
        <v>1750</v>
      </c>
      <c r="R85" s="49">
        <f t="shared" si="0"/>
        <v>1.2840125158581648</v>
      </c>
      <c r="S85" s="49">
        <f t="shared" si="1"/>
        <v>2.5184556047103408</v>
      </c>
      <c r="T85" s="51">
        <f t="shared" si="2"/>
        <v>1.896657841659E-2</v>
      </c>
      <c r="U85" s="51">
        <f t="shared" si="3"/>
        <v>6.6733064132029257E-2</v>
      </c>
      <c r="V85" s="51">
        <f t="shared" si="4"/>
        <v>0.30627249196622786</v>
      </c>
      <c r="W85" s="51">
        <f t="shared" si="5"/>
        <v>0</v>
      </c>
      <c r="X85" s="51">
        <f t="shared" si="6"/>
        <v>0</v>
      </c>
      <c r="Y85" s="51">
        <f t="shared" si="7"/>
        <v>85.539373254279639</v>
      </c>
      <c r="Z85" s="51">
        <f t="shared" si="8"/>
        <v>5.7083044811914316</v>
      </c>
      <c r="AA85" s="52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0">
        <v>1786727000000</v>
      </c>
      <c r="F86" s="50">
        <v>101919301000000</v>
      </c>
      <c r="G86" s="50"/>
      <c r="H86" s="50"/>
      <c r="I86" s="50">
        <v>76544999000000</v>
      </c>
      <c r="J86" s="50">
        <v>19364407000000</v>
      </c>
      <c r="K86" s="51">
        <v>15000000000</v>
      </c>
      <c r="L86" s="50">
        <v>14126651000000</v>
      </c>
      <c r="M86" s="50">
        <v>4526243000000</v>
      </c>
      <c r="N86" s="50">
        <v>7286241000000</v>
      </c>
      <c r="O86" s="50">
        <v>2128064000000</v>
      </c>
      <c r="P86" s="50">
        <v>574509000000</v>
      </c>
      <c r="Q86" s="52">
        <v>3440</v>
      </c>
      <c r="R86" s="49">
        <f t="shared" si="0"/>
        <v>1.2417487522600921</v>
      </c>
      <c r="S86" s="49">
        <f t="shared" si="1"/>
        <v>3.9528708005362621</v>
      </c>
      <c r="T86" s="51">
        <f t="shared" si="2"/>
        <v>2.0879892023592275E-2</v>
      </c>
      <c r="U86" s="51">
        <f t="shared" si="3"/>
        <v>0.10989564513904299</v>
      </c>
      <c r="V86" s="51">
        <f t="shared" si="4"/>
        <v>0.15064179047107484</v>
      </c>
      <c r="W86" s="51">
        <f t="shared" si="5"/>
        <v>1.113389534883721E-2</v>
      </c>
      <c r="X86" s="51">
        <f t="shared" si="6"/>
        <v>0.26996791449881208</v>
      </c>
      <c r="Y86" s="51">
        <f t="shared" si="7"/>
        <v>24.247391055908093</v>
      </c>
      <c r="Z86" s="51">
        <f t="shared" si="8"/>
        <v>2.6646826830276806</v>
      </c>
      <c r="AA86" s="52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0">
        <v>1893746000000</v>
      </c>
      <c r="F87" s="50">
        <v>181631385000000</v>
      </c>
      <c r="G87" s="50"/>
      <c r="H87" s="50"/>
      <c r="I87" s="50">
        <v>142608793000000</v>
      </c>
      <c r="J87" s="50">
        <v>31471928000000</v>
      </c>
      <c r="K87" s="51">
        <v>15000000000</v>
      </c>
      <c r="L87" s="50">
        <v>18680979000000</v>
      </c>
      <c r="M87" s="50">
        <v>7689284000000</v>
      </c>
      <c r="N87" s="50">
        <v>8594419000000</v>
      </c>
      <c r="O87" s="50">
        <v>2992418000000</v>
      </c>
      <c r="P87" s="50">
        <v>0</v>
      </c>
      <c r="Q87" s="52">
        <v>3250</v>
      </c>
      <c r="R87" s="49">
        <f t="shared" si="0"/>
        <v>1.2247722060167776</v>
      </c>
      <c r="S87" s="49">
        <f t="shared" si="1"/>
        <v>4.5313014506133849</v>
      </c>
      <c r="T87" s="51">
        <f t="shared" si="2"/>
        <v>1.6475225358216588E-2</v>
      </c>
      <c r="U87" s="51">
        <f t="shared" si="3"/>
        <v>9.5082131606300066E-2</v>
      </c>
      <c r="V87" s="51">
        <f t="shared" si="4"/>
        <v>0.16018528793378548</v>
      </c>
      <c r="W87" s="51">
        <f t="shared" si="5"/>
        <v>0</v>
      </c>
      <c r="X87" s="51">
        <f t="shared" si="6"/>
        <v>0</v>
      </c>
      <c r="Y87" s="51">
        <f t="shared" si="7"/>
        <v>16.291173225130983</v>
      </c>
      <c r="Z87" s="51">
        <f t="shared" si="8"/>
        <v>1.5489994766129358</v>
      </c>
      <c r="AA87" s="52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0">
        <v>2357987000000</v>
      </c>
      <c r="F88" s="50">
        <v>183165978000000</v>
      </c>
      <c r="G88" s="50"/>
      <c r="H88" s="50"/>
      <c r="I88" s="50">
        <v>142277859000000</v>
      </c>
      <c r="J88" s="50">
        <v>32964753000000</v>
      </c>
      <c r="K88" s="51">
        <v>15000000000</v>
      </c>
      <c r="L88" s="50">
        <v>16403483000000</v>
      </c>
      <c r="M88" s="50">
        <v>5779055000000</v>
      </c>
      <c r="N88" s="50">
        <v>9690939000000</v>
      </c>
      <c r="O88" s="50">
        <v>2005677000000</v>
      </c>
      <c r="P88" s="50">
        <v>103887000000</v>
      </c>
      <c r="Q88" s="52">
        <v>3110</v>
      </c>
      <c r="R88" s="49">
        <f t="shared" si="0"/>
        <v>1.2362976589351122</v>
      </c>
      <c r="S88" s="49">
        <f t="shared" si="1"/>
        <v>4.3160602174085758</v>
      </c>
      <c r="T88" s="51">
        <f t="shared" si="2"/>
        <v>1.0950052088821867E-2</v>
      </c>
      <c r="U88" s="51">
        <f t="shared" si="3"/>
        <v>6.0843076846351617E-2</v>
      </c>
      <c r="V88" s="51">
        <f t="shared" si="4"/>
        <v>0.12227141028524247</v>
      </c>
      <c r="W88" s="51">
        <f t="shared" si="5"/>
        <v>2.2269453376205788E-3</v>
      </c>
      <c r="X88" s="51">
        <f t="shared" si="6"/>
        <v>5.1796475703715004E-2</v>
      </c>
      <c r="Y88" s="51">
        <f t="shared" si="7"/>
        <v>23.258979387009969</v>
      </c>
      <c r="Z88" s="51">
        <f t="shared" si="8"/>
        <v>1.4151478702115559</v>
      </c>
      <c r="AA88" s="52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0">
        <v>541283738000</v>
      </c>
      <c r="F89" s="50">
        <v>30172315337000</v>
      </c>
      <c r="G89" s="50"/>
      <c r="H89" s="50"/>
      <c r="I89" s="50">
        <v>25808570240000</v>
      </c>
      <c r="J89" s="50">
        <v>2806025405000</v>
      </c>
      <c r="K89" s="51">
        <v>14000000000</v>
      </c>
      <c r="L89" s="50">
        <v>2280212771000</v>
      </c>
      <c r="M89" s="50">
        <v>1820882197000</v>
      </c>
      <c r="N89" s="50">
        <v>741051703000</v>
      </c>
      <c r="O89" s="50">
        <v>79081921000</v>
      </c>
      <c r="P89" s="50"/>
      <c r="Q89" s="52">
        <v>190</v>
      </c>
      <c r="R89" s="49">
        <f t="shared" si="0"/>
        <v>1.088566710505231</v>
      </c>
      <c r="S89" s="49">
        <f t="shared" si="1"/>
        <v>9.197554018581668</v>
      </c>
      <c r="T89" s="51">
        <f t="shared" si="2"/>
        <v>2.6210093629448002E-3</v>
      </c>
      <c r="U89" s="51">
        <f t="shared" si="3"/>
        <v>2.8182895585722609E-2</v>
      </c>
      <c r="V89" s="51">
        <f t="shared" si="4"/>
        <v>3.4681816541759912E-2</v>
      </c>
      <c r="W89" s="51">
        <f t="shared" si="5"/>
        <v>0</v>
      </c>
      <c r="X89" s="51">
        <f t="shared" si="6"/>
        <v>0</v>
      </c>
      <c r="Y89" s="51">
        <f t="shared" si="7"/>
        <v>33.63600638886858</v>
      </c>
      <c r="Z89" s="51">
        <f t="shared" si="8"/>
        <v>0.94796005597818178</v>
      </c>
      <c r="AA89" s="52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0">
        <v>521735784000</v>
      </c>
      <c r="F90" s="50">
        <v>30456458802000</v>
      </c>
      <c r="G90" s="50"/>
      <c r="H90" s="50"/>
      <c r="I90" s="50">
        <v>25782313852000</v>
      </c>
      <c r="J90" s="50">
        <v>2986454603000</v>
      </c>
      <c r="K90" s="51">
        <v>14000000000</v>
      </c>
      <c r="L90" s="50">
        <v>2223204722000</v>
      </c>
      <c r="M90" s="50">
        <v>1954056503000</v>
      </c>
      <c r="N90" s="50">
        <v>648356649000</v>
      </c>
      <c r="O90" s="50">
        <v>-13764500000</v>
      </c>
      <c r="P90" s="50"/>
      <c r="Q90" s="52">
        <v>84</v>
      </c>
      <c r="R90" s="49">
        <f t="shared" si="0"/>
        <v>1.0978419035421181</v>
      </c>
      <c r="S90" s="49">
        <f t="shared" si="1"/>
        <v>8.6330841346460616</v>
      </c>
      <c r="T90" s="51">
        <f t="shared" si="2"/>
        <v>-4.5194026296636034E-4</v>
      </c>
      <c r="U90" s="51">
        <f t="shared" si="3"/>
        <v>-4.6089768068709527E-3</v>
      </c>
      <c r="V90" s="51">
        <f t="shared" si="4"/>
        <v>-6.1912876775546896E-3</v>
      </c>
      <c r="W90" s="51">
        <f t="shared" si="5"/>
        <v>0</v>
      </c>
      <c r="X90" s="51">
        <f t="shared" si="6"/>
        <v>0</v>
      </c>
      <c r="Y90" s="51">
        <f t="shared" si="7"/>
        <v>-85.437175342366231</v>
      </c>
      <c r="Z90" s="51">
        <f t="shared" si="8"/>
        <v>0.39377795959753281</v>
      </c>
      <c r="AA90" s="52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0">
        <v>559673354000</v>
      </c>
      <c r="F91" s="50">
        <v>26221407472000</v>
      </c>
      <c r="G91" s="50"/>
      <c r="H91" s="50"/>
      <c r="I91" s="50">
        <v>22197849857000</v>
      </c>
      <c r="J91" s="50">
        <v>2644375254000</v>
      </c>
      <c r="K91" s="51">
        <v>14000000000</v>
      </c>
      <c r="L91" s="50">
        <v>1790640395000</v>
      </c>
      <c r="M91" s="50">
        <v>1600981946000</v>
      </c>
      <c r="N91" s="50">
        <v>928353052000</v>
      </c>
      <c r="O91" s="50">
        <v>-252193690000</v>
      </c>
      <c r="P91" s="50"/>
      <c r="Q91" s="52">
        <v>114</v>
      </c>
      <c r="R91" s="49">
        <f t="shared" si="0"/>
        <v>1.0655060750643583</v>
      </c>
      <c r="S91" s="49">
        <f t="shared" si="1"/>
        <v>8.3943645378705387</v>
      </c>
      <c r="T91" s="51">
        <f t="shared" si="2"/>
        <v>-9.6178548107800823E-3</v>
      </c>
      <c r="U91" s="51">
        <f t="shared" si="3"/>
        <v>-9.5369857064923208E-2</v>
      </c>
      <c r="V91" s="51">
        <f t="shared" si="4"/>
        <v>-0.14083994234922864</v>
      </c>
      <c r="W91" s="51">
        <f t="shared" si="5"/>
        <v>0</v>
      </c>
      <c r="X91" s="51">
        <f t="shared" si="6"/>
        <v>0</v>
      </c>
      <c r="Y91" s="51">
        <f t="shared" si="7"/>
        <v>-6.3284692015886677</v>
      </c>
      <c r="Z91" s="51">
        <f t="shared" si="8"/>
        <v>0.60354520319527993</v>
      </c>
      <c r="AA91" s="52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0">
        <v>2053140000000</v>
      </c>
      <c r="F92" s="50">
        <v>26025188000000</v>
      </c>
      <c r="G92" s="50"/>
      <c r="H92" s="50"/>
      <c r="I92" s="50">
        <v>21438077000000</v>
      </c>
      <c r="J92" s="50">
        <v>4587111000000</v>
      </c>
      <c r="K92" s="51">
        <v>52310000000</v>
      </c>
      <c r="L92" s="50">
        <v>2263784000000</v>
      </c>
      <c r="M92" s="50">
        <v>1065854000000</v>
      </c>
      <c r="N92" s="50">
        <v>1197424000000</v>
      </c>
      <c r="O92" s="50">
        <v>53621000000</v>
      </c>
      <c r="P92" s="50"/>
      <c r="Q92" s="52">
        <v>62</v>
      </c>
      <c r="R92" s="49">
        <f t="shared" si="0"/>
        <v>1.0368853512374268</v>
      </c>
      <c r="S92" s="49">
        <f t="shared" si="1"/>
        <v>4.6735465961037352</v>
      </c>
      <c r="T92" s="51">
        <f t="shared" si="2"/>
        <v>2.0603501500162072E-3</v>
      </c>
      <c r="U92" s="51">
        <f t="shared" si="3"/>
        <v>1.1689492580406273E-2</v>
      </c>
      <c r="V92" s="51">
        <f t="shared" si="4"/>
        <v>2.3686447116862741E-2</v>
      </c>
      <c r="W92" s="51">
        <f t="shared" si="5"/>
        <v>0</v>
      </c>
      <c r="X92" s="51">
        <f t="shared" si="6"/>
        <v>0</v>
      </c>
      <c r="Y92" s="51">
        <f t="shared" si="7"/>
        <v>60.484138677010876</v>
      </c>
      <c r="Z92" s="51">
        <f t="shared" si="8"/>
        <v>0.70702889029718263</v>
      </c>
      <c r="AA92" s="52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0">
        <v>2029527000000</v>
      </c>
      <c r="F93" s="50">
        <v>25532041000000</v>
      </c>
      <c r="G93" s="50"/>
      <c r="H93" s="50"/>
      <c r="I93" s="50">
        <v>20995806000000</v>
      </c>
      <c r="J93" s="50">
        <v>4536235000000</v>
      </c>
      <c r="K93" s="51">
        <v>52310000000</v>
      </c>
      <c r="L93" s="50">
        <v>1976522000000</v>
      </c>
      <c r="M93" s="50">
        <v>1049601000000</v>
      </c>
      <c r="N93" s="50">
        <v>1110037000000</v>
      </c>
      <c r="O93" s="50">
        <v>-58345000000</v>
      </c>
      <c r="P93" s="50"/>
      <c r="Q93" s="52">
        <v>61</v>
      </c>
      <c r="R93" s="49">
        <f t="shared" si="0"/>
        <v>0.99664780670958764</v>
      </c>
      <c r="S93" s="49">
        <f t="shared" si="1"/>
        <v>4.6284652360382568</v>
      </c>
      <c r="T93" s="51">
        <f t="shared" si="2"/>
        <v>-2.2851678798416469E-3</v>
      </c>
      <c r="U93" s="51">
        <f t="shared" si="3"/>
        <v>-1.2861987970199957E-2</v>
      </c>
      <c r="V93" s="51">
        <f t="shared" si="4"/>
        <v>-2.9519023820630381E-2</v>
      </c>
      <c r="W93" s="51">
        <f t="shared" si="5"/>
        <v>0</v>
      </c>
      <c r="X93" s="51">
        <f t="shared" si="6"/>
        <v>0</v>
      </c>
      <c r="Y93" s="51">
        <f t="shared" si="7"/>
        <v>-54.690376210472188</v>
      </c>
      <c r="Z93" s="51">
        <f t="shared" si="8"/>
        <v>0.70342696090480317</v>
      </c>
      <c r="AA93" s="52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0">
        <v>2065208000000</v>
      </c>
      <c r="F94" s="50">
        <v>30526965000000</v>
      </c>
      <c r="G94" s="50"/>
      <c r="H94" s="50"/>
      <c r="I94" s="50">
        <v>26967430000000</v>
      </c>
      <c r="J94" s="50">
        <v>3559535000000</v>
      </c>
      <c r="K94" s="51">
        <v>52310000000</v>
      </c>
      <c r="L94" s="50">
        <v>1688028000000</v>
      </c>
      <c r="M94" s="50">
        <v>1056241000000</v>
      </c>
      <c r="N94" s="50">
        <v>717238000000</v>
      </c>
      <c r="O94" s="50">
        <v>21371000000</v>
      </c>
      <c r="P94" s="50"/>
      <c r="Q94" s="52">
        <v>69</v>
      </c>
      <c r="R94" s="49">
        <f t="shared" si="0"/>
        <v>0.92778080818231479</v>
      </c>
      <c r="S94" s="49">
        <f t="shared" si="1"/>
        <v>7.5761103627299633</v>
      </c>
      <c r="T94" s="51">
        <f t="shared" si="2"/>
        <v>7.0006959420957835E-4</v>
      </c>
      <c r="U94" s="51">
        <f t="shared" si="3"/>
        <v>6.0038741015329246E-3</v>
      </c>
      <c r="V94" s="51">
        <f t="shared" si="4"/>
        <v>1.2660335018139509E-2</v>
      </c>
      <c r="W94" s="51">
        <f t="shared" si="5"/>
        <v>0</v>
      </c>
      <c r="X94" s="51">
        <f t="shared" si="6"/>
        <v>0</v>
      </c>
      <c r="Y94" s="51">
        <f t="shared" si="7"/>
        <v>168.8919563894998</v>
      </c>
      <c r="Z94" s="51">
        <f t="shared" si="8"/>
        <v>1.014006042924146</v>
      </c>
      <c r="AA94" s="52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0">
        <v>683878000000</v>
      </c>
      <c r="F95" s="50">
        <v>15992475000000</v>
      </c>
      <c r="G95" s="50"/>
      <c r="H95" s="50"/>
      <c r="I95" s="50">
        <v>13476317000000</v>
      </c>
      <c r="J95" s="50">
        <v>2516158000000</v>
      </c>
      <c r="K95" s="51">
        <v>26000000000</v>
      </c>
      <c r="L95" s="50">
        <v>1240762000000</v>
      </c>
      <c r="M95" s="50">
        <v>653396000000</v>
      </c>
      <c r="N95" s="50">
        <v>470404000000</v>
      </c>
      <c r="O95" s="50">
        <v>89860000000</v>
      </c>
      <c r="P95" s="50"/>
      <c r="Q95" s="52">
        <v>142</v>
      </c>
      <c r="R95" s="49">
        <f t="shared" si="0"/>
        <v>1.0926059397385799</v>
      </c>
      <c r="S95" s="49">
        <f t="shared" si="1"/>
        <v>5.3559104793896095</v>
      </c>
      <c r="T95" s="51">
        <f t="shared" si="2"/>
        <v>5.6188926354426069E-3</v>
      </c>
      <c r="U95" s="51">
        <f t="shared" si="3"/>
        <v>3.5713178584174762E-2</v>
      </c>
      <c r="V95" s="51">
        <f t="shared" si="4"/>
        <v>7.2423236688422113E-2</v>
      </c>
      <c r="W95" s="51">
        <f t="shared" si="5"/>
        <v>0</v>
      </c>
      <c r="X95" s="51">
        <f t="shared" si="6"/>
        <v>0</v>
      </c>
      <c r="Y95" s="51">
        <f t="shared" si="7"/>
        <v>41.086133986200757</v>
      </c>
      <c r="Z95" s="51">
        <f t="shared" si="8"/>
        <v>1.4673164403825196</v>
      </c>
      <c r="AA95" s="52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0">
        <v>828752000000</v>
      </c>
      <c r="F96" s="50">
        <v>18893684000000</v>
      </c>
      <c r="G96" s="50"/>
      <c r="H96" s="50"/>
      <c r="I96" s="50">
        <v>16098826000000</v>
      </c>
      <c r="J96" s="50">
        <v>2794858000000</v>
      </c>
      <c r="K96" s="51">
        <v>26000000000</v>
      </c>
      <c r="L96" s="50">
        <v>1298866000000</v>
      </c>
      <c r="M96" s="50">
        <v>738975000000</v>
      </c>
      <c r="N96" s="50">
        <v>493623000000</v>
      </c>
      <c r="O96" s="50">
        <v>78967000000</v>
      </c>
      <c r="P96" s="50"/>
      <c r="Q96" s="52">
        <v>129</v>
      </c>
      <c r="R96" s="49">
        <f t="shared" si="0"/>
        <v>1.0865738284269921</v>
      </c>
      <c r="S96" s="49">
        <f t="shared" si="1"/>
        <v>5.7601588345454404</v>
      </c>
      <c r="T96" s="51">
        <f t="shared" si="2"/>
        <v>4.1795448680098596E-3</v>
      </c>
      <c r="U96" s="51">
        <f t="shared" si="3"/>
        <v>2.825438716385591E-2</v>
      </c>
      <c r="V96" s="51">
        <f t="shared" si="4"/>
        <v>6.0796879739711408E-2</v>
      </c>
      <c r="W96" s="51">
        <f t="shared" si="5"/>
        <v>0</v>
      </c>
      <c r="X96" s="51">
        <f t="shared" si="6"/>
        <v>0</v>
      </c>
      <c r="Y96" s="51">
        <f t="shared" si="7"/>
        <v>42.473438271683108</v>
      </c>
      <c r="Z96" s="51">
        <f t="shared" si="8"/>
        <v>1.2000609691082695</v>
      </c>
      <c r="AA96" s="52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0">
        <v>832249000000</v>
      </c>
      <c r="F97" s="50">
        <v>25235573000000</v>
      </c>
      <c r="G97" s="50"/>
      <c r="H97" s="50"/>
      <c r="I97" s="50">
        <v>19218857000000</v>
      </c>
      <c r="J97" s="50">
        <v>6016716000000</v>
      </c>
      <c r="K97" s="51">
        <v>26000000000</v>
      </c>
      <c r="L97" s="50">
        <v>1282612000000</v>
      </c>
      <c r="M97" s="50">
        <v>720255000000</v>
      </c>
      <c r="N97" s="50">
        <v>514337000000</v>
      </c>
      <c r="O97" s="50">
        <v>49979000000</v>
      </c>
      <c r="P97" s="50"/>
      <c r="Q97" s="52">
        <v>139</v>
      </c>
      <c r="R97" s="49">
        <f t="shared" si="0"/>
        <v>1.2405698736402482</v>
      </c>
      <c r="S97" s="49">
        <f t="shared" si="1"/>
        <v>3.1942436704674111</v>
      </c>
      <c r="T97" s="51">
        <f t="shared" si="2"/>
        <v>1.9804979264786259E-3</v>
      </c>
      <c r="U97" s="51">
        <f t="shared" si="3"/>
        <v>8.30669089250681E-3</v>
      </c>
      <c r="V97" s="51">
        <f t="shared" si="4"/>
        <v>3.8966577577630647E-2</v>
      </c>
      <c r="W97" s="51">
        <f t="shared" si="5"/>
        <v>0</v>
      </c>
      <c r="X97" s="51">
        <f t="shared" si="6"/>
        <v>0</v>
      </c>
      <c r="Y97" s="51">
        <f t="shared" si="7"/>
        <v>72.310370355549324</v>
      </c>
      <c r="Z97" s="51">
        <f t="shared" si="8"/>
        <v>0.60065989486623605</v>
      </c>
      <c r="AA97" s="52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0">
        <v>2799661000000</v>
      </c>
      <c r="F98" s="50">
        <v>173582894000000</v>
      </c>
      <c r="G98" s="50"/>
      <c r="H98" s="50"/>
      <c r="I98" s="50">
        <v>149154640000000</v>
      </c>
      <c r="J98" s="50">
        <v>24428254000000</v>
      </c>
      <c r="K98" s="51">
        <v>50000000000</v>
      </c>
      <c r="L98" s="50">
        <v>12221471000000</v>
      </c>
      <c r="M98" s="50">
        <v>5843536000000</v>
      </c>
      <c r="N98" s="50">
        <v>3512758000000</v>
      </c>
      <c r="O98" s="50">
        <v>2638064000000</v>
      </c>
      <c r="P98" s="50"/>
      <c r="Q98" s="52">
        <v>855</v>
      </c>
      <c r="R98" s="49">
        <f t="shared" si="0"/>
        <v>1.1204782700692382</v>
      </c>
      <c r="S98" s="49">
        <f t="shared" si="1"/>
        <v>6.105824837092328</v>
      </c>
      <c r="T98" s="51">
        <f t="shared" si="2"/>
        <v>1.5197718733736517E-2</v>
      </c>
      <c r="U98" s="51">
        <f t="shared" si="3"/>
        <v>0.1079923272453283</v>
      </c>
      <c r="V98" s="51">
        <f t="shared" si="4"/>
        <v>0.21585486722506644</v>
      </c>
      <c r="W98" s="51">
        <f t="shared" si="5"/>
        <v>0</v>
      </c>
      <c r="X98" s="51">
        <f t="shared" si="6"/>
        <v>0</v>
      </c>
      <c r="Y98" s="51">
        <f t="shared" si="7"/>
        <v>16.205065532905948</v>
      </c>
      <c r="Z98" s="51">
        <f t="shared" si="8"/>
        <v>1.7500227400615695</v>
      </c>
      <c r="AA98" s="52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0">
        <v>2784242000000</v>
      </c>
      <c r="F99" s="50">
        <v>180706987000000</v>
      </c>
      <c r="G99" s="50"/>
      <c r="H99" s="50"/>
      <c r="I99" s="50">
        <v>153042184000000</v>
      </c>
      <c r="J99" s="50">
        <v>27664803000000</v>
      </c>
      <c r="K99" s="51">
        <v>50000000000</v>
      </c>
      <c r="L99" s="50">
        <v>13496091000000</v>
      </c>
      <c r="M99" s="50">
        <v>7057159000000</v>
      </c>
      <c r="N99" s="50">
        <v>3768918000000</v>
      </c>
      <c r="O99" s="50">
        <v>2939243000000</v>
      </c>
      <c r="P99" s="50"/>
      <c r="Q99" s="52">
        <v>845</v>
      </c>
      <c r="R99" s="49">
        <f t="shared" si="0"/>
        <v>1.1404255835763557</v>
      </c>
      <c r="S99" s="49">
        <f t="shared" si="1"/>
        <v>5.5320178495397201</v>
      </c>
      <c r="T99" s="51">
        <f t="shared" si="2"/>
        <v>1.6265242693687322E-2</v>
      </c>
      <c r="U99" s="51">
        <f t="shared" si="3"/>
        <v>0.10624485560226112</v>
      </c>
      <c r="V99" s="51">
        <f t="shared" si="4"/>
        <v>0.21778476449217776</v>
      </c>
      <c r="W99" s="51">
        <f t="shared" si="5"/>
        <v>0</v>
      </c>
      <c r="X99" s="51">
        <f t="shared" si="6"/>
        <v>0</v>
      </c>
      <c r="Y99" s="51">
        <f t="shared" si="7"/>
        <v>14.374449475596267</v>
      </c>
      <c r="Z99" s="51">
        <f t="shared" si="8"/>
        <v>1.5272113088967234</v>
      </c>
      <c r="AA99" s="52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0">
        <v>3001632000000</v>
      </c>
      <c r="F100" s="50">
        <v>206297200000000</v>
      </c>
      <c r="G100" s="50"/>
      <c r="H100" s="50"/>
      <c r="I100" s="50">
        <v>176467884000000</v>
      </c>
      <c r="J100" s="50">
        <v>29829316000000</v>
      </c>
      <c r="K100" s="51">
        <v>50000000000</v>
      </c>
      <c r="L100" s="50">
        <v>12484662000000</v>
      </c>
      <c r="M100" s="50">
        <v>5658106000000</v>
      </c>
      <c r="N100" s="50">
        <v>3839552000000</v>
      </c>
      <c r="O100" s="50">
        <v>2101671000000</v>
      </c>
      <c r="P100" s="50"/>
      <c r="Q100" s="52">
        <v>820</v>
      </c>
      <c r="R100" s="49">
        <f t="shared" si="0"/>
        <v>1.1299414345558765</v>
      </c>
      <c r="S100" s="49">
        <f t="shared" si="1"/>
        <v>5.9159212366787086</v>
      </c>
      <c r="T100" s="51">
        <f t="shared" si="2"/>
        <v>1.0187588585787883E-2</v>
      </c>
      <c r="U100" s="51">
        <f t="shared" si="3"/>
        <v>7.0456560250996031E-2</v>
      </c>
      <c r="V100" s="51">
        <f t="shared" si="4"/>
        <v>0.16834024020834526</v>
      </c>
      <c r="W100" s="51">
        <f t="shared" si="5"/>
        <v>0</v>
      </c>
      <c r="X100" s="51">
        <f t="shared" si="6"/>
        <v>0</v>
      </c>
      <c r="Y100" s="51">
        <f t="shared" si="7"/>
        <v>19.508286501550433</v>
      </c>
      <c r="Z100" s="51">
        <f t="shared" si="8"/>
        <v>1.3744867632901807</v>
      </c>
      <c r="AA100" s="52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0">
        <v>63494000000</v>
      </c>
      <c r="F101" s="50">
        <v>11793981000000</v>
      </c>
      <c r="G101" s="50"/>
      <c r="H101" s="50"/>
      <c r="I101" s="50">
        <v>10379604000000</v>
      </c>
      <c r="J101" s="50">
        <v>1414377000000</v>
      </c>
      <c r="K101" s="51">
        <v>7950000000</v>
      </c>
      <c r="L101" s="50">
        <v>747203000000</v>
      </c>
      <c r="M101" s="50">
        <v>315463000000</v>
      </c>
      <c r="N101" s="50">
        <v>433657000000</v>
      </c>
      <c r="O101" s="50">
        <v>44748000000</v>
      </c>
      <c r="P101" s="50"/>
      <c r="Q101" s="52">
        <v>1000</v>
      </c>
      <c r="R101" s="49">
        <f t="shared" si="0"/>
        <v>1.1059487433239263</v>
      </c>
      <c r="S101" s="49">
        <f t="shared" si="1"/>
        <v>7.3386402635223851</v>
      </c>
      <c r="T101" s="51">
        <f t="shared" si="2"/>
        <v>3.7941387221159676E-3</v>
      </c>
      <c r="U101" s="51">
        <f t="shared" si="3"/>
        <v>3.1637957913625572E-2</v>
      </c>
      <c r="V101" s="51">
        <f t="shared" si="4"/>
        <v>5.988733985275755E-2</v>
      </c>
      <c r="W101" s="51">
        <f t="shared" si="5"/>
        <v>0</v>
      </c>
      <c r="X101" s="51">
        <f t="shared" si="6"/>
        <v>0</v>
      </c>
      <c r="Y101" s="51">
        <f t="shared" si="7"/>
        <v>177.66157146688121</v>
      </c>
      <c r="Z101" s="51">
        <f t="shared" si="8"/>
        <v>5.6208493209377695</v>
      </c>
      <c r="AA101" s="52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0">
        <v>60705000000</v>
      </c>
      <c r="F102" s="50">
        <v>13147503000000</v>
      </c>
      <c r="G102" s="50"/>
      <c r="H102" s="50"/>
      <c r="I102" s="50">
        <v>11683086000000</v>
      </c>
      <c r="J102" s="50">
        <v>1464417000000</v>
      </c>
      <c r="K102" s="51">
        <v>7950000000</v>
      </c>
      <c r="L102" s="50">
        <v>821937000000</v>
      </c>
      <c r="M102" s="50">
        <v>385728000000</v>
      </c>
      <c r="N102" s="50">
        <v>466161000000</v>
      </c>
      <c r="O102" s="50">
        <v>45794000000</v>
      </c>
      <c r="P102" s="50"/>
      <c r="Q102" s="52">
        <v>890</v>
      </c>
      <c r="R102" s="49">
        <f t="shared" si="0"/>
        <v>1.0938660384764778</v>
      </c>
      <c r="S102" s="49">
        <f t="shared" si="1"/>
        <v>7.9779775842536651</v>
      </c>
      <c r="T102" s="51">
        <f t="shared" si="2"/>
        <v>3.4830948507864955E-3</v>
      </c>
      <c r="U102" s="51">
        <f t="shared" si="3"/>
        <v>3.1271147494190521E-2</v>
      </c>
      <c r="V102" s="51">
        <f t="shared" si="4"/>
        <v>5.5714732394331924E-2</v>
      </c>
      <c r="W102" s="51">
        <f t="shared" si="5"/>
        <v>0</v>
      </c>
      <c r="X102" s="51">
        <f t="shared" si="6"/>
        <v>0</v>
      </c>
      <c r="Y102" s="51">
        <f t="shared" si="7"/>
        <v>154.50714067345066</v>
      </c>
      <c r="Z102" s="51">
        <f t="shared" si="8"/>
        <v>4.8316155849051192</v>
      </c>
      <c r="AA102" s="52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0">
        <v>92302000000</v>
      </c>
      <c r="F103" s="50">
        <v>13737934000000</v>
      </c>
      <c r="G103" s="50"/>
      <c r="H103" s="50"/>
      <c r="I103" s="50">
        <v>12218080000000</v>
      </c>
      <c r="J103" s="50">
        <v>1519854000000</v>
      </c>
      <c r="K103" s="51">
        <v>7950000000</v>
      </c>
      <c r="L103" s="50">
        <v>792351000000</v>
      </c>
      <c r="M103" s="50">
        <v>360971000000</v>
      </c>
      <c r="N103" s="50">
        <v>462416000000</v>
      </c>
      <c r="O103" s="50">
        <v>53607000000</v>
      </c>
      <c r="P103" s="50"/>
      <c r="Q103" s="52">
        <v>825</v>
      </c>
      <c r="R103" s="49">
        <f t="shared" si="0"/>
        <v>1.0784569261291463</v>
      </c>
      <c r="S103" s="49">
        <f t="shared" si="1"/>
        <v>8.0389826917585498</v>
      </c>
      <c r="T103" s="51">
        <f t="shared" si="2"/>
        <v>3.9021151215313742E-3</v>
      </c>
      <c r="U103" s="51">
        <f t="shared" si="3"/>
        <v>3.5271151044771402E-2</v>
      </c>
      <c r="V103" s="51">
        <f t="shared" si="4"/>
        <v>6.7655622318896547E-2</v>
      </c>
      <c r="W103" s="51">
        <f t="shared" si="5"/>
        <v>0</v>
      </c>
      <c r="X103" s="51">
        <f t="shared" si="6"/>
        <v>0</v>
      </c>
      <c r="Y103" s="51">
        <f t="shared" si="7"/>
        <v>122.34876042307909</v>
      </c>
      <c r="Z103" s="51">
        <f t="shared" si="8"/>
        <v>4.315381609022972</v>
      </c>
      <c r="AA103" s="52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0">
        <v>10260918000000</v>
      </c>
      <c r="F104" s="50">
        <v>207204418000000</v>
      </c>
      <c r="G104" s="50"/>
      <c r="H104" s="50"/>
      <c r="I104" s="50">
        <v>166457301000000</v>
      </c>
      <c r="J104" s="50">
        <v>40747117000000</v>
      </c>
      <c r="K104" s="51">
        <v>96000000000</v>
      </c>
      <c r="L104" s="50">
        <v>17212026000000</v>
      </c>
      <c r="M104" s="50">
        <v>8247532000000</v>
      </c>
      <c r="N104" s="50">
        <v>5048285000000</v>
      </c>
      <c r="O104" s="50">
        <v>3187157000000</v>
      </c>
      <c r="P104" s="50"/>
      <c r="Q104" s="52">
        <v>1145</v>
      </c>
      <c r="R104" s="49">
        <f t="shared" si="0"/>
        <v>1.1578210078030762</v>
      </c>
      <c r="S104" s="49">
        <f t="shared" si="1"/>
        <v>4.0851307590669546</v>
      </c>
      <c r="T104" s="51">
        <f t="shared" si="2"/>
        <v>1.5381703878534096E-2</v>
      </c>
      <c r="U104" s="51">
        <f t="shared" si="3"/>
        <v>7.8217975519593197E-2</v>
      </c>
      <c r="V104" s="51">
        <f t="shared" si="4"/>
        <v>0.18517035705151735</v>
      </c>
      <c r="W104" s="51">
        <f t="shared" si="5"/>
        <v>0</v>
      </c>
      <c r="X104" s="51">
        <f t="shared" si="6"/>
        <v>0</v>
      </c>
      <c r="Y104" s="51">
        <f t="shared" si="7"/>
        <v>34.488417106530996</v>
      </c>
      <c r="Z104" s="51">
        <f t="shared" si="8"/>
        <v>2.6976141649481606</v>
      </c>
      <c r="AA104" s="52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0">
        <v>10312649000000</v>
      </c>
      <c r="F105" s="50">
        <v>211287370000000</v>
      </c>
      <c r="G105" s="50"/>
      <c r="H105" s="50"/>
      <c r="I105" s="50">
        <v>166845656000000</v>
      </c>
      <c r="J105" s="50">
        <v>44441714000000</v>
      </c>
      <c r="K105" s="51">
        <v>96000000000</v>
      </c>
      <c r="L105" s="50">
        <v>17724694000000</v>
      </c>
      <c r="M105" s="50">
        <v>8755818000000</v>
      </c>
      <c r="N105" s="50">
        <v>4865928000000</v>
      </c>
      <c r="O105" s="50">
        <v>3498299000000</v>
      </c>
      <c r="P105" s="50"/>
      <c r="Q105" s="52">
        <v>1335</v>
      </c>
      <c r="R105" s="49">
        <f t="shared" si="0"/>
        <v>1.1721384583126335</v>
      </c>
      <c r="S105" s="49">
        <f t="shared" si="1"/>
        <v>3.7542579028342606</v>
      </c>
      <c r="T105" s="51">
        <f t="shared" si="2"/>
        <v>1.6557066331035309E-2</v>
      </c>
      <c r="U105" s="51">
        <f t="shared" si="3"/>
        <v>7.8716563452075672E-2</v>
      </c>
      <c r="V105" s="51">
        <f t="shared" si="4"/>
        <v>0.19736865414996727</v>
      </c>
      <c r="W105" s="51">
        <f t="shared" si="5"/>
        <v>0</v>
      </c>
      <c r="X105" s="51">
        <f t="shared" si="6"/>
        <v>0</v>
      </c>
      <c r="Y105" s="51">
        <f t="shared" si="7"/>
        <v>36.634947441599472</v>
      </c>
      <c r="Z105" s="51">
        <f t="shared" si="8"/>
        <v>2.8837771648501223</v>
      </c>
      <c r="AA105" s="52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0">
        <v>10326085000000</v>
      </c>
      <c r="F106" s="50">
        <v>218067091000000</v>
      </c>
      <c r="G106" s="50"/>
      <c r="H106" s="50"/>
      <c r="I106" s="50">
        <v>170606759000000</v>
      </c>
      <c r="J106" s="50">
        <v>47460332000000</v>
      </c>
      <c r="K106" s="51">
        <v>96000000000</v>
      </c>
      <c r="L106" s="50">
        <v>16185399000000</v>
      </c>
      <c r="M106" s="50">
        <v>7378410000000</v>
      </c>
      <c r="N106" s="50">
        <v>5475803000000</v>
      </c>
      <c r="O106" s="50">
        <v>3124205000000</v>
      </c>
      <c r="P106" s="50"/>
      <c r="Q106" s="52">
        <v>1065</v>
      </c>
      <c r="R106" s="49">
        <f t="shared" si="0"/>
        <v>1.1837140520323699</v>
      </c>
      <c r="S106" s="49">
        <f t="shared" si="1"/>
        <v>3.594723252252007</v>
      </c>
      <c r="T106" s="51">
        <f t="shared" si="2"/>
        <v>1.432680642307463E-2</v>
      </c>
      <c r="U106" s="51">
        <f t="shared" si="3"/>
        <v>6.5827710602614414E-2</v>
      </c>
      <c r="V106" s="51">
        <f t="shared" si="4"/>
        <v>0.19302613423370038</v>
      </c>
      <c r="W106" s="51">
        <f t="shared" si="5"/>
        <v>0</v>
      </c>
      <c r="X106" s="51">
        <f t="shared" si="6"/>
        <v>0</v>
      </c>
      <c r="Y106" s="51">
        <f t="shared" si="7"/>
        <v>32.725125271869167</v>
      </c>
      <c r="Z106" s="51">
        <f t="shared" si="8"/>
        <v>2.1542200758309065</v>
      </c>
      <c r="AA106" s="52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0">
        <v>89050545000</v>
      </c>
      <c r="F107" s="50">
        <v>8771057795000</v>
      </c>
      <c r="G107" s="50"/>
      <c r="H107" s="50"/>
      <c r="I107" s="50">
        <v>854502894000</v>
      </c>
      <c r="J107" s="50">
        <v>1668466115000</v>
      </c>
      <c r="K107" s="51">
        <v>39000000000</v>
      </c>
      <c r="L107" s="50">
        <v>1067058304000</v>
      </c>
      <c r="M107" s="50">
        <v>282674989000</v>
      </c>
      <c r="N107" s="50">
        <v>279508545000</v>
      </c>
      <c r="O107" s="50">
        <v>20788229000</v>
      </c>
      <c r="P107" s="50"/>
      <c r="Q107" s="52">
        <v>50</v>
      </c>
      <c r="R107" s="49">
        <f t="shared" si="0"/>
        <v>9.3984885310405986</v>
      </c>
      <c r="S107" s="49">
        <f t="shared" si="1"/>
        <v>0.51214878523319607</v>
      </c>
      <c r="T107" s="51">
        <f t="shared" si="2"/>
        <v>2.3700937202637599E-3</v>
      </c>
      <c r="U107" s="51">
        <f t="shared" si="3"/>
        <v>1.2459485279987241E-2</v>
      </c>
      <c r="V107" s="51">
        <f t="shared" si="4"/>
        <v>1.9481811745499521E-2</v>
      </c>
      <c r="W107" s="51">
        <f t="shared" si="5"/>
        <v>0</v>
      </c>
      <c r="X107" s="51">
        <f t="shared" si="6"/>
        <v>0</v>
      </c>
      <c r="Y107" s="51">
        <f t="shared" si="7"/>
        <v>93.803084428211747</v>
      </c>
      <c r="Z107" s="51">
        <f t="shared" si="8"/>
        <v>1.1687381496507048</v>
      </c>
      <c r="AA107" s="52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0">
        <v>98158654000</v>
      </c>
      <c r="F108" s="50">
        <v>11135824845000</v>
      </c>
      <c r="G108" s="50"/>
      <c r="H108" s="50"/>
      <c r="I108" s="50">
        <v>583700944000</v>
      </c>
      <c r="J108" s="50">
        <v>1694565519000</v>
      </c>
      <c r="K108" s="51">
        <v>39000000000</v>
      </c>
      <c r="L108" s="50">
        <v>1262147840000</v>
      </c>
      <c r="M108" s="50">
        <v>218653174000</v>
      </c>
      <c r="N108" s="50">
        <v>208607338000</v>
      </c>
      <c r="O108" s="50">
        <v>13237011000</v>
      </c>
      <c r="P108" s="50"/>
      <c r="Q108" s="52">
        <v>50</v>
      </c>
      <c r="R108" s="49">
        <f t="shared" si="0"/>
        <v>17.111180077173216</v>
      </c>
      <c r="S108" s="49">
        <f t="shared" si="1"/>
        <v>0.34445463303446339</v>
      </c>
      <c r="T108" s="51">
        <f t="shared" si="2"/>
        <v>1.1886870693681424E-3</v>
      </c>
      <c r="U108" s="51">
        <f t="shared" si="3"/>
        <v>7.8114483338545971E-3</v>
      </c>
      <c r="V108" s="51">
        <f t="shared" si="4"/>
        <v>1.0487686608884106E-2</v>
      </c>
      <c r="W108" s="51">
        <f t="shared" si="5"/>
        <v>0</v>
      </c>
      <c r="X108" s="51">
        <f t="shared" si="6"/>
        <v>0</v>
      </c>
      <c r="Y108" s="51">
        <f t="shared" si="7"/>
        <v>147.3142237322308</v>
      </c>
      <c r="Z108" s="51">
        <f t="shared" si="8"/>
        <v>1.1507374475262175</v>
      </c>
      <c r="AA108" s="52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0">
        <v>198947537000</v>
      </c>
      <c r="F109" s="50">
        <v>11302082193000</v>
      </c>
      <c r="G109" s="50"/>
      <c r="H109" s="50"/>
      <c r="I109" s="50">
        <v>600931510000</v>
      </c>
      <c r="J109" s="50">
        <v>3115653432000</v>
      </c>
      <c r="K109" s="51">
        <v>39000000000</v>
      </c>
      <c r="L109" s="50">
        <v>1399900947000</v>
      </c>
      <c r="M109" s="50">
        <v>218943558000</v>
      </c>
      <c r="N109" s="50">
        <v>215546807000</v>
      </c>
      <c r="O109" s="50">
        <v>128116000</v>
      </c>
      <c r="P109" s="50"/>
      <c r="Q109" s="52">
        <v>83</v>
      </c>
      <c r="R109" s="49">
        <f t="shared" si="0"/>
        <v>16.553494923240088</v>
      </c>
      <c r="S109" s="49">
        <f t="shared" si="1"/>
        <v>0.19287495323709675</v>
      </c>
      <c r="T109" s="51">
        <f t="shared" si="2"/>
        <v>1.1335610360305933E-5</v>
      </c>
      <c r="U109" s="51">
        <f t="shared" si="3"/>
        <v>4.1120106197998982E-5</v>
      </c>
      <c r="V109" s="51">
        <f t="shared" si="4"/>
        <v>9.1517903659222251E-5</v>
      </c>
      <c r="W109" s="51">
        <f t="shared" si="5"/>
        <v>0</v>
      </c>
      <c r="X109" s="51">
        <f t="shared" si="6"/>
        <v>0</v>
      </c>
      <c r="Y109" s="51">
        <f t="shared" si="7"/>
        <v>25266.165037934374</v>
      </c>
      <c r="Z109" s="51">
        <f t="shared" si="8"/>
        <v>1.0389473895760304</v>
      </c>
      <c r="AA109" s="52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0">
        <v>355058000000</v>
      </c>
      <c r="F110" s="50">
        <v>29631693000000</v>
      </c>
      <c r="G110" s="50"/>
      <c r="H110" s="50"/>
      <c r="I110" s="50">
        <v>23081225000000</v>
      </c>
      <c r="J110" s="50">
        <v>6550468000000</v>
      </c>
      <c r="K110" s="51">
        <v>15000000000</v>
      </c>
      <c r="L110" s="50">
        <v>2214687000000</v>
      </c>
      <c r="M110" s="50">
        <v>924860000000</v>
      </c>
      <c r="N110" s="50">
        <v>817755000000</v>
      </c>
      <c r="O110" s="50">
        <v>537971000000</v>
      </c>
      <c r="P110" s="50">
        <v>98714000000</v>
      </c>
      <c r="Q110" s="52">
        <v>860</v>
      </c>
      <c r="R110" s="49">
        <f t="shared" si="0"/>
        <v>1.166319421954424</v>
      </c>
      <c r="S110" s="49">
        <f t="shared" si="1"/>
        <v>3.5235993825174017</v>
      </c>
      <c r="T110" s="51">
        <f t="shared" si="2"/>
        <v>1.8155256940600727E-2</v>
      </c>
      <c r="U110" s="51">
        <f t="shared" si="3"/>
        <v>8.2127109085946226E-2</v>
      </c>
      <c r="V110" s="51">
        <f t="shared" si="4"/>
        <v>0.2429106234876531</v>
      </c>
      <c r="W110" s="51">
        <f t="shared" si="5"/>
        <v>7.6522480620155042E-3</v>
      </c>
      <c r="X110" s="51">
        <f t="shared" si="6"/>
        <v>0.18349316227082874</v>
      </c>
      <c r="Y110" s="51">
        <f t="shared" si="7"/>
        <v>23.978987714951177</v>
      </c>
      <c r="Z110" s="51">
        <f t="shared" si="8"/>
        <v>1.9693249398363599</v>
      </c>
      <c r="AA110" s="52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0">
        <v>370993000000</v>
      </c>
      <c r="F111" s="50">
        <v>36936262000000</v>
      </c>
      <c r="G111" s="50"/>
      <c r="H111" s="50"/>
      <c r="I111" s="50">
        <v>30000672000000</v>
      </c>
      <c r="J111" s="50">
        <v>6935590000000</v>
      </c>
      <c r="K111" s="51">
        <v>15000000000</v>
      </c>
      <c r="L111" s="50">
        <v>2438993000000</v>
      </c>
      <c r="M111" s="50">
        <v>1325908000000</v>
      </c>
      <c r="N111" s="50">
        <v>772982000000</v>
      </c>
      <c r="O111" s="50">
        <v>499791000000</v>
      </c>
      <c r="P111" s="50">
        <v>98714000000</v>
      </c>
      <c r="Q111" s="52">
        <v>830</v>
      </c>
      <c r="R111" s="49">
        <f t="shared" si="0"/>
        <v>1.1408948106229087</v>
      </c>
      <c r="S111" s="49">
        <f t="shared" si="1"/>
        <v>4.325612096447454</v>
      </c>
      <c r="T111" s="51">
        <f t="shared" si="2"/>
        <v>1.3531174324028783E-2</v>
      </c>
      <c r="U111" s="51">
        <f t="shared" si="3"/>
        <v>7.2061785659186889E-2</v>
      </c>
      <c r="V111" s="51">
        <f t="shared" si="4"/>
        <v>0.20491694728111151</v>
      </c>
      <c r="W111" s="51">
        <f t="shared" si="5"/>
        <v>7.9288353413654623E-3</v>
      </c>
      <c r="X111" s="51">
        <f t="shared" si="6"/>
        <v>0.197510559413835</v>
      </c>
      <c r="Y111" s="51">
        <f t="shared" si="7"/>
        <v>24.910412552446921</v>
      </c>
      <c r="Z111" s="51">
        <f t="shared" si="8"/>
        <v>1.7950888100363489</v>
      </c>
      <c r="AA111" s="52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0">
        <v>448354000000</v>
      </c>
      <c r="F112" s="50">
        <v>38053939000000</v>
      </c>
      <c r="G112" s="50"/>
      <c r="H112" s="50"/>
      <c r="I112" s="50">
        <v>30782968000000</v>
      </c>
      <c r="J112" s="50">
        <v>7270971000000</v>
      </c>
      <c r="K112" s="51">
        <v>15000000000</v>
      </c>
      <c r="L112" s="50">
        <v>2425276000000</v>
      </c>
      <c r="M112" s="50">
        <v>1178215000000</v>
      </c>
      <c r="N112" s="50">
        <v>812041000000</v>
      </c>
      <c r="O112" s="50">
        <v>536001000000</v>
      </c>
      <c r="P112" s="50">
        <v>85552000000</v>
      </c>
      <c r="Q112" s="52">
        <v>740</v>
      </c>
      <c r="R112" s="49">
        <f t="shared" si="0"/>
        <v>1.142351998026961</v>
      </c>
      <c r="S112" s="49">
        <f t="shared" si="1"/>
        <v>4.2336804809151349</v>
      </c>
      <c r="T112" s="51">
        <f t="shared" si="2"/>
        <v>1.4085296137148904E-2</v>
      </c>
      <c r="U112" s="51">
        <f t="shared" si="3"/>
        <v>7.371793946090556E-2</v>
      </c>
      <c r="V112" s="51">
        <f t="shared" si="4"/>
        <v>0.22100618651238044</v>
      </c>
      <c r="W112" s="51">
        <f t="shared" si="5"/>
        <v>7.7073873873873874E-3</v>
      </c>
      <c r="X112" s="51">
        <f t="shared" si="6"/>
        <v>0.15961164251559232</v>
      </c>
      <c r="Y112" s="51">
        <f t="shared" si="7"/>
        <v>20.708916587842186</v>
      </c>
      <c r="Z112" s="51">
        <f t="shared" si="8"/>
        <v>1.5266186593234934</v>
      </c>
      <c r="AA112" s="52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0">
        <v>182238112107</v>
      </c>
      <c r="F113" s="50">
        <v>2896589814278</v>
      </c>
      <c r="G113" s="50"/>
      <c r="H113" s="50"/>
      <c r="I113" s="50">
        <v>1167083160521</v>
      </c>
      <c r="J113" s="50">
        <v>1729506653757</v>
      </c>
      <c r="K113" s="51">
        <v>12902280000</v>
      </c>
      <c r="L113" s="50">
        <v>473564916412</v>
      </c>
      <c r="M113" s="50">
        <v>359305382036</v>
      </c>
      <c r="N113" s="50">
        <v>144391182125</v>
      </c>
      <c r="O113" s="50">
        <v>70399722671</v>
      </c>
      <c r="P113" s="50"/>
      <c r="Q113" s="52">
        <v>540</v>
      </c>
      <c r="R113" s="49">
        <f t="shared" si="0"/>
        <v>2.1595967420709337</v>
      </c>
      <c r="S113" s="49">
        <f t="shared" si="1"/>
        <v>0.67480697919591703</v>
      </c>
      <c r="T113" s="51">
        <f t="shared" si="2"/>
        <v>2.4304346554000343E-2</v>
      </c>
      <c r="U113" s="51">
        <f t="shared" si="3"/>
        <v>4.0705089233436006E-2</v>
      </c>
      <c r="V113" s="51">
        <f t="shared" si="4"/>
        <v>0.14865907551680299</v>
      </c>
      <c r="W113" s="51">
        <f t="shared" si="5"/>
        <v>0</v>
      </c>
      <c r="X113" s="51">
        <f t="shared" si="6"/>
        <v>0</v>
      </c>
      <c r="Y113" s="51">
        <f t="shared" si="7"/>
        <v>98.966742135619739</v>
      </c>
      <c r="Z113" s="51">
        <f t="shared" si="8"/>
        <v>4.0284500697728527</v>
      </c>
      <c r="AA113" s="52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0">
        <v>179433881039</v>
      </c>
      <c r="F114" s="50">
        <v>3652947899746</v>
      </c>
      <c r="G114" s="50"/>
      <c r="H114" s="50"/>
      <c r="I114" s="50">
        <v>1818115863373</v>
      </c>
      <c r="J114" s="50">
        <v>1834832036373</v>
      </c>
      <c r="K114" s="51">
        <v>12902280000</v>
      </c>
      <c r="L114" s="50">
        <v>1193590630021</v>
      </c>
      <c r="M114" s="50">
        <v>1009410116496</v>
      </c>
      <c r="N114" s="50">
        <v>120227476034</v>
      </c>
      <c r="O114" s="50">
        <v>102897273401</v>
      </c>
      <c r="P114" s="50"/>
      <c r="Q114" s="52">
        <v>690</v>
      </c>
      <c r="R114" s="49">
        <f t="shared" si="0"/>
        <v>1.8309767519376434</v>
      </c>
      <c r="S114" s="49">
        <f t="shared" si="1"/>
        <v>0.9908895350262994</v>
      </c>
      <c r="T114" s="51">
        <f t="shared" si="2"/>
        <v>2.8168283869626158E-2</v>
      </c>
      <c r="U114" s="51">
        <f t="shared" si="3"/>
        <v>5.6079941575688831E-2</v>
      </c>
      <c r="V114" s="51">
        <f t="shared" si="4"/>
        <v>8.620817792377411E-2</v>
      </c>
      <c r="W114" s="51">
        <f t="shared" si="5"/>
        <v>0</v>
      </c>
      <c r="X114" s="51">
        <f t="shared" si="6"/>
        <v>0</v>
      </c>
      <c r="Y114" s="51">
        <f t="shared" si="7"/>
        <v>86.51903889917341</v>
      </c>
      <c r="Z114" s="51">
        <f t="shared" si="8"/>
        <v>4.8519826466503932</v>
      </c>
      <c r="AA114" s="52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0">
        <v>190479472617</v>
      </c>
      <c r="F115" s="50">
        <v>4881911874208</v>
      </c>
      <c r="G115" s="50"/>
      <c r="H115" s="50"/>
      <c r="I115" s="50">
        <v>2920986089935</v>
      </c>
      <c r="J115" s="50">
        <v>1960925784273</v>
      </c>
      <c r="K115" s="51">
        <v>12902280000</v>
      </c>
      <c r="L115" s="50">
        <v>2275473702348</v>
      </c>
      <c r="M115" s="50">
        <v>2062436886511</v>
      </c>
      <c r="N115" s="50">
        <v>153728295937</v>
      </c>
      <c r="O115" s="50">
        <v>124726300324</v>
      </c>
      <c r="P115" s="50"/>
      <c r="Q115" s="52">
        <v>785</v>
      </c>
      <c r="R115" s="49">
        <f t="shared" si="0"/>
        <v>1.4382784691605595</v>
      </c>
      <c r="S115" s="49">
        <f t="shared" si="1"/>
        <v>1.4895954315873998</v>
      </c>
      <c r="T115" s="51">
        <f t="shared" si="2"/>
        <v>2.5548658709500884E-2</v>
      </c>
      <c r="U115" s="51">
        <f t="shared" si="3"/>
        <v>6.360582400635903E-2</v>
      </c>
      <c r="V115" s="51">
        <f t="shared" si="4"/>
        <v>5.4813334118209447E-2</v>
      </c>
      <c r="W115" s="51">
        <f t="shared" si="5"/>
        <v>0</v>
      </c>
      <c r="X115" s="51">
        <f t="shared" si="6"/>
        <v>0</v>
      </c>
      <c r="Y115" s="51">
        <f t="shared" si="7"/>
        <v>81.204122736663109</v>
      </c>
      <c r="Z115" s="51">
        <f t="shared" si="8"/>
        <v>5.1650551393789721</v>
      </c>
      <c r="AA115" s="52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0">
        <v>265730271470</v>
      </c>
      <c r="F116" s="50">
        <v>431672804838</v>
      </c>
      <c r="G116" s="50"/>
      <c r="H116" s="50">
        <v>54497512512</v>
      </c>
      <c r="I116" s="50">
        <v>63912279502</v>
      </c>
      <c r="J116" s="50">
        <v>367760525336</v>
      </c>
      <c r="K116" s="51">
        <v>850000000</v>
      </c>
      <c r="L116" s="50">
        <v>87440977373</v>
      </c>
      <c r="M116" s="50">
        <v>27307815715</v>
      </c>
      <c r="N116" s="50">
        <v>56739467276</v>
      </c>
      <c r="O116" s="50">
        <v>7498492703</v>
      </c>
      <c r="P116" s="50"/>
      <c r="Q116" s="52">
        <v>1310</v>
      </c>
      <c r="R116" s="49">
        <f t="shared" si="0"/>
        <v>1.1445237053500956</v>
      </c>
      <c r="S116" s="49">
        <f t="shared" si="1"/>
        <v>0.17378776431648643</v>
      </c>
      <c r="T116" s="51">
        <f t="shared" si="2"/>
        <v>1.7370778559501952E-2</v>
      </c>
      <c r="U116" s="51">
        <f t="shared" si="3"/>
        <v>2.038960732979455E-2</v>
      </c>
      <c r="V116" s="51">
        <f t="shared" si="4"/>
        <v>8.5754904945920502E-2</v>
      </c>
      <c r="W116" s="51">
        <f t="shared" si="5"/>
        <v>0</v>
      </c>
      <c r="X116" s="51">
        <f t="shared" si="6"/>
        <v>0</v>
      </c>
      <c r="Y116" s="51">
        <f t="shared" si="7"/>
        <v>148.49651044596075</v>
      </c>
      <c r="Z116" s="51">
        <f t="shared" si="8"/>
        <v>3.0277855378378744</v>
      </c>
      <c r="AA116" s="52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0">
        <v>259633756608</v>
      </c>
      <c r="F117" s="50">
        <v>439070378556</v>
      </c>
      <c r="G117" s="50"/>
      <c r="H117" s="50">
        <v>54263912675</v>
      </c>
      <c r="I117" s="50">
        <v>66308261273</v>
      </c>
      <c r="J117" s="50">
        <v>372762117283</v>
      </c>
      <c r="K117" s="51">
        <v>850000000</v>
      </c>
      <c r="L117" s="50">
        <v>85726802073</v>
      </c>
      <c r="M117" s="50">
        <v>26800834114</v>
      </c>
      <c r="N117" s="50">
        <v>62778284141</v>
      </c>
      <c r="O117" s="50">
        <v>628762882</v>
      </c>
      <c r="P117" s="50"/>
      <c r="Q117" s="52">
        <v>450</v>
      </c>
      <c r="R117" s="49">
        <f t="shared" si="0"/>
        <v>1.2847317719773743</v>
      </c>
      <c r="S117" s="49">
        <f t="shared" si="1"/>
        <v>0.17788358365466345</v>
      </c>
      <c r="T117" s="51">
        <f t="shared" si="2"/>
        <v>1.4320321130927903E-3</v>
      </c>
      <c r="U117" s="51">
        <f t="shared" si="3"/>
        <v>1.6867671172782961E-3</v>
      </c>
      <c r="V117" s="51">
        <f t="shared" si="4"/>
        <v>7.334495942874223E-3</v>
      </c>
      <c r="W117" s="51">
        <f t="shared" si="5"/>
        <v>0</v>
      </c>
      <c r="X117" s="51">
        <f t="shared" si="6"/>
        <v>0</v>
      </c>
      <c r="Y117" s="51">
        <f t="shared" si="7"/>
        <v>608.33743681453507</v>
      </c>
      <c r="Z117" s="51">
        <f t="shared" si="8"/>
        <v>1.0261235846281209</v>
      </c>
      <c r="AA117" s="52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0">
        <v>241844455384</v>
      </c>
      <c r="F118" s="50">
        <v>394280340197</v>
      </c>
      <c r="G118" s="50"/>
      <c r="H118" s="50">
        <v>41284563811</v>
      </c>
      <c r="I118" s="50">
        <v>51589144973</v>
      </c>
      <c r="J118" s="50">
        <v>342691195224</v>
      </c>
      <c r="K118" s="51">
        <v>850000000</v>
      </c>
      <c r="L118" s="50">
        <v>32934176030</v>
      </c>
      <c r="M118" s="50">
        <v>12471168816</v>
      </c>
      <c r="N118" s="50">
        <v>41357026843</v>
      </c>
      <c r="O118" s="50">
        <v>-11209268817</v>
      </c>
      <c r="P118" s="50"/>
      <c r="Q118" s="52">
        <v>256</v>
      </c>
      <c r="R118" s="49">
        <f t="shared" si="0"/>
        <v>1.816894953619723</v>
      </c>
      <c r="S118" s="49">
        <f t="shared" si="1"/>
        <v>0.15054120354413766</v>
      </c>
      <c r="T118" s="51">
        <f t="shared" si="2"/>
        <v>-2.842969246551667E-2</v>
      </c>
      <c r="U118" s="51">
        <f t="shared" si="3"/>
        <v>-3.2709532585665252E-2</v>
      </c>
      <c r="V118" s="51">
        <f t="shared" si="4"/>
        <v>-0.34035370451622621</v>
      </c>
      <c r="W118" s="51">
        <f t="shared" si="5"/>
        <v>0</v>
      </c>
      <c r="X118" s="51">
        <f t="shared" si="6"/>
        <v>0</v>
      </c>
      <c r="Y118" s="51">
        <f t="shared" si="7"/>
        <v>-19.412506163648015</v>
      </c>
      <c r="Z118" s="51">
        <f t="shared" si="8"/>
        <v>0.63497400292927231</v>
      </c>
      <c r="AA118" s="52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0">
        <v>668004938529</v>
      </c>
      <c r="F119" s="50">
        <v>1229926003723</v>
      </c>
      <c r="G119" s="50"/>
      <c r="H119" s="50">
        <v>140926455842</v>
      </c>
      <c r="I119" s="50">
        <v>416632326814</v>
      </c>
      <c r="J119" s="50">
        <v>813293676909</v>
      </c>
      <c r="K119" s="51">
        <v>10000000000</v>
      </c>
      <c r="L119" s="50">
        <v>1035508850963</v>
      </c>
      <c r="M119" s="50">
        <v>694804974807</v>
      </c>
      <c r="N119" s="50">
        <v>239999883906</v>
      </c>
      <c r="O119" s="50">
        <v>80315046464</v>
      </c>
      <c r="P119" s="50">
        <v>3457187223</v>
      </c>
      <c r="Q119" s="52">
        <v>77</v>
      </c>
      <c r="R119" s="49">
        <f t="shared" si="0"/>
        <v>0.95426250226495946</v>
      </c>
      <c r="S119" s="49">
        <f t="shared" si="1"/>
        <v>0.51227783842787367</v>
      </c>
      <c r="T119" s="51">
        <f t="shared" si="2"/>
        <v>6.5300714206290009E-2</v>
      </c>
      <c r="U119" s="51">
        <f t="shared" si="3"/>
        <v>9.8752822927684586E-2</v>
      </c>
      <c r="V119" s="51">
        <f t="shared" si="4"/>
        <v>7.7560946378496726E-2</v>
      </c>
      <c r="W119" s="51">
        <f t="shared" si="5"/>
        <v>4.489853536363636E-3</v>
      </c>
      <c r="X119" s="51">
        <f t="shared" si="6"/>
        <v>4.3045324322256745E-2</v>
      </c>
      <c r="Y119" s="51">
        <f t="shared" si="7"/>
        <v>9.5872446558957147</v>
      </c>
      <c r="Z119" s="51">
        <f t="shared" si="8"/>
        <v>0.94676747386805993</v>
      </c>
      <c r="AA119" s="52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0">
        <v>623057370408</v>
      </c>
      <c r="F120" s="50">
        <v>1215041391937</v>
      </c>
      <c r="G120" s="50"/>
      <c r="H120" s="50">
        <v>108411097142</v>
      </c>
      <c r="I120" s="50">
        <v>390067438922</v>
      </c>
      <c r="J120" s="50">
        <v>824973953015</v>
      </c>
      <c r="K120" s="51">
        <v>10000000000</v>
      </c>
      <c r="L120" s="50">
        <v>980145831991</v>
      </c>
      <c r="M120" s="50">
        <v>682255151407</v>
      </c>
      <c r="N120" s="50">
        <v>254608244796</v>
      </c>
      <c r="O120" s="50">
        <v>20100336037</v>
      </c>
      <c r="P120" s="50">
        <v>12151609257</v>
      </c>
      <c r="Q120" s="52">
        <v>128</v>
      </c>
      <c r="R120" s="49">
        <f t="shared" si="0"/>
        <v>1.0644261841374185</v>
      </c>
      <c r="S120" s="49">
        <f t="shared" si="1"/>
        <v>0.4728239449214558</v>
      </c>
      <c r="T120" s="51">
        <f t="shared" si="2"/>
        <v>1.6542922875208685E-2</v>
      </c>
      <c r="U120" s="51">
        <f t="shared" si="3"/>
        <v>2.4364812929596247E-2</v>
      </c>
      <c r="V120" s="51">
        <f t="shared" si="4"/>
        <v>2.0507495294011073E-2</v>
      </c>
      <c r="W120" s="51">
        <f t="shared" si="5"/>
        <v>9.49344473203125E-3</v>
      </c>
      <c r="X120" s="51">
        <f t="shared" si="6"/>
        <v>0.60454756749497818</v>
      </c>
      <c r="Y120" s="51">
        <f t="shared" si="7"/>
        <v>63.68052741226915</v>
      </c>
      <c r="Z120" s="51">
        <f t="shared" si="8"/>
        <v>1.5515641376579636</v>
      </c>
      <c r="AA120" s="52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0">
        <v>580933225999</v>
      </c>
      <c r="F121" s="50">
        <v>1043313799003</v>
      </c>
      <c r="G121" s="50"/>
      <c r="H121" s="50">
        <v>163009184592</v>
      </c>
      <c r="I121" s="50">
        <v>466243114050</v>
      </c>
      <c r="J121" s="50">
        <v>577070684953</v>
      </c>
      <c r="K121" s="51">
        <v>10000000000</v>
      </c>
      <c r="L121" s="50">
        <v>284181538459</v>
      </c>
      <c r="M121" s="50">
        <v>237921357900</v>
      </c>
      <c r="N121" s="50">
        <v>235610486134</v>
      </c>
      <c r="O121" s="50">
        <v>-256092630622</v>
      </c>
      <c r="P121" s="50">
        <v>28040000</v>
      </c>
      <c r="Q121" s="52">
        <v>55</v>
      </c>
      <c r="R121" s="49">
        <f t="shared" si="0"/>
        <v>0.56711578542829522</v>
      </c>
      <c r="S121" s="49">
        <f t="shared" si="1"/>
        <v>0.80794801435455621</v>
      </c>
      <c r="T121" s="51">
        <f t="shared" si="2"/>
        <v>-0.24546079124681799</v>
      </c>
      <c r="U121" s="51">
        <f t="shared" si="3"/>
        <v>-0.44378035013658279</v>
      </c>
      <c r="V121" s="51">
        <f t="shared" si="4"/>
        <v>-0.90115857634765917</v>
      </c>
      <c r="W121" s="51">
        <f t="shared" si="5"/>
        <v>5.098181818181818E-5</v>
      </c>
      <c r="X121" s="51">
        <f t="shared" si="6"/>
        <v>-1.094916317267553E-4</v>
      </c>
      <c r="Y121" s="51">
        <f t="shared" si="7"/>
        <v>-2.1476603940697365</v>
      </c>
      <c r="Z121" s="51">
        <f t="shared" si="8"/>
        <v>0.95308948165473906</v>
      </c>
      <c r="AA121" s="52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0">
        <v>313507248253</v>
      </c>
      <c r="F122" s="50">
        <v>986798686383</v>
      </c>
      <c r="G122" s="50"/>
      <c r="H122" s="50">
        <v>106701019905</v>
      </c>
      <c r="I122" s="50">
        <v>560755293708</v>
      </c>
      <c r="J122" s="50">
        <v>426043392675</v>
      </c>
      <c r="K122" s="51">
        <v>4000000000</v>
      </c>
      <c r="L122" s="50">
        <v>1176679314139</v>
      </c>
      <c r="M122" s="50">
        <v>947170542507</v>
      </c>
      <c r="N122" s="50">
        <v>159317990074</v>
      </c>
      <c r="O122" s="50">
        <v>21618512703</v>
      </c>
      <c r="P122" s="50">
        <v>8000000000</v>
      </c>
      <c r="Q122" s="52">
        <v>316</v>
      </c>
      <c r="R122" s="49">
        <f t="shared" si="0"/>
        <v>1.0471217047997403</v>
      </c>
      <c r="S122" s="49">
        <f t="shared" si="1"/>
        <v>1.3161929121519382</v>
      </c>
      <c r="T122" s="51">
        <f t="shared" si="2"/>
        <v>2.1907723430642411E-2</v>
      </c>
      <c r="U122" s="51">
        <f t="shared" si="3"/>
        <v>5.0742513731438892E-2</v>
      </c>
      <c r="V122" s="51">
        <f t="shared" si="4"/>
        <v>1.8372476207605216E-2</v>
      </c>
      <c r="W122" s="51">
        <f t="shared" si="5"/>
        <v>6.3291139240506328E-3</v>
      </c>
      <c r="X122" s="51">
        <f t="shared" si="6"/>
        <v>0.37005320902070382</v>
      </c>
      <c r="Y122" s="51">
        <f t="shared" si="7"/>
        <v>58.468407025271205</v>
      </c>
      <c r="Z122" s="51">
        <f t="shared" si="8"/>
        <v>2.9668339463351825</v>
      </c>
      <c r="AA122" s="52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0">
        <v>297319143583</v>
      </c>
      <c r="F123" s="50">
        <v>962025149261</v>
      </c>
      <c r="G123" s="50"/>
      <c r="H123" s="50">
        <v>106816001403</v>
      </c>
      <c r="I123" s="50">
        <v>553754286838</v>
      </c>
      <c r="J123" s="50">
        <v>408270862423</v>
      </c>
      <c r="K123" s="51">
        <v>4000000000</v>
      </c>
      <c r="L123" s="50">
        <v>1187269670295</v>
      </c>
      <c r="M123" s="50">
        <v>891846999972</v>
      </c>
      <c r="N123" s="50">
        <v>211484755362</v>
      </c>
      <c r="O123" s="50">
        <v>32133014664</v>
      </c>
      <c r="P123" s="50">
        <v>8000000000</v>
      </c>
      <c r="Q123" s="52">
        <v>338</v>
      </c>
      <c r="R123" s="49">
        <f t="shared" si="0"/>
        <v>0.99881025874894447</v>
      </c>
      <c r="S123" s="49">
        <f t="shared" si="1"/>
        <v>1.3563404538633668</v>
      </c>
      <c r="T123" s="51">
        <f t="shared" si="2"/>
        <v>3.3401428942563149E-2</v>
      </c>
      <c r="U123" s="51">
        <f t="shared" si="3"/>
        <v>7.8705138234204247E-2</v>
      </c>
      <c r="V123" s="51">
        <f t="shared" si="4"/>
        <v>2.7064630275627215E-2</v>
      </c>
      <c r="W123" s="51">
        <f t="shared" si="5"/>
        <v>5.9171597633136093E-3</v>
      </c>
      <c r="X123" s="51">
        <f t="shared" si="6"/>
        <v>0.24896512461256068</v>
      </c>
      <c r="Y123" s="51">
        <f t="shared" si="7"/>
        <v>42.075106059522753</v>
      </c>
      <c r="Z123" s="51">
        <f t="shared" si="8"/>
        <v>3.3115270386335434</v>
      </c>
      <c r="AA123" s="52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0">
        <v>385727013711</v>
      </c>
      <c r="F124" s="50">
        <v>972015359252</v>
      </c>
      <c r="G124" s="50"/>
      <c r="H124" s="50">
        <v>151749817514</v>
      </c>
      <c r="I124" s="50">
        <v>601172001077</v>
      </c>
      <c r="J124" s="50">
        <v>370843358175</v>
      </c>
      <c r="K124" s="51">
        <v>4000000000</v>
      </c>
      <c r="L124" s="50">
        <v>984347363283</v>
      </c>
      <c r="M124" s="50">
        <v>745766889459</v>
      </c>
      <c r="N124" s="50">
        <v>189978072198</v>
      </c>
      <c r="O124" s="50">
        <v>1599783419</v>
      </c>
      <c r="P124" s="50">
        <v>8000000000</v>
      </c>
      <c r="Q124" s="52">
        <v>346</v>
      </c>
      <c r="R124" s="49">
        <f t="shared" si="0"/>
        <v>0.84164376802570584</v>
      </c>
      <c r="S124" s="49">
        <f t="shared" si="1"/>
        <v>1.6210941569386514</v>
      </c>
      <c r="T124" s="51">
        <f t="shared" si="2"/>
        <v>1.6458417079243373E-3</v>
      </c>
      <c r="U124" s="51">
        <f t="shared" si="3"/>
        <v>4.313906083886411E-3</v>
      </c>
      <c r="V124" s="51">
        <f t="shared" si="4"/>
        <v>1.6252224353650877E-3</v>
      </c>
      <c r="W124" s="51">
        <f t="shared" si="5"/>
        <v>5.7803468208092483E-3</v>
      </c>
      <c r="X124" s="51">
        <f t="shared" si="6"/>
        <v>5.0006769072532808</v>
      </c>
      <c r="Y124" s="51">
        <f t="shared" si="7"/>
        <v>865.11710495481759</v>
      </c>
      <c r="Z124" s="51">
        <f t="shared" si="8"/>
        <v>3.7320339423387869</v>
      </c>
      <c r="AA124" s="52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0">
        <v>604523211</v>
      </c>
      <c r="F125" s="50">
        <v>1262027127785</v>
      </c>
      <c r="G125" s="50"/>
      <c r="H125" s="50"/>
      <c r="I125" s="50">
        <v>12074906518</v>
      </c>
      <c r="J125" s="50">
        <v>1249952221267</v>
      </c>
      <c r="K125" s="51">
        <v>34386750000</v>
      </c>
      <c r="L125" s="50">
        <v>3309695977</v>
      </c>
      <c r="M125" s="50">
        <v>4326032844</v>
      </c>
      <c r="N125" s="50">
        <v>38942653627</v>
      </c>
      <c r="O125" s="50">
        <v>36602219324</v>
      </c>
      <c r="Q125" s="52">
        <v>102</v>
      </c>
      <c r="R125" s="49">
        <f t="shared" si="0"/>
        <v>14.853880764015038</v>
      </c>
      <c r="S125" s="49">
        <f t="shared" si="1"/>
        <v>9.6602944597037541E-3</v>
      </c>
      <c r="T125" s="51">
        <f t="shared" si="2"/>
        <v>2.9002719924286432E-2</v>
      </c>
      <c r="U125" s="51">
        <f t="shared" si="3"/>
        <v>2.9282894738887358E-2</v>
      </c>
      <c r="V125" s="51">
        <f t="shared" si="4"/>
        <v>11.059088078892753</v>
      </c>
      <c r="W125" s="51">
        <f t="shared" si="5"/>
        <v>0</v>
      </c>
      <c r="X125" s="51">
        <f t="shared" si="6"/>
        <v>0</v>
      </c>
      <c r="Y125" s="51">
        <f t="shared" si="7"/>
        <v>95.826115595678459</v>
      </c>
      <c r="Z125" s="51">
        <f t="shared" si="8"/>
        <v>2.8060660562247048</v>
      </c>
      <c r="AA125" s="52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0">
        <v>544048165</v>
      </c>
      <c r="F126" s="50">
        <v>1093765589044</v>
      </c>
      <c r="G126" s="50"/>
      <c r="H126" s="50"/>
      <c r="I126" s="50">
        <v>12322265710</v>
      </c>
      <c r="J126" s="50">
        <v>1081443323334</v>
      </c>
      <c r="K126" s="51">
        <v>34386750000</v>
      </c>
      <c r="L126" s="50">
        <v>2864926016</v>
      </c>
      <c r="M126" s="50">
        <v>6271926871</v>
      </c>
      <c r="N126" s="50">
        <v>38109266181</v>
      </c>
      <c r="O126" s="50">
        <v>-40516442135</v>
      </c>
      <c r="Q126" s="52">
        <v>80</v>
      </c>
      <c r="R126" s="49">
        <f t="shared" si="0"/>
        <v>13.587949563376199</v>
      </c>
      <c r="S126" s="49">
        <f t="shared" si="1"/>
        <v>1.1394277854535619E-2</v>
      </c>
      <c r="T126" s="51">
        <f t="shared" si="2"/>
        <v>-3.7043076268666653E-2</v>
      </c>
      <c r="U126" s="51">
        <f t="shared" si="3"/>
        <v>-3.7465155372258599E-2</v>
      </c>
      <c r="V126" s="51">
        <f t="shared" si="4"/>
        <v>-14.142229819801392</v>
      </c>
      <c r="W126" s="51">
        <f t="shared" si="5"/>
        <v>0</v>
      </c>
      <c r="X126" s="51">
        <f t="shared" si="6"/>
        <v>0</v>
      </c>
      <c r="Y126" s="51">
        <f t="shared" si="7"/>
        <v>-67.896879761404549</v>
      </c>
      <c r="Z126" s="51">
        <f t="shared" si="8"/>
        <v>2.5437671495525813</v>
      </c>
      <c r="AA126" s="52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0">
        <v>488353479</v>
      </c>
      <c r="F127" s="50">
        <v>1098807182384</v>
      </c>
      <c r="G127" s="50"/>
      <c r="H127" s="50"/>
      <c r="I127" s="50">
        <v>4057590748</v>
      </c>
      <c r="J127" s="50">
        <v>1094749591636</v>
      </c>
      <c r="K127" s="51">
        <v>34386750000</v>
      </c>
      <c r="L127" s="50">
        <v>60000000</v>
      </c>
      <c r="M127" s="50">
        <v>0</v>
      </c>
      <c r="N127" s="50">
        <v>10339109764</v>
      </c>
      <c r="O127" s="50">
        <v>15645276591</v>
      </c>
      <c r="Q127" s="52">
        <v>88</v>
      </c>
      <c r="R127" s="49">
        <f t="shared" si="0"/>
        <v>19.857828720088555</v>
      </c>
      <c r="S127" s="49">
        <f t="shared" si="1"/>
        <v>3.7064099215020608E-3</v>
      </c>
      <c r="T127" s="51">
        <f t="shared" si="2"/>
        <v>1.4238418570449831E-2</v>
      </c>
      <c r="U127" s="51">
        <f t="shared" si="3"/>
        <v>1.4291191986305846E-2</v>
      </c>
      <c r="V127" s="51">
        <f t="shared" si="4"/>
        <v>260.75460985000001</v>
      </c>
      <c r="W127" s="51">
        <f t="shared" si="5"/>
        <v>0</v>
      </c>
      <c r="X127" s="51">
        <f t="shared" si="6"/>
        <v>0</v>
      </c>
      <c r="Y127" s="51">
        <f t="shared" si="7"/>
        <v>193.41518076712921</v>
      </c>
      <c r="Z127" s="51">
        <f t="shared" si="8"/>
        <v>2.7641334814090937</v>
      </c>
      <c r="AA127" s="52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0">
        <v>2642568000000</v>
      </c>
      <c r="F128" s="50">
        <v>100663451000000</v>
      </c>
      <c r="G128" s="50"/>
      <c r="H128" s="50"/>
      <c r="I128" s="50">
        <v>75550211000000</v>
      </c>
      <c r="J128" s="50">
        <v>25113240000000</v>
      </c>
      <c r="K128" s="51">
        <v>21513629568</v>
      </c>
      <c r="L128" s="50">
        <v>37377268000000</v>
      </c>
      <c r="M128" s="50">
        <v>35730089000000</v>
      </c>
      <c r="N128" s="50">
        <v>4099487000000</v>
      </c>
      <c r="O128" s="50">
        <v>1537695000000</v>
      </c>
      <c r="P128" s="50">
        <v>556368000000</v>
      </c>
      <c r="Q128" s="52">
        <v>8650</v>
      </c>
      <c r="R128" s="49">
        <f t="shared" si="0"/>
        <v>1.2303033276770068</v>
      </c>
      <c r="S128" s="49">
        <f t="shared" si="1"/>
        <v>3.0083816743677838</v>
      </c>
      <c r="T128" s="51">
        <f t="shared" si="2"/>
        <v>1.5275603853478061E-2</v>
      </c>
      <c r="U128" s="51">
        <f t="shared" si="3"/>
        <v>6.1230450551183362E-2</v>
      </c>
      <c r="V128" s="51">
        <f t="shared" si="4"/>
        <v>4.1139844677786509E-2</v>
      </c>
      <c r="W128" s="51">
        <f t="shared" si="5"/>
        <v>2.9897326156285335E-3</v>
      </c>
      <c r="X128" s="51">
        <f t="shared" si="6"/>
        <v>0.36181947655419311</v>
      </c>
      <c r="Y128" s="51">
        <f t="shared" si="7"/>
        <v>121.02068080028874</v>
      </c>
      <c r="Z128" s="51">
        <f t="shared" si="8"/>
        <v>7.4101508114126249</v>
      </c>
      <c r="AA128" s="52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0">
        <v>2558102000000</v>
      </c>
      <c r="F129" s="50">
        <v>99624857000000</v>
      </c>
      <c r="G129" s="50"/>
      <c r="H129" s="50"/>
      <c r="I129" s="50">
        <v>77460250000000</v>
      </c>
      <c r="J129" s="50">
        <v>22164607000000</v>
      </c>
      <c r="K129" s="51">
        <v>21513629568</v>
      </c>
      <c r="L129" s="50">
        <v>41919335000000</v>
      </c>
      <c r="M129" s="50">
        <v>36737570000000</v>
      </c>
      <c r="N129" s="50">
        <v>4397470000000</v>
      </c>
      <c r="O129" s="50">
        <v>5070554000000</v>
      </c>
      <c r="P129" s="50">
        <v>190000000000</v>
      </c>
      <c r="Q129" s="52">
        <v>15225</v>
      </c>
      <c r="R129" s="49">
        <f t="shared" si="0"/>
        <v>1.1589880616187012</v>
      </c>
      <c r="S129" s="49">
        <f t="shared" si="1"/>
        <v>3.4947720931844177</v>
      </c>
      <c r="T129" s="51">
        <f t="shared" si="2"/>
        <v>5.0896474561564486E-2</v>
      </c>
      <c r="U129" s="51">
        <f t="shared" si="3"/>
        <v>0.22876805350079069</v>
      </c>
      <c r="V129" s="51">
        <f t="shared" si="4"/>
        <v>0.12095979098905076</v>
      </c>
      <c r="W129" s="51">
        <f t="shared" si="5"/>
        <v>5.8007294905748489E-4</v>
      </c>
      <c r="X129" s="51">
        <f t="shared" si="6"/>
        <v>3.7471250675961638E-2</v>
      </c>
      <c r="Y129" s="51">
        <f t="shared" si="7"/>
        <v>64.597479914975764</v>
      </c>
      <c r="Z129" s="51">
        <f t="shared" si="8"/>
        <v>14.777839741205426</v>
      </c>
      <c r="AA129" s="52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0">
        <v>3234752000000</v>
      </c>
      <c r="F130" s="50">
        <v>108456227000000</v>
      </c>
      <c r="G130" s="50"/>
      <c r="H130" s="50"/>
      <c r="I130" s="50">
        <v>85533983000000</v>
      </c>
      <c r="J130" s="50">
        <v>22922244000000</v>
      </c>
      <c r="K130" s="51">
        <v>21513629568</v>
      </c>
      <c r="L130" s="50">
        <v>38259352000000</v>
      </c>
      <c r="M130" s="50">
        <v>37609184000000</v>
      </c>
      <c r="N130" s="50">
        <v>4221478000000</v>
      </c>
      <c r="O130" s="50">
        <v>559820000000</v>
      </c>
      <c r="P130" s="50">
        <v>0</v>
      </c>
      <c r="Q130" s="52">
        <v>11400</v>
      </c>
      <c r="R130" s="49">
        <f t="shared" si="0"/>
        <v>1.11126922500499</v>
      </c>
      <c r="S130" s="49">
        <f t="shared" si="1"/>
        <v>3.7314838372717785</v>
      </c>
      <c r="T130" s="51">
        <f t="shared" si="2"/>
        <v>5.1617137667899883E-3</v>
      </c>
      <c r="U130" s="51">
        <f t="shared" si="3"/>
        <v>2.4422565260190057E-2</v>
      </c>
      <c r="V130" s="51">
        <f t="shared" si="4"/>
        <v>1.4632239458734167E-2</v>
      </c>
      <c r="W130" s="51">
        <f t="shared" si="5"/>
        <v>0</v>
      </c>
      <c r="X130" s="51">
        <f t="shared" si="6"/>
        <v>0</v>
      </c>
      <c r="Y130" s="51">
        <f t="shared" si="7"/>
        <v>438.09684733521487</v>
      </c>
      <c r="Z130" s="51">
        <f t="shared" si="8"/>
        <v>10.699448844327806</v>
      </c>
      <c r="AA130" s="52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0">
        <v>544030482000</v>
      </c>
      <c r="F131" s="50">
        <v>30815122948000</v>
      </c>
      <c r="G131" s="50"/>
      <c r="H131" s="50"/>
      <c r="I131" s="50">
        <v>25993108259000</v>
      </c>
      <c r="J131" s="50">
        <v>3287794997000</v>
      </c>
      <c r="K131" s="51">
        <v>1500000000000</v>
      </c>
      <c r="L131" s="50">
        <v>1112846234000</v>
      </c>
      <c r="M131" s="50">
        <v>662534518000</v>
      </c>
      <c r="N131" s="50">
        <v>48435751000</v>
      </c>
      <c r="O131" s="50">
        <v>80821884000</v>
      </c>
      <c r="P131" s="50">
        <v>403934000</v>
      </c>
      <c r="Q131" s="52">
        <v>104</v>
      </c>
      <c r="R131" s="49">
        <f t="shared" si="0"/>
        <v>1.1133802667474206</v>
      </c>
      <c r="S131" s="49">
        <f t="shared" si="1"/>
        <v>7.9059394769801097</v>
      </c>
      <c r="T131" s="51">
        <f t="shared" si="2"/>
        <v>2.622799335780213E-3</v>
      </c>
      <c r="U131" s="51">
        <f t="shared" si="3"/>
        <v>2.4582397647586664E-2</v>
      </c>
      <c r="V131" s="51">
        <f t="shared" si="4"/>
        <v>7.2626281628769926E-2</v>
      </c>
      <c r="W131" s="51">
        <f t="shared" si="5"/>
        <v>2.589320512820513E-6</v>
      </c>
      <c r="X131" s="51">
        <f t="shared" si="6"/>
        <v>4.9978295482446316E-3</v>
      </c>
      <c r="Y131" s="51">
        <f t="shared" si="7"/>
        <v>1930.1702989254741</v>
      </c>
      <c r="Z131" s="51">
        <f t="shared" si="8"/>
        <v>47.448213815747224</v>
      </c>
      <c r="AA131" s="52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0">
        <v>529228073000</v>
      </c>
      <c r="F132" s="50">
        <v>31243747963000</v>
      </c>
      <c r="G132" s="50"/>
      <c r="H132" s="50"/>
      <c r="I132" s="50">
        <v>26052543404000</v>
      </c>
      <c r="J132" s="50">
        <v>3503719943000</v>
      </c>
      <c r="K132" s="51">
        <v>1500000000000</v>
      </c>
      <c r="L132" s="50">
        <v>1081783774000</v>
      </c>
      <c r="M132" s="50">
        <v>835314940000</v>
      </c>
      <c r="N132" s="50">
        <v>52908931000</v>
      </c>
      <c r="O132" s="50">
        <v>47666013000</v>
      </c>
      <c r="P132" s="50">
        <v>3386773000</v>
      </c>
      <c r="Q132" s="52">
        <v>112</v>
      </c>
      <c r="R132" s="49">
        <f t="shared" si="0"/>
        <v>1.1212962049423096</v>
      </c>
      <c r="S132" s="49">
        <f t="shared" si="1"/>
        <v>7.4356808842698072</v>
      </c>
      <c r="T132" s="51">
        <f t="shared" si="2"/>
        <v>1.525617638973655E-3</v>
      </c>
      <c r="U132" s="51">
        <f t="shared" si="3"/>
        <v>1.3604401543345612E-2</v>
      </c>
      <c r="V132" s="51">
        <f t="shared" si="4"/>
        <v>4.4062421849562702E-2</v>
      </c>
      <c r="W132" s="51">
        <f t="shared" si="5"/>
        <v>2.0159363095238095E-5</v>
      </c>
      <c r="X132" s="51">
        <f t="shared" si="6"/>
        <v>7.1052156176771061E-2</v>
      </c>
      <c r="Y132" s="51">
        <f t="shared" si="7"/>
        <v>3524.523857281707</v>
      </c>
      <c r="Z132" s="51">
        <f t="shared" si="8"/>
        <v>47.949037803561687</v>
      </c>
      <c r="AA132" s="52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0">
        <v>572564466000</v>
      </c>
      <c r="F133" s="50">
        <v>26961960681000</v>
      </c>
      <c r="G133" s="50"/>
      <c r="H133" s="50"/>
      <c r="I133" s="50">
        <v>22447783800000</v>
      </c>
      <c r="J133" s="50">
        <v>3134994520000</v>
      </c>
      <c r="K133" s="51">
        <v>1500000000000</v>
      </c>
      <c r="L133" s="50">
        <v>864181616000</v>
      </c>
      <c r="M133" s="50">
        <v>596052897000</v>
      </c>
      <c r="N133" s="50">
        <v>99591995000</v>
      </c>
      <c r="O133" s="50">
        <v>-238080320000</v>
      </c>
      <c r="P133" s="50">
        <v>2649293000</v>
      </c>
      <c r="Q133" s="52">
        <v>80</v>
      </c>
      <c r="R133" s="49">
        <f t="shared" si="0"/>
        <v>1.0940802861795202</v>
      </c>
      <c r="S133" s="49">
        <f t="shared" si="1"/>
        <v>7.1603901240631194</v>
      </c>
      <c r="T133" s="51">
        <f t="shared" si="2"/>
        <v>-8.8302302201551074E-3</v>
      </c>
      <c r="U133" s="51">
        <f t="shared" si="3"/>
        <v>-7.5942818553953961E-2</v>
      </c>
      <c r="V133" s="51">
        <f t="shared" si="4"/>
        <v>-0.27549801522276307</v>
      </c>
      <c r="W133" s="51">
        <f t="shared" si="5"/>
        <v>2.2077441666666665E-5</v>
      </c>
      <c r="X133" s="51">
        <f t="shared" si="6"/>
        <v>-1.1127727818914222E-2</v>
      </c>
      <c r="Y133" s="51">
        <f t="shared" si="7"/>
        <v>-504.03158060271426</v>
      </c>
      <c r="Z133" s="51">
        <f t="shared" si="8"/>
        <v>38.277578871174548</v>
      </c>
      <c r="AA133" s="52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0">
        <v>245488000000</v>
      </c>
      <c r="F134" s="50">
        <v>31496441000000</v>
      </c>
      <c r="G134" s="50"/>
      <c r="H134" s="50"/>
      <c r="I134" s="50">
        <v>24468242000000</v>
      </c>
      <c r="J134" s="50">
        <v>7028199000000</v>
      </c>
      <c r="K134" s="51">
        <v>4000000000</v>
      </c>
      <c r="L134" s="50">
        <v>10138755000000</v>
      </c>
      <c r="M134" s="50"/>
      <c r="N134" s="50">
        <v>2166259000000</v>
      </c>
      <c r="O134" s="50">
        <v>1987284000000</v>
      </c>
      <c r="P134" s="50">
        <v>704500000000</v>
      </c>
      <c r="Q134" s="52">
        <v>9100</v>
      </c>
      <c r="R134" s="49">
        <f t="shared" si="0"/>
        <v>1.2161691060600104</v>
      </c>
      <c r="S134" s="49">
        <f t="shared" si="1"/>
        <v>3.4814384168689587</v>
      </c>
      <c r="T134" s="51">
        <f t="shared" si="2"/>
        <v>6.3095509743465936E-2</v>
      </c>
      <c r="U134" s="51">
        <f t="shared" si="3"/>
        <v>0.28275864129629796</v>
      </c>
      <c r="V134" s="51">
        <f t="shared" si="4"/>
        <v>0.19600868153930143</v>
      </c>
      <c r="W134" s="51">
        <f t="shared" si="5"/>
        <v>1.9354395604395603E-2</v>
      </c>
      <c r="X134" s="51">
        <f t="shared" si="6"/>
        <v>0.35450393602524854</v>
      </c>
      <c r="Y134" s="51">
        <f t="shared" si="7"/>
        <v>18.316456027422351</v>
      </c>
      <c r="Z134" s="51">
        <f t="shared" si="8"/>
        <v>5.1791362196773312</v>
      </c>
      <c r="AA134" s="52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0">
        <v>266149000000</v>
      </c>
      <c r="F135" s="50">
        <v>35116853000000</v>
      </c>
      <c r="G135" s="50"/>
      <c r="H135" s="50"/>
      <c r="I135" s="50">
        <v>27038058000000</v>
      </c>
      <c r="J135" s="50">
        <v>8078795000000</v>
      </c>
      <c r="K135" s="51">
        <v>4000000000</v>
      </c>
      <c r="L135" s="50">
        <v>11337726000000</v>
      </c>
      <c r="M135" s="50"/>
      <c r="N135" s="50">
        <v>2354551000000</v>
      </c>
      <c r="O135" s="50">
        <v>1958596000000</v>
      </c>
      <c r="P135" s="50">
        <v>908000000000</v>
      </c>
      <c r="Q135" s="52">
        <v>10400</v>
      </c>
      <c r="R135" s="49">
        <f t="shared" si="0"/>
        <v>1.2391590401943808</v>
      </c>
      <c r="S135" s="49">
        <f t="shared" si="1"/>
        <v>3.3467934264949166</v>
      </c>
      <c r="T135" s="51">
        <f t="shared" si="2"/>
        <v>5.5773676530752915E-2</v>
      </c>
      <c r="U135" s="51">
        <f t="shared" si="3"/>
        <v>0.24243665051533056</v>
      </c>
      <c r="V135" s="51">
        <f t="shared" si="4"/>
        <v>0.17275033811894908</v>
      </c>
      <c r="W135" s="51">
        <f t="shared" si="5"/>
        <v>2.1826923076923077E-2</v>
      </c>
      <c r="X135" s="51">
        <f t="shared" si="6"/>
        <v>0.46359739323474569</v>
      </c>
      <c r="Y135" s="51">
        <f t="shared" si="7"/>
        <v>21.239704359653548</v>
      </c>
      <c r="Z135" s="51">
        <f t="shared" si="8"/>
        <v>5.1492827828902703</v>
      </c>
      <c r="AA135" s="52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0">
        <v>244529000000</v>
      </c>
      <c r="F136" s="50">
        <v>29230513000000</v>
      </c>
      <c r="G136" s="50"/>
      <c r="H136" s="50"/>
      <c r="I136" s="50">
        <v>21305238000000</v>
      </c>
      <c r="J136" s="50">
        <v>7925275000000</v>
      </c>
      <c r="K136" s="51">
        <v>4000000000</v>
      </c>
      <c r="L136" s="50">
        <v>9434745000000</v>
      </c>
      <c r="M136" s="50"/>
      <c r="N136" s="50">
        <v>1976168000000</v>
      </c>
      <c r="O136" s="50">
        <v>1015111000000</v>
      </c>
      <c r="P136" s="50">
        <v>1054500000000</v>
      </c>
      <c r="Q136" s="52">
        <v>8975</v>
      </c>
      <c r="R136" s="49">
        <f t="shared" si="0"/>
        <v>1.2897839019681452</v>
      </c>
      <c r="S136" s="49">
        <f t="shared" si="1"/>
        <v>2.6882648236181077</v>
      </c>
      <c r="T136" s="51">
        <f t="shared" si="2"/>
        <v>3.4727785995408295E-2</v>
      </c>
      <c r="U136" s="51">
        <f t="shared" si="3"/>
        <v>0.12808527148900195</v>
      </c>
      <c r="V136" s="51">
        <f t="shared" si="4"/>
        <v>0.10759283902214634</v>
      </c>
      <c r="W136" s="51">
        <f t="shared" si="5"/>
        <v>2.9373259052924792E-2</v>
      </c>
      <c r="X136" s="51">
        <f t="shared" si="6"/>
        <v>1.0388026531088719</v>
      </c>
      <c r="Y136" s="51">
        <f t="shared" si="7"/>
        <v>35.365590561032242</v>
      </c>
      <c r="Z136" s="51">
        <f t="shared" si="8"/>
        <v>4.5298112683787002</v>
      </c>
      <c r="AA136" s="52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0">
        <v>102764000000</v>
      </c>
      <c r="F137" s="50">
        <v>5019046000000</v>
      </c>
      <c r="G137" s="50"/>
      <c r="H137" s="50"/>
      <c r="I137" s="50">
        <v>3841990000000</v>
      </c>
      <c r="J137" s="50">
        <v>1177056000000</v>
      </c>
      <c r="K137" s="51">
        <v>4800000000</v>
      </c>
      <c r="L137" s="50">
        <v>739882000000</v>
      </c>
      <c r="M137" s="50">
        <v>662970000000</v>
      </c>
      <c r="N137" s="50">
        <v>192894000000</v>
      </c>
      <c r="O137" s="50">
        <v>57571000000</v>
      </c>
      <c r="P137" s="50">
        <v>26315000000</v>
      </c>
      <c r="Q137" s="52">
        <v>472</v>
      </c>
      <c r="R137" s="49">
        <f t="shared" si="0"/>
        <v>1.2658984016095824</v>
      </c>
      <c r="S137" s="49">
        <f t="shared" si="1"/>
        <v>3.2640673001114644</v>
      </c>
      <c r="T137" s="51">
        <f t="shared" si="2"/>
        <v>1.1470506546463212E-2</v>
      </c>
      <c r="U137" s="51">
        <f t="shared" si="3"/>
        <v>4.891101188048827E-2</v>
      </c>
      <c r="V137" s="51">
        <f t="shared" si="4"/>
        <v>7.7811056357635411E-2</v>
      </c>
      <c r="W137" s="51">
        <f t="shared" si="5"/>
        <v>1.1615024717514124E-2</v>
      </c>
      <c r="X137" s="51">
        <f t="shared" si="6"/>
        <v>0.45708776988414307</v>
      </c>
      <c r="Y137" s="51">
        <f t="shared" si="7"/>
        <v>39.353146549478033</v>
      </c>
      <c r="Z137" s="51">
        <f t="shared" si="8"/>
        <v>1.9248022184161162</v>
      </c>
      <c r="AA137" s="52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0">
        <v>100426000000</v>
      </c>
      <c r="F138" s="50">
        <v>5051402000000</v>
      </c>
      <c r="G138" s="50"/>
      <c r="H138" s="50"/>
      <c r="I138" s="50">
        <v>3843919000000</v>
      </c>
      <c r="J138" s="50">
        <v>1207483000000</v>
      </c>
      <c r="K138" s="51">
        <v>4800000000</v>
      </c>
      <c r="L138" s="50">
        <v>839267000000</v>
      </c>
      <c r="M138" s="50">
        <v>760878000000</v>
      </c>
      <c r="N138" s="50">
        <v>218494000000</v>
      </c>
      <c r="O138" s="50">
        <v>59269000000</v>
      </c>
      <c r="P138" s="50">
        <v>23025000000</v>
      </c>
      <c r="Q138" s="52">
        <v>404</v>
      </c>
      <c r="R138" s="49">
        <f t="shared" si="0"/>
        <v>1.2745794071102956</v>
      </c>
      <c r="S138" s="49">
        <f t="shared" si="1"/>
        <v>3.1834145905159743</v>
      </c>
      <c r="T138" s="51">
        <f t="shared" si="2"/>
        <v>1.1733178234478269E-2</v>
      </c>
      <c r="U138" s="51">
        <f t="shared" si="3"/>
        <v>4.9084749019240849E-2</v>
      </c>
      <c r="V138" s="51">
        <f t="shared" si="4"/>
        <v>7.0619957653523843E-2</v>
      </c>
      <c r="W138" s="51">
        <f t="shared" si="5"/>
        <v>1.187345297029703E-2</v>
      </c>
      <c r="X138" s="51">
        <f t="shared" si="6"/>
        <v>0.38848301810389918</v>
      </c>
      <c r="Y138" s="51">
        <f t="shared" si="7"/>
        <v>32.718621876529049</v>
      </c>
      <c r="Z138" s="51">
        <f t="shared" si="8"/>
        <v>1.6059853430648714</v>
      </c>
      <c r="AA138" s="52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0">
        <v>88359000000</v>
      </c>
      <c r="F139" s="50">
        <v>4115895000000</v>
      </c>
      <c r="G139" s="50"/>
      <c r="H139" s="50"/>
      <c r="I139" s="50">
        <v>2907239000000</v>
      </c>
      <c r="J139" s="50">
        <v>1208656000000</v>
      </c>
      <c r="K139" s="51">
        <v>4800000000</v>
      </c>
      <c r="L139" s="50">
        <v>680194000000</v>
      </c>
      <c r="M139" s="50">
        <v>652982000000</v>
      </c>
      <c r="N139" s="50">
        <v>211172000000</v>
      </c>
      <c r="O139" s="50">
        <v>20053000000</v>
      </c>
      <c r="P139" s="50"/>
      <c r="Q139" s="52">
        <v>368</v>
      </c>
      <c r="R139" s="49">
        <f t="shared" si="0"/>
        <v>1.3685555263946307</v>
      </c>
      <c r="S139" s="49">
        <f t="shared" si="1"/>
        <v>2.4053485855363315</v>
      </c>
      <c r="T139" s="51">
        <f t="shared" si="2"/>
        <v>4.8720873588854914E-3</v>
      </c>
      <c r="U139" s="51">
        <f t="shared" si="3"/>
        <v>1.6591155796190148E-2</v>
      </c>
      <c r="V139" s="51">
        <f t="shared" si="4"/>
        <v>2.9481295042296757E-2</v>
      </c>
      <c r="W139" s="51">
        <f t="shared" si="5"/>
        <v>0</v>
      </c>
      <c r="X139" s="51">
        <f t="shared" si="6"/>
        <v>0</v>
      </c>
      <c r="Y139" s="51">
        <f t="shared" si="7"/>
        <v>88.086570587941949</v>
      </c>
      <c r="Z139" s="51">
        <f t="shared" si="8"/>
        <v>1.4614580161766457</v>
      </c>
      <c r="AA139" s="52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0">
        <v>530145000000</v>
      </c>
      <c r="F140" s="50">
        <v>19117376000000</v>
      </c>
      <c r="G140" s="50"/>
      <c r="H140" s="50"/>
      <c r="I140" s="50">
        <v>12913580000000</v>
      </c>
      <c r="J140" s="50">
        <v>6203796000000</v>
      </c>
      <c r="K140" s="51">
        <v>20000000000</v>
      </c>
      <c r="L140" s="50">
        <v>5017721000000</v>
      </c>
      <c r="M140" s="50">
        <v>3177622000000</v>
      </c>
      <c r="N140" s="50">
        <v>1558181000000</v>
      </c>
      <c r="O140" s="50">
        <v>1467794000000</v>
      </c>
      <c r="P140" s="50">
        <v>239430000000</v>
      </c>
      <c r="Q140" s="52">
        <v>665</v>
      </c>
      <c r="R140" s="49">
        <f t="shared" si="0"/>
        <v>1.4120082115106734</v>
      </c>
      <c r="S140" s="49">
        <f t="shared" si="1"/>
        <v>2.0815610313427455</v>
      </c>
      <c r="T140" s="51">
        <f t="shared" si="2"/>
        <v>7.6778005517075143E-2</v>
      </c>
      <c r="U140" s="51">
        <f t="shared" si="3"/>
        <v>0.23659610986563712</v>
      </c>
      <c r="V140" s="51">
        <f t="shared" si="4"/>
        <v>0.29252204337387433</v>
      </c>
      <c r="W140" s="51">
        <f t="shared" si="5"/>
        <v>1.8002255639097745E-2</v>
      </c>
      <c r="X140" s="51">
        <f t="shared" si="6"/>
        <v>0.16312234550624952</v>
      </c>
      <c r="Y140" s="51">
        <f t="shared" si="7"/>
        <v>9.0612170372681717</v>
      </c>
      <c r="Z140" s="51">
        <f t="shared" si="8"/>
        <v>2.1438487016658834</v>
      </c>
      <c r="AA140" s="52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0">
        <v>541056000000</v>
      </c>
      <c r="F141" s="50">
        <v>19089633000000</v>
      </c>
      <c r="G141" s="50"/>
      <c r="H141" s="50"/>
      <c r="I141" s="50">
        <v>13009453000000</v>
      </c>
      <c r="J141" s="50">
        <v>6080180000000</v>
      </c>
      <c r="K141" s="51">
        <v>20000000000</v>
      </c>
      <c r="L141" s="50">
        <v>5240729000000</v>
      </c>
      <c r="M141" s="50">
        <v>4148476000000</v>
      </c>
      <c r="N141" s="50">
        <v>1536451000000</v>
      </c>
      <c r="O141" s="50">
        <v>711682000000</v>
      </c>
      <c r="P141" s="50">
        <v>733255000000</v>
      </c>
      <c r="Q141" s="52">
        <v>560</v>
      </c>
      <c r="R141" s="49">
        <f t="shared" si="0"/>
        <v>1.3998706171581541</v>
      </c>
      <c r="S141" s="49">
        <f t="shared" si="1"/>
        <v>2.1396493195925119</v>
      </c>
      <c r="T141" s="51">
        <f t="shared" si="2"/>
        <v>3.7281072925812668E-2</v>
      </c>
      <c r="U141" s="51">
        <f t="shared" si="3"/>
        <v>0.11704949524520655</v>
      </c>
      <c r="V141" s="51">
        <f t="shared" si="4"/>
        <v>0.13579828302512875</v>
      </c>
      <c r="W141" s="51">
        <f t="shared" si="5"/>
        <v>6.5469196428571436E-2</v>
      </c>
      <c r="X141" s="51">
        <f t="shared" si="6"/>
        <v>1.0303126958388718</v>
      </c>
      <c r="Y141" s="51">
        <f t="shared" si="7"/>
        <v>15.737365845981772</v>
      </c>
      <c r="Z141" s="51">
        <f t="shared" si="8"/>
        <v>1.8420507287613195</v>
      </c>
      <c r="AA141" s="52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0">
        <v>606304000000</v>
      </c>
      <c r="F142" s="50">
        <v>15200531000000</v>
      </c>
      <c r="G142" s="50"/>
      <c r="H142" s="50"/>
      <c r="I142" s="50">
        <v>8594377000000</v>
      </c>
      <c r="J142" s="50">
        <v>6606154000000</v>
      </c>
      <c r="K142" s="51">
        <v>20000000000</v>
      </c>
      <c r="L142" s="50">
        <v>4569778000000</v>
      </c>
      <c r="M142" s="50">
        <v>3699782000000</v>
      </c>
      <c r="N142" s="50">
        <v>1771154000000</v>
      </c>
      <c r="O142" s="50">
        <v>701592000000</v>
      </c>
      <c r="P142" s="50">
        <v>179573000000</v>
      </c>
      <c r="Q142" s="52">
        <v>560</v>
      </c>
      <c r="R142" s="49">
        <f t="shared" si="0"/>
        <v>1.6579008577352379</v>
      </c>
      <c r="S142" s="49">
        <f t="shared" si="1"/>
        <v>1.3009652817660624</v>
      </c>
      <c r="T142" s="51">
        <f t="shared" si="2"/>
        <v>4.6155756006155312E-2</v>
      </c>
      <c r="U142" s="51">
        <f t="shared" si="3"/>
        <v>0.10620279212382878</v>
      </c>
      <c r="V142" s="51">
        <f t="shared" si="4"/>
        <v>0.15352868345026827</v>
      </c>
      <c r="W142" s="51">
        <f t="shared" si="5"/>
        <v>1.603330357142857E-2</v>
      </c>
      <c r="X142" s="51">
        <f t="shared" si="6"/>
        <v>0.25595075200401374</v>
      </c>
      <c r="Y142" s="51">
        <f t="shared" si="7"/>
        <v>15.963693998791321</v>
      </c>
      <c r="Z142" s="51">
        <f t="shared" si="8"/>
        <v>1.6953888752820476</v>
      </c>
      <c r="AA142" s="52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0">
        <v>174129915000</v>
      </c>
      <c r="F143" s="50">
        <v>11077046941000</v>
      </c>
      <c r="G143" s="50"/>
      <c r="H143" s="50"/>
      <c r="I143" s="50">
        <v>6729921689000</v>
      </c>
      <c r="J143" s="50">
        <v>4347125252000</v>
      </c>
      <c r="K143" s="51">
        <v>10412000000</v>
      </c>
      <c r="L143" s="50">
        <v>1933912294000</v>
      </c>
      <c r="M143" s="50">
        <v>1521606045000</v>
      </c>
      <c r="N143" s="50">
        <v>934534244000</v>
      </c>
      <c r="O143" s="50">
        <v>305137586000</v>
      </c>
      <c r="P143" s="50"/>
      <c r="Q143" s="52">
        <v>314</v>
      </c>
      <c r="R143" s="49">
        <f t="shared" si="0"/>
        <v>1.6080813272595571</v>
      </c>
      <c r="S143" s="49">
        <f t="shared" si="1"/>
        <v>1.5481315349503069</v>
      </c>
      <c r="T143" s="51">
        <f t="shared" si="2"/>
        <v>2.7546835147062503E-2</v>
      </c>
      <c r="U143" s="51">
        <f t="shared" si="3"/>
        <v>7.0192959326307439E-2</v>
      </c>
      <c r="V143" s="51">
        <f t="shared" si="4"/>
        <v>0.15778253592300706</v>
      </c>
      <c r="W143" s="51">
        <f t="shared" si="5"/>
        <v>0</v>
      </c>
      <c r="X143" s="51">
        <f t="shared" si="6"/>
        <v>0</v>
      </c>
      <c r="Y143" s="51">
        <f t="shared" si="7"/>
        <v>10.714406058124876</v>
      </c>
      <c r="Z143" s="51">
        <f t="shared" si="8"/>
        <v>0.7520758686435014</v>
      </c>
      <c r="AA143" s="52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0">
        <v>191064922000</v>
      </c>
      <c r="F144" s="50">
        <v>12117478069000</v>
      </c>
      <c r="G144" s="50"/>
      <c r="H144" s="50"/>
      <c r="I144" s="50">
        <v>7411795923000</v>
      </c>
      <c r="J144" s="50">
        <v>4705682146000</v>
      </c>
      <c r="K144" s="51">
        <v>10412000000</v>
      </c>
      <c r="L144" s="50">
        <v>2164662845000</v>
      </c>
      <c r="M144" s="50">
        <v>1677996298000</v>
      </c>
      <c r="N144" s="50">
        <v>1030421065000</v>
      </c>
      <c r="O144" s="50">
        <v>361596020000</v>
      </c>
      <c r="P144" s="50"/>
      <c r="Q144" s="52">
        <v>290</v>
      </c>
      <c r="R144" s="49">
        <f t="shared" si="0"/>
        <v>1.5953164702373579</v>
      </c>
      <c r="S144" s="49">
        <f t="shared" si="1"/>
        <v>1.5750736435312136</v>
      </c>
      <c r="T144" s="51">
        <f t="shared" si="2"/>
        <v>2.9840864406024122E-2</v>
      </c>
      <c r="U144" s="51">
        <f t="shared" si="3"/>
        <v>7.6842423432141441E-2</v>
      </c>
      <c r="V144" s="51">
        <f t="shared" si="4"/>
        <v>0.16704496075923547</v>
      </c>
      <c r="W144" s="51">
        <f t="shared" si="5"/>
        <v>0</v>
      </c>
      <c r="X144" s="51">
        <f t="shared" si="6"/>
        <v>0</v>
      </c>
      <c r="Y144" s="51">
        <f t="shared" si="7"/>
        <v>8.3504237684916998</v>
      </c>
      <c r="Z144" s="51">
        <f t="shared" si="8"/>
        <v>0.64166679905625734</v>
      </c>
      <c r="AA144" s="52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0">
        <v>173369724000</v>
      </c>
      <c r="F145" s="50">
        <v>10917456216000</v>
      </c>
      <c r="G145" s="50"/>
      <c r="H145" s="50"/>
      <c r="I145" s="50">
        <v>6172266324000</v>
      </c>
      <c r="J145" s="50">
        <v>4745189892000</v>
      </c>
      <c r="K145" s="51">
        <v>10412000000</v>
      </c>
      <c r="L145" s="50">
        <v>1847954148000</v>
      </c>
      <c r="M145" s="50">
        <v>1787420988000</v>
      </c>
      <c r="N145" s="50">
        <v>1210135188000</v>
      </c>
      <c r="O145" s="50">
        <v>46566702000</v>
      </c>
      <c r="P145" s="50"/>
      <c r="Q145" s="52">
        <v>234</v>
      </c>
      <c r="R145" s="49">
        <f t="shared" si="0"/>
        <v>1.7245102975566289</v>
      </c>
      <c r="S145" s="49">
        <f t="shared" si="1"/>
        <v>1.3007416909502258</v>
      </c>
      <c r="T145" s="51">
        <f t="shared" si="2"/>
        <v>4.2653436000736605E-3</v>
      </c>
      <c r="U145" s="51">
        <f t="shared" si="3"/>
        <v>9.8134538469171976E-3</v>
      </c>
      <c r="V145" s="51">
        <f t="shared" si="4"/>
        <v>2.5199057049331074E-2</v>
      </c>
      <c r="W145" s="51">
        <f t="shared" si="5"/>
        <v>0</v>
      </c>
      <c r="X145" s="51">
        <f t="shared" si="6"/>
        <v>0</v>
      </c>
      <c r="Y145" s="51">
        <f t="shared" si="7"/>
        <v>52.320819284131403</v>
      </c>
      <c r="Z145" s="51">
        <f t="shared" si="8"/>
        <v>0.51344794527771875</v>
      </c>
      <c r="AA145" s="52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0">
        <v>170262000000</v>
      </c>
      <c r="F146" s="50">
        <v>3621664000000</v>
      </c>
      <c r="G146" s="50"/>
      <c r="H146" s="50"/>
      <c r="I146" s="50">
        <v>1560997000000</v>
      </c>
      <c r="J146" s="50">
        <v>2060667000000</v>
      </c>
      <c r="K146" s="51">
        <v>8000000000</v>
      </c>
      <c r="L146" s="50">
        <v>1476141000000</v>
      </c>
      <c r="M146" s="50">
        <v>1030537000000</v>
      </c>
      <c r="N146" s="50">
        <v>265282000000</v>
      </c>
      <c r="O146" s="50">
        <v>333346000000</v>
      </c>
      <c r="P146" s="50">
        <v>198750000000</v>
      </c>
      <c r="Q146" s="52">
        <v>885</v>
      </c>
      <c r="R146" s="49">
        <f t="shared" si="0"/>
        <v>2.1487747894454632</v>
      </c>
      <c r="S146" s="49">
        <f t="shared" si="1"/>
        <v>0.75752025921703992</v>
      </c>
      <c r="T146" s="51">
        <f t="shared" si="2"/>
        <v>9.2042221476094963E-2</v>
      </c>
      <c r="U146" s="51">
        <f t="shared" si="3"/>
        <v>0.16176606894757861</v>
      </c>
      <c r="V146" s="51">
        <f t="shared" si="4"/>
        <v>0.22582260095749659</v>
      </c>
      <c r="W146" s="51">
        <f t="shared" si="5"/>
        <v>2.8072033898305086E-2</v>
      </c>
      <c r="X146" s="51">
        <f t="shared" si="6"/>
        <v>0.59622734336095229</v>
      </c>
      <c r="Y146" s="51">
        <f t="shared" si="7"/>
        <v>21.239192910669395</v>
      </c>
      <c r="Z146" s="51">
        <f t="shared" si="8"/>
        <v>3.4357807447782687</v>
      </c>
      <c r="AA146" s="52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0">
        <v>167840000000</v>
      </c>
      <c r="F147" s="50">
        <v>4726154000000</v>
      </c>
      <c r="G147" s="50"/>
      <c r="H147" s="50"/>
      <c r="I147" s="50">
        <v>2448259000000</v>
      </c>
      <c r="J147" s="50">
        <v>2277895000000</v>
      </c>
      <c r="K147" s="51">
        <v>8000000000</v>
      </c>
      <c r="L147" s="50">
        <v>1745719000000</v>
      </c>
      <c r="M147" s="50">
        <v>1231859000000</v>
      </c>
      <c r="N147" s="50">
        <v>308465000000</v>
      </c>
      <c r="O147" s="50">
        <v>377084000000</v>
      </c>
      <c r="P147" s="50">
        <v>132500000000</v>
      </c>
      <c r="Q147" s="52">
        <v>1300</v>
      </c>
      <c r="R147" s="49">
        <f t="shared" si="0"/>
        <v>1.82435436773642</v>
      </c>
      <c r="S147" s="49">
        <f t="shared" si="1"/>
        <v>1.0747901022654687</v>
      </c>
      <c r="T147" s="51">
        <f t="shared" si="2"/>
        <v>7.9786651048611615E-2</v>
      </c>
      <c r="U147" s="51">
        <f t="shared" si="3"/>
        <v>0.16554055388856817</v>
      </c>
      <c r="V147" s="51">
        <f t="shared" si="4"/>
        <v>0.21600498132861015</v>
      </c>
      <c r="W147" s="51">
        <f t="shared" si="5"/>
        <v>1.2740384615384615E-2</v>
      </c>
      <c r="X147" s="51">
        <f t="shared" si="6"/>
        <v>0.35138059424425327</v>
      </c>
      <c r="Y147" s="51">
        <f t="shared" si="7"/>
        <v>27.580061736907425</v>
      </c>
      <c r="Z147" s="51">
        <f t="shared" si="8"/>
        <v>4.5656186962085608</v>
      </c>
      <c r="AA147" s="52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0">
        <v>177857000000</v>
      </c>
      <c r="F148" s="50">
        <v>4210393000000</v>
      </c>
      <c r="G148" s="50"/>
      <c r="H148" s="50"/>
      <c r="I148" s="50">
        <v>1875421000000</v>
      </c>
      <c r="J148" s="50">
        <v>2334972000000</v>
      </c>
      <c r="K148" s="51">
        <v>8000000000</v>
      </c>
      <c r="L148" s="50">
        <v>1561215000000</v>
      </c>
      <c r="M148" s="50">
        <v>1327729000000</v>
      </c>
      <c r="N148" s="50">
        <v>282333000000</v>
      </c>
      <c r="O148" s="50">
        <v>174397000000</v>
      </c>
      <c r="P148" s="50">
        <v>79500000000</v>
      </c>
      <c r="Q148" s="52">
        <v>990</v>
      </c>
      <c r="R148" s="49">
        <f t="shared" si="0"/>
        <v>2.1021072068618194</v>
      </c>
      <c r="S148" s="49">
        <f t="shared" si="1"/>
        <v>0.80318778983216932</v>
      </c>
      <c r="T148" s="51">
        <f t="shared" si="2"/>
        <v>4.1420598979715194E-2</v>
      </c>
      <c r="U148" s="51">
        <f t="shared" si="3"/>
        <v>7.4689118327757251E-2</v>
      </c>
      <c r="V148" s="51">
        <f t="shared" si="4"/>
        <v>0.11170594697078878</v>
      </c>
      <c r="W148" s="51">
        <f t="shared" si="5"/>
        <v>1.0037878787878788E-2</v>
      </c>
      <c r="X148" s="51">
        <f t="shared" si="6"/>
        <v>0.45585646542085012</v>
      </c>
      <c r="Y148" s="51">
        <f t="shared" si="7"/>
        <v>45.413625234379033</v>
      </c>
      <c r="Z148" s="51">
        <f t="shared" si="8"/>
        <v>3.3919036288229578</v>
      </c>
      <c r="AA148" s="52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0">
        <v>94780784029</v>
      </c>
      <c r="F149" s="50">
        <v>204476568540</v>
      </c>
      <c r="G149" s="50"/>
      <c r="H149" s="50">
        <v>69191522441</v>
      </c>
      <c r="I149" s="50">
        <v>187920313606</v>
      </c>
      <c r="J149" s="50">
        <v>16556254934</v>
      </c>
      <c r="K149" s="51">
        <v>4000000000</v>
      </c>
      <c r="L149" s="50">
        <v>257437549951</v>
      </c>
      <c r="M149" s="50">
        <v>246559849692</v>
      </c>
      <c r="N149" s="50">
        <v>24116093083</v>
      </c>
      <c r="O149" s="50">
        <v>-36887821525</v>
      </c>
      <c r="P149" s="50"/>
      <c r="Q149" s="52">
        <v>50</v>
      </c>
      <c r="R149" s="49">
        <f t="shared" si="0"/>
        <v>0.18473504549798489</v>
      </c>
      <c r="S149" s="49">
        <f t="shared" si="1"/>
        <v>11.350411935255115</v>
      </c>
      <c r="T149" s="51">
        <f t="shared" si="2"/>
        <v>-0.18040121559348229</v>
      </c>
      <c r="U149" s="51">
        <f t="shared" si="3"/>
        <v>-2.2280293262002751</v>
      </c>
      <c r="V149" s="51">
        <f t="shared" si="4"/>
        <v>-0.14328842677387635</v>
      </c>
      <c r="W149" s="51">
        <f t="shared" si="5"/>
        <v>0</v>
      </c>
      <c r="X149" s="51">
        <f t="shared" si="6"/>
        <v>0</v>
      </c>
      <c r="Y149" s="51">
        <f t="shared" si="7"/>
        <v>-5.4218436256652867</v>
      </c>
      <c r="Z149" s="51">
        <f t="shared" si="8"/>
        <v>12.080026600054286</v>
      </c>
      <c r="AA149" s="52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0">
        <v>84360578661</v>
      </c>
      <c r="F150" s="50">
        <v>88838496383</v>
      </c>
      <c r="G150" s="50"/>
      <c r="H150" s="50">
        <v>19273152626</v>
      </c>
      <c r="I150" s="50">
        <v>193930594350</v>
      </c>
      <c r="J150" s="50">
        <v>-105092097967</v>
      </c>
      <c r="K150" s="51">
        <v>4000000000</v>
      </c>
      <c r="L150" s="50">
        <v>42286984239</v>
      </c>
      <c r="M150" s="50">
        <v>54315208841</v>
      </c>
      <c r="N150" s="50">
        <v>90466357206</v>
      </c>
      <c r="O150" s="50">
        <v>-121648352901</v>
      </c>
      <c r="P150" s="50"/>
      <c r="Q150" s="52">
        <v>50</v>
      </c>
      <c r="R150" s="49">
        <f t="shared" si="0"/>
        <v>2.0869665642831048E-2</v>
      </c>
      <c r="S150" s="49">
        <f t="shared" si="1"/>
        <v>-1.8453394508395502</v>
      </c>
      <c r="T150" s="51">
        <f t="shared" si="2"/>
        <v>-1.3693202592775811</v>
      </c>
      <c r="U150" s="51">
        <f t="shared" si="3"/>
        <v>1.157540436001181</v>
      </c>
      <c r="V150" s="51">
        <f t="shared" si="4"/>
        <v>-2.8767327604508486</v>
      </c>
      <c r="W150" s="51">
        <f t="shared" si="5"/>
        <v>0</v>
      </c>
      <c r="X150" s="51">
        <f t="shared" si="6"/>
        <v>0</v>
      </c>
      <c r="Y150" s="51">
        <f t="shared" si="7"/>
        <v>-1.6440830905681414</v>
      </c>
      <c r="Z150" s="51">
        <f t="shared" si="8"/>
        <v>-1.9030926574784153</v>
      </c>
      <c r="AA150" s="52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0">
        <v>29349403</v>
      </c>
      <c r="F151" s="50">
        <v>6805984418</v>
      </c>
      <c r="G151" s="50"/>
      <c r="H151" s="50"/>
      <c r="I151" s="50">
        <v>55861608352</v>
      </c>
      <c r="J151" s="50">
        <v>-49055623934</v>
      </c>
      <c r="K151" s="51">
        <v>4000000000</v>
      </c>
      <c r="L151" s="50">
        <v>0</v>
      </c>
      <c r="M151" s="50">
        <v>0</v>
      </c>
      <c r="N151" s="50">
        <v>5224403772</v>
      </c>
      <c r="O151" s="50">
        <v>56505757661</v>
      </c>
      <c r="P151" s="50"/>
      <c r="Q151" s="52">
        <v>50</v>
      </c>
      <c r="R151" s="49">
        <f t="shared" si="0"/>
        <v>1.1481930075452906E-2</v>
      </c>
      <c r="S151" s="49">
        <f t="shared" si="1"/>
        <v>-1.1387401458221558</v>
      </c>
      <c r="T151" s="51">
        <f t="shared" si="2"/>
        <v>8.3023636538980981</v>
      </c>
      <c r="U151" s="51">
        <f t="shared" si="3"/>
        <v>-1.151871144010389</v>
      </c>
      <c r="V151" s="51" t="e">
        <f t="shared" si="4"/>
        <v>#DIV/0!</v>
      </c>
      <c r="W151" s="51">
        <f t="shared" si="5"/>
        <v>0</v>
      </c>
      <c r="X151" s="51">
        <f t="shared" si="6"/>
        <v>0</v>
      </c>
      <c r="Y151" s="51">
        <f t="shared" si="7"/>
        <v>3.5394623181566334</v>
      </c>
      <c r="Z151" s="51">
        <f t="shared" si="8"/>
        <v>-4.077004509596744</v>
      </c>
      <c r="AA151" s="52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0">
        <v>27406475000</v>
      </c>
      <c r="F152" s="50">
        <v>1565490561000</v>
      </c>
      <c r="G152" s="50"/>
      <c r="H152" s="50"/>
      <c r="I152" s="50">
        <v>1294360807000</v>
      </c>
      <c r="J152" s="50">
        <v>271129754000</v>
      </c>
      <c r="K152" s="51">
        <v>10000000000</v>
      </c>
      <c r="L152" s="50">
        <v>226985260000</v>
      </c>
      <c r="M152" s="50">
        <v>115408446000</v>
      </c>
      <c r="N152" s="50">
        <v>34041471000</v>
      </c>
      <c r="O152" s="50">
        <v>-192758906000</v>
      </c>
      <c r="P152" s="50"/>
      <c r="Q152" s="52">
        <v>116</v>
      </c>
      <c r="R152" s="49">
        <f t="shared" si="0"/>
        <v>1.1274146513924845</v>
      </c>
      <c r="S152" s="49">
        <f t="shared" si="1"/>
        <v>4.773953385433308</v>
      </c>
      <c r="T152" s="51">
        <f t="shared" si="2"/>
        <v>-0.12313003399833339</v>
      </c>
      <c r="U152" s="51">
        <f t="shared" si="3"/>
        <v>-0.71094707665319534</v>
      </c>
      <c r="V152" s="51">
        <f t="shared" si="4"/>
        <v>-0.84921331896176866</v>
      </c>
      <c r="W152" s="51">
        <f t="shared" si="5"/>
        <v>0</v>
      </c>
      <c r="X152" s="51">
        <f t="shared" si="6"/>
        <v>0</v>
      </c>
      <c r="Y152" s="51">
        <f t="shared" si="7"/>
        <v>-6.0178801803326278</v>
      </c>
      <c r="Z152" s="51">
        <f t="shared" si="8"/>
        <v>4.2783943218566858</v>
      </c>
      <c r="AA152" s="52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0">
        <v>42435986000</v>
      </c>
      <c r="F153" s="50">
        <v>2652723126000</v>
      </c>
      <c r="G153" s="50"/>
      <c r="H153" s="50"/>
      <c r="I153" s="50">
        <v>1984129298000</v>
      </c>
      <c r="J153" s="50">
        <v>668593828000</v>
      </c>
      <c r="K153" s="51">
        <v>10000000000</v>
      </c>
      <c r="L153" s="50">
        <v>333007101000</v>
      </c>
      <c r="M153" s="50">
        <v>150176071000</v>
      </c>
      <c r="N153" s="50">
        <v>58425329000</v>
      </c>
      <c r="O153" s="50">
        <v>1771684000</v>
      </c>
      <c r="P153" s="50"/>
      <c r="Q153" s="52">
        <v>140</v>
      </c>
      <c r="R153" s="49">
        <f t="shared" si="0"/>
        <v>1.2988662531205666</v>
      </c>
      <c r="S153" s="49">
        <f t="shared" si="1"/>
        <v>2.9676153367063387</v>
      </c>
      <c r="T153" s="51">
        <f t="shared" si="2"/>
        <v>6.6787369651784756E-4</v>
      </c>
      <c r="U153" s="51">
        <f t="shared" si="3"/>
        <v>2.6498659212869672E-3</v>
      </c>
      <c r="V153" s="51">
        <f t="shared" si="4"/>
        <v>5.3202589214456425E-3</v>
      </c>
      <c r="W153" s="51">
        <f t="shared" si="5"/>
        <v>0</v>
      </c>
      <c r="X153" s="51">
        <f t="shared" si="6"/>
        <v>0</v>
      </c>
      <c r="Y153" s="51">
        <f t="shared" si="7"/>
        <v>790.20863765773129</v>
      </c>
      <c r="Z153" s="51">
        <f t="shared" si="8"/>
        <v>2.0939469396358232</v>
      </c>
      <c r="AA153" s="52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0">
        <v>39531943000</v>
      </c>
      <c r="F154" s="50">
        <v>2679921626000</v>
      </c>
      <c r="G154" s="50"/>
      <c r="H154" s="50"/>
      <c r="I154" s="50">
        <v>2048024392000</v>
      </c>
      <c r="J154" s="50">
        <v>631897234000</v>
      </c>
      <c r="K154" s="51">
        <v>10000000000</v>
      </c>
      <c r="L154" s="50">
        <v>309734085000</v>
      </c>
      <c r="M154" s="50">
        <v>108927875000</v>
      </c>
      <c r="N154" s="50">
        <v>52825951000</v>
      </c>
      <c r="O154" s="50">
        <v>2995118000</v>
      </c>
      <c r="P154" s="50"/>
      <c r="Q154" s="52">
        <v>104</v>
      </c>
      <c r="R154" s="49">
        <f t="shared" si="0"/>
        <v>1.247650642727306</v>
      </c>
      <c r="S154" s="49">
        <f t="shared" si="1"/>
        <v>3.2410719367067209</v>
      </c>
      <c r="T154" s="51">
        <f t="shared" si="2"/>
        <v>1.117614026821544E-3</v>
      </c>
      <c r="U154" s="51">
        <f t="shared" si="3"/>
        <v>4.7398814852226429E-3</v>
      </c>
      <c r="V154" s="51">
        <f t="shared" si="4"/>
        <v>9.6699657707998137E-3</v>
      </c>
      <c r="W154" s="51">
        <f t="shared" si="5"/>
        <v>0</v>
      </c>
      <c r="X154" s="51">
        <f t="shared" si="6"/>
        <v>0</v>
      </c>
      <c r="Y154" s="51">
        <f t="shared" si="7"/>
        <v>347.23172843273619</v>
      </c>
      <c r="Z154" s="51">
        <f t="shared" si="8"/>
        <v>1.6458372406801831</v>
      </c>
      <c r="AA154" s="52">
        <v>1</v>
      </c>
    </row>
    <row r="155" spans="1:27">
      <c r="D155" s="50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50"/>
      <c r="P155" s="50"/>
      <c r="Q155" s="52"/>
      <c r="W155" s="53"/>
      <c r="X155" s="53"/>
      <c r="Y155" s="51"/>
      <c r="Z155" s="51"/>
      <c r="AA155" s="52"/>
    </row>
    <row r="156" spans="1:27">
      <c r="D156" s="50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50"/>
      <c r="P156" s="50"/>
      <c r="Q156" s="52"/>
      <c r="W156" s="53"/>
      <c r="X156" s="53"/>
      <c r="Y156" s="51"/>
      <c r="Z156" s="51"/>
      <c r="AA156" s="52"/>
    </row>
    <row r="157" spans="1:27">
      <c r="D157" s="50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50"/>
      <c r="P157" s="50"/>
      <c r="Q157" s="52"/>
      <c r="W157" s="53"/>
      <c r="X157" s="53"/>
      <c r="Y157" s="51"/>
      <c r="Z157" s="51"/>
      <c r="AA157" s="52"/>
    </row>
    <row r="158" spans="1:27">
      <c r="D158" s="50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50"/>
      <c r="P158" s="50"/>
      <c r="Q158" s="52"/>
      <c r="W158" s="53"/>
      <c r="X158" s="53"/>
      <c r="Y158" s="51"/>
      <c r="Z158" s="51"/>
      <c r="AA158" s="52"/>
    </row>
    <row r="159" spans="1:27">
      <c r="D159" s="50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50"/>
      <c r="P159" s="50"/>
      <c r="Q159" s="52"/>
      <c r="W159" s="53"/>
      <c r="X159" s="53"/>
      <c r="Y159" s="51"/>
      <c r="Z159" s="51"/>
      <c r="AA159" s="52"/>
    </row>
    <row r="160" spans="1:27">
      <c r="D160" s="50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50"/>
      <c r="P160" s="50"/>
      <c r="Q160" s="52"/>
      <c r="W160" s="53"/>
      <c r="X160" s="53"/>
      <c r="Y160" s="51"/>
      <c r="Z160" s="51"/>
      <c r="AA160" s="52"/>
    </row>
    <row r="161" spans="4:27">
      <c r="D161" s="50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50"/>
      <c r="P161" s="50"/>
      <c r="Q161" s="52"/>
      <c r="W161" s="53"/>
      <c r="X161" s="53"/>
      <c r="Y161" s="51"/>
      <c r="Z161" s="51"/>
      <c r="AA161" s="52"/>
    </row>
    <row r="162" spans="4:27">
      <c r="D162" s="50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50"/>
      <c r="P162" s="50"/>
      <c r="Q162" s="52"/>
      <c r="W162" s="53"/>
      <c r="X162" s="53"/>
      <c r="Y162" s="51"/>
      <c r="Z162" s="51"/>
      <c r="AA162" s="52"/>
    </row>
    <row r="163" spans="4:27">
      <c r="D163" s="50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50"/>
      <c r="P163" s="50"/>
      <c r="Q163" s="52"/>
      <c r="W163" s="53"/>
      <c r="X163" s="53"/>
      <c r="Y163" s="51"/>
      <c r="Z163" s="51"/>
      <c r="AA163" s="52"/>
    </row>
    <row r="164" spans="4:27">
      <c r="D164" s="50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50"/>
      <c r="P164" s="50"/>
      <c r="Q164" s="52"/>
      <c r="W164" s="53"/>
      <c r="X164" s="53"/>
      <c r="Y164" s="51"/>
      <c r="Z164" s="51"/>
      <c r="AA164" s="52"/>
    </row>
    <row r="165" spans="4:27">
      <c r="D165" s="50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50"/>
      <c r="P165" s="50"/>
      <c r="Q165" s="52"/>
      <c r="W165" s="53"/>
      <c r="X165" s="53"/>
      <c r="Y165" s="51"/>
      <c r="Z165" s="51"/>
      <c r="AA165" s="52"/>
    </row>
    <row r="166" spans="4:27">
      <c r="D166" s="50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50"/>
      <c r="P166" s="50"/>
      <c r="Q166" s="52"/>
      <c r="W166" s="53"/>
      <c r="X166" s="53"/>
      <c r="Y166" s="51"/>
      <c r="Z166" s="51"/>
      <c r="AA166" s="52"/>
    </row>
    <row r="167" spans="4:27">
      <c r="D167" s="50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50"/>
      <c r="P167" s="50"/>
      <c r="Q167" s="52"/>
      <c r="W167" s="53"/>
      <c r="X167" s="53"/>
      <c r="Y167" s="51"/>
      <c r="Z167" s="51"/>
      <c r="AA167" s="52"/>
    </row>
    <row r="168" spans="4:27">
      <c r="D168" s="50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50"/>
      <c r="P168" s="50"/>
      <c r="Q168" s="52"/>
      <c r="W168" s="53"/>
      <c r="X168" s="53"/>
      <c r="Y168" s="51"/>
      <c r="Z168" s="51"/>
      <c r="AA168" s="52"/>
    </row>
    <row r="169" spans="4:27">
      <c r="D169" s="50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50"/>
      <c r="P169" s="50"/>
      <c r="Q169" s="52"/>
      <c r="W169" s="53"/>
      <c r="X169" s="53"/>
      <c r="Y169" s="51"/>
      <c r="Z169" s="51"/>
      <c r="AA169" s="52"/>
    </row>
    <row r="170" spans="4:27">
      <c r="D170" s="50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50"/>
      <c r="P170" s="50"/>
      <c r="Q170" s="52"/>
      <c r="W170" s="53"/>
      <c r="X170" s="53"/>
      <c r="Y170" s="51"/>
      <c r="Z170" s="51"/>
      <c r="AA170" s="52"/>
    </row>
    <row r="171" spans="4:27">
      <c r="D171" s="50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50"/>
      <c r="P171" s="50"/>
      <c r="Q171" s="52"/>
      <c r="W171" s="53"/>
      <c r="X171" s="53"/>
      <c r="Y171" s="51"/>
      <c r="Z171" s="51"/>
      <c r="AA171" s="52"/>
    </row>
    <row r="172" spans="4:27">
      <c r="D172" s="50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50"/>
      <c r="P172" s="50"/>
      <c r="Q172" s="52"/>
      <c r="W172" s="53"/>
      <c r="X172" s="53"/>
      <c r="Y172" s="51"/>
      <c r="Z172" s="51"/>
      <c r="AA172" s="52"/>
    </row>
    <row r="173" spans="4:27">
      <c r="D173" s="50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50"/>
      <c r="P173" s="50"/>
      <c r="Q173" s="52"/>
      <c r="W173" s="53"/>
      <c r="X173" s="53"/>
      <c r="Y173" s="51"/>
      <c r="Z173" s="51"/>
      <c r="AA173" s="52"/>
    </row>
    <row r="174" spans="4:27">
      <c r="D174" s="50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50"/>
      <c r="P174" s="50"/>
      <c r="Q174" s="52"/>
      <c r="W174" s="53"/>
      <c r="X174" s="53"/>
      <c r="Y174" s="51"/>
      <c r="Z174" s="51"/>
      <c r="AA174" s="52"/>
    </row>
    <row r="175" spans="4:27">
      <c r="D175" s="50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50"/>
      <c r="P175" s="50"/>
      <c r="Q175" s="52"/>
      <c r="W175" s="53"/>
      <c r="X175" s="53"/>
      <c r="Y175" s="51"/>
      <c r="Z175" s="51"/>
      <c r="AA175" s="52"/>
    </row>
    <row r="176" spans="4:27">
      <c r="D176" s="50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50"/>
      <c r="P176" s="50"/>
      <c r="Q176" s="52"/>
      <c r="W176" s="53"/>
      <c r="X176" s="53"/>
      <c r="Y176" s="51"/>
      <c r="Z176" s="51"/>
      <c r="AA176" s="52"/>
    </row>
    <row r="177" spans="4:27">
      <c r="D177" s="50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50"/>
      <c r="P177" s="50"/>
      <c r="Q177" s="52"/>
      <c r="W177" s="53"/>
      <c r="X177" s="53"/>
      <c r="Y177" s="51"/>
      <c r="Z177" s="51"/>
      <c r="AA177" s="52"/>
    </row>
    <row r="178" spans="4:27">
      <c r="D178" s="50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50"/>
      <c r="P178" s="50"/>
      <c r="Q178" s="52"/>
      <c r="W178" s="53"/>
      <c r="X178" s="53"/>
      <c r="Y178" s="51"/>
      <c r="Z178" s="51"/>
      <c r="AA178" s="52"/>
    </row>
    <row r="179" spans="4:27">
      <c r="D179" s="50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50"/>
      <c r="P179" s="50"/>
      <c r="Q179" s="52"/>
      <c r="W179" s="53"/>
      <c r="X179" s="53"/>
      <c r="Y179" s="51"/>
      <c r="Z179" s="51"/>
      <c r="AA179" s="52"/>
    </row>
    <row r="180" spans="4:27">
      <c r="D180" s="50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50"/>
      <c r="P180" s="50"/>
      <c r="Q180" s="52"/>
      <c r="W180" s="53"/>
      <c r="X180" s="53"/>
      <c r="Y180" s="51"/>
      <c r="Z180" s="51"/>
      <c r="AA180" s="52"/>
    </row>
    <row r="181" spans="4:27">
      <c r="D181" s="50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50"/>
      <c r="P181" s="50"/>
      <c r="Q181" s="52"/>
      <c r="W181" s="53"/>
      <c r="X181" s="53"/>
      <c r="Y181" s="51"/>
      <c r="Z181" s="51"/>
      <c r="AA181" s="52"/>
    </row>
    <row r="182" spans="4:27">
      <c r="D182" s="50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50"/>
      <c r="P182" s="50"/>
      <c r="Q182" s="52"/>
      <c r="W182" s="53"/>
      <c r="X182" s="53"/>
      <c r="Y182" s="51"/>
      <c r="Z182" s="51"/>
      <c r="AA182" s="52"/>
    </row>
    <row r="183" spans="4:27">
      <c r="D183" s="50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50"/>
      <c r="P183" s="50"/>
      <c r="Q183" s="52"/>
      <c r="W183" s="53"/>
      <c r="X183" s="53"/>
      <c r="Y183" s="51"/>
      <c r="Z183" s="51"/>
      <c r="AA183" s="52"/>
    </row>
    <row r="184" spans="4:27">
      <c r="D184" s="50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50"/>
      <c r="P184" s="50"/>
      <c r="Q184" s="52"/>
      <c r="W184" s="53"/>
      <c r="X184" s="53"/>
      <c r="Y184" s="51"/>
      <c r="Z184" s="51"/>
      <c r="AA184" s="52"/>
    </row>
    <row r="185" spans="4:27">
      <c r="D185" s="50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50"/>
      <c r="P185" s="50"/>
      <c r="Q185" s="52"/>
      <c r="W185" s="53"/>
      <c r="X185" s="53"/>
      <c r="Y185" s="51"/>
      <c r="Z185" s="51"/>
      <c r="AA185" s="52"/>
    </row>
    <row r="186" spans="4:27">
      <c r="D186" s="50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50"/>
      <c r="P186" s="50"/>
      <c r="Q186" s="52"/>
      <c r="W186" s="53"/>
      <c r="X186" s="53"/>
      <c r="Y186" s="51"/>
      <c r="Z186" s="51"/>
      <c r="AA186" s="52"/>
    </row>
    <row r="187" spans="4:27">
      <c r="D187" s="50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50"/>
      <c r="P187" s="50"/>
      <c r="Q187" s="52"/>
      <c r="W187" s="53"/>
      <c r="X187" s="53"/>
      <c r="Y187" s="51"/>
      <c r="Z187" s="51"/>
      <c r="AA187" s="52"/>
    </row>
    <row r="188" spans="4:27">
      <c r="D188" s="50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50"/>
      <c r="P188" s="50"/>
      <c r="Q188" s="52"/>
      <c r="W188" s="53"/>
      <c r="X188" s="53"/>
      <c r="Y188" s="51"/>
      <c r="Z188" s="51"/>
      <c r="AA188" s="52"/>
    </row>
    <row r="189" spans="4:27">
      <c r="D189" s="50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50"/>
      <c r="P189" s="50"/>
      <c r="Q189" s="52"/>
      <c r="W189" s="53"/>
      <c r="X189" s="53"/>
      <c r="Y189" s="51"/>
      <c r="Z189" s="51"/>
      <c r="AA189" s="52"/>
    </row>
    <row r="190" spans="4:27">
      <c r="D190" s="50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50"/>
      <c r="P190" s="50"/>
      <c r="Q190" s="52"/>
      <c r="W190" s="53"/>
      <c r="X190" s="53"/>
      <c r="Y190" s="51"/>
      <c r="Z190" s="51"/>
      <c r="AA190" s="52"/>
    </row>
    <row r="191" spans="4:27"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0"/>
      <c r="P191" s="50"/>
      <c r="Q191" s="52"/>
      <c r="W191" s="53"/>
      <c r="X191" s="53"/>
      <c r="Y191" s="51"/>
      <c r="Z191" s="51"/>
      <c r="AA191" s="52"/>
    </row>
    <row r="192" spans="4:27"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0"/>
      <c r="P192" s="50"/>
      <c r="Q192" s="52"/>
      <c r="W192" s="53"/>
      <c r="X192" s="53"/>
      <c r="Y192" s="51"/>
      <c r="Z192" s="51"/>
      <c r="AA192" s="52"/>
    </row>
    <row r="193" spans="4:27">
      <c r="D193" s="50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50"/>
      <c r="P193" s="50"/>
      <c r="Q193" s="52"/>
      <c r="W193" s="53"/>
      <c r="X193" s="53"/>
      <c r="Y193" s="51"/>
      <c r="Z193" s="51"/>
      <c r="AA193" s="52"/>
    </row>
    <row r="194" spans="4:27">
      <c r="D194" s="50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50"/>
      <c r="P194" s="50"/>
      <c r="Q194" s="52"/>
      <c r="W194" s="53"/>
      <c r="X194" s="53"/>
      <c r="Y194" s="51"/>
      <c r="Z194" s="51"/>
      <c r="AA194" s="52"/>
    </row>
    <row r="195" spans="4:27">
      <c r="D195" s="50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50"/>
      <c r="P195" s="50"/>
      <c r="Q195" s="52"/>
      <c r="W195" s="53"/>
      <c r="X195" s="53"/>
      <c r="Y195" s="51"/>
      <c r="Z195" s="51"/>
      <c r="AA195" s="52"/>
    </row>
    <row r="196" spans="4:27">
      <c r="D196" s="50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50"/>
      <c r="P196" s="50"/>
      <c r="Q196" s="52"/>
      <c r="W196" s="53"/>
      <c r="X196" s="53"/>
      <c r="Y196" s="51"/>
      <c r="Z196" s="51"/>
      <c r="AA196" s="52"/>
    </row>
    <row r="197" spans="4:27">
      <c r="D197" s="50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50"/>
      <c r="P197" s="50"/>
      <c r="Q197" s="52"/>
      <c r="W197" s="53"/>
      <c r="X197" s="53"/>
      <c r="Y197" s="51"/>
      <c r="Z197" s="51"/>
      <c r="AA197" s="52"/>
    </row>
    <row r="198" spans="4:27">
      <c r="D198" s="50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50"/>
      <c r="P198" s="50"/>
      <c r="Q198" s="52"/>
      <c r="W198" s="53"/>
      <c r="X198" s="53"/>
      <c r="Y198" s="51"/>
      <c r="Z198" s="51"/>
      <c r="AA198" s="52"/>
    </row>
    <row r="199" spans="4:27">
      <c r="D199" s="50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50"/>
      <c r="P199" s="50"/>
      <c r="Q199" s="52"/>
      <c r="W199" s="53"/>
      <c r="X199" s="53"/>
      <c r="Y199" s="51"/>
      <c r="Z199" s="51"/>
      <c r="AA199" s="52"/>
    </row>
    <row r="200" spans="4:27">
      <c r="D200" s="50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50"/>
      <c r="P200" s="50"/>
      <c r="Q200" s="52"/>
      <c r="W200" s="53"/>
      <c r="X200" s="53"/>
      <c r="Y200" s="51"/>
      <c r="Z200" s="51"/>
      <c r="AA200" s="52"/>
    </row>
    <row r="201" spans="4:27">
      <c r="D201" s="50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50"/>
      <c r="P201" s="50"/>
      <c r="Q201" s="52"/>
      <c r="W201" s="53"/>
      <c r="X201" s="53"/>
      <c r="Y201" s="51"/>
      <c r="Z201" s="51"/>
      <c r="AA201" s="52"/>
    </row>
    <row r="202" spans="4:27">
      <c r="D202" s="50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50"/>
      <c r="P202" s="50"/>
      <c r="Q202" s="52"/>
      <c r="W202" s="53"/>
      <c r="X202" s="53"/>
      <c r="Y202" s="51"/>
      <c r="Z202" s="51"/>
      <c r="AA202" s="52"/>
    </row>
    <row r="203" spans="4:27">
      <c r="D203" s="50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50"/>
      <c r="P203" s="50"/>
      <c r="Q203" s="52"/>
      <c r="W203" s="53"/>
      <c r="X203" s="53"/>
      <c r="Y203" s="51"/>
      <c r="Z203" s="51"/>
      <c r="AA203" s="52"/>
    </row>
    <row r="204" spans="4:27">
      <c r="D204" s="50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50"/>
      <c r="P204" s="50"/>
      <c r="Q204" s="52"/>
      <c r="W204" s="53"/>
      <c r="X204" s="53"/>
      <c r="Y204" s="51"/>
      <c r="Z204" s="51"/>
      <c r="AA204" s="52"/>
    </row>
    <row r="205" spans="4:27">
      <c r="D205" s="50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50"/>
      <c r="P205" s="50"/>
      <c r="Q205" s="52"/>
      <c r="W205" s="53"/>
      <c r="X205" s="53"/>
      <c r="Y205" s="51"/>
      <c r="Z205" s="51"/>
      <c r="AA205" s="52"/>
    </row>
    <row r="206" spans="4:27">
      <c r="D206" s="50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50"/>
      <c r="P206" s="50"/>
      <c r="Q206" s="52"/>
      <c r="W206" s="53"/>
      <c r="X206" s="53"/>
      <c r="Y206" s="51"/>
      <c r="Z206" s="51"/>
      <c r="AA206" s="52"/>
    </row>
    <row r="207" spans="4:27">
      <c r="D207" s="50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50"/>
      <c r="P207" s="50"/>
      <c r="Q207" s="52"/>
      <c r="W207" s="53"/>
      <c r="X207" s="53"/>
      <c r="Y207" s="51"/>
      <c r="Z207" s="51"/>
      <c r="AA207" s="52"/>
    </row>
    <row r="208" spans="4:27">
      <c r="D208" s="50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50"/>
      <c r="P208" s="50"/>
      <c r="Q208" s="52"/>
      <c r="W208" s="53"/>
      <c r="X208" s="53"/>
      <c r="Y208" s="51"/>
      <c r="Z208" s="51"/>
      <c r="AA208" s="52"/>
    </row>
    <row r="209" spans="4:27">
      <c r="D209" s="50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50"/>
      <c r="P209" s="50"/>
      <c r="Q209" s="52"/>
      <c r="W209" s="53"/>
      <c r="X209" s="53"/>
      <c r="Y209" s="51"/>
      <c r="Z209" s="51"/>
      <c r="AA209" s="52"/>
    </row>
    <row r="210" spans="4:27">
      <c r="D210" s="50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50"/>
      <c r="P210" s="50"/>
      <c r="Q210" s="52"/>
      <c r="W210" s="53"/>
      <c r="X210" s="53"/>
      <c r="Y210" s="51"/>
      <c r="Z210" s="51"/>
      <c r="AA210" s="52"/>
    </row>
    <row r="211" spans="4:27">
      <c r="D211" s="50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50"/>
      <c r="P211" s="50"/>
      <c r="Q211" s="52"/>
      <c r="W211" s="53"/>
      <c r="X211" s="53"/>
      <c r="Y211" s="51"/>
      <c r="Z211" s="51"/>
      <c r="AA211" s="52"/>
    </row>
    <row r="212" spans="4:27">
      <c r="D212" s="50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50"/>
      <c r="P212" s="50"/>
      <c r="Q212" s="52"/>
      <c r="W212" s="53"/>
      <c r="X212" s="53"/>
      <c r="Y212" s="51"/>
      <c r="Z212" s="51"/>
      <c r="AA212" s="52"/>
    </row>
    <row r="213" spans="4:27">
      <c r="D213" s="50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50"/>
      <c r="P213" s="50"/>
      <c r="Q213" s="52"/>
      <c r="W213" s="53"/>
      <c r="X213" s="53"/>
      <c r="Y213" s="51"/>
      <c r="Z213" s="51"/>
      <c r="AA213" s="52"/>
    </row>
    <row r="214" spans="4:27">
      <c r="D214" s="50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50"/>
      <c r="P214" s="50"/>
      <c r="Q214" s="52"/>
      <c r="W214" s="53"/>
      <c r="X214" s="53"/>
      <c r="Y214" s="51"/>
      <c r="Z214" s="51"/>
      <c r="AA214" s="52"/>
    </row>
    <row r="215" spans="4:27">
      <c r="D215" s="50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50"/>
      <c r="P215" s="50"/>
      <c r="Q215" s="52"/>
      <c r="W215" s="53"/>
      <c r="X215" s="53"/>
      <c r="Y215" s="51"/>
      <c r="Z215" s="51"/>
      <c r="AA215" s="52"/>
    </row>
    <row r="216" spans="4:27">
      <c r="D216" s="50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50"/>
      <c r="P216" s="50"/>
      <c r="Q216" s="52"/>
      <c r="W216" s="53"/>
      <c r="X216" s="53"/>
      <c r="Y216" s="51"/>
      <c r="Z216" s="51"/>
      <c r="AA216" s="52"/>
    </row>
    <row r="217" spans="4:27">
      <c r="D217" s="50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50"/>
      <c r="P217" s="50"/>
      <c r="Q217" s="52"/>
      <c r="W217" s="53"/>
      <c r="X217" s="53"/>
      <c r="Y217" s="51"/>
      <c r="Z217" s="51"/>
      <c r="AA217" s="52"/>
    </row>
    <row r="218" spans="4:27">
      <c r="D218" s="50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50"/>
      <c r="P218" s="50"/>
      <c r="Q218" s="52"/>
      <c r="W218" s="53"/>
      <c r="X218" s="53"/>
      <c r="Y218" s="51"/>
      <c r="Z218" s="51"/>
      <c r="AA218" s="52"/>
    </row>
    <row r="219" spans="4:27">
      <c r="D219" s="50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50"/>
      <c r="P219" s="50"/>
      <c r="Q219" s="52"/>
      <c r="W219" s="53"/>
      <c r="X219" s="53"/>
      <c r="Y219" s="51"/>
      <c r="Z219" s="51"/>
      <c r="AA219" s="52"/>
    </row>
    <row r="220" spans="4:27">
      <c r="D220" s="50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50"/>
      <c r="P220" s="50"/>
      <c r="Q220" s="52"/>
      <c r="W220" s="53"/>
      <c r="X220" s="53"/>
      <c r="Y220" s="51"/>
      <c r="Z220" s="51"/>
      <c r="AA220" s="52"/>
    </row>
    <row r="221" spans="4:27">
      <c r="D221" s="50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50"/>
      <c r="P221" s="50"/>
      <c r="Q221" s="52"/>
      <c r="W221" s="53"/>
      <c r="X221" s="53"/>
      <c r="Y221" s="51"/>
      <c r="Z221" s="51"/>
      <c r="AA221" s="52"/>
    </row>
    <row r="222" spans="4:27">
      <c r="D222" s="50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50"/>
      <c r="P222" s="50"/>
      <c r="Q222" s="52"/>
      <c r="W222" s="53"/>
      <c r="X222" s="53"/>
      <c r="Y222" s="51"/>
      <c r="Z222" s="51"/>
      <c r="AA222" s="52"/>
    </row>
    <row r="223" spans="4:27">
      <c r="D223" s="50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50"/>
      <c r="P223" s="50"/>
      <c r="Q223" s="52"/>
      <c r="W223" s="53"/>
      <c r="X223" s="53"/>
      <c r="Y223" s="51"/>
      <c r="Z223" s="51"/>
      <c r="AA223" s="52"/>
    </row>
    <row r="224" spans="4:27">
      <c r="D224" s="50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50"/>
      <c r="P224" s="50"/>
      <c r="Q224" s="52"/>
      <c r="W224" s="53"/>
      <c r="X224" s="53"/>
      <c r="Y224" s="51"/>
      <c r="Z224" s="51"/>
      <c r="AA224" s="52"/>
    </row>
    <row r="225" spans="4:27">
      <c r="D225" s="50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50"/>
      <c r="P225" s="50"/>
      <c r="Q225" s="52"/>
      <c r="W225" s="53"/>
      <c r="X225" s="53"/>
      <c r="Y225" s="51"/>
      <c r="Z225" s="51"/>
      <c r="AA225" s="52"/>
    </row>
    <row r="226" spans="4:27">
      <c r="D226" s="50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50"/>
      <c r="P226" s="50"/>
      <c r="Q226" s="52"/>
      <c r="W226" s="53"/>
      <c r="X226" s="53"/>
      <c r="Y226" s="51"/>
      <c r="Z226" s="51"/>
      <c r="AA226" s="52"/>
    </row>
    <row r="227" spans="4:27">
      <c r="D227" s="50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50"/>
      <c r="P227" s="50"/>
      <c r="Q227" s="52"/>
      <c r="W227" s="53"/>
      <c r="X227" s="53"/>
      <c r="Y227" s="51"/>
      <c r="Z227" s="51"/>
      <c r="AA227" s="52"/>
    </row>
    <row r="228" spans="4:27">
      <c r="D228" s="50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50"/>
      <c r="P228" s="50"/>
      <c r="Q228" s="52"/>
      <c r="W228" s="53"/>
      <c r="X228" s="53"/>
      <c r="Y228" s="51"/>
      <c r="Z228" s="51"/>
      <c r="AA228" s="52"/>
    </row>
    <row r="229" spans="4:27">
      <c r="D229" s="50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50"/>
      <c r="P229" s="50"/>
      <c r="Q229" s="52"/>
      <c r="W229" s="53"/>
      <c r="X229" s="53"/>
      <c r="Y229" s="51"/>
      <c r="Z229" s="51"/>
      <c r="AA229" s="52"/>
    </row>
    <row r="230" spans="4:27">
      <c r="D230" s="50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50"/>
      <c r="P230" s="50"/>
      <c r="Q230" s="52"/>
      <c r="W230" s="53"/>
      <c r="X230" s="53"/>
      <c r="Y230" s="51"/>
      <c r="Z230" s="51"/>
      <c r="AA230" s="52"/>
    </row>
    <row r="231" spans="4:27">
      <c r="D231" s="50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50"/>
      <c r="P231" s="50"/>
      <c r="Q231" s="52"/>
      <c r="W231" s="53"/>
      <c r="X231" s="53"/>
      <c r="Y231" s="51"/>
      <c r="Z231" s="51"/>
      <c r="AA231" s="52"/>
    </row>
    <row r="232" spans="4:27">
      <c r="D232" s="50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50"/>
      <c r="P232" s="50"/>
      <c r="Q232" s="52"/>
      <c r="W232" s="53"/>
      <c r="X232" s="53"/>
      <c r="Y232" s="51"/>
      <c r="Z232" s="51"/>
      <c r="AA232" s="52"/>
    </row>
    <row r="233" spans="4:27">
      <c r="D233" s="50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50"/>
      <c r="P233" s="50"/>
      <c r="Q233" s="52"/>
      <c r="W233" s="53"/>
      <c r="X233" s="53"/>
      <c r="Y233" s="51"/>
      <c r="Z233" s="51"/>
      <c r="AA233" s="52"/>
    </row>
    <row r="234" spans="4:27">
      <c r="D234" s="50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50"/>
      <c r="P234" s="50"/>
      <c r="Q234" s="52"/>
      <c r="W234" s="53"/>
      <c r="X234" s="53"/>
      <c r="Y234" s="51"/>
      <c r="Z234" s="51"/>
      <c r="AA234" s="52"/>
    </row>
    <row r="235" spans="4:27">
      <c r="D235" s="50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50"/>
      <c r="P235" s="50"/>
      <c r="Q235" s="52"/>
      <c r="W235" s="53"/>
      <c r="X235" s="53"/>
      <c r="Y235" s="51"/>
      <c r="Z235" s="51"/>
      <c r="AA235" s="52"/>
    </row>
    <row r="236" spans="4:27">
      <c r="D236" s="50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50"/>
      <c r="P236" s="50"/>
      <c r="Q236" s="52"/>
      <c r="W236" s="53"/>
      <c r="X236" s="53"/>
      <c r="Y236" s="51"/>
      <c r="Z236" s="51"/>
      <c r="AA236" s="52"/>
    </row>
    <row r="237" spans="4:27">
      <c r="D237" s="50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50"/>
      <c r="P237" s="50"/>
      <c r="Q237" s="52"/>
      <c r="W237" s="53"/>
      <c r="X237" s="53"/>
      <c r="Y237" s="51"/>
      <c r="Z237" s="51"/>
      <c r="AA237" s="52"/>
    </row>
    <row r="238" spans="4:27">
      <c r="D238" s="50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50"/>
      <c r="P238" s="50"/>
      <c r="Q238" s="52"/>
      <c r="W238" s="53"/>
      <c r="X238" s="53"/>
      <c r="Y238" s="51"/>
      <c r="Z238" s="51"/>
      <c r="AA238" s="52"/>
    </row>
    <row r="239" spans="4:27">
      <c r="D239" s="50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50"/>
      <c r="P239" s="50"/>
      <c r="Q239" s="52"/>
      <c r="W239" s="53"/>
      <c r="X239" s="53"/>
      <c r="Y239" s="51"/>
      <c r="Z239" s="51"/>
      <c r="AA239" s="52"/>
    </row>
    <row r="240" spans="4:27">
      <c r="D240" s="50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50"/>
      <c r="P240" s="50"/>
      <c r="Q240" s="52"/>
      <c r="W240" s="53"/>
      <c r="X240" s="53"/>
      <c r="Y240" s="51"/>
      <c r="Z240" s="51"/>
      <c r="AA240" s="52"/>
    </row>
    <row r="241" spans="4:27">
      <c r="D241" s="50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50"/>
      <c r="P241" s="50"/>
      <c r="Q241" s="52"/>
      <c r="W241" s="53"/>
      <c r="X241" s="53"/>
      <c r="Y241" s="51"/>
      <c r="Z241" s="51"/>
      <c r="AA241" s="52"/>
    </row>
    <row r="242" spans="4:27">
      <c r="D242" s="50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50"/>
      <c r="P242" s="50"/>
      <c r="Q242" s="52"/>
      <c r="W242" s="53"/>
      <c r="X242" s="53"/>
      <c r="Y242" s="51"/>
      <c r="Z242" s="51"/>
      <c r="AA242" s="52"/>
    </row>
    <row r="243" spans="4:27">
      <c r="D243" s="50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50"/>
      <c r="P243" s="50"/>
      <c r="Q243" s="52"/>
      <c r="W243" s="53"/>
      <c r="X243" s="53"/>
      <c r="Y243" s="51"/>
      <c r="Z243" s="51"/>
      <c r="AA243" s="52"/>
    </row>
    <row r="244" spans="4:27">
      <c r="D244" s="50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50"/>
      <c r="P244" s="50"/>
      <c r="Q244" s="52"/>
      <c r="W244" s="53"/>
      <c r="X244" s="53"/>
      <c r="Y244" s="51"/>
      <c r="Z244" s="51"/>
      <c r="AA244" s="52"/>
    </row>
    <row r="245" spans="4:27">
      <c r="D245" s="50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50"/>
      <c r="P245" s="50"/>
      <c r="Q245" s="52"/>
      <c r="W245" s="53"/>
      <c r="X245" s="53"/>
      <c r="Y245" s="51"/>
      <c r="Z245" s="51"/>
      <c r="AA245" s="52"/>
    </row>
    <row r="246" spans="4:27">
      <c r="D246" s="50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50"/>
      <c r="P246" s="50"/>
      <c r="Q246" s="52"/>
      <c r="W246" s="53"/>
      <c r="X246" s="53"/>
      <c r="Y246" s="51"/>
      <c r="Z246" s="51"/>
      <c r="AA246" s="52"/>
    </row>
    <row r="247" spans="4:27">
      <c r="D247" s="50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50"/>
      <c r="P247" s="50"/>
      <c r="Q247" s="52"/>
      <c r="W247" s="53"/>
      <c r="X247" s="53"/>
      <c r="Y247" s="51"/>
      <c r="Z247" s="51"/>
      <c r="AA247" s="52"/>
    </row>
    <row r="248" spans="4:27">
      <c r="D248" s="50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50"/>
      <c r="P248" s="50"/>
      <c r="Q248" s="52"/>
      <c r="W248" s="53"/>
      <c r="X248" s="53"/>
      <c r="Y248" s="51"/>
      <c r="Z248" s="51"/>
      <c r="AA248" s="52"/>
    </row>
    <row r="249" spans="4:27">
      <c r="D249" s="50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50"/>
      <c r="P249" s="50"/>
      <c r="Q249" s="52"/>
      <c r="W249" s="53"/>
      <c r="X249" s="53"/>
      <c r="Y249" s="51"/>
      <c r="Z249" s="51"/>
      <c r="AA249" s="52"/>
    </row>
    <row r="250" spans="4:27">
      <c r="D250" s="50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50"/>
      <c r="P250" s="50"/>
      <c r="Q250" s="52"/>
      <c r="W250" s="53"/>
      <c r="X250" s="53"/>
      <c r="Y250" s="51"/>
      <c r="Z250" s="51"/>
      <c r="AA250" s="52"/>
    </row>
    <row r="251" spans="4:27">
      <c r="D251" s="50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50"/>
      <c r="P251" s="50"/>
      <c r="Q251" s="52"/>
      <c r="W251" s="53"/>
      <c r="X251" s="53"/>
      <c r="Y251" s="51"/>
      <c r="Z251" s="51"/>
      <c r="AA251" s="52"/>
    </row>
    <row r="252" spans="4:27">
      <c r="D252" s="50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50"/>
      <c r="P252" s="50"/>
      <c r="Q252" s="52"/>
      <c r="W252" s="53"/>
      <c r="X252" s="53"/>
      <c r="Y252" s="51"/>
      <c r="Z252" s="51"/>
      <c r="AA252" s="52"/>
    </row>
    <row r="253" spans="4:27">
      <c r="D253" s="50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50"/>
      <c r="P253" s="50"/>
      <c r="Q253" s="52"/>
      <c r="W253" s="53"/>
      <c r="X253" s="53"/>
      <c r="Y253" s="51"/>
      <c r="Z253" s="51"/>
      <c r="AA253" s="52"/>
    </row>
    <row r="254" spans="4:27">
      <c r="D254" s="50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50"/>
      <c r="P254" s="50"/>
      <c r="Q254" s="52"/>
      <c r="W254" s="53"/>
      <c r="X254" s="53"/>
      <c r="Y254" s="51"/>
      <c r="Z254" s="51"/>
      <c r="AA254" s="52"/>
    </row>
    <row r="255" spans="4:27">
      <c r="D255" s="50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50"/>
      <c r="P255" s="50"/>
      <c r="Q255" s="52"/>
      <c r="W255" s="53"/>
      <c r="X255" s="53"/>
      <c r="Y255" s="51"/>
      <c r="Z255" s="51"/>
      <c r="AA255" s="52"/>
    </row>
    <row r="256" spans="4:27">
      <c r="D256" s="50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50"/>
      <c r="P256" s="50"/>
      <c r="Q256" s="52"/>
      <c r="W256" s="53"/>
      <c r="X256" s="53"/>
      <c r="Y256" s="51"/>
      <c r="Z256" s="51"/>
      <c r="AA256" s="52"/>
    </row>
    <row r="257" spans="4:27">
      <c r="D257" s="50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50"/>
      <c r="P257" s="50"/>
      <c r="Q257" s="52"/>
      <c r="W257" s="53"/>
      <c r="X257" s="53"/>
      <c r="Y257" s="51"/>
      <c r="Z257" s="51"/>
      <c r="AA257" s="52"/>
    </row>
    <row r="258" spans="4:27">
      <c r="D258" s="50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50"/>
      <c r="P258" s="50"/>
      <c r="Q258" s="52"/>
      <c r="W258" s="53"/>
      <c r="X258" s="53"/>
      <c r="Y258" s="51"/>
      <c r="Z258" s="51"/>
      <c r="AA258" s="52"/>
    </row>
    <row r="259" spans="4:27">
      <c r="D259" s="50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50"/>
      <c r="P259" s="50"/>
      <c r="Q259" s="52"/>
      <c r="W259" s="53"/>
      <c r="X259" s="53"/>
      <c r="Y259" s="51"/>
      <c r="Z259" s="51"/>
      <c r="AA259" s="52"/>
    </row>
    <row r="260" spans="4:27">
      <c r="D260" s="50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50"/>
      <c r="P260" s="50"/>
      <c r="Q260" s="52"/>
      <c r="W260" s="53"/>
      <c r="X260" s="53"/>
      <c r="Y260" s="51"/>
      <c r="Z260" s="51"/>
      <c r="AA260" s="52"/>
    </row>
    <row r="261" spans="4:27">
      <c r="D261" s="50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50"/>
      <c r="P261" s="50"/>
      <c r="Q261" s="52"/>
      <c r="W261" s="53"/>
      <c r="X261" s="53"/>
      <c r="Y261" s="51"/>
      <c r="Z261" s="51"/>
      <c r="AA261" s="52"/>
    </row>
    <row r="262" spans="4:27">
      <c r="D262" s="50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50"/>
      <c r="P262" s="50"/>
      <c r="Q262" s="52"/>
      <c r="W262" s="53"/>
      <c r="X262" s="53"/>
      <c r="Y262" s="51"/>
      <c r="Z262" s="51"/>
      <c r="AA262" s="52"/>
    </row>
    <row r="263" spans="4:27">
      <c r="D263" s="50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50"/>
      <c r="P263" s="50"/>
      <c r="Q263" s="52"/>
      <c r="W263" s="53"/>
      <c r="X263" s="53"/>
      <c r="Y263" s="51"/>
      <c r="Z263" s="51"/>
      <c r="AA263" s="52"/>
    </row>
    <row r="264" spans="4:27">
      <c r="D264" s="50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50"/>
      <c r="P264" s="50"/>
      <c r="Q264" s="52"/>
      <c r="W264" s="53"/>
      <c r="X264" s="53"/>
      <c r="Y264" s="51"/>
      <c r="Z264" s="51"/>
      <c r="AA264" s="52"/>
    </row>
    <row r="265" spans="4:27">
      <c r="D265" s="50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50"/>
      <c r="P265" s="50"/>
      <c r="Q265" s="52"/>
      <c r="W265" s="53"/>
      <c r="X265" s="53"/>
      <c r="Y265" s="51"/>
      <c r="Z265" s="51"/>
      <c r="AA265" s="52"/>
    </row>
    <row r="266" spans="4:27">
      <c r="D266" s="50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50"/>
      <c r="P266" s="50"/>
      <c r="Q266" s="52"/>
      <c r="W266" s="53"/>
      <c r="X266" s="53"/>
      <c r="Y266" s="51"/>
      <c r="Z266" s="51"/>
      <c r="AA266" s="52"/>
    </row>
    <row r="267" spans="4:27">
      <c r="D267" s="50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50"/>
      <c r="P267" s="50"/>
      <c r="Q267" s="52"/>
      <c r="W267" s="53"/>
      <c r="X267" s="53"/>
      <c r="Y267" s="51"/>
      <c r="Z267" s="51"/>
      <c r="AA267" s="52"/>
    </row>
    <row r="268" spans="4:27">
      <c r="D268" s="50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50"/>
      <c r="P268" s="50"/>
      <c r="Q268" s="52"/>
      <c r="W268" s="53"/>
      <c r="X268" s="53"/>
      <c r="Y268" s="51"/>
      <c r="Z268" s="51"/>
      <c r="AA268" s="52"/>
    </row>
    <row r="269" spans="4:27">
      <c r="D269" s="50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50"/>
      <c r="P269" s="50"/>
      <c r="Q269" s="52"/>
      <c r="W269" s="53"/>
      <c r="X269" s="53"/>
      <c r="Y269" s="51"/>
      <c r="Z269" s="51"/>
      <c r="AA269" s="52"/>
    </row>
    <row r="270" spans="4:27">
      <c r="D270" s="50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50"/>
      <c r="P270" s="50"/>
      <c r="Q270" s="52"/>
      <c r="W270" s="53"/>
      <c r="X270" s="53"/>
      <c r="Y270" s="51"/>
      <c r="Z270" s="51"/>
      <c r="AA270" s="52"/>
    </row>
    <row r="271" spans="4:27">
      <c r="D271" s="50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50"/>
      <c r="P271" s="50"/>
      <c r="Q271" s="52"/>
      <c r="W271" s="53"/>
      <c r="X271" s="53"/>
      <c r="Y271" s="51"/>
      <c r="Z271" s="51"/>
      <c r="AA271" s="52"/>
    </row>
    <row r="272" spans="4:27">
      <c r="D272" s="50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50"/>
      <c r="P272" s="50"/>
      <c r="Q272" s="52"/>
      <c r="W272" s="53"/>
      <c r="X272" s="53"/>
      <c r="Y272" s="51"/>
      <c r="Z272" s="51"/>
      <c r="AA272" s="52"/>
    </row>
    <row r="273" spans="4:27">
      <c r="D273" s="50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50"/>
      <c r="P273" s="50"/>
      <c r="Q273" s="52"/>
      <c r="W273" s="53"/>
      <c r="X273" s="53"/>
      <c r="Y273" s="51"/>
      <c r="Z273" s="51"/>
      <c r="AA273" s="52"/>
    </row>
    <row r="274" spans="4:27">
      <c r="D274" s="50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50"/>
      <c r="P274" s="50"/>
      <c r="Q274" s="52"/>
      <c r="W274" s="53"/>
      <c r="X274" s="53"/>
      <c r="Y274" s="51"/>
      <c r="Z274" s="51"/>
      <c r="AA274" s="52"/>
    </row>
    <row r="275" spans="4:27">
      <c r="D275" s="50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50"/>
      <c r="P275" s="50"/>
      <c r="Q275" s="52"/>
      <c r="W275" s="53"/>
      <c r="X275" s="53"/>
      <c r="Y275" s="51"/>
      <c r="Z275" s="51"/>
      <c r="AA275" s="52"/>
    </row>
    <row r="276" spans="4:27">
      <c r="D276" s="50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50"/>
      <c r="P276" s="50"/>
      <c r="Q276" s="52"/>
      <c r="W276" s="53"/>
      <c r="X276" s="53"/>
      <c r="Y276" s="51"/>
      <c r="Z276" s="51"/>
      <c r="AA276" s="52"/>
    </row>
    <row r="277" spans="4:27">
      <c r="D277" s="50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50"/>
      <c r="P277" s="50"/>
      <c r="Q277" s="52"/>
      <c r="W277" s="53"/>
      <c r="X277" s="53"/>
      <c r="Y277" s="51"/>
      <c r="Z277" s="51"/>
      <c r="AA277" s="52"/>
    </row>
    <row r="278" spans="4:27">
      <c r="D278" s="50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50"/>
      <c r="P278" s="50"/>
      <c r="Q278" s="52"/>
      <c r="W278" s="53"/>
      <c r="X278" s="53"/>
      <c r="Y278" s="51"/>
      <c r="Z278" s="51"/>
      <c r="AA278" s="52"/>
    </row>
    <row r="279" spans="4:27">
      <c r="D279" s="50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50"/>
      <c r="P279" s="50"/>
      <c r="Q279" s="52"/>
      <c r="W279" s="53"/>
      <c r="X279" s="53"/>
      <c r="Y279" s="51"/>
      <c r="Z279" s="51"/>
      <c r="AA279" s="52"/>
    </row>
    <row r="280" spans="4:27">
      <c r="D280" s="50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50"/>
      <c r="P280" s="50"/>
      <c r="Q280" s="52"/>
      <c r="W280" s="53"/>
      <c r="X280" s="53"/>
      <c r="Y280" s="51"/>
      <c r="Z280" s="51"/>
      <c r="AA280" s="52"/>
    </row>
    <row r="281" spans="4:27">
      <c r="D281" s="50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50"/>
      <c r="P281" s="50"/>
      <c r="Q281" s="52"/>
      <c r="W281" s="53"/>
      <c r="X281" s="53"/>
      <c r="Y281" s="51"/>
      <c r="Z281" s="51"/>
      <c r="AA281" s="52"/>
    </row>
    <row r="282" spans="4:27">
      <c r="D282" s="50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50"/>
      <c r="P282" s="50"/>
      <c r="Q282" s="52"/>
      <c r="W282" s="53"/>
      <c r="X282" s="53"/>
      <c r="Y282" s="51"/>
      <c r="Z282" s="51"/>
      <c r="AA282" s="52"/>
    </row>
    <row r="283" spans="4:27">
      <c r="D283" s="50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50"/>
      <c r="P283" s="50"/>
      <c r="Q283" s="52"/>
      <c r="W283" s="53"/>
      <c r="X283" s="53"/>
      <c r="Y283" s="51"/>
      <c r="Z283" s="51"/>
      <c r="AA283" s="52"/>
    </row>
    <row r="284" spans="4:27">
      <c r="D284" s="50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50"/>
      <c r="P284" s="50"/>
      <c r="Q284" s="52"/>
      <c r="W284" s="53"/>
      <c r="X284" s="53"/>
      <c r="Y284" s="51"/>
      <c r="Z284" s="51"/>
      <c r="AA284" s="52"/>
    </row>
    <row r="285" spans="4:27">
      <c r="D285" s="50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50"/>
      <c r="P285" s="50"/>
      <c r="Q285" s="52"/>
      <c r="W285" s="53"/>
      <c r="X285" s="53"/>
      <c r="Y285" s="51"/>
      <c r="Z285" s="51"/>
      <c r="AA285" s="52"/>
    </row>
    <row r="286" spans="4:27">
      <c r="D286" s="50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50"/>
      <c r="P286" s="50"/>
      <c r="Q286" s="52"/>
      <c r="W286" s="53"/>
      <c r="X286" s="53"/>
      <c r="Y286" s="51"/>
      <c r="Z286" s="51"/>
      <c r="AA286" s="52"/>
    </row>
    <row r="287" spans="4:27">
      <c r="D287" s="50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50"/>
      <c r="P287" s="50"/>
      <c r="Q287" s="52"/>
      <c r="W287" s="53"/>
      <c r="X287" s="53"/>
      <c r="Y287" s="51"/>
      <c r="Z287" s="51"/>
      <c r="AA287" s="52"/>
    </row>
    <row r="288" spans="4:27">
      <c r="D288" s="50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50"/>
      <c r="P288" s="50"/>
      <c r="Q288" s="52"/>
      <c r="W288" s="53"/>
      <c r="X288" s="53"/>
      <c r="Y288" s="51"/>
      <c r="Z288" s="51"/>
      <c r="AA288" s="52"/>
    </row>
    <row r="289" spans="4:27">
      <c r="D289" s="50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50"/>
      <c r="P289" s="50"/>
      <c r="Q289" s="52"/>
      <c r="W289" s="53"/>
      <c r="X289" s="53"/>
      <c r="Y289" s="51"/>
      <c r="Z289" s="51"/>
      <c r="AA289" s="52"/>
    </row>
    <row r="290" spans="4:27">
      <c r="D290" s="50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50"/>
      <c r="P290" s="50"/>
      <c r="Q290" s="52"/>
      <c r="W290" s="53"/>
      <c r="X290" s="53"/>
      <c r="Y290" s="51"/>
      <c r="Z290" s="51"/>
      <c r="AA290" s="52"/>
    </row>
    <row r="291" spans="4:27">
      <c r="D291" s="50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50"/>
      <c r="P291" s="50"/>
      <c r="Q291" s="52"/>
      <c r="W291" s="53"/>
      <c r="X291" s="53"/>
      <c r="Y291" s="51"/>
      <c r="Z291" s="51"/>
      <c r="AA291" s="52"/>
    </row>
    <row r="292" spans="4:27">
      <c r="D292" s="50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50"/>
      <c r="P292" s="50"/>
      <c r="Q292" s="52"/>
      <c r="W292" s="53"/>
      <c r="X292" s="53"/>
      <c r="Y292" s="51"/>
      <c r="Z292" s="51"/>
      <c r="AA292" s="52"/>
    </row>
    <row r="293" spans="4:27">
      <c r="D293" s="50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50"/>
      <c r="P293" s="50"/>
      <c r="Q293" s="52"/>
      <c r="W293" s="53"/>
      <c r="X293" s="53"/>
      <c r="Y293" s="51"/>
      <c r="Z293" s="51"/>
      <c r="AA293" s="52"/>
    </row>
    <row r="294" spans="4:27">
      <c r="D294" s="50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50"/>
      <c r="P294" s="50"/>
      <c r="Q294" s="52"/>
      <c r="W294" s="53"/>
      <c r="X294" s="53"/>
      <c r="Y294" s="51"/>
      <c r="Z294" s="51"/>
      <c r="AA294" s="52"/>
    </row>
    <row r="295" spans="4:27">
      <c r="D295" s="50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50"/>
      <c r="P295" s="50"/>
      <c r="Q295" s="52"/>
      <c r="W295" s="53"/>
      <c r="X295" s="53"/>
      <c r="Y295" s="51"/>
      <c r="Z295" s="51"/>
      <c r="AA295" s="52"/>
    </row>
    <row r="296" spans="4:27">
      <c r="D296" s="50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50"/>
      <c r="P296" s="50"/>
      <c r="Q296" s="52"/>
      <c r="W296" s="53"/>
      <c r="X296" s="53"/>
      <c r="Y296" s="51"/>
      <c r="Z296" s="51"/>
      <c r="AA296" s="52"/>
    </row>
    <row r="297" spans="4:27">
      <c r="D297" s="50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50"/>
      <c r="P297" s="50"/>
      <c r="Q297" s="52"/>
      <c r="W297" s="53"/>
      <c r="X297" s="53"/>
      <c r="Y297" s="51"/>
      <c r="Z297" s="51"/>
      <c r="AA297" s="52"/>
    </row>
    <row r="298" spans="4:27">
      <c r="D298" s="50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50"/>
      <c r="P298" s="50"/>
      <c r="Q298" s="52"/>
      <c r="W298" s="53"/>
      <c r="X298" s="53"/>
      <c r="Y298" s="51"/>
      <c r="Z298" s="51"/>
      <c r="AA298" s="52"/>
    </row>
    <row r="299" spans="4:27">
      <c r="D299" s="50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50"/>
      <c r="P299" s="50"/>
      <c r="Q299" s="52"/>
      <c r="W299" s="53"/>
      <c r="X299" s="53"/>
      <c r="Y299" s="51"/>
      <c r="Z299" s="51"/>
      <c r="AA299" s="52"/>
    </row>
    <row r="300" spans="4:27">
      <c r="D300" s="50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50"/>
      <c r="P300" s="50"/>
      <c r="Q300" s="52"/>
      <c r="W300" s="53"/>
      <c r="X300" s="53"/>
      <c r="Y300" s="51"/>
      <c r="Z300" s="51"/>
      <c r="AA300" s="52"/>
    </row>
    <row r="301" spans="4:27">
      <c r="D301" s="50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50"/>
      <c r="P301" s="50"/>
      <c r="Q301" s="52"/>
      <c r="W301" s="53"/>
      <c r="X301" s="53"/>
      <c r="Y301" s="51"/>
      <c r="Z301" s="51"/>
      <c r="AA301" s="52"/>
    </row>
    <row r="302" spans="4:27">
      <c r="D302" s="50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50"/>
      <c r="P302" s="50"/>
      <c r="Q302" s="52"/>
      <c r="W302" s="53"/>
      <c r="X302" s="53"/>
      <c r="Y302" s="51"/>
      <c r="Z302" s="51"/>
      <c r="AA302" s="52"/>
    </row>
    <row r="303" spans="4:27">
      <c r="D303" s="50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50"/>
      <c r="P303" s="50"/>
      <c r="Q303" s="52"/>
      <c r="W303" s="53"/>
      <c r="X303" s="53"/>
      <c r="Y303" s="51"/>
      <c r="Z303" s="51"/>
      <c r="AA303" s="52"/>
    </row>
    <row r="304" spans="4:27">
      <c r="D304" s="50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50"/>
      <c r="P304" s="50"/>
      <c r="Q304" s="52"/>
      <c r="W304" s="53"/>
      <c r="X304" s="53"/>
      <c r="Y304" s="51"/>
      <c r="Z304" s="51"/>
      <c r="AA304" s="52"/>
    </row>
    <row r="305" spans="4:27">
      <c r="D305" s="50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50"/>
      <c r="P305" s="50"/>
      <c r="Q305" s="52"/>
      <c r="W305" s="53"/>
      <c r="X305" s="53"/>
      <c r="Y305" s="51"/>
      <c r="Z305" s="51"/>
      <c r="AA305" s="52"/>
    </row>
    <row r="306" spans="4:27">
      <c r="D306" s="50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50"/>
      <c r="P306" s="50"/>
      <c r="Q306" s="52"/>
      <c r="W306" s="53"/>
      <c r="X306" s="53"/>
      <c r="Y306" s="51"/>
      <c r="Z306" s="51"/>
      <c r="AA306" s="52"/>
    </row>
    <row r="307" spans="4:27">
      <c r="D307" s="50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50"/>
      <c r="P307" s="50"/>
      <c r="Q307" s="52"/>
      <c r="W307" s="53"/>
      <c r="X307" s="53"/>
      <c r="Y307" s="51"/>
      <c r="Z307" s="51"/>
      <c r="AA307" s="52"/>
    </row>
    <row r="308" spans="4:27">
      <c r="D308" s="50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50"/>
      <c r="P308" s="50"/>
      <c r="Q308" s="52"/>
      <c r="W308" s="53"/>
      <c r="X308" s="53"/>
      <c r="Y308" s="51"/>
      <c r="Z308" s="51"/>
      <c r="AA308" s="52"/>
    </row>
    <row r="309" spans="4:27">
      <c r="D309" s="50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50"/>
      <c r="P309" s="50"/>
      <c r="Q309" s="52"/>
      <c r="W309" s="53"/>
      <c r="X309" s="53"/>
      <c r="Y309" s="51"/>
      <c r="Z309" s="51"/>
      <c r="AA309" s="52"/>
    </row>
    <row r="310" spans="4:27">
      <c r="D310" s="50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50"/>
      <c r="P310" s="50"/>
      <c r="Q310" s="52"/>
      <c r="W310" s="53"/>
      <c r="X310" s="53"/>
      <c r="Y310" s="51"/>
      <c r="Z310" s="51"/>
      <c r="AA310" s="52"/>
    </row>
    <row r="311" spans="4:27">
      <c r="D311" s="50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50"/>
      <c r="P311" s="50"/>
      <c r="Q311" s="52"/>
      <c r="W311" s="53"/>
      <c r="X311" s="53"/>
      <c r="Y311" s="51"/>
      <c r="Z311" s="51"/>
      <c r="AA311" s="52"/>
    </row>
    <row r="312" spans="4:27">
      <c r="D312" s="50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50"/>
      <c r="P312" s="50"/>
      <c r="Q312" s="52"/>
      <c r="W312" s="53"/>
      <c r="X312" s="53"/>
      <c r="Y312" s="51"/>
      <c r="Z312" s="51"/>
      <c r="AA312" s="52"/>
    </row>
    <row r="313" spans="4:27">
      <c r="D313" s="50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50"/>
      <c r="P313" s="50"/>
      <c r="Q313" s="52"/>
      <c r="W313" s="53"/>
      <c r="X313" s="53"/>
      <c r="Y313" s="51"/>
      <c r="Z313" s="51"/>
      <c r="AA313" s="52"/>
    </row>
    <row r="314" spans="4:27">
      <c r="D314" s="50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50"/>
      <c r="P314" s="50"/>
      <c r="Q314" s="52"/>
      <c r="W314" s="53"/>
      <c r="X314" s="53"/>
      <c r="Y314" s="51"/>
      <c r="Z314" s="51"/>
      <c r="AA314" s="52"/>
    </row>
    <row r="315" spans="4:27">
      <c r="D315" s="50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50"/>
      <c r="P315" s="50"/>
      <c r="Q315" s="52"/>
      <c r="W315" s="53"/>
      <c r="X315" s="53"/>
      <c r="Y315" s="51"/>
      <c r="Z315" s="51"/>
      <c r="AA315" s="52"/>
    </row>
    <row r="316" spans="4:27">
      <c r="D316" s="50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50"/>
      <c r="P316" s="50"/>
      <c r="Q316" s="52"/>
      <c r="W316" s="53"/>
      <c r="X316" s="53"/>
      <c r="Y316" s="51"/>
      <c r="Z316" s="51"/>
      <c r="AA316" s="52"/>
    </row>
    <row r="317" spans="4:27">
      <c r="D317" s="50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50"/>
      <c r="P317" s="50"/>
      <c r="Q317" s="52"/>
      <c r="W317" s="53"/>
      <c r="X317" s="53"/>
      <c r="Y317" s="51"/>
      <c r="Z317" s="51"/>
      <c r="AA317" s="52"/>
    </row>
    <row r="318" spans="4:27">
      <c r="D318" s="50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50"/>
      <c r="P318" s="50"/>
      <c r="Q318" s="52"/>
      <c r="W318" s="53"/>
      <c r="X318" s="53"/>
      <c r="Y318" s="51"/>
      <c r="Z318" s="51"/>
      <c r="AA318" s="52"/>
    </row>
    <row r="319" spans="4:27">
      <c r="D319" s="50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50"/>
      <c r="P319" s="50"/>
      <c r="Q319" s="52"/>
      <c r="W319" s="53"/>
      <c r="X319" s="53"/>
      <c r="Y319" s="51"/>
      <c r="Z319" s="51"/>
      <c r="AA319" s="52"/>
    </row>
    <row r="320" spans="4:27">
      <c r="D320" s="50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50"/>
      <c r="P320" s="50"/>
      <c r="Q320" s="52"/>
      <c r="W320" s="53"/>
      <c r="X320" s="53"/>
      <c r="Y320" s="51"/>
      <c r="Z320" s="51"/>
      <c r="AA320" s="52"/>
    </row>
    <row r="321" spans="4:27">
      <c r="D321" s="50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50"/>
      <c r="P321" s="50"/>
      <c r="Q321" s="52"/>
      <c r="W321" s="53"/>
      <c r="X321" s="53"/>
      <c r="Y321" s="51"/>
      <c r="Z321" s="51"/>
      <c r="AA321" s="52"/>
    </row>
    <row r="322" spans="4:27">
      <c r="D322" s="50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50"/>
      <c r="P322" s="50"/>
      <c r="Q322" s="52"/>
      <c r="W322" s="53"/>
      <c r="X322" s="53"/>
      <c r="Y322" s="51"/>
      <c r="Z322" s="51"/>
      <c r="AA322" s="52"/>
    </row>
    <row r="323" spans="4:27">
      <c r="D323" s="50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50"/>
      <c r="P323" s="50"/>
      <c r="Q323" s="52"/>
      <c r="W323" s="53"/>
      <c r="X323" s="53"/>
      <c r="Y323" s="51"/>
      <c r="Z323" s="51"/>
      <c r="AA323" s="52"/>
    </row>
    <row r="324" spans="4:27">
      <c r="D324" s="50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50"/>
      <c r="P324" s="50"/>
      <c r="Q324" s="52"/>
      <c r="W324" s="53"/>
      <c r="X324" s="53"/>
      <c r="Y324" s="51"/>
      <c r="Z324" s="51"/>
      <c r="AA324" s="52"/>
    </row>
    <row r="325" spans="4:27">
      <c r="D325" s="50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50"/>
      <c r="P325" s="50"/>
      <c r="Q325" s="52"/>
      <c r="W325" s="53"/>
      <c r="X325" s="53"/>
      <c r="Y325" s="51"/>
      <c r="Z325" s="51"/>
      <c r="AA325" s="52"/>
    </row>
    <row r="326" spans="4:27">
      <c r="D326" s="50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50"/>
      <c r="P326" s="50"/>
      <c r="Q326" s="52"/>
      <c r="W326" s="53"/>
      <c r="X326" s="53"/>
      <c r="Y326" s="51"/>
      <c r="Z326" s="51"/>
      <c r="AA326" s="52"/>
    </row>
    <row r="327" spans="4:27">
      <c r="D327" s="50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50"/>
      <c r="P327" s="50"/>
      <c r="Q327" s="52"/>
      <c r="W327" s="53"/>
      <c r="X327" s="53"/>
      <c r="Y327" s="51"/>
      <c r="Z327" s="51"/>
      <c r="AA327" s="52"/>
    </row>
    <row r="328" spans="4:27">
      <c r="D328" s="50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50"/>
      <c r="P328" s="50"/>
      <c r="Q328" s="52"/>
      <c r="W328" s="53"/>
      <c r="X328" s="53"/>
      <c r="Y328" s="51"/>
      <c r="Z328" s="51"/>
      <c r="AA328" s="52"/>
    </row>
    <row r="329" spans="4:27">
      <c r="D329" s="50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50"/>
      <c r="P329" s="50"/>
      <c r="Q329" s="52"/>
      <c r="W329" s="53"/>
      <c r="X329" s="53"/>
      <c r="Y329" s="51"/>
      <c r="Z329" s="51"/>
      <c r="AA329" s="52"/>
    </row>
    <row r="330" spans="4:27">
      <c r="D330" s="50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50"/>
      <c r="P330" s="50"/>
      <c r="Q330" s="52"/>
      <c r="W330" s="53"/>
      <c r="X330" s="53"/>
      <c r="Y330" s="51"/>
      <c r="Z330" s="51"/>
      <c r="AA330" s="52"/>
    </row>
    <row r="331" spans="4:27">
      <c r="D331" s="50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50"/>
      <c r="P331" s="50"/>
      <c r="Q331" s="52"/>
      <c r="W331" s="53"/>
      <c r="X331" s="53"/>
      <c r="Y331" s="51"/>
      <c r="Z331" s="51"/>
      <c r="AA331" s="52"/>
    </row>
    <row r="332" spans="4:27">
      <c r="D332" s="50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50"/>
      <c r="P332" s="50"/>
      <c r="Q332" s="52"/>
      <c r="W332" s="53"/>
      <c r="X332" s="53"/>
      <c r="Y332" s="51"/>
      <c r="Z332" s="51"/>
      <c r="AA332" s="52"/>
    </row>
    <row r="333" spans="4:27">
      <c r="D333" s="50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50"/>
      <c r="P333" s="50"/>
      <c r="Q333" s="52"/>
      <c r="W333" s="53"/>
      <c r="X333" s="53"/>
      <c r="Y333" s="51"/>
      <c r="Z333" s="51"/>
      <c r="AA333" s="52"/>
    </row>
    <row r="334" spans="4:27">
      <c r="D334" s="50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50"/>
      <c r="P334" s="50"/>
      <c r="Q334" s="52"/>
      <c r="W334" s="53"/>
      <c r="X334" s="53"/>
      <c r="Y334" s="51"/>
      <c r="Z334" s="51"/>
      <c r="AA334" s="52"/>
    </row>
    <row r="335" spans="4:27">
      <c r="D335" s="50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50"/>
      <c r="P335" s="50"/>
      <c r="Q335" s="52"/>
      <c r="W335" s="53"/>
      <c r="X335" s="53"/>
      <c r="Y335" s="51"/>
      <c r="Z335" s="51"/>
      <c r="AA335" s="52"/>
    </row>
    <row r="336" spans="4:27">
      <c r="D336" s="50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50"/>
      <c r="P336" s="50"/>
      <c r="Q336" s="52"/>
      <c r="W336" s="53"/>
      <c r="X336" s="53"/>
      <c r="Y336" s="51"/>
      <c r="Z336" s="51"/>
      <c r="AA336" s="52"/>
    </row>
    <row r="337" spans="4:27">
      <c r="D337" s="50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50"/>
      <c r="P337" s="50"/>
      <c r="Q337" s="52"/>
      <c r="W337" s="53"/>
      <c r="X337" s="53"/>
      <c r="Y337" s="51"/>
      <c r="Z337" s="51"/>
      <c r="AA337" s="52"/>
    </row>
    <row r="338" spans="4:27">
      <c r="D338" s="50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50"/>
      <c r="P338" s="50"/>
      <c r="Q338" s="52"/>
      <c r="W338" s="53"/>
      <c r="X338" s="53"/>
      <c r="Y338" s="51"/>
      <c r="Z338" s="51"/>
      <c r="AA338" s="52"/>
    </row>
    <row r="339" spans="4:27">
      <c r="D339" s="50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50"/>
      <c r="P339" s="50"/>
      <c r="Q339" s="52"/>
      <c r="W339" s="53"/>
      <c r="X339" s="53"/>
      <c r="Y339" s="51"/>
      <c r="Z339" s="51"/>
      <c r="AA339" s="52"/>
    </row>
    <row r="340" spans="4:27">
      <c r="D340" s="50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50"/>
      <c r="P340" s="50"/>
      <c r="Q340" s="52"/>
      <c r="W340" s="53"/>
      <c r="X340" s="53"/>
      <c r="Y340" s="51"/>
      <c r="Z340" s="51"/>
      <c r="AA340" s="52"/>
    </row>
    <row r="341" spans="4:27">
      <c r="D341" s="50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50"/>
      <c r="P341" s="50"/>
      <c r="Q341" s="52"/>
      <c r="W341" s="53"/>
      <c r="X341" s="53"/>
      <c r="Y341" s="51"/>
      <c r="Z341" s="51"/>
      <c r="AA341" s="52"/>
    </row>
    <row r="342" spans="4:27">
      <c r="D342" s="50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50"/>
      <c r="P342" s="50"/>
      <c r="Q342" s="52"/>
      <c r="W342" s="53"/>
      <c r="X342" s="53"/>
      <c r="Y342" s="51"/>
      <c r="Z342" s="51"/>
      <c r="AA342" s="52"/>
    </row>
    <row r="343" spans="4:27">
      <c r="D343" s="50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50"/>
      <c r="P343" s="50"/>
      <c r="Q343" s="52"/>
      <c r="W343" s="53"/>
      <c r="X343" s="53"/>
      <c r="Y343" s="51"/>
      <c r="Z343" s="51"/>
      <c r="AA343" s="52"/>
    </row>
    <row r="344" spans="4:27">
      <c r="D344" s="50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50"/>
      <c r="P344" s="50"/>
      <c r="Q344" s="52"/>
      <c r="W344" s="53"/>
      <c r="X344" s="53"/>
      <c r="Y344" s="51"/>
      <c r="Z344" s="51"/>
      <c r="AA344" s="52"/>
    </row>
    <row r="345" spans="4:27">
      <c r="D345" s="50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50"/>
      <c r="P345" s="50"/>
      <c r="Q345" s="52"/>
      <c r="W345" s="53"/>
      <c r="X345" s="53"/>
      <c r="Y345" s="51"/>
      <c r="Z345" s="51"/>
      <c r="AA345" s="52"/>
    </row>
    <row r="346" spans="4:27">
      <c r="D346" s="50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50"/>
      <c r="P346" s="50"/>
      <c r="Q346" s="52"/>
      <c r="W346" s="53"/>
      <c r="X346" s="53"/>
      <c r="Y346" s="51"/>
      <c r="Z346" s="51"/>
      <c r="AA346" s="52"/>
    </row>
    <row r="347" spans="4:27">
      <c r="D347" s="50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50"/>
      <c r="P347" s="50"/>
      <c r="Q347" s="52"/>
      <c r="W347" s="53"/>
      <c r="X347" s="53"/>
      <c r="Y347" s="51"/>
      <c r="Z347" s="51"/>
      <c r="AA347" s="52"/>
    </row>
    <row r="348" spans="4:27">
      <c r="D348" s="50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50"/>
      <c r="P348" s="50"/>
      <c r="Q348" s="52"/>
      <c r="W348" s="53"/>
      <c r="X348" s="53"/>
      <c r="Y348" s="51"/>
      <c r="Z348" s="51"/>
      <c r="AA348" s="52"/>
    </row>
    <row r="349" spans="4:27">
      <c r="D349" s="50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50"/>
      <c r="P349" s="50"/>
      <c r="Q349" s="52"/>
      <c r="W349" s="53"/>
      <c r="X349" s="53"/>
      <c r="Y349" s="51"/>
      <c r="Z349" s="51"/>
      <c r="AA349" s="52"/>
    </row>
    <row r="350" spans="4:27">
      <c r="D350" s="50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50"/>
      <c r="P350" s="50"/>
      <c r="Q350" s="52"/>
      <c r="W350" s="53"/>
      <c r="X350" s="53"/>
      <c r="Y350" s="51"/>
      <c r="Z350" s="51"/>
      <c r="AA350" s="52"/>
    </row>
    <row r="351" spans="4:27">
      <c r="D351" s="50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50"/>
      <c r="P351" s="50"/>
      <c r="Q351" s="52"/>
      <c r="W351" s="53"/>
      <c r="X351" s="53"/>
      <c r="Y351" s="51"/>
      <c r="Z351" s="51"/>
      <c r="AA351" s="52"/>
    </row>
    <row r="352" spans="4:27">
      <c r="D352" s="50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50"/>
      <c r="P352" s="50"/>
      <c r="Q352" s="52"/>
      <c r="W352" s="53"/>
      <c r="X352" s="53"/>
      <c r="Y352" s="51"/>
      <c r="Z352" s="51"/>
      <c r="AA352" s="52"/>
    </row>
    <row r="353" spans="4:27">
      <c r="D353" s="50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50"/>
      <c r="P353" s="50"/>
      <c r="Q353" s="52"/>
      <c r="W353" s="53"/>
      <c r="X353" s="53"/>
      <c r="Y353" s="51"/>
      <c r="Z353" s="51"/>
      <c r="AA353" s="52"/>
    </row>
    <row r="354" spans="4:27">
      <c r="D354" s="50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50"/>
      <c r="P354" s="50"/>
      <c r="Q354" s="52"/>
      <c r="W354" s="53"/>
      <c r="X354" s="53"/>
      <c r="Y354" s="51"/>
      <c r="Z354" s="51"/>
      <c r="AA354" s="52"/>
    </row>
    <row r="355" spans="4:27">
      <c r="D355" s="50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50"/>
      <c r="P355" s="50"/>
      <c r="Q355" s="52"/>
      <c r="W355" s="53"/>
      <c r="X355" s="53"/>
      <c r="Y355" s="51"/>
      <c r="Z355" s="51"/>
      <c r="AA355" s="52"/>
    </row>
    <row r="356" spans="4:27">
      <c r="D356" s="50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50"/>
      <c r="P356" s="50"/>
      <c r="Q356" s="52"/>
      <c r="W356" s="53"/>
      <c r="X356" s="53"/>
      <c r="Y356" s="51"/>
      <c r="Z356" s="51"/>
      <c r="AA356" s="52"/>
    </row>
    <row r="357" spans="4:27">
      <c r="D357" s="50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50"/>
      <c r="P357" s="50"/>
      <c r="Q357" s="52"/>
      <c r="W357" s="53"/>
      <c r="X357" s="53"/>
      <c r="Y357" s="51"/>
      <c r="Z357" s="51"/>
      <c r="AA357" s="52"/>
    </row>
    <row r="358" spans="4:27">
      <c r="D358" s="50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50"/>
      <c r="P358" s="50"/>
      <c r="Q358" s="52"/>
      <c r="W358" s="53"/>
      <c r="X358" s="53"/>
      <c r="Y358" s="51"/>
      <c r="Z358" s="51"/>
      <c r="AA358" s="52"/>
    </row>
    <row r="359" spans="4:27">
      <c r="D359" s="50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50"/>
      <c r="P359" s="50"/>
      <c r="Q359" s="52"/>
      <c r="W359" s="53"/>
      <c r="X359" s="53"/>
      <c r="Y359" s="51"/>
      <c r="Z359" s="51"/>
      <c r="AA359" s="52"/>
    </row>
    <row r="360" spans="4:27">
      <c r="D360" s="50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50"/>
      <c r="P360" s="50"/>
      <c r="Q360" s="52"/>
      <c r="W360" s="53"/>
      <c r="X360" s="53"/>
      <c r="Y360" s="51"/>
      <c r="Z360" s="51"/>
      <c r="AA360" s="52"/>
    </row>
    <row r="361" spans="4:27">
      <c r="D361" s="50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50"/>
      <c r="P361" s="50"/>
      <c r="Q361" s="52"/>
      <c r="W361" s="53"/>
      <c r="X361" s="53"/>
      <c r="Y361" s="51"/>
      <c r="Z361" s="51"/>
      <c r="AA361" s="52"/>
    </row>
    <row r="362" spans="4:27">
      <c r="D362" s="50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50"/>
      <c r="P362" s="50"/>
      <c r="Q362" s="52"/>
      <c r="W362" s="53"/>
      <c r="X362" s="53"/>
      <c r="Y362" s="51"/>
      <c r="Z362" s="51"/>
      <c r="AA362" s="52"/>
    </row>
    <row r="363" spans="4:27">
      <c r="D363" s="50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50"/>
      <c r="P363" s="50"/>
      <c r="Q363" s="52"/>
      <c r="W363" s="53"/>
      <c r="X363" s="53"/>
      <c r="Y363" s="51"/>
      <c r="Z363" s="51"/>
      <c r="AA363" s="52"/>
    </row>
    <row r="364" spans="4:27">
      <c r="D364" s="50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50"/>
      <c r="P364" s="50"/>
      <c r="Q364" s="52"/>
      <c r="W364" s="53"/>
      <c r="X364" s="53"/>
      <c r="Y364" s="51"/>
      <c r="Z364" s="51"/>
      <c r="AA364" s="52"/>
    </row>
    <row r="365" spans="4:27">
      <c r="D365" s="50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50"/>
      <c r="P365" s="50"/>
      <c r="Q365" s="52"/>
      <c r="W365" s="53"/>
      <c r="X365" s="53"/>
      <c r="Y365" s="51"/>
      <c r="Z365" s="51"/>
      <c r="AA365" s="52"/>
    </row>
    <row r="366" spans="4:27">
      <c r="D366" s="50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50"/>
      <c r="P366" s="50"/>
      <c r="Q366" s="52"/>
      <c r="W366" s="53"/>
      <c r="X366" s="53"/>
      <c r="Y366" s="51"/>
      <c r="Z366" s="51"/>
      <c r="AA366" s="52"/>
    </row>
    <row r="367" spans="4:27">
      <c r="D367" s="50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50"/>
      <c r="P367" s="50"/>
      <c r="Q367" s="52"/>
      <c r="W367" s="53"/>
      <c r="X367" s="53"/>
      <c r="Y367" s="51"/>
      <c r="Z367" s="51"/>
      <c r="AA367" s="52"/>
    </row>
    <row r="368" spans="4:27">
      <c r="D368" s="50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50"/>
      <c r="P368" s="50"/>
      <c r="Q368" s="52"/>
      <c r="W368" s="53"/>
      <c r="X368" s="53"/>
      <c r="Y368" s="51"/>
      <c r="Z368" s="51"/>
      <c r="AA368" s="52"/>
    </row>
    <row r="369" spans="4:27">
      <c r="D369" s="50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50"/>
      <c r="P369" s="50"/>
      <c r="Q369" s="52"/>
      <c r="W369" s="53"/>
      <c r="X369" s="53"/>
      <c r="Y369" s="51"/>
      <c r="Z369" s="51"/>
      <c r="AA369" s="52"/>
    </row>
    <row r="370" spans="4:27">
      <c r="D370" s="50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50"/>
      <c r="P370" s="50"/>
      <c r="Q370" s="52"/>
      <c r="W370" s="53"/>
      <c r="X370" s="53"/>
      <c r="Y370" s="51"/>
      <c r="Z370" s="51"/>
      <c r="AA370" s="52"/>
    </row>
    <row r="371" spans="4:27">
      <c r="D371" s="50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50"/>
      <c r="P371" s="50"/>
      <c r="Q371" s="52"/>
      <c r="W371" s="53"/>
      <c r="X371" s="53"/>
      <c r="Y371" s="51"/>
      <c r="Z371" s="51"/>
      <c r="AA371" s="52"/>
    </row>
    <row r="372" spans="4:27">
      <c r="D372" s="50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50"/>
      <c r="P372" s="50"/>
      <c r="Q372" s="52"/>
      <c r="W372" s="53"/>
      <c r="X372" s="53"/>
      <c r="Y372" s="51"/>
      <c r="Z372" s="51"/>
      <c r="AA372" s="52"/>
    </row>
    <row r="373" spans="4:27">
      <c r="D373" s="50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50"/>
      <c r="P373" s="50"/>
      <c r="Q373" s="52"/>
      <c r="W373" s="53"/>
      <c r="X373" s="53"/>
      <c r="Y373" s="51"/>
      <c r="Z373" s="51"/>
      <c r="AA373" s="52"/>
    </row>
    <row r="374" spans="4:27">
      <c r="D374" s="50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50"/>
      <c r="P374" s="50"/>
      <c r="Q374" s="52"/>
      <c r="W374" s="53"/>
      <c r="X374" s="53"/>
      <c r="Y374" s="51"/>
      <c r="Z374" s="51"/>
      <c r="AA374" s="52"/>
    </row>
    <row r="375" spans="4:27">
      <c r="D375" s="50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50"/>
      <c r="P375" s="50"/>
      <c r="Q375" s="52"/>
      <c r="W375" s="53"/>
      <c r="X375" s="53"/>
      <c r="Y375" s="51"/>
      <c r="Z375" s="51"/>
      <c r="AA375" s="52"/>
    </row>
    <row r="376" spans="4:27">
      <c r="D376" s="50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50"/>
      <c r="P376" s="50"/>
      <c r="Q376" s="52"/>
      <c r="W376" s="53"/>
      <c r="X376" s="53"/>
      <c r="Y376" s="51"/>
      <c r="Z376" s="51"/>
      <c r="AA376" s="52"/>
    </row>
    <row r="377" spans="4:27">
      <c r="D377" s="50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50"/>
      <c r="P377" s="50"/>
      <c r="Q377" s="52"/>
      <c r="W377" s="53"/>
      <c r="X377" s="53"/>
      <c r="Y377" s="51"/>
      <c r="Z377" s="51"/>
      <c r="AA377" s="52"/>
    </row>
    <row r="378" spans="4:27">
      <c r="D378" s="50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50"/>
      <c r="P378" s="50"/>
      <c r="Q378" s="52"/>
      <c r="W378" s="53"/>
      <c r="X378" s="53"/>
      <c r="Y378" s="51"/>
      <c r="Z378" s="51"/>
      <c r="AA378" s="52"/>
    </row>
    <row r="379" spans="4:27">
      <c r="D379" s="50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50"/>
      <c r="P379" s="50"/>
      <c r="Q379" s="52"/>
      <c r="W379" s="53"/>
      <c r="X379" s="53"/>
      <c r="Y379" s="51"/>
      <c r="Z379" s="51"/>
      <c r="AA379" s="52"/>
    </row>
    <row r="380" spans="4:27">
      <c r="D380" s="50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50"/>
      <c r="P380" s="50"/>
      <c r="Q380" s="52"/>
      <c r="W380" s="53"/>
      <c r="X380" s="53"/>
      <c r="Y380" s="51"/>
      <c r="Z380" s="51"/>
      <c r="AA380" s="52"/>
    </row>
    <row r="381" spans="4:27">
      <c r="D381" s="50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50"/>
      <c r="P381" s="50"/>
      <c r="Q381" s="52"/>
      <c r="W381" s="53"/>
      <c r="X381" s="53"/>
      <c r="Y381" s="51"/>
      <c r="Z381" s="51"/>
      <c r="AA381" s="52"/>
    </row>
    <row r="382" spans="4:27">
      <c r="D382" s="50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50"/>
      <c r="P382" s="50"/>
      <c r="Q382" s="52"/>
      <c r="W382" s="53"/>
      <c r="X382" s="53"/>
      <c r="Y382" s="51"/>
      <c r="Z382" s="51"/>
      <c r="AA382" s="52"/>
    </row>
    <row r="383" spans="4:27">
      <c r="D383" s="50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50"/>
      <c r="P383" s="50"/>
      <c r="Q383" s="52"/>
      <c r="W383" s="53"/>
      <c r="X383" s="53"/>
      <c r="Y383" s="51"/>
      <c r="Z383" s="51"/>
      <c r="AA383" s="52"/>
    </row>
    <row r="384" spans="4:27">
      <c r="D384" s="50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50"/>
      <c r="P384" s="50"/>
      <c r="Q384" s="52"/>
      <c r="W384" s="53"/>
      <c r="X384" s="53"/>
      <c r="Y384" s="51"/>
      <c r="Z384" s="51"/>
      <c r="AA384" s="52"/>
    </row>
    <row r="385" spans="4:27">
      <c r="D385" s="50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50"/>
      <c r="P385" s="50"/>
      <c r="Q385" s="52"/>
      <c r="W385" s="53"/>
      <c r="X385" s="53"/>
      <c r="Y385" s="51"/>
      <c r="Z385" s="51"/>
      <c r="AA385" s="52"/>
    </row>
    <row r="386" spans="4:27">
      <c r="D386" s="50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50"/>
      <c r="P386" s="50"/>
      <c r="Q386" s="52"/>
      <c r="W386" s="53"/>
      <c r="X386" s="53"/>
      <c r="Y386" s="51"/>
      <c r="Z386" s="51"/>
      <c r="AA386" s="52"/>
    </row>
    <row r="387" spans="4:27">
      <c r="D387" s="50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50"/>
      <c r="P387" s="50"/>
      <c r="Q387" s="52"/>
      <c r="W387" s="53"/>
      <c r="X387" s="53"/>
      <c r="Y387" s="51"/>
      <c r="Z387" s="51"/>
      <c r="AA387" s="52"/>
    </row>
    <row r="388" spans="4:27">
      <c r="D388" s="50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50"/>
      <c r="P388" s="50"/>
      <c r="Q388" s="52"/>
      <c r="W388" s="53"/>
      <c r="X388" s="53"/>
      <c r="Y388" s="51"/>
      <c r="Z388" s="51"/>
      <c r="AA388" s="52"/>
    </row>
    <row r="389" spans="4:27">
      <c r="D389" s="50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50"/>
      <c r="P389" s="50"/>
      <c r="Q389" s="52"/>
      <c r="W389" s="53"/>
      <c r="X389" s="53"/>
      <c r="Y389" s="51"/>
      <c r="Z389" s="51"/>
      <c r="AA389" s="52"/>
    </row>
    <row r="390" spans="4:27">
      <c r="D390" s="50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50"/>
      <c r="P390" s="50"/>
      <c r="Q390" s="52"/>
      <c r="W390" s="53"/>
      <c r="X390" s="53"/>
      <c r="Y390" s="51"/>
      <c r="Z390" s="51"/>
      <c r="AA390" s="52"/>
    </row>
    <row r="391" spans="4:27">
      <c r="D391" s="50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50"/>
      <c r="P391" s="50"/>
      <c r="Q391" s="52"/>
      <c r="W391" s="53"/>
      <c r="X391" s="53"/>
      <c r="Y391" s="51"/>
      <c r="Z391" s="51"/>
      <c r="AA391" s="52"/>
    </row>
    <row r="392" spans="4:27">
      <c r="D392" s="50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50"/>
      <c r="P392" s="50"/>
      <c r="Q392" s="52"/>
      <c r="W392" s="53"/>
      <c r="X392" s="53"/>
      <c r="Y392" s="51"/>
      <c r="Z392" s="51"/>
      <c r="AA392" s="52"/>
    </row>
    <row r="393" spans="4:27">
      <c r="D393" s="50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50"/>
      <c r="P393" s="50"/>
      <c r="Q393" s="52"/>
      <c r="W393" s="53"/>
      <c r="X393" s="53"/>
      <c r="Y393" s="51"/>
      <c r="Z393" s="51"/>
      <c r="AA393" s="52"/>
    </row>
    <row r="394" spans="4:27">
      <c r="D394" s="50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50"/>
      <c r="P394" s="50"/>
      <c r="Q394" s="52"/>
      <c r="W394" s="53"/>
      <c r="X394" s="53"/>
      <c r="Y394" s="51"/>
      <c r="Z394" s="51"/>
      <c r="AA394" s="52"/>
    </row>
    <row r="395" spans="4:27">
      <c r="D395" s="50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50"/>
      <c r="P395" s="50"/>
      <c r="Q395" s="52"/>
      <c r="W395" s="53"/>
      <c r="X395" s="53"/>
      <c r="Y395" s="51"/>
      <c r="Z395" s="51"/>
      <c r="AA395" s="52"/>
    </row>
    <row r="396" spans="4:27">
      <c r="D396" s="50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50"/>
      <c r="P396" s="50"/>
      <c r="Q396" s="52"/>
      <c r="W396" s="53"/>
      <c r="X396" s="53"/>
      <c r="Y396" s="51"/>
      <c r="Z396" s="51"/>
      <c r="AA396" s="52"/>
    </row>
    <row r="397" spans="4:27">
      <c r="D397" s="50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50"/>
      <c r="P397" s="50"/>
      <c r="Q397" s="52"/>
      <c r="W397" s="53"/>
      <c r="X397" s="53"/>
      <c r="Y397" s="51"/>
      <c r="Z397" s="51"/>
      <c r="AA397" s="52"/>
    </row>
    <row r="398" spans="4:27">
      <c r="D398" s="50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50"/>
      <c r="P398" s="50"/>
      <c r="Q398" s="52"/>
      <c r="W398" s="53"/>
      <c r="X398" s="53"/>
      <c r="Y398" s="51"/>
      <c r="Z398" s="51"/>
      <c r="AA398" s="52"/>
    </row>
    <row r="399" spans="4:27">
      <c r="D399" s="50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50"/>
      <c r="P399" s="50"/>
      <c r="Q399" s="52"/>
      <c r="W399" s="53"/>
      <c r="X399" s="53"/>
      <c r="Y399" s="51"/>
      <c r="Z399" s="51"/>
      <c r="AA399" s="52"/>
    </row>
    <row r="400" spans="4:27">
      <c r="D400" s="50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50"/>
      <c r="P400" s="50"/>
      <c r="Q400" s="52"/>
      <c r="W400" s="53"/>
      <c r="X400" s="53"/>
      <c r="Y400" s="51"/>
      <c r="Z400" s="51"/>
      <c r="AA400" s="52"/>
    </row>
    <row r="401" spans="4:27">
      <c r="D401" s="50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50"/>
      <c r="P401" s="50"/>
      <c r="Q401" s="52"/>
      <c r="W401" s="53"/>
      <c r="X401" s="53"/>
      <c r="Y401" s="51"/>
      <c r="Z401" s="51"/>
      <c r="AA401" s="52"/>
    </row>
    <row r="402" spans="4:27">
      <c r="D402" s="50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50"/>
      <c r="P402" s="50"/>
      <c r="Q402" s="52"/>
      <c r="W402" s="53"/>
      <c r="X402" s="53"/>
      <c r="Y402" s="51"/>
      <c r="Z402" s="51"/>
      <c r="AA402" s="52"/>
    </row>
    <row r="403" spans="4:27">
      <c r="D403" s="50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50"/>
      <c r="P403" s="50"/>
      <c r="Q403" s="52"/>
      <c r="W403" s="53"/>
      <c r="X403" s="53"/>
      <c r="Y403" s="51"/>
      <c r="Z403" s="51"/>
      <c r="AA403" s="52"/>
    </row>
    <row r="404" spans="4:27">
      <c r="D404" s="50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50"/>
      <c r="P404" s="50"/>
      <c r="Q404" s="52"/>
      <c r="W404" s="53"/>
      <c r="X404" s="53"/>
      <c r="Y404" s="51"/>
      <c r="Z404" s="51"/>
      <c r="AA404" s="52"/>
    </row>
    <row r="405" spans="4:27">
      <c r="D405" s="50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50"/>
      <c r="P405" s="50"/>
      <c r="Q405" s="52"/>
      <c r="W405" s="53"/>
      <c r="X405" s="53"/>
      <c r="Y405" s="51"/>
      <c r="Z405" s="51"/>
      <c r="AA405" s="52"/>
    </row>
    <row r="406" spans="4:27">
      <c r="D406" s="50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50"/>
      <c r="P406" s="50"/>
      <c r="Q406" s="52"/>
      <c r="W406" s="53"/>
      <c r="X406" s="53"/>
      <c r="Y406" s="51"/>
      <c r="Z406" s="51"/>
      <c r="AA406" s="52"/>
    </row>
    <row r="407" spans="4:27">
      <c r="D407" s="50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50"/>
      <c r="P407" s="50"/>
      <c r="Q407" s="52"/>
      <c r="W407" s="53"/>
      <c r="X407" s="53"/>
      <c r="Y407" s="51"/>
      <c r="Z407" s="51"/>
      <c r="AA407" s="52"/>
    </row>
    <row r="408" spans="4:27">
      <c r="D408" s="50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50"/>
      <c r="P408" s="50"/>
      <c r="Q408" s="52"/>
      <c r="W408" s="53"/>
      <c r="X408" s="53"/>
      <c r="Y408" s="51"/>
      <c r="Z408" s="51"/>
      <c r="AA408" s="52"/>
    </row>
    <row r="409" spans="4:27">
      <c r="D409" s="50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50"/>
      <c r="P409" s="50"/>
      <c r="Q409" s="52"/>
      <c r="W409" s="53"/>
      <c r="X409" s="53"/>
      <c r="Y409" s="51"/>
      <c r="Z409" s="51"/>
      <c r="AA409" s="52"/>
    </row>
    <row r="410" spans="4:27">
      <c r="D410" s="50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50"/>
      <c r="P410" s="50"/>
      <c r="Q410" s="52"/>
      <c r="W410" s="53"/>
      <c r="X410" s="53"/>
      <c r="Y410" s="51"/>
      <c r="Z410" s="51"/>
      <c r="AA410" s="52"/>
    </row>
    <row r="411" spans="4:27">
      <c r="D411" s="50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50"/>
      <c r="P411" s="50"/>
      <c r="Q411" s="52"/>
      <c r="W411" s="53"/>
      <c r="X411" s="53"/>
      <c r="Y411" s="51"/>
      <c r="Z411" s="51"/>
      <c r="AA411" s="52"/>
    </row>
    <row r="412" spans="4:27">
      <c r="D412" s="50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50"/>
      <c r="P412" s="50"/>
      <c r="Q412" s="52"/>
      <c r="W412" s="53"/>
      <c r="X412" s="53"/>
      <c r="Y412" s="51"/>
      <c r="Z412" s="51"/>
      <c r="AA412" s="52"/>
    </row>
    <row r="413" spans="4:27">
      <c r="D413" s="50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50"/>
      <c r="P413" s="50"/>
      <c r="Q413" s="52"/>
      <c r="W413" s="53"/>
      <c r="X413" s="53"/>
      <c r="Y413" s="51"/>
      <c r="Z413" s="51"/>
      <c r="AA413" s="52"/>
    </row>
    <row r="414" spans="4:27">
      <c r="D414" s="50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50"/>
      <c r="P414" s="50"/>
      <c r="Q414" s="52"/>
      <c r="W414" s="53"/>
      <c r="X414" s="53"/>
      <c r="Y414" s="51"/>
      <c r="Z414" s="51"/>
      <c r="AA414" s="52"/>
    </row>
    <row r="415" spans="4:27">
      <c r="D415" s="50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50"/>
      <c r="P415" s="50"/>
      <c r="Q415" s="52"/>
      <c r="W415" s="53"/>
      <c r="X415" s="53"/>
      <c r="Y415" s="51"/>
      <c r="Z415" s="51"/>
      <c r="AA415" s="52"/>
    </row>
    <row r="416" spans="4:27">
      <c r="D416" s="50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50"/>
      <c r="P416" s="50"/>
      <c r="Q416" s="52"/>
      <c r="W416" s="53"/>
      <c r="X416" s="53"/>
      <c r="Y416" s="51"/>
      <c r="Z416" s="51"/>
      <c r="AA416" s="52"/>
    </row>
    <row r="417" spans="4:27">
      <c r="D417" s="50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50"/>
      <c r="P417" s="50"/>
      <c r="Q417" s="52"/>
      <c r="W417" s="53"/>
      <c r="X417" s="53"/>
      <c r="Y417" s="51"/>
      <c r="Z417" s="51"/>
      <c r="AA417" s="52"/>
    </row>
    <row r="418" spans="4:27">
      <c r="D418" s="50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50"/>
      <c r="P418" s="50"/>
      <c r="Q418" s="52"/>
      <c r="W418" s="53"/>
      <c r="X418" s="53"/>
      <c r="Y418" s="51"/>
      <c r="Z418" s="51"/>
      <c r="AA418" s="52"/>
    </row>
    <row r="419" spans="4:27">
      <c r="D419" s="50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50"/>
      <c r="P419" s="50"/>
      <c r="Q419" s="52"/>
      <c r="W419" s="53"/>
      <c r="X419" s="53"/>
      <c r="Y419" s="51"/>
      <c r="Z419" s="51"/>
      <c r="AA419" s="52"/>
    </row>
    <row r="420" spans="4:27">
      <c r="D420" s="50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50"/>
      <c r="P420" s="50"/>
      <c r="Q420" s="52"/>
      <c r="W420" s="53"/>
      <c r="X420" s="53"/>
      <c r="Y420" s="51"/>
      <c r="Z420" s="51"/>
      <c r="AA420" s="52"/>
    </row>
    <row r="421" spans="4:27">
      <c r="D421" s="50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50"/>
      <c r="P421" s="50"/>
      <c r="Q421" s="52"/>
      <c r="W421" s="53"/>
      <c r="X421" s="53"/>
      <c r="Y421" s="51"/>
      <c r="Z421" s="51"/>
      <c r="AA421" s="52"/>
    </row>
    <row r="422" spans="4:27">
      <c r="D422" s="50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50"/>
      <c r="P422" s="50"/>
      <c r="Q422" s="52"/>
      <c r="W422" s="53"/>
      <c r="X422" s="53"/>
      <c r="Y422" s="51"/>
      <c r="Z422" s="51"/>
      <c r="AA422" s="52"/>
    </row>
    <row r="423" spans="4:27">
      <c r="D423" s="50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50"/>
      <c r="P423" s="50"/>
      <c r="Q423" s="52"/>
      <c r="W423" s="53"/>
      <c r="X423" s="53"/>
      <c r="Y423" s="51"/>
      <c r="Z423" s="51"/>
      <c r="AA423" s="52"/>
    </row>
    <row r="424" spans="4:27">
      <c r="D424" s="50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50"/>
      <c r="P424" s="50"/>
      <c r="Q424" s="52"/>
      <c r="W424" s="53"/>
      <c r="X424" s="53"/>
      <c r="Y424" s="51"/>
      <c r="Z424" s="51"/>
      <c r="AA424" s="52"/>
    </row>
    <row r="425" spans="4:27">
      <c r="D425" s="50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50"/>
      <c r="P425" s="50"/>
      <c r="Q425" s="52"/>
      <c r="W425" s="53"/>
      <c r="X425" s="53"/>
      <c r="Y425" s="51"/>
      <c r="Z425" s="51"/>
      <c r="AA425" s="52"/>
    </row>
    <row r="426" spans="4:27">
      <c r="D426" s="50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50"/>
      <c r="P426" s="50"/>
      <c r="Q426" s="52"/>
      <c r="W426" s="53"/>
      <c r="X426" s="53"/>
      <c r="Y426" s="51"/>
      <c r="Z426" s="51"/>
      <c r="AA426" s="52"/>
    </row>
    <row r="427" spans="4:27">
      <c r="D427" s="50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50"/>
      <c r="P427" s="50"/>
      <c r="Q427" s="52"/>
      <c r="W427" s="53"/>
      <c r="X427" s="53"/>
      <c r="Y427" s="51"/>
      <c r="Z427" s="51"/>
      <c r="AA427" s="52"/>
    </row>
    <row r="428" spans="4:27">
      <c r="D428" s="50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50"/>
      <c r="P428" s="50"/>
      <c r="Q428" s="52"/>
      <c r="W428" s="53"/>
      <c r="X428" s="53"/>
      <c r="Y428" s="51"/>
      <c r="Z428" s="51"/>
      <c r="AA428" s="52"/>
    </row>
    <row r="429" spans="4:27">
      <c r="D429" s="50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50"/>
      <c r="P429" s="50"/>
      <c r="Q429" s="52"/>
      <c r="W429" s="53"/>
      <c r="X429" s="53"/>
      <c r="Y429" s="51"/>
      <c r="Z429" s="51"/>
      <c r="AA429" s="52"/>
    </row>
    <row r="430" spans="4:27">
      <c r="D430" s="50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50"/>
      <c r="P430" s="50"/>
      <c r="Q430" s="52"/>
      <c r="W430" s="53"/>
      <c r="X430" s="53"/>
      <c r="Y430" s="51"/>
      <c r="Z430" s="51"/>
      <c r="AA430" s="52"/>
    </row>
    <row r="431" spans="4:27">
      <c r="D431" s="50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50"/>
      <c r="P431" s="50"/>
      <c r="Q431" s="52"/>
      <c r="W431" s="53"/>
      <c r="X431" s="53"/>
      <c r="Y431" s="51"/>
      <c r="Z431" s="51"/>
      <c r="AA431" s="52"/>
    </row>
    <row r="432" spans="4:27">
      <c r="D432" s="50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50"/>
      <c r="P432" s="50"/>
      <c r="Q432" s="52"/>
      <c r="W432" s="53"/>
      <c r="X432" s="53"/>
      <c r="Y432" s="51"/>
      <c r="Z432" s="51"/>
      <c r="AA432" s="52"/>
    </row>
    <row r="433" spans="4:27">
      <c r="D433" s="50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50"/>
      <c r="P433" s="50"/>
      <c r="Q433" s="52"/>
      <c r="W433" s="53"/>
      <c r="X433" s="53"/>
      <c r="Y433" s="51"/>
      <c r="Z433" s="51"/>
      <c r="AA433" s="52"/>
    </row>
    <row r="434" spans="4:27">
      <c r="D434" s="50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50"/>
      <c r="P434" s="50"/>
      <c r="Q434" s="52"/>
      <c r="W434" s="53"/>
      <c r="X434" s="53"/>
      <c r="Y434" s="51"/>
      <c r="Z434" s="51"/>
      <c r="AA434" s="52"/>
    </row>
    <row r="435" spans="4:27">
      <c r="D435" s="50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50"/>
      <c r="P435" s="50"/>
      <c r="Q435" s="52"/>
      <c r="W435" s="53"/>
      <c r="X435" s="53"/>
      <c r="Y435" s="51"/>
      <c r="Z435" s="51"/>
      <c r="AA435" s="52"/>
    </row>
    <row r="436" spans="4:27">
      <c r="D436" s="50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50"/>
      <c r="P436" s="50"/>
      <c r="Q436" s="52"/>
      <c r="W436" s="53"/>
      <c r="X436" s="53"/>
      <c r="Y436" s="51"/>
      <c r="Z436" s="51"/>
      <c r="AA436" s="52"/>
    </row>
    <row r="437" spans="4:27">
      <c r="D437" s="50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50"/>
      <c r="P437" s="50"/>
      <c r="Q437" s="52"/>
      <c r="W437" s="53"/>
      <c r="X437" s="53"/>
      <c r="Y437" s="51"/>
      <c r="Z437" s="51"/>
      <c r="AA437" s="52"/>
    </row>
    <row r="438" spans="4:27">
      <c r="D438" s="50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50"/>
      <c r="P438" s="50"/>
      <c r="Q438" s="52"/>
      <c r="W438" s="53"/>
      <c r="X438" s="53"/>
      <c r="Y438" s="51"/>
      <c r="Z438" s="51"/>
      <c r="AA438" s="52"/>
    </row>
    <row r="439" spans="4:27">
      <c r="D439" s="50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50"/>
      <c r="P439" s="50"/>
      <c r="Q439" s="52"/>
      <c r="W439" s="53"/>
      <c r="X439" s="53"/>
      <c r="Y439" s="51"/>
      <c r="Z439" s="51"/>
      <c r="AA439" s="52"/>
    </row>
    <row r="440" spans="4:27">
      <c r="D440" s="50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50"/>
      <c r="P440" s="50"/>
      <c r="Q440" s="52"/>
      <c r="W440" s="53"/>
      <c r="X440" s="53"/>
      <c r="Y440" s="51"/>
      <c r="Z440" s="51"/>
      <c r="AA440" s="52"/>
    </row>
    <row r="441" spans="4:27">
      <c r="D441" s="50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50"/>
      <c r="P441" s="50"/>
      <c r="Q441" s="52"/>
      <c r="W441" s="53"/>
      <c r="X441" s="53"/>
      <c r="Y441" s="51"/>
      <c r="Z441" s="51"/>
      <c r="AA441" s="52"/>
    </row>
    <row r="442" spans="4:27">
      <c r="D442" s="50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50"/>
      <c r="P442" s="50"/>
      <c r="Q442" s="52"/>
      <c r="W442" s="53"/>
      <c r="X442" s="53"/>
      <c r="Y442" s="51"/>
      <c r="Z442" s="51"/>
      <c r="AA442" s="52"/>
    </row>
    <row r="443" spans="4:27">
      <c r="D443" s="50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50"/>
      <c r="P443" s="50"/>
      <c r="Q443" s="52"/>
      <c r="W443" s="53"/>
      <c r="X443" s="53"/>
      <c r="Y443" s="51"/>
      <c r="Z443" s="51"/>
      <c r="AA443" s="52"/>
    </row>
    <row r="444" spans="4:27">
      <c r="D444" s="50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50"/>
      <c r="P444" s="50"/>
      <c r="Q444" s="52"/>
      <c r="W444" s="53"/>
      <c r="X444" s="53"/>
      <c r="Y444" s="51"/>
      <c r="Z444" s="51"/>
      <c r="AA444" s="52"/>
    </row>
    <row r="445" spans="4:27">
      <c r="D445" s="50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50"/>
      <c r="P445" s="50"/>
      <c r="Q445" s="52"/>
      <c r="W445" s="53"/>
      <c r="X445" s="53"/>
      <c r="Y445" s="51"/>
      <c r="Z445" s="51"/>
      <c r="AA445" s="52"/>
    </row>
    <row r="446" spans="4:27">
      <c r="D446" s="50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50"/>
      <c r="P446" s="50"/>
      <c r="Q446" s="52"/>
      <c r="W446" s="53"/>
      <c r="X446" s="53"/>
      <c r="Y446" s="51"/>
      <c r="Z446" s="51"/>
      <c r="AA446" s="52"/>
    </row>
    <row r="447" spans="4:27">
      <c r="D447" s="50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50"/>
      <c r="P447" s="50"/>
      <c r="Q447" s="52"/>
      <c r="W447" s="53"/>
      <c r="X447" s="53"/>
      <c r="Y447" s="51"/>
      <c r="Z447" s="51"/>
      <c r="AA447" s="52"/>
    </row>
    <row r="448" spans="4:27">
      <c r="D448" s="50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50"/>
      <c r="P448" s="50"/>
      <c r="Q448" s="52"/>
      <c r="W448" s="53"/>
      <c r="X448" s="53"/>
      <c r="Y448" s="51"/>
      <c r="Z448" s="51"/>
      <c r="AA448" s="52"/>
    </row>
    <row r="449" spans="4:27">
      <c r="D449" s="50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50"/>
      <c r="P449" s="50"/>
      <c r="Q449" s="52"/>
      <c r="W449" s="53"/>
      <c r="X449" s="53"/>
      <c r="Y449" s="51"/>
      <c r="Z449" s="51"/>
      <c r="AA449" s="52"/>
    </row>
    <row r="450" spans="4:27">
      <c r="D450" s="50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50"/>
      <c r="P450" s="50"/>
      <c r="Q450" s="52"/>
      <c r="W450" s="53"/>
      <c r="X450" s="53"/>
      <c r="Y450" s="51"/>
      <c r="Z450" s="51"/>
      <c r="AA450" s="52"/>
    </row>
    <row r="451" spans="4:27">
      <c r="D451" s="50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50"/>
      <c r="P451" s="50"/>
      <c r="Q451" s="52"/>
      <c r="W451" s="53"/>
      <c r="X451" s="53"/>
      <c r="Y451" s="51"/>
      <c r="Z451" s="51"/>
      <c r="AA451" s="52"/>
    </row>
    <row r="452" spans="4:27">
      <c r="D452" s="50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50"/>
      <c r="P452" s="50"/>
      <c r="Q452" s="52"/>
      <c r="W452" s="53"/>
      <c r="X452" s="53"/>
      <c r="Y452" s="51"/>
      <c r="Z452" s="51"/>
      <c r="AA452" s="52"/>
    </row>
    <row r="453" spans="4:27">
      <c r="D453" s="50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50"/>
      <c r="P453" s="50"/>
      <c r="Q453" s="52"/>
      <c r="W453" s="53"/>
      <c r="X453" s="53"/>
      <c r="Y453" s="51"/>
      <c r="Z453" s="51"/>
      <c r="AA453" s="52"/>
    </row>
    <row r="454" spans="4:27">
      <c r="D454" s="50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50"/>
      <c r="P454" s="50"/>
      <c r="Q454" s="52"/>
      <c r="W454" s="53"/>
      <c r="X454" s="53"/>
      <c r="Y454" s="51"/>
      <c r="Z454" s="51"/>
      <c r="AA454" s="52"/>
    </row>
    <row r="455" spans="4:27">
      <c r="D455" s="50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50"/>
      <c r="P455" s="50"/>
      <c r="Q455" s="52"/>
      <c r="W455" s="53"/>
      <c r="X455" s="53"/>
      <c r="Y455" s="51"/>
      <c r="Z455" s="51"/>
      <c r="AA455" s="52"/>
    </row>
    <row r="456" spans="4:27">
      <c r="D456" s="50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50"/>
      <c r="P456" s="50"/>
      <c r="Q456" s="52"/>
      <c r="W456" s="53"/>
      <c r="X456" s="53"/>
      <c r="Y456" s="51"/>
      <c r="Z456" s="51"/>
      <c r="AA456" s="52"/>
    </row>
    <row r="457" spans="4:27">
      <c r="D457" s="50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50"/>
      <c r="P457" s="50"/>
      <c r="Q457" s="52"/>
      <c r="W457" s="53"/>
      <c r="X457" s="53"/>
      <c r="Y457" s="51"/>
      <c r="Z457" s="51"/>
      <c r="AA457" s="52"/>
    </row>
    <row r="458" spans="4:27">
      <c r="D458" s="50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50"/>
      <c r="P458" s="50"/>
      <c r="Q458" s="52"/>
      <c r="W458" s="53"/>
      <c r="X458" s="53"/>
      <c r="Y458" s="51"/>
      <c r="Z458" s="51"/>
      <c r="AA458" s="52"/>
    </row>
    <row r="459" spans="4:27">
      <c r="D459" s="50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50"/>
      <c r="P459" s="50"/>
      <c r="Q459" s="52"/>
      <c r="W459" s="53"/>
      <c r="X459" s="53"/>
      <c r="Y459" s="51"/>
      <c r="Z459" s="51"/>
      <c r="AA459" s="52"/>
    </row>
    <row r="460" spans="4:27">
      <c r="D460" s="50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50"/>
      <c r="P460" s="50"/>
      <c r="Q460" s="52"/>
      <c r="W460" s="53"/>
      <c r="X460" s="53"/>
      <c r="Y460" s="51"/>
      <c r="Z460" s="51"/>
      <c r="AA460" s="52"/>
    </row>
    <row r="461" spans="4:27">
      <c r="D461" s="50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50"/>
      <c r="P461" s="50"/>
      <c r="Q461" s="52"/>
      <c r="W461" s="53"/>
      <c r="X461" s="53"/>
      <c r="Y461" s="51"/>
      <c r="Z461" s="51"/>
      <c r="AA461" s="52"/>
    </row>
    <row r="462" spans="4:27">
      <c r="D462" s="50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50"/>
      <c r="P462" s="50"/>
      <c r="Q462" s="52"/>
      <c r="W462" s="53"/>
      <c r="X462" s="53"/>
      <c r="Y462" s="51"/>
      <c r="Z462" s="51"/>
      <c r="AA462" s="52"/>
    </row>
    <row r="463" spans="4:27">
      <c r="D463" s="50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50"/>
      <c r="P463" s="50"/>
      <c r="Q463" s="52"/>
      <c r="W463" s="53"/>
      <c r="X463" s="53"/>
      <c r="Y463" s="51"/>
      <c r="Z463" s="51"/>
      <c r="AA463" s="52"/>
    </row>
    <row r="464" spans="4:27">
      <c r="D464" s="50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50"/>
      <c r="P464" s="50"/>
      <c r="Q464" s="52"/>
      <c r="W464" s="53"/>
      <c r="X464" s="53"/>
      <c r="Y464" s="51"/>
      <c r="Z464" s="51"/>
      <c r="AA464" s="52"/>
    </row>
    <row r="465" spans="4:27">
      <c r="D465" s="50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50"/>
      <c r="P465" s="50"/>
      <c r="Q465" s="52"/>
      <c r="W465" s="53"/>
      <c r="X465" s="53"/>
      <c r="Y465" s="51"/>
      <c r="Z465" s="51"/>
      <c r="AA465" s="52"/>
    </row>
    <row r="466" spans="4:27">
      <c r="D466" s="50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50"/>
      <c r="P466" s="50"/>
      <c r="Q466" s="52"/>
      <c r="W466" s="53"/>
      <c r="X466" s="53"/>
      <c r="Y466" s="51"/>
      <c r="Z466" s="51"/>
      <c r="AA466" s="52"/>
    </row>
    <row r="467" spans="4:27">
      <c r="D467" s="50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50"/>
      <c r="P467" s="50"/>
      <c r="Q467" s="52"/>
      <c r="W467" s="53"/>
      <c r="X467" s="53"/>
      <c r="Y467" s="51"/>
      <c r="Z467" s="51"/>
      <c r="AA467" s="52"/>
    </row>
    <row r="468" spans="4:27">
      <c r="D468" s="50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50"/>
      <c r="P468" s="50"/>
      <c r="Q468" s="52"/>
      <c r="W468" s="53"/>
      <c r="X468" s="53"/>
      <c r="Y468" s="51"/>
      <c r="Z468" s="51"/>
      <c r="AA468" s="52"/>
    </row>
    <row r="469" spans="4:27">
      <c r="D469" s="50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50"/>
      <c r="P469" s="50"/>
      <c r="Q469" s="52"/>
      <c r="W469" s="53"/>
      <c r="X469" s="53"/>
      <c r="Y469" s="51"/>
      <c r="Z469" s="51"/>
      <c r="AA469" s="52"/>
    </row>
    <row r="470" spans="4:27">
      <c r="D470" s="50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50"/>
      <c r="P470" s="50"/>
      <c r="Q470" s="52"/>
      <c r="W470" s="53"/>
      <c r="X470" s="53"/>
      <c r="Y470" s="51"/>
      <c r="Z470" s="51"/>
      <c r="AA470" s="52"/>
    </row>
    <row r="471" spans="4:27">
      <c r="D471" s="50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50"/>
      <c r="P471" s="50"/>
      <c r="Q471" s="52"/>
      <c r="W471" s="53"/>
      <c r="X471" s="53"/>
      <c r="Y471" s="51"/>
      <c r="Z471" s="51"/>
      <c r="AA471" s="52"/>
    </row>
    <row r="472" spans="4:27">
      <c r="D472" s="50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50"/>
      <c r="P472" s="50"/>
      <c r="Q472" s="52"/>
      <c r="W472" s="53"/>
      <c r="X472" s="53"/>
      <c r="Y472" s="51"/>
      <c r="Z472" s="51"/>
      <c r="AA472" s="52"/>
    </row>
    <row r="473" spans="4:27">
      <c r="D473" s="50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50"/>
      <c r="P473" s="50"/>
      <c r="Q473" s="52"/>
      <c r="W473" s="53"/>
      <c r="X473" s="53"/>
      <c r="Y473" s="51"/>
      <c r="Z473" s="51"/>
      <c r="AA473" s="52"/>
    </row>
    <row r="474" spans="4:27">
      <c r="D474" s="50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50"/>
      <c r="P474" s="50"/>
      <c r="Q474" s="52"/>
      <c r="W474" s="53"/>
      <c r="X474" s="53"/>
      <c r="Y474" s="51"/>
      <c r="Z474" s="51"/>
      <c r="AA474" s="52"/>
    </row>
    <row r="475" spans="4:27">
      <c r="D475" s="50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50"/>
      <c r="P475" s="50"/>
      <c r="Q475" s="52"/>
      <c r="W475" s="53"/>
      <c r="X475" s="53"/>
      <c r="Y475" s="51"/>
      <c r="Z475" s="51"/>
      <c r="AA475" s="52"/>
    </row>
    <row r="476" spans="4:27">
      <c r="D476" s="50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50"/>
      <c r="P476" s="50"/>
      <c r="Q476" s="52"/>
      <c r="W476" s="53"/>
      <c r="X476" s="53"/>
      <c r="Y476" s="51"/>
      <c r="Z476" s="51"/>
      <c r="AA476" s="52"/>
    </row>
    <row r="477" spans="4:27">
      <c r="D477" s="50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50"/>
      <c r="P477" s="50"/>
      <c r="Q477" s="52"/>
      <c r="W477" s="53"/>
      <c r="X477" s="53"/>
      <c r="Y477" s="51"/>
      <c r="Z477" s="51"/>
      <c r="AA477" s="52"/>
    </row>
    <row r="478" spans="4:27">
      <c r="D478" s="50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50"/>
      <c r="P478" s="50"/>
      <c r="Q478" s="52"/>
      <c r="W478" s="53"/>
      <c r="X478" s="53"/>
      <c r="Y478" s="51"/>
      <c r="Z478" s="51"/>
      <c r="AA478" s="52"/>
    </row>
    <row r="479" spans="4:27">
      <c r="D479" s="50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50"/>
      <c r="P479" s="50"/>
      <c r="Q479" s="52"/>
      <c r="W479" s="53"/>
      <c r="X479" s="53"/>
      <c r="Y479" s="51"/>
      <c r="Z479" s="51"/>
      <c r="AA479" s="52"/>
    </row>
    <row r="480" spans="4:27">
      <c r="D480" s="50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50"/>
      <c r="P480" s="50"/>
      <c r="Q480" s="52"/>
      <c r="W480" s="53"/>
      <c r="X480" s="53"/>
      <c r="Y480" s="51"/>
      <c r="Z480" s="51"/>
      <c r="AA480" s="52"/>
    </row>
    <row r="481" spans="4:27">
      <c r="D481" s="50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50"/>
      <c r="P481" s="50"/>
      <c r="Q481" s="52"/>
      <c r="W481" s="53"/>
      <c r="X481" s="53"/>
      <c r="Y481" s="51"/>
      <c r="Z481" s="51"/>
      <c r="AA481" s="52"/>
    </row>
    <row r="482" spans="4:27">
      <c r="D482" s="50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50"/>
      <c r="P482" s="50"/>
      <c r="Q482" s="52"/>
      <c r="W482" s="53"/>
      <c r="X482" s="53"/>
      <c r="Y482" s="51"/>
      <c r="Z482" s="51"/>
      <c r="AA482" s="52"/>
    </row>
    <row r="483" spans="4:27">
      <c r="D483" s="50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50"/>
      <c r="P483" s="50"/>
      <c r="Q483" s="52"/>
      <c r="W483" s="53"/>
      <c r="X483" s="53"/>
      <c r="Y483" s="51"/>
      <c r="Z483" s="51"/>
      <c r="AA483" s="52"/>
    </row>
    <row r="484" spans="4:27">
      <c r="D484" s="50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50"/>
      <c r="P484" s="50"/>
      <c r="Q484" s="52"/>
      <c r="W484" s="53"/>
      <c r="X484" s="53"/>
      <c r="Y484" s="51"/>
      <c r="Z484" s="51"/>
      <c r="AA484" s="52"/>
    </row>
    <row r="485" spans="4:27">
      <c r="D485" s="50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50"/>
      <c r="P485" s="50"/>
      <c r="Q485" s="52"/>
      <c r="W485" s="53"/>
      <c r="X485" s="53"/>
      <c r="Y485" s="51"/>
      <c r="Z485" s="51"/>
      <c r="AA485" s="52"/>
    </row>
    <row r="486" spans="4:27">
      <c r="D486" s="50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50"/>
      <c r="P486" s="50"/>
      <c r="Q486" s="52"/>
      <c r="W486" s="53"/>
      <c r="X486" s="53"/>
      <c r="Y486" s="51"/>
      <c r="Z486" s="51"/>
      <c r="AA486" s="52"/>
    </row>
    <row r="487" spans="4:27">
      <c r="D487" s="50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50"/>
      <c r="P487" s="50"/>
      <c r="Q487" s="52"/>
      <c r="W487" s="53"/>
      <c r="X487" s="53"/>
      <c r="Y487" s="51"/>
      <c r="Z487" s="51"/>
      <c r="AA487" s="52"/>
    </row>
    <row r="488" spans="4:27">
      <c r="D488" s="50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50"/>
      <c r="P488" s="50"/>
      <c r="Q488" s="52"/>
      <c r="W488" s="53"/>
      <c r="X488" s="53"/>
      <c r="Y488" s="51"/>
      <c r="Z488" s="51"/>
      <c r="AA488" s="52"/>
    </row>
    <row r="489" spans="4:27">
      <c r="D489" s="50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50"/>
      <c r="P489" s="50"/>
      <c r="Q489" s="52"/>
      <c r="W489" s="53"/>
      <c r="X489" s="53"/>
      <c r="Y489" s="51"/>
      <c r="Z489" s="51"/>
      <c r="AA489" s="52"/>
    </row>
    <row r="490" spans="4:27">
      <c r="D490" s="50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50"/>
      <c r="P490" s="50"/>
      <c r="Q490" s="52"/>
      <c r="W490" s="53"/>
      <c r="X490" s="53"/>
      <c r="Y490" s="51"/>
      <c r="Z490" s="51"/>
      <c r="AA490" s="52"/>
    </row>
    <row r="491" spans="4:27">
      <c r="D491" s="50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50"/>
      <c r="P491" s="50"/>
      <c r="Q491" s="52"/>
      <c r="W491" s="53"/>
      <c r="X491" s="53"/>
      <c r="Y491" s="51"/>
      <c r="Z491" s="51"/>
      <c r="AA491" s="52"/>
    </row>
    <row r="492" spans="4:27">
      <c r="D492" s="50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50"/>
      <c r="P492" s="50"/>
      <c r="Q492" s="52"/>
      <c r="W492" s="53"/>
      <c r="X492" s="53"/>
      <c r="Y492" s="51"/>
      <c r="Z492" s="51"/>
      <c r="AA492" s="52"/>
    </row>
    <row r="493" spans="4:27">
      <c r="D493" s="50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50"/>
      <c r="P493" s="50"/>
      <c r="Q493" s="52"/>
      <c r="W493" s="53"/>
      <c r="X493" s="53"/>
      <c r="Y493" s="51"/>
      <c r="Z493" s="51"/>
      <c r="AA493" s="52"/>
    </row>
    <row r="494" spans="4:27">
      <c r="D494" s="50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50"/>
      <c r="P494" s="50"/>
      <c r="Q494" s="52"/>
      <c r="W494" s="53"/>
      <c r="X494" s="53"/>
      <c r="Y494" s="51"/>
      <c r="Z494" s="51"/>
      <c r="AA494" s="52"/>
    </row>
    <row r="495" spans="4:27">
      <c r="D495" s="50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50"/>
      <c r="P495" s="50"/>
      <c r="Q495" s="52"/>
      <c r="W495" s="53"/>
      <c r="X495" s="53"/>
      <c r="Y495" s="51"/>
      <c r="Z495" s="51"/>
      <c r="AA495" s="52"/>
    </row>
    <row r="496" spans="4:27">
      <c r="D496" s="50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50"/>
      <c r="P496" s="50"/>
      <c r="Q496" s="52"/>
      <c r="W496" s="53"/>
      <c r="X496" s="53"/>
      <c r="Y496" s="51"/>
      <c r="Z496" s="51"/>
      <c r="AA496" s="52"/>
    </row>
    <row r="497" spans="4:27">
      <c r="D497" s="50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50"/>
      <c r="P497" s="50"/>
      <c r="Q497" s="52"/>
      <c r="W497" s="53"/>
      <c r="X497" s="53"/>
      <c r="Y497" s="51"/>
      <c r="Z497" s="51"/>
      <c r="AA497" s="52"/>
    </row>
    <row r="498" spans="4:27">
      <c r="D498" s="50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50"/>
      <c r="P498" s="50"/>
      <c r="Q498" s="52"/>
      <c r="W498" s="53"/>
      <c r="X498" s="53"/>
      <c r="Y498" s="51"/>
      <c r="Z498" s="51"/>
      <c r="AA498" s="52"/>
    </row>
    <row r="499" spans="4:27">
      <c r="D499" s="50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50"/>
      <c r="P499" s="50"/>
      <c r="Q499" s="52"/>
      <c r="W499" s="53"/>
      <c r="X499" s="53"/>
      <c r="Y499" s="51"/>
      <c r="Z499" s="51"/>
      <c r="AA499" s="52"/>
    </row>
    <row r="500" spans="4:27">
      <c r="D500" s="50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50"/>
      <c r="P500" s="50"/>
      <c r="Q500" s="52"/>
      <c r="W500" s="53"/>
      <c r="X500" s="53"/>
      <c r="Y500" s="51"/>
      <c r="Z500" s="51"/>
      <c r="AA500" s="52"/>
    </row>
    <row r="501" spans="4:27">
      <c r="D501" s="50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50"/>
      <c r="P501" s="50"/>
      <c r="Q501" s="52"/>
      <c r="W501" s="53"/>
      <c r="X501" s="53"/>
      <c r="Y501" s="51"/>
      <c r="Z501" s="51"/>
      <c r="AA501" s="52"/>
    </row>
    <row r="502" spans="4:27">
      <c r="D502" s="50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50"/>
      <c r="P502" s="50"/>
      <c r="Q502" s="52"/>
      <c r="W502" s="53"/>
      <c r="X502" s="53"/>
      <c r="Y502" s="51"/>
      <c r="Z502" s="51"/>
      <c r="AA502" s="52"/>
    </row>
    <row r="503" spans="4:27">
      <c r="D503" s="50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50"/>
      <c r="P503" s="50"/>
      <c r="Q503" s="52"/>
      <c r="W503" s="53"/>
      <c r="X503" s="53"/>
      <c r="Y503" s="51"/>
      <c r="Z503" s="51"/>
      <c r="AA503" s="52"/>
    </row>
    <row r="504" spans="4:27">
      <c r="D504" s="50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50"/>
      <c r="P504" s="50"/>
      <c r="Q504" s="52"/>
      <c r="W504" s="53"/>
      <c r="X504" s="53"/>
      <c r="Y504" s="51"/>
      <c r="Z504" s="51"/>
      <c r="AA504" s="52"/>
    </row>
    <row r="505" spans="4:27">
      <c r="D505" s="50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50"/>
      <c r="P505" s="50"/>
      <c r="Q505" s="52"/>
      <c r="W505" s="53"/>
      <c r="X505" s="53"/>
      <c r="Y505" s="51"/>
      <c r="Z505" s="51"/>
      <c r="AA505" s="52"/>
    </row>
    <row r="506" spans="4:27">
      <c r="D506" s="50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50"/>
      <c r="P506" s="50"/>
      <c r="Q506" s="52"/>
      <c r="W506" s="53"/>
      <c r="X506" s="53"/>
      <c r="Y506" s="51"/>
      <c r="Z506" s="51"/>
      <c r="AA506" s="52"/>
    </row>
    <row r="507" spans="4:27">
      <c r="D507" s="50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50"/>
      <c r="P507" s="50"/>
      <c r="Q507" s="52"/>
      <c r="W507" s="53"/>
      <c r="X507" s="53"/>
      <c r="Y507" s="51"/>
      <c r="Z507" s="51"/>
      <c r="AA507" s="52"/>
    </row>
    <row r="508" spans="4:27">
      <c r="D508" s="50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50"/>
      <c r="P508" s="50"/>
      <c r="Q508" s="52"/>
      <c r="W508" s="53"/>
      <c r="X508" s="53"/>
      <c r="Y508" s="51"/>
      <c r="Z508" s="51"/>
      <c r="AA508" s="52"/>
    </row>
    <row r="509" spans="4:27">
      <c r="D509" s="50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50"/>
      <c r="P509" s="50"/>
      <c r="Q509" s="52"/>
      <c r="W509" s="53"/>
      <c r="X509" s="53"/>
      <c r="Y509" s="51"/>
      <c r="Z509" s="51"/>
      <c r="AA509" s="52"/>
    </row>
    <row r="510" spans="4:27">
      <c r="D510" s="50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50"/>
      <c r="P510" s="50"/>
      <c r="Q510" s="52"/>
      <c r="W510" s="53"/>
      <c r="X510" s="53"/>
      <c r="Y510" s="51"/>
      <c r="Z510" s="51"/>
      <c r="AA510" s="52"/>
    </row>
    <row r="511" spans="4:27">
      <c r="D511" s="50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50"/>
      <c r="P511" s="50"/>
      <c r="Q511" s="52"/>
      <c r="W511" s="53"/>
      <c r="X511" s="53"/>
      <c r="Y511" s="51"/>
      <c r="Z511" s="51"/>
      <c r="AA511" s="52"/>
    </row>
    <row r="512" spans="4:27">
      <c r="D512" s="50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50"/>
      <c r="P512" s="50"/>
      <c r="Q512" s="52"/>
      <c r="W512" s="53"/>
      <c r="X512" s="53"/>
      <c r="Y512" s="51"/>
      <c r="Z512" s="51"/>
      <c r="AA512" s="52"/>
    </row>
    <row r="513" spans="4:27">
      <c r="D513" s="50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50"/>
      <c r="P513" s="50"/>
      <c r="Q513" s="52"/>
      <c r="W513" s="53"/>
      <c r="X513" s="53"/>
      <c r="Y513" s="51"/>
      <c r="Z513" s="51"/>
      <c r="AA513" s="52"/>
    </row>
    <row r="514" spans="4:27">
      <c r="D514" s="50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50"/>
      <c r="P514" s="50"/>
      <c r="Q514" s="52"/>
      <c r="W514" s="53"/>
      <c r="X514" s="53"/>
      <c r="Y514" s="51"/>
      <c r="Z514" s="51"/>
      <c r="AA514" s="52"/>
    </row>
    <row r="515" spans="4:27">
      <c r="D515" s="50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50"/>
      <c r="P515" s="50"/>
      <c r="Q515" s="52"/>
      <c r="W515" s="53"/>
      <c r="X515" s="53"/>
      <c r="Y515" s="51"/>
      <c r="Z515" s="51"/>
      <c r="AA515" s="52"/>
    </row>
    <row r="516" spans="4:27">
      <c r="D516" s="50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50"/>
      <c r="P516" s="50"/>
      <c r="Q516" s="52"/>
      <c r="W516" s="53"/>
      <c r="X516" s="53"/>
      <c r="Y516" s="51"/>
      <c r="Z516" s="51"/>
      <c r="AA516" s="52"/>
    </row>
    <row r="517" spans="4:27">
      <c r="D517" s="50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50"/>
      <c r="P517" s="50"/>
      <c r="Q517" s="52"/>
      <c r="W517" s="53"/>
      <c r="X517" s="53"/>
      <c r="Y517" s="51"/>
      <c r="Z517" s="51"/>
      <c r="AA517" s="52"/>
    </row>
    <row r="518" spans="4:27">
      <c r="D518" s="50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50"/>
      <c r="P518" s="50"/>
      <c r="Q518" s="52"/>
      <c r="W518" s="53"/>
      <c r="X518" s="53"/>
      <c r="Y518" s="51"/>
      <c r="Z518" s="51"/>
      <c r="AA518" s="52"/>
    </row>
    <row r="519" spans="4:27">
      <c r="D519" s="50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50"/>
      <c r="P519" s="50"/>
      <c r="Q519" s="52"/>
      <c r="W519" s="53"/>
      <c r="X519" s="53"/>
      <c r="Y519" s="51"/>
      <c r="Z519" s="51"/>
      <c r="AA519" s="52"/>
    </row>
    <row r="520" spans="4:27">
      <c r="D520" s="50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50"/>
      <c r="P520" s="50"/>
      <c r="Q520" s="52"/>
      <c r="W520" s="53"/>
      <c r="X520" s="53"/>
      <c r="Y520" s="51"/>
      <c r="Z520" s="51"/>
      <c r="AA520" s="52"/>
    </row>
    <row r="521" spans="4:27">
      <c r="D521" s="50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50"/>
      <c r="P521" s="50"/>
      <c r="Q521" s="52"/>
      <c r="W521" s="53"/>
      <c r="X521" s="53"/>
      <c r="Y521" s="51"/>
      <c r="Z521" s="51"/>
      <c r="AA521" s="52"/>
    </row>
    <row r="522" spans="4:27">
      <c r="D522" s="50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50"/>
      <c r="P522" s="50"/>
      <c r="Q522" s="52"/>
      <c r="W522" s="53"/>
      <c r="X522" s="53"/>
      <c r="Y522" s="51"/>
      <c r="Z522" s="51"/>
      <c r="AA522" s="52"/>
    </row>
    <row r="523" spans="4:27">
      <c r="D523" s="50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50"/>
      <c r="P523" s="50"/>
      <c r="Q523" s="52"/>
      <c r="W523" s="53"/>
      <c r="X523" s="53"/>
      <c r="Y523" s="51"/>
      <c r="Z523" s="51"/>
      <c r="AA523" s="52"/>
    </row>
    <row r="524" spans="4:27">
      <c r="D524" s="50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50"/>
      <c r="P524" s="50"/>
      <c r="Q524" s="52"/>
      <c r="W524" s="53"/>
      <c r="X524" s="53"/>
      <c r="Y524" s="51"/>
      <c r="Z524" s="51"/>
      <c r="AA524" s="52"/>
    </row>
    <row r="525" spans="4:27">
      <c r="D525" s="50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50"/>
      <c r="P525" s="50"/>
      <c r="Q525" s="52"/>
      <c r="W525" s="53"/>
      <c r="X525" s="53"/>
      <c r="Y525" s="51"/>
      <c r="Z525" s="51"/>
      <c r="AA525" s="52"/>
    </row>
    <row r="526" spans="4:27">
      <c r="D526" s="50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50"/>
      <c r="P526" s="50"/>
      <c r="Q526" s="52"/>
      <c r="W526" s="53"/>
      <c r="X526" s="53"/>
      <c r="Y526" s="51"/>
      <c r="Z526" s="51"/>
      <c r="AA526" s="52"/>
    </row>
    <row r="527" spans="4:27">
      <c r="D527" s="50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50"/>
      <c r="P527" s="50"/>
      <c r="Q527" s="52"/>
      <c r="W527" s="53"/>
      <c r="X527" s="53"/>
      <c r="Y527" s="51"/>
      <c r="Z527" s="51"/>
      <c r="AA527" s="52"/>
    </row>
    <row r="528" spans="4:27">
      <c r="D528" s="50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50"/>
      <c r="P528" s="50"/>
      <c r="Q528" s="52"/>
      <c r="W528" s="53"/>
      <c r="X528" s="53"/>
      <c r="Y528" s="51"/>
      <c r="Z528" s="51"/>
      <c r="AA528" s="52"/>
    </row>
    <row r="529" spans="4:27">
      <c r="D529" s="50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50"/>
      <c r="P529" s="50"/>
      <c r="Q529" s="52"/>
      <c r="W529" s="53"/>
      <c r="X529" s="53"/>
      <c r="Y529" s="51"/>
      <c r="Z529" s="51"/>
      <c r="AA529" s="52"/>
    </row>
    <row r="530" spans="4:27">
      <c r="D530" s="50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50"/>
      <c r="P530" s="50"/>
      <c r="Q530" s="52"/>
      <c r="W530" s="53"/>
      <c r="X530" s="53"/>
      <c r="Y530" s="51"/>
      <c r="Z530" s="51"/>
      <c r="AA530" s="52"/>
    </row>
    <row r="531" spans="4:27">
      <c r="D531" s="50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50"/>
      <c r="P531" s="50"/>
      <c r="Q531" s="52"/>
      <c r="W531" s="53"/>
      <c r="X531" s="53"/>
      <c r="Y531" s="51"/>
      <c r="Z531" s="51"/>
      <c r="AA531" s="52"/>
    </row>
    <row r="532" spans="4:27">
      <c r="D532" s="50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50"/>
      <c r="P532" s="50"/>
      <c r="Q532" s="52"/>
      <c r="W532" s="53"/>
      <c r="X532" s="53"/>
      <c r="Y532" s="51"/>
      <c r="Z532" s="51"/>
      <c r="AA532" s="52"/>
    </row>
    <row r="533" spans="4:27">
      <c r="D533" s="50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50"/>
      <c r="P533" s="50"/>
      <c r="Q533" s="52"/>
      <c r="W533" s="53"/>
      <c r="X533" s="53"/>
      <c r="Y533" s="51"/>
      <c r="Z533" s="51"/>
      <c r="AA533" s="52"/>
    </row>
    <row r="534" spans="4:27">
      <c r="D534" s="50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50"/>
      <c r="P534" s="50"/>
      <c r="Q534" s="52"/>
      <c r="W534" s="53"/>
      <c r="X534" s="53"/>
      <c r="Y534" s="51"/>
      <c r="Z534" s="51"/>
      <c r="AA534" s="52"/>
    </row>
    <row r="535" spans="4:27">
      <c r="D535" s="50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50"/>
      <c r="P535" s="50"/>
      <c r="Q535" s="52"/>
      <c r="W535" s="53"/>
      <c r="X535" s="53"/>
      <c r="Y535" s="51"/>
      <c r="Z535" s="51"/>
      <c r="AA535" s="52"/>
    </row>
    <row r="536" spans="4:27">
      <c r="D536" s="50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50"/>
      <c r="P536" s="50"/>
      <c r="Q536" s="52"/>
      <c r="W536" s="53"/>
      <c r="X536" s="53"/>
      <c r="Y536" s="51"/>
      <c r="Z536" s="51"/>
      <c r="AA536" s="52"/>
    </row>
    <row r="537" spans="4:27">
      <c r="D537" s="50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50"/>
      <c r="P537" s="50"/>
      <c r="Q537" s="52"/>
      <c r="W537" s="53"/>
      <c r="X537" s="53"/>
      <c r="Y537" s="51"/>
      <c r="Z537" s="51"/>
      <c r="AA537" s="52"/>
    </row>
    <row r="538" spans="4:27">
      <c r="D538" s="50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50"/>
      <c r="P538" s="50"/>
      <c r="Q538" s="52"/>
      <c r="W538" s="53"/>
      <c r="X538" s="53"/>
      <c r="Y538" s="51"/>
      <c r="Z538" s="51"/>
      <c r="AA538" s="52"/>
    </row>
    <row r="539" spans="4:27">
      <c r="D539" s="50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50"/>
      <c r="P539" s="50"/>
      <c r="Q539" s="52"/>
      <c r="W539" s="53"/>
      <c r="X539" s="53"/>
      <c r="Y539" s="51"/>
      <c r="Z539" s="51"/>
      <c r="AA539" s="52"/>
    </row>
    <row r="540" spans="4:27">
      <c r="D540" s="50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50"/>
      <c r="P540" s="50"/>
      <c r="Q540" s="52"/>
      <c r="W540" s="53"/>
      <c r="X540" s="53"/>
      <c r="Y540" s="51"/>
      <c r="Z540" s="51"/>
      <c r="AA540" s="52"/>
    </row>
    <row r="541" spans="4:27">
      <c r="D541" s="50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50"/>
      <c r="P541" s="50"/>
      <c r="Q541" s="52"/>
      <c r="W541" s="53"/>
      <c r="X541" s="53"/>
      <c r="Y541" s="51"/>
      <c r="Z541" s="51"/>
      <c r="AA541" s="52"/>
    </row>
    <row r="542" spans="4:27">
      <c r="D542" s="50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50"/>
      <c r="P542" s="50"/>
      <c r="Q542" s="52"/>
      <c r="W542" s="53"/>
      <c r="X542" s="53"/>
      <c r="Y542" s="51"/>
      <c r="Z542" s="51"/>
      <c r="AA542" s="52"/>
    </row>
    <row r="543" spans="4:27">
      <c r="D543" s="50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50"/>
      <c r="P543" s="50"/>
      <c r="Q543" s="52"/>
      <c r="W543" s="53"/>
      <c r="X543" s="53"/>
      <c r="Y543" s="51"/>
      <c r="Z543" s="51"/>
      <c r="AA543" s="52"/>
    </row>
    <row r="544" spans="4:27">
      <c r="D544" s="50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50"/>
      <c r="P544" s="50"/>
      <c r="Q544" s="52"/>
      <c r="W544" s="53"/>
      <c r="X544" s="53"/>
      <c r="Y544" s="51"/>
      <c r="Z544" s="51"/>
      <c r="AA544" s="52"/>
    </row>
    <row r="545" spans="4:27">
      <c r="D545" s="50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50"/>
      <c r="P545" s="50"/>
      <c r="Q545" s="52"/>
      <c r="W545" s="53"/>
      <c r="X545" s="53"/>
      <c r="Y545" s="51"/>
      <c r="Z545" s="51"/>
      <c r="AA545" s="52"/>
    </row>
    <row r="546" spans="4:27">
      <c r="D546" s="50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50"/>
      <c r="P546" s="50"/>
      <c r="Q546" s="52"/>
      <c r="W546" s="53"/>
      <c r="X546" s="53"/>
      <c r="Y546" s="51"/>
      <c r="Z546" s="51"/>
      <c r="AA546" s="52"/>
    </row>
    <row r="547" spans="4:27">
      <c r="D547" s="50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50"/>
      <c r="P547" s="50"/>
      <c r="Q547" s="52"/>
      <c r="W547" s="53"/>
      <c r="X547" s="53"/>
      <c r="Y547" s="51"/>
      <c r="Z547" s="51"/>
      <c r="AA547" s="52"/>
    </row>
    <row r="548" spans="4:27">
      <c r="D548" s="50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50"/>
      <c r="P548" s="50"/>
      <c r="Q548" s="52"/>
      <c r="W548" s="53"/>
      <c r="X548" s="53"/>
      <c r="Y548" s="51"/>
      <c r="Z548" s="51"/>
      <c r="AA548" s="52"/>
    </row>
    <row r="549" spans="4:27">
      <c r="D549" s="50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50"/>
      <c r="P549" s="50"/>
      <c r="Q549" s="52"/>
      <c r="W549" s="53"/>
      <c r="X549" s="53"/>
      <c r="Y549" s="51"/>
      <c r="Z549" s="51"/>
      <c r="AA549" s="52"/>
    </row>
    <row r="550" spans="4:27">
      <c r="D550" s="50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50"/>
      <c r="P550" s="50"/>
      <c r="Q550" s="52"/>
      <c r="W550" s="53"/>
      <c r="X550" s="53"/>
      <c r="Y550" s="51"/>
      <c r="Z550" s="51"/>
      <c r="AA550" s="52"/>
    </row>
    <row r="551" spans="4:27">
      <c r="D551" s="50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50"/>
      <c r="P551" s="50"/>
      <c r="Q551" s="52"/>
      <c r="W551" s="53"/>
      <c r="X551" s="53"/>
      <c r="Y551" s="51"/>
      <c r="Z551" s="51"/>
      <c r="AA551" s="52"/>
    </row>
    <row r="552" spans="4:27">
      <c r="D552" s="50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50"/>
      <c r="P552" s="50"/>
      <c r="Q552" s="52"/>
      <c r="W552" s="53"/>
      <c r="X552" s="53"/>
      <c r="Y552" s="51"/>
      <c r="Z552" s="51"/>
      <c r="AA552" s="52"/>
    </row>
    <row r="553" spans="4:27">
      <c r="D553" s="50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50"/>
      <c r="P553" s="50"/>
      <c r="Q553" s="52"/>
      <c r="W553" s="53"/>
      <c r="X553" s="53"/>
      <c r="Y553" s="51"/>
      <c r="Z553" s="51"/>
      <c r="AA553" s="52"/>
    </row>
    <row r="554" spans="4:27">
      <c r="D554" s="50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50"/>
      <c r="P554" s="50"/>
      <c r="Q554" s="52"/>
      <c r="W554" s="53"/>
      <c r="X554" s="53"/>
      <c r="Y554" s="51"/>
      <c r="Z554" s="51"/>
      <c r="AA554" s="52"/>
    </row>
    <row r="555" spans="4:27">
      <c r="D555" s="50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50"/>
      <c r="P555" s="50"/>
      <c r="Q555" s="52"/>
      <c r="W555" s="53"/>
      <c r="X555" s="53"/>
      <c r="Y555" s="51"/>
      <c r="Z555" s="51"/>
      <c r="AA555" s="52"/>
    </row>
    <row r="556" spans="4:27">
      <c r="D556" s="50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50"/>
      <c r="P556" s="50"/>
      <c r="Q556" s="52"/>
      <c r="W556" s="53"/>
      <c r="X556" s="53"/>
      <c r="Y556" s="51"/>
      <c r="Z556" s="51"/>
      <c r="AA556" s="52"/>
    </row>
    <row r="557" spans="4:27">
      <c r="D557" s="50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50"/>
      <c r="P557" s="50"/>
      <c r="Q557" s="52"/>
      <c r="W557" s="53"/>
      <c r="X557" s="53"/>
      <c r="Y557" s="51"/>
      <c r="Z557" s="51"/>
      <c r="AA557" s="52"/>
    </row>
    <row r="558" spans="4:27">
      <c r="D558" s="50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50"/>
      <c r="P558" s="50"/>
      <c r="Q558" s="52"/>
      <c r="W558" s="53"/>
      <c r="X558" s="53"/>
      <c r="Y558" s="51"/>
      <c r="Z558" s="51"/>
      <c r="AA558" s="52"/>
    </row>
    <row r="559" spans="4:27">
      <c r="D559" s="50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50"/>
      <c r="P559" s="50"/>
      <c r="Q559" s="52"/>
      <c r="W559" s="53"/>
      <c r="X559" s="53"/>
      <c r="Y559" s="51"/>
      <c r="Z559" s="51"/>
      <c r="AA559" s="52"/>
    </row>
    <row r="560" spans="4:27">
      <c r="D560" s="50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50"/>
      <c r="P560" s="50"/>
      <c r="Q560" s="52"/>
      <c r="W560" s="53"/>
      <c r="X560" s="53"/>
      <c r="Y560" s="51"/>
      <c r="Z560" s="51"/>
      <c r="AA560" s="52"/>
    </row>
    <row r="561" spans="4:27">
      <c r="D561" s="50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50"/>
      <c r="P561" s="50"/>
      <c r="Q561" s="52"/>
      <c r="W561" s="53"/>
      <c r="X561" s="53"/>
      <c r="Y561" s="51"/>
      <c r="Z561" s="51"/>
      <c r="AA561" s="52"/>
    </row>
    <row r="562" spans="4:27">
      <c r="D562" s="50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50"/>
      <c r="P562" s="50"/>
      <c r="Q562" s="52"/>
      <c r="W562" s="53"/>
      <c r="X562" s="53"/>
      <c r="Y562" s="51"/>
      <c r="Z562" s="51"/>
      <c r="AA562" s="52"/>
    </row>
    <row r="563" spans="4:27">
      <c r="D563" s="50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50"/>
      <c r="P563" s="50"/>
      <c r="Q563" s="52"/>
      <c r="W563" s="53"/>
      <c r="X563" s="53"/>
      <c r="Y563" s="51"/>
      <c r="Z563" s="51"/>
      <c r="AA563" s="52"/>
    </row>
    <row r="564" spans="4:27">
      <c r="D564" s="50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50"/>
      <c r="P564" s="50"/>
      <c r="Q564" s="52"/>
      <c r="W564" s="53"/>
      <c r="X564" s="53"/>
      <c r="Y564" s="51"/>
      <c r="Z564" s="51"/>
      <c r="AA564" s="52"/>
    </row>
    <row r="565" spans="4:27">
      <c r="D565" s="50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50"/>
      <c r="P565" s="50"/>
      <c r="Q565" s="52"/>
      <c r="W565" s="53"/>
      <c r="X565" s="53"/>
      <c r="Y565" s="51"/>
      <c r="Z565" s="51"/>
      <c r="AA565" s="52"/>
    </row>
    <row r="566" spans="4:27">
      <c r="D566" s="50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50"/>
      <c r="P566" s="50"/>
      <c r="Q566" s="52"/>
      <c r="W566" s="53"/>
      <c r="X566" s="53"/>
      <c r="Y566" s="51"/>
      <c r="Z566" s="51"/>
      <c r="AA566" s="52"/>
    </row>
    <row r="567" spans="4:27">
      <c r="D567" s="50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50"/>
      <c r="P567" s="50"/>
      <c r="Q567" s="52"/>
      <c r="W567" s="53"/>
      <c r="X567" s="53"/>
      <c r="Y567" s="51"/>
      <c r="Z567" s="51"/>
      <c r="AA567" s="52"/>
    </row>
    <row r="568" spans="4:27">
      <c r="D568" s="50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50"/>
      <c r="P568" s="50"/>
      <c r="Q568" s="52"/>
      <c r="W568" s="53"/>
      <c r="X568" s="53"/>
      <c r="Y568" s="51"/>
      <c r="Z568" s="51"/>
      <c r="AA568" s="52"/>
    </row>
    <row r="569" spans="4:27">
      <c r="D569" s="50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50"/>
      <c r="P569" s="50"/>
      <c r="Q569" s="52"/>
      <c r="W569" s="53"/>
      <c r="X569" s="53"/>
      <c r="Y569" s="51"/>
      <c r="Z569" s="51"/>
      <c r="AA569" s="52"/>
    </row>
    <row r="570" spans="4:27">
      <c r="D570" s="50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50"/>
      <c r="P570" s="50"/>
      <c r="Q570" s="52"/>
      <c r="W570" s="53"/>
      <c r="X570" s="53"/>
      <c r="Y570" s="51"/>
      <c r="Z570" s="51"/>
      <c r="AA570" s="52"/>
    </row>
    <row r="571" spans="4:27">
      <c r="D571" s="50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50"/>
      <c r="P571" s="50"/>
      <c r="Q571" s="52"/>
      <c r="W571" s="53"/>
      <c r="X571" s="53"/>
      <c r="Y571" s="51"/>
      <c r="Z571" s="51"/>
      <c r="AA571" s="52"/>
    </row>
    <row r="572" spans="4:27">
      <c r="D572" s="50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50"/>
      <c r="P572" s="50"/>
      <c r="Q572" s="52"/>
      <c r="W572" s="53"/>
      <c r="X572" s="53"/>
      <c r="Y572" s="51"/>
      <c r="Z572" s="51"/>
      <c r="AA572" s="52"/>
    </row>
    <row r="573" spans="4:27">
      <c r="D573" s="50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50"/>
      <c r="P573" s="50"/>
      <c r="Q573" s="52"/>
      <c r="W573" s="53"/>
      <c r="X573" s="53"/>
      <c r="Y573" s="51"/>
      <c r="Z573" s="51"/>
      <c r="AA573" s="52"/>
    </row>
    <row r="574" spans="4:27">
      <c r="D574" s="50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50"/>
      <c r="P574" s="50"/>
      <c r="Q574" s="52"/>
      <c r="W574" s="53"/>
      <c r="X574" s="53"/>
      <c r="Y574" s="51"/>
      <c r="Z574" s="51"/>
      <c r="AA574" s="52"/>
    </row>
    <row r="575" spans="4:27">
      <c r="D575" s="50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50"/>
      <c r="P575" s="50"/>
      <c r="Q575" s="52"/>
      <c r="W575" s="53"/>
      <c r="X575" s="53"/>
      <c r="Y575" s="51"/>
      <c r="Z575" s="51"/>
      <c r="AA575" s="52"/>
    </row>
    <row r="576" spans="4:27">
      <c r="D576" s="50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50"/>
      <c r="P576" s="50"/>
      <c r="Q576" s="52"/>
      <c r="W576" s="53"/>
      <c r="X576" s="53"/>
      <c r="Y576" s="51"/>
      <c r="Z576" s="51"/>
      <c r="AA576" s="52"/>
    </row>
    <row r="577" spans="4:27">
      <c r="D577" s="50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50"/>
      <c r="P577" s="50"/>
      <c r="Q577" s="52"/>
      <c r="W577" s="53"/>
      <c r="X577" s="53"/>
      <c r="Y577" s="51"/>
      <c r="Z577" s="51"/>
      <c r="AA577" s="52"/>
    </row>
    <row r="578" spans="4:27">
      <c r="D578" s="50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50"/>
      <c r="P578" s="50"/>
      <c r="Q578" s="52"/>
      <c r="W578" s="53"/>
      <c r="X578" s="53"/>
      <c r="Y578" s="51"/>
      <c r="Z578" s="51"/>
      <c r="AA578" s="52"/>
    </row>
    <row r="579" spans="4:27">
      <c r="D579" s="50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50"/>
      <c r="P579" s="50"/>
      <c r="Q579" s="52"/>
      <c r="W579" s="53"/>
      <c r="X579" s="53"/>
      <c r="Y579" s="51"/>
      <c r="Z579" s="51"/>
      <c r="AA579" s="52"/>
    </row>
    <row r="580" spans="4:27">
      <c r="D580" s="50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50"/>
      <c r="P580" s="50"/>
      <c r="Q580" s="52"/>
      <c r="W580" s="53"/>
      <c r="X580" s="53"/>
      <c r="Y580" s="51"/>
      <c r="Z580" s="51"/>
      <c r="AA580" s="52"/>
    </row>
    <row r="581" spans="4:27">
      <c r="D581" s="50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50"/>
      <c r="P581" s="50"/>
      <c r="Q581" s="52"/>
      <c r="W581" s="53"/>
      <c r="X581" s="53"/>
      <c r="Y581" s="51"/>
      <c r="Z581" s="51"/>
      <c r="AA581" s="52"/>
    </row>
    <row r="582" spans="4:27">
      <c r="D582" s="50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50"/>
      <c r="P582" s="50"/>
      <c r="Q582" s="52"/>
      <c r="W582" s="53"/>
      <c r="X582" s="53"/>
      <c r="Y582" s="51"/>
      <c r="Z582" s="51"/>
      <c r="AA582" s="52"/>
    </row>
    <row r="583" spans="4:27">
      <c r="D583" s="50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50"/>
      <c r="P583" s="50"/>
      <c r="Q583" s="52"/>
      <c r="W583" s="53"/>
      <c r="X583" s="53"/>
      <c r="Y583" s="51"/>
      <c r="Z583" s="51"/>
      <c r="AA583" s="52"/>
    </row>
    <row r="584" spans="4:27">
      <c r="D584" s="50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50"/>
      <c r="P584" s="50"/>
      <c r="Q584" s="52"/>
      <c r="W584" s="53"/>
      <c r="X584" s="53"/>
      <c r="Y584" s="51"/>
      <c r="Z584" s="51"/>
      <c r="AA584" s="52"/>
    </row>
    <row r="585" spans="4:27">
      <c r="D585" s="50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50"/>
      <c r="P585" s="50"/>
      <c r="Q585" s="52"/>
      <c r="W585" s="53"/>
      <c r="X585" s="53"/>
      <c r="Y585" s="51"/>
      <c r="Z585" s="51"/>
      <c r="AA585" s="52"/>
    </row>
    <row r="586" spans="4:27">
      <c r="D586" s="50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50"/>
      <c r="P586" s="50"/>
      <c r="Q586" s="52"/>
      <c r="W586" s="53"/>
      <c r="X586" s="53"/>
      <c r="Y586" s="51"/>
      <c r="Z586" s="51"/>
      <c r="AA586" s="52"/>
    </row>
    <row r="587" spans="4:27">
      <c r="D587" s="50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50"/>
      <c r="P587" s="50"/>
      <c r="Q587" s="52"/>
      <c r="W587" s="53"/>
      <c r="X587" s="53"/>
      <c r="Y587" s="51"/>
      <c r="Z587" s="51"/>
      <c r="AA587" s="52"/>
    </row>
    <row r="588" spans="4:27">
      <c r="D588" s="50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50"/>
      <c r="P588" s="50"/>
      <c r="Q588" s="52"/>
      <c r="W588" s="53"/>
      <c r="X588" s="53"/>
      <c r="Y588" s="51"/>
      <c r="Z588" s="51"/>
      <c r="AA588" s="52"/>
    </row>
    <row r="589" spans="4:27">
      <c r="D589" s="50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50"/>
      <c r="P589" s="50"/>
      <c r="Q589" s="52"/>
      <c r="W589" s="53"/>
      <c r="X589" s="53"/>
      <c r="Y589" s="51"/>
      <c r="Z589" s="51"/>
      <c r="AA589" s="52"/>
    </row>
    <row r="590" spans="4:27">
      <c r="D590" s="50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50"/>
      <c r="P590" s="50"/>
      <c r="Q590" s="52"/>
      <c r="W590" s="53"/>
      <c r="X590" s="53"/>
      <c r="Y590" s="51"/>
      <c r="Z590" s="51"/>
      <c r="AA590" s="52"/>
    </row>
    <row r="591" spans="4:27">
      <c r="D591" s="50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50"/>
      <c r="P591" s="50"/>
      <c r="Q591" s="52"/>
      <c r="W591" s="53"/>
      <c r="X591" s="53"/>
      <c r="Y591" s="51"/>
      <c r="Z591" s="51"/>
      <c r="AA591" s="52"/>
    </row>
    <row r="592" spans="4:27">
      <c r="D592" s="50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50"/>
      <c r="P592" s="50"/>
      <c r="Q592" s="52"/>
      <c r="W592" s="53"/>
      <c r="X592" s="53"/>
      <c r="Y592" s="51"/>
      <c r="Z592" s="51"/>
      <c r="AA592" s="52"/>
    </row>
    <row r="593" spans="4:27">
      <c r="D593" s="50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50"/>
      <c r="P593" s="50"/>
      <c r="Q593" s="52"/>
      <c r="W593" s="53"/>
      <c r="X593" s="53"/>
      <c r="Y593" s="51"/>
      <c r="Z593" s="51"/>
      <c r="AA593" s="52"/>
    </row>
    <row r="594" spans="4:27">
      <c r="D594" s="50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50"/>
      <c r="P594" s="50"/>
      <c r="Q594" s="52"/>
      <c r="W594" s="53"/>
      <c r="X594" s="53"/>
      <c r="Y594" s="51"/>
      <c r="Z594" s="51"/>
      <c r="AA594" s="52"/>
    </row>
    <row r="595" spans="4:27">
      <c r="D595" s="50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50"/>
      <c r="P595" s="50"/>
      <c r="Q595" s="52"/>
      <c r="W595" s="53"/>
      <c r="X595" s="53"/>
      <c r="Y595" s="51"/>
      <c r="Z595" s="51"/>
      <c r="AA595" s="52"/>
    </row>
    <row r="596" spans="4:27">
      <c r="D596" s="50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50"/>
      <c r="P596" s="50"/>
      <c r="Q596" s="52"/>
      <c r="W596" s="53"/>
      <c r="X596" s="53"/>
      <c r="Y596" s="51"/>
      <c r="Z596" s="51"/>
      <c r="AA596" s="52"/>
    </row>
    <row r="597" spans="4:27">
      <c r="D597" s="50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50"/>
      <c r="P597" s="50"/>
      <c r="Q597" s="52"/>
      <c r="W597" s="53"/>
      <c r="X597" s="53"/>
      <c r="Y597" s="51"/>
      <c r="Z597" s="51"/>
      <c r="AA597" s="52"/>
    </row>
    <row r="598" spans="4:27">
      <c r="D598" s="50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50"/>
      <c r="P598" s="50"/>
      <c r="Q598" s="52"/>
      <c r="W598" s="53"/>
      <c r="X598" s="53"/>
      <c r="Y598" s="51"/>
      <c r="Z598" s="51"/>
      <c r="AA598" s="52"/>
    </row>
    <row r="599" spans="4:27">
      <c r="D599" s="50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50"/>
      <c r="P599" s="50"/>
      <c r="Q599" s="52"/>
      <c r="W599" s="53"/>
      <c r="X599" s="53"/>
      <c r="Y599" s="51"/>
      <c r="Z599" s="51"/>
      <c r="AA599" s="52"/>
    </row>
    <row r="600" spans="4:27">
      <c r="D600" s="50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50"/>
      <c r="P600" s="50"/>
      <c r="Q600" s="52"/>
      <c r="W600" s="53"/>
      <c r="X600" s="53"/>
      <c r="Y600" s="51"/>
      <c r="Z600" s="51"/>
      <c r="AA600" s="52"/>
    </row>
    <row r="601" spans="4:27">
      <c r="D601" s="50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50"/>
      <c r="P601" s="50"/>
      <c r="Q601" s="52"/>
      <c r="W601" s="53"/>
      <c r="X601" s="53"/>
      <c r="Y601" s="51"/>
      <c r="Z601" s="51"/>
      <c r="AA601" s="52"/>
    </row>
    <row r="602" spans="4:27">
      <c r="D602" s="50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50"/>
      <c r="P602" s="50"/>
      <c r="Q602" s="52"/>
      <c r="W602" s="53"/>
      <c r="X602" s="53"/>
      <c r="Y602" s="51"/>
      <c r="Z602" s="51"/>
      <c r="AA602" s="52"/>
    </row>
    <row r="603" spans="4:27">
      <c r="D603" s="50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50"/>
      <c r="P603" s="50"/>
      <c r="Q603" s="52"/>
      <c r="W603" s="53"/>
      <c r="X603" s="53"/>
      <c r="Y603" s="51"/>
      <c r="Z603" s="51"/>
      <c r="AA603" s="52"/>
    </row>
    <row r="604" spans="4:27">
      <c r="D604" s="50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50"/>
      <c r="P604" s="50"/>
      <c r="Q604" s="52"/>
      <c r="W604" s="53"/>
      <c r="X604" s="53"/>
      <c r="Y604" s="51"/>
      <c r="Z604" s="51"/>
      <c r="AA604" s="52"/>
    </row>
    <row r="605" spans="4:27">
      <c r="D605" s="50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50"/>
      <c r="P605" s="50"/>
      <c r="Q605" s="52"/>
      <c r="W605" s="53"/>
      <c r="X605" s="53"/>
      <c r="Y605" s="51"/>
      <c r="Z605" s="51"/>
      <c r="AA605" s="52"/>
    </row>
    <row r="606" spans="4:27">
      <c r="D606" s="50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50"/>
      <c r="P606" s="50"/>
      <c r="Q606" s="52"/>
      <c r="W606" s="53"/>
      <c r="X606" s="53"/>
      <c r="Y606" s="51"/>
      <c r="Z606" s="51"/>
      <c r="AA606" s="52"/>
    </row>
    <row r="607" spans="4:27">
      <c r="D607" s="50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50"/>
      <c r="P607" s="50"/>
      <c r="Q607" s="52"/>
      <c r="W607" s="53"/>
      <c r="X607" s="53"/>
      <c r="Y607" s="51"/>
      <c r="Z607" s="51"/>
      <c r="AA607" s="52"/>
    </row>
    <row r="608" spans="4:27">
      <c r="D608" s="50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50"/>
      <c r="P608" s="50"/>
      <c r="Q608" s="52"/>
      <c r="W608" s="53"/>
      <c r="X608" s="53"/>
      <c r="Y608" s="51"/>
      <c r="Z608" s="51"/>
      <c r="AA608" s="52"/>
    </row>
    <row r="609" spans="4:27">
      <c r="D609" s="50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50"/>
      <c r="P609" s="50"/>
      <c r="Q609" s="52"/>
      <c r="W609" s="53"/>
      <c r="X609" s="53"/>
      <c r="Y609" s="51"/>
      <c r="Z609" s="51"/>
      <c r="AA609" s="52"/>
    </row>
    <row r="610" spans="4:27">
      <c r="D610" s="50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50"/>
      <c r="P610" s="50"/>
      <c r="Q610" s="52"/>
      <c r="W610" s="53"/>
      <c r="X610" s="53"/>
      <c r="Y610" s="51"/>
      <c r="Z610" s="51"/>
      <c r="AA610" s="52"/>
    </row>
    <row r="611" spans="4:27">
      <c r="D611" s="50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50"/>
      <c r="P611" s="50"/>
      <c r="Q611" s="52"/>
      <c r="W611" s="53"/>
      <c r="X611" s="53"/>
      <c r="Y611" s="51"/>
      <c r="Z611" s="51"/>
      <c r="AA611" s="52"/>
    </row>
    <row r="612" spans="4:27">
      <c r="D612" s="50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50"/>
      <c r="P612" s="50"/>
      <c r="Q612" s="52"/>
      <c r="W612" s="53"/>
      <c r="X612" s="53"/>
      <c r="Y612" s="51"/>
      <c r="Z612" s="51"/>
      <c r="AA612" s="52"/>
    </row>
    <row r="613" spans="4:27">
      <c r="D613" s="50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50"/>
      <c r="P613" s="50"/>
      <c r="Q613" s="52"/>
      <c r="W613" s="53"/>
      <c r="X613" s="53"/>
      <c r="Y613" s="51"/>
      <c r="Z613" s="51"/>
      <c r="AA613" s="52"/>
    </row>
    <row r="614" spans="4:27">
      <c r="D614" s="50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50"/>
      <c r="P614" s="50"/>
      <c r="Q614" s="52"/>
      <c r="W614" s="53"/>
      <c r="X614" s="53"/>
      <c r="Y614" s="51"/>
      <c r="Z614" s="51"/>
      <c r="AA614" s="52"/>
    </row>
    <row r="615" spans="4:27">
      <c r="D615" s="50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50"/>
      <c r="P615" s="50"/>
      <c r="Q615" s="52"/>
      <c r="W615" s="53"/>
      <c r="X615" s="53"/>
      <c r="Y615" s="51"/>
      <c r="Z615" s="51"/>
      <c r="AA615" s="52"/>
    </row>
    <row r="616" spans="4:27">
      <c r="D616" s="50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50"/>
      <c r="P616" s="50"/>
      <c r="Q616" s="52"/>
      <c r="W616" s="53"/>
      <c r="X616" s="53"/>
      <c r="Y616" s="51"/>
      <c r="Z616" s="51"/>
      <c r="AA616" s="52"/>
    </row>
    <row r="617" spans="4:27">
      <c r="D617" s="50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50"/>
      <c r="P617" s="50"/>
      <c r="Q617" s="52"/>
      <c r="W617" s="53"/>
      <c r="X617" s="53"/>
      <c r="Y617" s="51"/>
      <c r="Z617" s="51"/>
      <c r="AA617" s="52"/>
    </row>
    <row r="618" spans="4:27">
      <c r="D618" s="50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50"/>
      <c r="P618" s="50"/>
      <c r="Q618" s="52"/>
      <c r="W618" s="53"/>
      <c r="X618" s="53"/>
      <c r="Y618" s="51"/>
      <c r="Z618" s="51"/>
      <c r="AA618" s="52"/>
    </row>
    <row r="619" spans="4:27">
      <c r="D619" s="50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50"/>
      <c r="P619" s="50"/>
      <c r="Q619" s="52"/>
      <c r="W619" s="53"/>
      <c r="X619" s="53"/>
      <c r="Y619" s="51"/>
      <c r="Z619" s="51"/>
      <c r="AA619" s="52"/>
    </row>
    <row r="620" spans="4:27">
      <c r="D620" s="50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50"/>
      <c r="P620" s="50"/>
      <c r="Q620" s="52"/>
      <c r="W620" s="53"/>
      <c r="X620" s="53"/>
      <c r="Y620" s="51"/>
      <c r="Z620" s="51"/>
      <c r="AA620" s="52"/>
    </row>
    <row r="621" spans="4:27">
      <c r="D621" s="50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50"/>
      <c r="P621" s="50"/>
      <c r="Q621" s="52"/>
      <c r="W621" s="53"/>
      <c r="X621" s="53"/>
      <c r="Y621" s="51"/>
      <c r="Z621" s="51"/>
      <c r="AA621" s="52"/>
    </row>
    <row r="622" spans="4:27">
      <c r="D622" s="50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50"/>
      <c r="P622" s="50"/>
      <c r="Q622" s="52"/>
      <c r="W622" s="53"/>
      <c r="X622" s="53"/>
      <c r="Y622" s="51"/>
      <c r="Z622" s="51"/>
      <c r="AA622" s="52"/>
    </row>
    <row r="623" spans="4:27">
      <c r="D623" s="50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50"/>
      <c r="P623" s="50"/>
      <c r="Q623" s="52"/>
      <c r="W623" s="53"/>
      <c r="X623" s="53"/>
      <c r="Y623" s="51"/>
      <c r="Z623" s="51"/>
      <c r="AA623" s="52"/>
    </row>
    <row r="624" spans="4:27">
      <c r="D624" s="50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50"/>
      <c r="P624" s="50"/>
      <c r="Q624" s="52"/>
      <c r="W624" s="53"/>
      <c r="X624" s="53"/>
      <c r="Y624" s="51"/>
      <c r="Z624" s="51"/>
      <c r="AA624" s="52"/>
    </row>
    <row r="625" spans="4:27">
      <c r="D625" s="50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50"/>
      <c r="P625" s="50"/>
      <c r="Q625" s="52"/>
      <c r="W625" s="53"/>
      <c r="X625" s="53"/>
      <c r="Y625" s="51"/>
      <c r="Z625" s="51"/>
      <c r="AA625" s="52"/>
    </row>
    <row r="626" spans="4:27">
      <c r="D626" s="50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50"/>
      <c r="P626" s="50"/>
      <c r="Q626" s="52"/>
      <c r="W626" s="53"/>
      <c r="X626" s="53"/>
      <c r="Y626" s="51"/>
      <c r="Z626" s="51"/>
      <c r="AA626" s="52"/>
    </row>
    <row r="627" spans="4:27">
      <c r="D627" s="50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50"/>
      <c r="P627" s="50"/>
      <c r="Q627" s="52"/>
      <c r="W627" s="53"/>
      <c r="X627" s="53"/>
      <c r="Y627" s="51"/>
      <c r="Z627" s="51"/>
      <c r="AA627" s="52"/>
    </row>
    <row r="628" spans="4:27">
      <c r="D628" s="50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50"/>
      <c r="P628" s="50"/>
      <c r="Q628" s="52"/>
      <c r="W628" s="53"/>
      <c r="X628" s="53"/>
      <c r="Y628" s="51"/>
      <c r="Z628" s="51"/>
      <c r="AA628" s="52"/>
    </row>
    <row r="629" spans="4:27">
      <c r="D629" s="50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50"/>
      <c r="P629" s="50"/>
      <c r="Q629" s="52"/>
      <c r="W629" s="53"/>
      <c r="X629" s="53"/>
      <c r="Y629" s="51"/>
      <c r="Z629" s="51"/>
      <c r="AA629" s="52"/>
    </row>
    <row r="630" spans="4:27">
      <c r="D630" s="50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50"/>
      <c r="P630" s="50"/>
      <c r="Q630" s="52"/>
      <c r="W630" s="53"/>
      <c r="X630" s="53"/>
      <c r="Y630" s="51"/>
      <c r="Z630" s="51"/>
      <c r="AA630" s="52"/>
    </row>
    <row r="631" spans="4:27">
      <c r="D631" s="50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50"/>
      <c r="P631" s="50"/>
      <c r="Q631" s="52"/>
      <c r="W631" s="53"/>
      <c r="X631" s="53"/>
      <c r="Y631" s="51"/>
      <c r="Z631" s="51"/>
      <c r="AA631" s="52"/>
    </row>
    <row r="632" spans="4:27">
      <c r="D632" s="50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50"/>
      <c r="P632" s="50"/>
      <c r="Q632" s="52"/>
      <c r="W632" s="53"/>
      <c r="X632" s="53"/>
      <c r="Y632" s="51"/>
      <c r="Z632" s="51"/>
      <c r="AA632" s="52"/>
    </row>
    <row r="633" spans="4:27">
      <c r="D633" s="50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50"/>
      <c r="P633" s="50"/>
      <c r="Q633" s="52"/>
      <c r="W633" s="53"/>
      <c r="X633" s="53"/>
      <c r="Y633" s="51"/>
      <c r="Z633" s="51"/>
      <c r="AA633" s="52"/>
    </row>
    <row r="634" spans="4:27">
      <c r="D634" s="50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50"/>
      <c r="P634" s="50"/>
      <c r="Q634" s="52"/>
      <c r="W634" s="53"/>
      <c r="X634" s="53"/>
      <c r="Y634" s="51"/>
      <c r="Z634" s="51"/>
      <c r="AA634" s="52"/>
    </row>
    <row r="635" spans="4:27">
      <c r="D635" s="50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50"/>
      <c r="P635" s="50"/>
      <c r="Q635" s="52"/>
      <c r="W635" s="53"/>
      <c r="X635" s="53"/>
      <c r="Y635" s="51"/>
      <c r="Z635" s="51"/>
      <c r="AA635" s="52"/>
    </row>
    <row r="636" spans="4:27">
      <c r="D636" s="50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50"/>
      <c r="P636" s="50"/>
      <c r="Q636" s="52"/>
      <c r="W636" s="53"/>
      <c r="X636" s="53"/>
      <c r="Y636" s="51"/>
      <c r="Z636" s="51"/>
      <c r="AA636" s="52"/>
    </row>
    <row r="637" spans="4:27">
      <c r="D637" s="50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50"/>
      <c r="P637" s="50"/>
      <c r="Q637" s="52"/>
      <c r="W637" s="53"/>
      <c r="X637" s="53"/>
      <c r="Y637" s="51"/>
      <c r="Z637" s="51"/>
      <c r="AA637" s="52"/>
    </row>
    <row r="638" spans="4:27">
      <c r="D638" s="50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50"/>
      <c r="P638" s="50"/>
      <c r="Q638" s="52"/>
      <c r="W638" s="53"/>
      <c r="X638" s="53"/>
      <c r="Y638" s="51"/>
      <c r="Z638" s="51"/>
      <c r="AA638" s="52"/>
    </row>
    <row r="639" spans="4:27">
      <c r="D639" s="50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50"/>
      <c r="P639" s="50"/>
      <c r="Q639" s="52"/>
      <c r="W639" s="53"/>
      <c r="X639" s="53"/>
      <c r="Y639" s="51"/>
      <c r="Z639" s="51"/>
      <c r="AA639" s="52"/>
    </row>
    <row r="640" spans="4:27">
      <c r="D640" s="50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50"/>
      <c r="P640" s="50"/>
      <c r="Q640" s="52"/>
      <c r="W640" s="53"/>
      <c r="X640" s="53"/>
      <c r="Y640" s="51"/>
      <c r="Z640" s="51"/>
      <c r="AA640" s="52"/>
    </row>
    <row r="641" spans="4:27">
      <c r="D641" s="50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50"/>
      <c r="P641" s="50"/>
      <c r="Q641" s="52"/>
      <c r="W641" s="53"/>
      <c r="X641" s="53"/>
      <c r="Y641" s="51"/>
      <c r="Z641" s="51"/>
      <c r="AA641" s="52"/>
    </row>
    <row r="642" spans="4:27">
      <c r="D642" s="50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50"/>
      <c r="P642" s="50"/>
      <c r="Q642" s="52"/>
      <c r="W642" s="53"/>
      <c r="X642" s="53"/>
      <c r="Y642" s="51"/>
      <c r="Z642" s="51"/>
      <c r="AA642" s="52"/>
    </row>
    <row r="643" spans="4:27">
      <c r="D643" s="50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50"/>
      <c r="P643" s="50"/>
      <c r="Q643" s="52"/>
      <c r="W643" s="53"/>
      <c r="X643" s="53"/>
      <c r="Y643" s="51"/>
      <c r="Z643" s="51"/>
      <c r="AA643" s="52"/>
    </row>
    <row r="644" spans="4:27">
      <c r="D644" s="50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50"/>
      <c r="P644" s="50"/>
      <c r="Q644" s="52"/>
      <c r="W644" s="53"/>
      <c r="X644" s="53"/>
      <c r="Y644" s="51"/>
      <c r="Z644" s="51"/>
      <c r="AA644" s="52"/>
    </row>
    <row r="645" spans="4:27">
      <c r="D645" s="50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50"/>
      <c r="P645" s="50"/>
      <c r="Q645" s="52"/>
      <c r="W645" s="53"/>
      <c r="X645" s="53"/>
      <c r="Y645" s="51"/>
      <c r="Z645" s="51"/>
      <c r="AA645" s="52"/>
    </row>
    <row r="646" spans="4:27">
      <c r="D646" s="50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50"/>
      <c r="P646" s="50"/>
      <c r="Q646" s="52"/>
      <c r="W646" s="53"/>
      <c r="X646" s="53"/>
      <c r="Y646" s="51"/>
      <c r="Z646" s="51"/>
      <c r="AA646" s="52"/>
    </row>
    <row r="647" spans="4:27">
      <c r="D647" s="50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50"/>
      <c r="P647" s="50"/>
      <c r="Q647" s="52"/>
      <c r="W647" s="53"/>
      <c r="X647" s="53"/>
      <c r="Y647" s="51"/>
      <c r="Z647" s="51"/>
      <c r="AA647" s="52"/>
    </row>
    <row r="648" spans="4:27">
      <c r="D648" s="50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50"/>
      <c r="P648" s="50"/>
      <c r="Q648" s="52"/>
      <c r="W648" s="53"/>
      <c r="X648" s="53"/>
      <c r="Y648" s="51"/>
      <c r="Z648" s="51"/>
      <c r="AA648" s="52"/>
    </row>
    <row r="649" spans="4:27">
      <c r="D649" s="50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50"/>
      <c r="P649" s="50"/>
      <c r="Q649" s="52"/>
      <c r="W649" s="53"/>
      <c r="X649" s="53"/>
      <c r="Y649" s="51"/>
      <c r="Z649" s="51"/>
      <c r="AA649" s="52"/>
    </row>
    <row r="650" spans="4:27">
      <c r="D650" s="50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50"/>
      <c r="P650" s="50"/>
      <c r="Q650" s="52"/>
      <c r="W650" s="53"/>
      <c r="X650" s="53"/>
      <c r="Y650" s="51"/>
      <c r="Z650" s="51"/>
      <c r="AA650" s="52"/>
    </row>
    <row r="651" spans="4:27">
      <c r="D651" s="50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50"/>
      <c r="P651" s="50"/>
      <c r="Q651" s="52"/>
      <c r="W651" s="53"/>
      <c r="X651" s="53"/>
      <c r="Y651" s="51"/>
      <c r="Z651" s="51"/>
      <c r="AA651" s="52"/>
    </row>
    <row r="652" spans="4:27">
      <c r="D652" s="50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50"/>
      <c r="P652" s="50"/>
      <c r="Q652" s="52"/>
      <c r="W652" s="53"/>
      <c r="X652" s="53"/>
      <c r="Y652" s="51"/>
      <c r="Z652" s="51"/>
      <c r="AA652" s="52"/>
    </row>
    <row r="653" spans="4:27">
      <c r="D653" s="50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50"/>
      <c r="P653" s="50"/>
      <c r="Q653" s="52"/>
      <c r="W653" s="53"/>
      <c r="X653" s="53"/>
      <c r="Y653" s="51"/>
      <c r="Z653" s="51"/>
      <c r="AA653" s="52"/>
    </row>
    <row r="654" spans="4:27">
      <c r="D654" s="50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50"/>
      <c r="P654" s="50"/>
      <c r="Q654" s="52"/>
      <c r="W654" s="53"/>
      <c r="X654" s="53"/>
      <c r="Y654" s="51"/>
      <c r="Z654" s="51"/>
      <c r="AA654" s="52"/>
    </row>
    <row r="655" spans="4:27">
      <c r="D655" s="50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50"/>
      <c r="P655" s="50"/>
      <c r="Q655" s="52"/>
      <c r="W655" s="53"/>
      <c r="X655" s="53"/>
      <c r="Y655" s="51"/>
      <c r="Z655" s="51"/>
      <c r="AA655" s="52"/>
    </row>
    <row r="656" spans="4:27">
      <c r="D656" s="50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50"/>
      <c r="P656" s="50"/>
      <c r="Q656" s="52"/>
      <c r="W656" s="53"/>
      <c r="X656" s="53"/>
      <c r="Y656" s="51"/>
      <c r="Z656" s="51"/>
      <c r="AA656" s="52"/>
    </row>
    <row r="657" spans="4:27">
      <c r="D657" s="50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50"/>
      <c r="P657" s="50"/>
      <c r="Q657" s="52"/>
      <c r="W657" s="53"/>
      <c r="X657" s="53"/>
      <c r="Y657" s="51"/>
      <c r="Z657" s="51"/>
      <c r="AA657" s="52"/>
    </row>
    <row r="658" spans="4:27">
      <c r="D658" s="50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50"/>
      <c r="P658" s="50"/>
      <c r="Q658" s="52"/>
      <c r="W658" s="53"/>
      <c r="X658" s="53"/>
      <c r="Y658" s="51"/>
      <c r="Z658" s="51"/>
      <c r="AA658" s="52"/>
    </row>
    <row r="659" spans="4:27">
      <c r="D659" s="50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50"/>
      <c r="P659" s="50"/>
      <c r="Q659" s="52"/>
      <c r="W659" s="53"/>
      <c r="X659" s="53"/>
      <c r="Y659" s="51"/>
      <c r="Z659" s="51"/>
      <c r="AA659" s="52"/>
    </row>
    <row r="660" spans="4:27">
      <c r="D660" s="50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50"/>
      <c r="P660" s="50"/>
      <c r="Q660" s="52"/>
      <c r="W660" s="53"/>
      <c r="X660" s="53"/>
      <c r="Y660" s="51"/>
      <c r="Z660" s="51"/>
      <c r="AA660" s="52"/>
    </row>
    <row r="661" spans="4:27">
      <c r="D661" s="50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50"/>
      <c r="P661" s="50"/>
      <c r="Q661" s="52"/>
      <c r="W661" s="53"/>
      <c r="X661" s="53"/>
      <c r="Y661" s="51"/>
      <c r="Z661" s="51"/>
      <c r="AA661" s="52"/>
    </row>
    <row r="662" spans="4:27">
      <c r="D662" s="50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50"/>
      <c r="P662" s="50"/>
      <c r="Q662" s="52"/>
      <c r="W662" s="53"/>
      <c r="X662" s="53"/>
      <c r="Y662" s="51"/>
      <c r="Z662" s="51"/>
      <c r="AA662" s="52"/>
    </row>
    <row r="663" spans="4:27">
      <c r="D663" s="50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50"/>
      <c r="P663" s="50"/>
      <c r="Q663" s="52"/>
      <c r="W663" s="53"/>
      <c r="X663" s="53"/>
      <c r="Y663" s="51"/>
      <c r="Z663" s="51"/>
      <c r="AA663" s="52"/>
    </row>
    <row r="664" spans="4:27">
      <c r="D664" s="50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50"/>
      <c r="P664" s="50"/>
      <c r="Q664" s="52"/>
      <c r="W664" s="53"/>
      <c r="X664" s="53"/>
      <c r="Y664" s="51"/>
      <c r="Z664" s="51"/>
      <c r="AA664" s="52"/>
    </row>
    <row r="665" spans="4:27">
      <c r="D665" s="50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50"/>
      <c r="P665" s="50"/>
      <c r="Q665" s="52"/>
      <c r="W665" s="53"/>
      <c r="X665" s="53"/>
      <c r="Y665" s="51"/>
      <c r="Z665" s="51"/>
      <c r="AA665" s="52"/>
    </row>
    <row r="666" spans="4:27">
      <c r="D666" s="50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50"/>
      <c r="P666" s="50"/>
      <c r="Q666" s="52"/>
      <c r="W666" s="53"/>
      <c r="X666" s="53"/>
      <c r="Y666" s="51"/>
      <c r="Z666" s="51"/>
      <c r="AA666" s="52"/>
    </row>
    <row r="667" spans="4:27">
      <c r="D667" s="50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50"/>
      <c r="P667" s="50"/>
      <c r="Q667" s="52"/>
      <c r="W667" s="53"/>
      <c r="X667" s="53"/>
      <c r="Y667" s="51"/>
      <c r="Z667" s="51"/>
      <c r="AA667" s="52"/>
    </row>
    <row r="668" spans="4:27">
      <c r="D668" s="50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50"/>
      <c r="P668" s="50"/>
      <c r="Q668" s="52"/>
      <c r="W668" s="53"/>
      <c r="X668" s="53"/>
      <c r="Y668" s="51"/>
      <c r="Z668" s="51"/>
      <c r="AA668" s="52"/>
    </row>
    <row r="669" spans="4:27">
      <c r="D669" s="50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50"/>
      <c r="P669" s="50"/>
      <c r="Q669" s="52"/>
      <c r="W669" s="53"/>
      <c r="X669" s="53"/>
      <c r="Y669" s="51"/>
      <c r="Z669" s="51"/>
      <c r="AA669" s="52"/>
    </row>
    <row r="670" spans="4:27">
      <c r="D670" s="50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50"/>
      <c r="P670" s="50"/>
      <c r="Q670" s="52"/>
      <c r="W670" s="53"/>
      <c r="X670" s="53"/>
      <c r="Y670" s="51"/>
      <c r="Z670" s="51"/>
      <c r="AA670" s="52"/>
    </row>
    <row r="671" spans="4:27">
      <c r="D671" s="50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50"/>
      <c r="P671" s="50"/>
      <c r="Q671" s="52"/>
      <c r="W671" s="53"/>
      <c r="X671" s="53"/>
      <c r="Y671" s="51"/>
      <c r="Z671" s="51"/>
      <c r="AA671" s="52"/>
    </row>
    <row r="672" spans="4:27">
      <c r="D672" s="50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50"/>
      <c r="P672" s="50"/>
      <c r="Q672" s="52"/>
      <c r="W672" s="53"/>
      <c r="X672" s="53"/>
      <c r="Y672" s="51"/>
      <c r="Z672" s="51"/>
      <c r="AA672" s="52"/>
    </row>
    <row r="673" spans="4:27">
      <c r="D673" s="50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50"/>
      <c r="P673" s="50"/>
      <c r="Q673" s="52"/>
      <c r="W673" s="53"/>
      <c r="X673" s="53"/>
      <c r="Y673" s="51"/>
      <c r="Z673" s="51"/>
      <c r="AA673" s="52"/>
    </row>
    <row r="674" spans="4:27">
      <c r="D674" s="50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50"/>
      <c r="P674" s="50"/>
      <c r="Q674" s="52"/>
      <c r="W674" s="53"/>
      <c r="X674" s="53"/>
      <c r="Y674" s="51"/>
      <c r="Z674" s="51"/>
      <c r="AA674" s="52"/>
    </row>
    <row r="675" spans="4:27">
      <c r="D675" s="50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50"/>
      <c r="P675" s="50"/>
      <c r="Q675" s="52"/>
      <c r="W675" s="53"/>
      <c r="X675" s="53"/>
      <c r="Y675" s="51"/>
      <c r="Z675" s="51"/>
      <c r="AA675" s="52"/>
    </row>
    <row r="676" spans="4:27">
      <c r="D676" s="50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50"/>
      <c r="P676" s="50"/>
      <c r="Q676" s="52"/>
      <c r="W676" s="53"/>
      <c r="X676" s="53"/>
      <c r="Y676" s="51"/>
      <c r="Z676" s="51"/>
      <c r="AA676" s="52"/>
    </row>
    <row r="677" spans="4:27">
      <c r="D677" s="50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50"/>
      <c r="P677" s="50"/>
      <c r="Q677" s="52"/>
      <c r="W677" s="53"/>
      <c r="X677" s="53"/>
      <c r="Y677" s="51"/>
      <c r="Z677" s="51"/>
      <c r="AA677" s="52"/>
    </row>
    <row r="678" spans="4:27">
      <c r="D678" s="50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50"/>
      <c r="P678" s="50"/>
      <c r="Q678" s="52"/>
      <c r="W678" s="53"/>
      <c r="X678" s="53"/>
      <c r="Y678" s="51"/>
      <c r="Z678" s="51"/>
      <c r="AA678" s="52"/>
    </row>
    <row r="679" spans="4:27">
      <c r="D679" s="50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50"/>
      <c r="P679" s="50"/>
      <c r="Q679" s="52"/>
      <c r="W679" s="53"/>
      <c r="X679" s="53"/>
      <c r="Y679" s="51"/>
      <c r="Z679" s="51"/>
      <c r="AA679" s="52"/>
    </row>
    <row r="680" spans="4:27">
      <c r="D680" s="50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50"/>
      <c r="P680" s="50"/>
      <c r="Q680" s="52"/>
      <c r="W680" s="53"/>
      <c r="X680" s="53"/>
      <c r="Y680" s="51"/>
      <c r="Z680" s="51"/>
      <c r="AA680" s="52"/>
    </row>
    <row r="681" spans="4:27">
      <c r="D681" s="50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50"/>
      <c r="P681" s="50"/>
      <c r="Q681" s="52"/>
      <c r="W681" s="53"/>
      <c r="X681" s="53"/>
      <c r="Y681" s="51"/>
      <c r="Z681" s="51"/>
      <c r="AA681" s="52"/>
    </row>
    <row r="682" spans="4:27">
      <c r="D682" s="50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50"/>
      <c r="P682" s="50"/>
      <c r="Q682" s="52"/>
      <c r="W682" s="53"/>
      <c r="X682" s="53"/>
      <c r="Y682" s="51"/>
      <c r="Z682" s="51"/>
      <c r="AA682" s="52"/>
    </row>
    <row r="683" spans="4:27">
      <c r="D683" s="50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50"/>
      <c r="P683" s="50"/>
      <c r="Q683" s="52"/>
      <c r="W683" s="53"/>
      <c r="X683" s="53"/>
      <c r="Y683" s="51"/>
      <c r="Z683" s="51"/>
      <c r="AA683" s="52"/>
    </row>
    <row r="684" spans="4:27">
      <c r="D684" s="50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50"/>
      <c r="P684" s="50"/>
      <c r="Q684" s="52"/>
      <c r="W684" s="53"/>
      <c r="X684" s="53"/>
      <c r="Y684" s="51"/>
      <c r="Z684" s="51"/>
      <c r="AA684" s="52"/>
    </row>
    <row r="685" spans="4:27">
      <c r="D685" s="50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50"/>
      <c r="P685" s="50"/>
      <c r="Q685" s="52"/>
      <c r="W685" s="53"/>
      <c r="X685" s="53"/>
      <c r="Y685" s="51"/>
      <c r="Z685" s="51"/>
      <c r="AA685" s="52"/>
    </row>
    <row r="686" spans="4:27">
      <c r="D686" s="50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50"/>
      <c r="P686" s="50"/>
      <c r="Q686" s="52"/>
      <c r="W686" s="53"/>
      <c r="X686" s="53"/>
      <c r="Y686" s="51"/>
      <c r="Z686" s="51"/>
      <c r="AA686" s="52"/>
    </row>
    <row r="687" spans="4:27">
      <c r="D687" s="50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50"/>
      <c r="P687" s="50"/>
      <c r="Q687" s="52"/>
      <c r="W687" s="53"/>
      <c r="X687" s="53"/>
      <c r="Y687" s="51"/>
      <c r="Z687" s="51"/>
      <c r="AA687" s="52"/>
    </row>
    <row r="688" spans="4:27">
      <c r="D688" s="50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50"/>
      <c r="P688" s="50"/>
      <c r="Q688" s="52"/>
      <c r="W688" s="53"/>
      <c r="X688" s="53"/>
      <c r="Y688" s="51"/>
      <c r="Z688" s="51"/>
      <c r="AA688" s="52"/>
    </row>
    <row r="689" spans="4:27">
      <c r="D689" s="50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50"/>
      <c r="P689" s="50"/>
      <c r="Q689" s="52"/>
      <c r="W689" s="53"/>
      <c r="X689" s="53"/>
      <c r="Y689" s="51"/>
      <c r="Z689" s="51"/>
      <c r="AA689" s="52"/>
    </row>
    <row r="690" spans="4:27">
      <c r="D690" s="50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50"/>
      <c r="P690" s="50"/>
      <c r="Q690" s="52"/>
      <c r="W690" s="53"/>
      <c r="X690" s="53"/>
      <c r="Y690" s="51"/>
      <c r="Z690" s="51"/>
      <c r="AA690" s="52"/>
    </row>
    <row r="691" spans="4:27">
      <c r="D691" s="50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50"/>
      <c r="P691" s="50"/>
      <c r="Q691" s="52"/>
      <c r="W691" s="53"/>
      <c r="X691" s="53"/>
      <c r="Y691" s="51"/>
      <c r="Z691" s="51"/>
      <c r="AA691" s="52"/>
    </row>
    <row r="692" spans="4:27">
      <c r="D692" s="50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50"/>
      <c r="P692" s="50"/>
      <c r="Q692" s="52"/>
      <c r="W692" s="53"/>
      <c r="X692" s="53"/>
      <c r="Y692" s="51"/>
      <c r="Z692" s="51"/>
      <c r="AA692" s="52"/>
    </row>
    <row r="693" spans="4:27">
      <c r="D693" s="50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50"/>
      <c r="P693" s="50"/>
      <c r="Q693" s="52"/>
      <c r="W693" s="53"/>
      <c r="X693" s="53"/>
      <c r="Y693" s="51"/>
      <c r="Z693" s="51"/>
      <c r="AA693" s="52"/>
    </row>
    <row r="694" spans="4:27">
      <c r="D694" s="50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50"/>
      <c r="P694" s="50"/>
      <c r="Q694" s="52"/>
      <c r="W694" s="53"/>
      <c r="X694" s="53"/>
      <c r="Y694" s="51"/>
      <c r="Z694" s="51"/>
      <c r="AA694" s="52"/>
    </row>
    <row r="695" spans="4:27">
      <c r="D695" s="50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50"/>
      <c r="P695" s="50"/>
      <c r="Q695" s="52"/>
      <c r="W695" s="53"/>
      <c r="X695" s="53"/>
      <c r="Y695" s="51"/>
      <c r="Z695" s="51"/>
      <c r="AA695" s="52"/>
    </row>
    <row r="696" spans="4:27">
      <c r="D696" s="50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50"/>
      <c r="P696" s="50"/>
      <c r="Q696" s="52"/>
      <c r="W696" s="53"/>
      <c r="X696" s="53"/>
      <c r="Y696" s="51"/>
      <c r="Z696" s="51"/>
      <c r="AA696" s="52"/>
    </row>
    <row r="697" spans="4:27">
      <c r="D697" s="50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50"/>
      <c r="P697" s="50"/>
      <c r="Q697" s="52"/>
      <c r="W697" s="53"/>
      <c r="X697" s="53"/>
      <c r="Y697" s="51"/>
      <c r="Z697" s="51"/>
      <c r="AA697" s="52"/>
    </row>
    <row r="698" spans="4:27">
      <c r="D698" s="50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50"/>
      <c r="P698" s="50"/>
      <c r="Q698" s="52"/>
      <c r="W698" s="53"/>
      <c r="X698" s="53"/>
      <c r="Y698" s="51"/>
      <c r="Z698" s="51"/>
      <c r="AA698" s="52"/>
    </row>
    <row r="699" spans="4:27">
      <c r="D699" s="50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50"/>
      <c r="P699" s="50"/>
      <c r="Q699" s="52"/>
      <c r="W699" s="53"/>
      <c r="X699" s="53"/>
      <c r="Y699" s="51"/>
      <c r="Z699" s="51"/>
      <c r="AA699" s="52"/>
    </row>
    <row r="700" spans="4:27">
      <c r="D700" s="50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50"/>
      <c r="P700" s="50"/>
      <c r="Q700" s="52"/>
      <c r="W700" s="53"/>
      <c r="X700" s="53"/>
      <c r="Y700" s="51"/>
      <c r="Z700" s="51"/>
      <c r="AA700" s="52"/>
    </row>
    <row r="701" spans="4:27">
      <c r="D701" s="50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50"/>
      <c r="P701" s="50"/>
      <c r="Q701" s="52"/>
      <c r="W701" s="53"/>
      <c r="X701" s="53"/>
      <c r="Y701" s="51"/>
      <c r="Z701" s="51"/>
      <c r="AA701" s="52"/>
    </row>
    <row r="702" spans="4:27">
      <c r="D702" s="50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50"/>
      <c r="P702" s="50"/>
      <c r="Q702" s="52"/>
      <c r="W702" s="53"/>
      <c r="X702" s="53"/>
      <c r="Y702" s="51"/>
      <c r="Z702" s="51"/>
      <c r="AA702" s="52"/>
    </row>
    <row r="703" spans="4:27">
      <c r="D703" s="50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50"/>
      <c r="P703" s="50"/>
      <c r="Q703" s="52"/>
      <c r="W703" s="53"/>
      <c r="X703" s="53"/>
      <c r="Y703" s="51"/>
      <c r="Z703" s="51"/>
      <c r="AA703" s="52"/>
    </row>
    <row r="704" spans="4:27">
      <c r="D704" s="50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50"/>
      <c r="P704" s="50"/>
      <c r="Q704" s="52"/>
      <c r="W704" s="53"/>
      <c r="X704" s="53"/>
      <c r="Y704" s="51"/>
      <c r="Z704" s="51"/>
      <c r="AA704" s="52"/>
    </row>
    <row r="705" spans="4:27">
      <c r="D705" s="50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50"/>
      <c r="P705" s="50"/>
      <c r="Q705" s="52"/>
      <c r="W705" s="53"/>
      <c r="X705" s="53"/>
      <c r="Y705" s="51"/>
      <c r="Z705" s="51"/>
      <c r="AA705" s="52"/>
    </row>
    <row r="706" spans="4:27">
      <c r="D706" s="50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50"/>
      <c r="P706" s="50"/>
      <c r="Q706" s="52"/>
      <c r="W706" s="53"/>
      <c r="X706" s="53"/>
      <c r="Y706" s="51"/>
      <c r="Z706" s="51"/>
      <c r="AA706" s="52"/>
    </row>
    <row r="707" spans="4:27">
      <c r="D707" s="50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50"/>
      <c r="P707" s="50"/>
      <c r="Q707" s="52"/>
      <c r="W707" s="53"/>
      <c r="X707" s="53"/>
      <c r="Y707" s="51"/>
      <c r="Z707" s="51"/>
      <c r="AA707" s="52"/>
    </row>
    <row r="708" spans="4:27">
      <c r="D708" s="50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50"/>
      <c r="P708" s="50"/>
      <c r="Q708" s="52"/>
      <c r="W708" s="53"/>
      <c r="X708" s="53"/>
      <c r="Y708" s="51"/>
      <c r="Z708" s="51"/>
      <c r="AA708" s="52"/>
    </row>
    <row r="709" spans="4:27">
      <c r="D709" s="50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50"/>
      <c r="P709" s="50"/>
      <c r="Q709" s="52"/>
      <c r="W709" s="53"/>
      <c r="X709" s="53"/>
      <c r="Y709" s="51"/>
      <c r="Z709" s="51"/>
      <c r="AA709" s="52"/>
    </row>
    <row r="710" spans="4:27">
      <c r="D710" s="50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50"/>
      <c r="P710" s="50"/>
      <c r="Q710" s="52"/>
      <c r="W710" s="53"/>
      <c r="X710" s="53"/>
      <c r="Y710" s="51"/>
      <c r="Z710" s="51"/>
      <c r="AA710" s="52"/>
    </row>
    <row r="711" spans="4:27">
      <c r="D711" s="50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50"/>
      <c r="P711" s="50"/>
      <c r="Q711" s="52"/>
      <c r="W711" s="53"/>
      <c r="X711" s="53"/>
      <c r="Y711" s="51"/>
      <c r="Z711" s="51"/>
      <c r="AA711" s="52"/>
    </row>
    <row r="712" spans="4:27">
      <c r="D712" s="50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50"/>
      <c r="P712" s="50"/>
      <c r="Q712" s="52"/>
      <c r="W712" s="53"/>
      <c r="X712" s="53"/>
      <c r="Y712" s="51"/>
      <c r="Z712" s="51"/>
      <c r="AA712" s="52"/>
    </row>
    <row r="713" spans="4:27">
      <c r="D713" s="50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50"/>
      <c r="P713" s="50"/>
      <c r="Q713" s="52"/>
      <c r="W713" s="53"/>
      <c r="X713" s="53"/>
      <c r="Y713" s="51"/>
      <c r="Z713" s="51"/>
      <c r="AA713" s="52"/>
    </row>
    <row r="714" spans="4:27">
      <c r="D714" s="50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50"/>
      <c r="P714" s="50"/>
      <c r="Q714" s="52"/>
      <c r="W714" s="53"/>
      <c r="X714" s="53"/>
      <c r="Y714" s="51"/>
      <c r="Z714" s="51"/>
      <c r="AA714" s="52"/>
    </row>
    <row r="715" spans="4:27">
      <c r="D715" s="50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50"/>
      <c r="P715" s="50"/>
      <c r="Q715" s="52"/>
      <c r="W715" s="53"/>
      <c r="X715" s="53"/>
      <c r="Y715" s="51"/>
      <c r="Z715" s="51"/>
      <c r="AA715" s="52"/>
    </row>
    <row r="716" spans="4:27">
      <c r="D716" s="50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50"/>
      <c r="P716" s="50"/>
      <c r="Q716" s="52"/>
      <c r="W716" s="53"/>
      <c r="X716" s="53"/>
      <c r="Y716" s="51"/>
      <c r="Z716" s="51"/>
      <c r="AA716" s="52"/>
    </row>
    <row r="717" spans="4:27">
      <c r="D717" s="50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50"/>
      <c r="P717" s="50"/>
      <c r="Q717" s="52"/>
      <c r="W717" s="53"/>
      <c r="X717" s="53"/>
      <c r="Y717" s="51"/>
      <c r="Z717" s="51"/>
      <c r="AA717" s="52"/>
    </row>
    <row r="718" spans="4:27">
      <c r="D718" s="50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50"/>
      <c r="P718" s="50"/>
      <c r="Q718" s="52"/>
      <c r="W718" s="53"/>
      <c r="X718" s="53"/>
      <c r="Y718" s="51"/>
      <c r="Z718" s="51"/>
      <c r="AA718" s="52"/>
    </row>
    <row r="719" spans="4:27">
      <c r="D719" s="50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50"/>
      <c r="P719" s="50"/>
      <c r="Q719" s="52"/>
      <c r="W719" s="53"/>
      <c r="X719" s="53"/>
      <c r="Y719" s="51"/>
      <c r="Z719" s="51"/>
      <c r="AA719" s="52"/>
    </row>
    <row r="720" spans="4:27">
      <c r="D720" s="50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50"/>
      <c r="P720" s="50"/>
      <c r="Q720" s="52"/>
      <c r="W720" s="53"/>
      <c r="X720" s="53"/>
      <c r="Y720" s="51"/>
      <c r="Z720" s="51"/>
      <c r="AA720" s="52"/>
    </row>
    <row r="721" spans="4:27">
      <c r="D721" s="50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50"/>
      <c r="P721" s="50"/>
      <c r="Q721" s="52"/>
      <c r="W721" s="53"/>
      <c r="X721" s="53"/>
      <c r="Y721" s="51"/>
      <c r="Z721" s="51"/>
      <c r="AA721" s="52"/>
    </row>
    <row r="722" spans="4:27">
      <c r="D722" s="50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50"/>
      <c r="P722" s="50"/>
      <c r="Q722" s="52"/>
      <c r="W722" s="53"/>
      <c r="X722" s="53"/>
      <c r="Y722" s="51"/>
      <c r="Z722" s="51"/>
      <c r="AA722" s="52"/>
    </row>
    <row r="723" spans="4:27">
      <c r="D723" s="50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50"/>
      <c r="P723" s="50"/>
      <c r="Q723" s="52"/>
      <c r="W723" s="53"/>
      <c r="X723" s="53"/>
      <c r="Y723" s="51"/>
      <c r="Z723" s="51"/>
      <c r="AA723" s="52"/>
    </row>
    <row r="724" spans="4:27">
      <c r="D724" s="50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50"/>
      <c r="P724" s="50"/>
      <c r="Q724" s="52"/>
      <c r="W724" s="53"/>
      <c r="X724" s="53"/>
      <c r="Y724" s="51"/>
      <c r="Z724" s="51"/>
      <c r="AA724" s="52"/>
    </row>
    <row r="725" spans="4:27">
      <c r="D725" s="50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50"/>
      <c r="P725" s="50"/>
      <c r="Q725" s="52"/>
      <c r="W725" s="53"/>
      <c r="X725" s="53"/>
      <c r="Y725" s="51"/>
      <c r="Z725" s="51"/>
      <c r="AA725" s="52"/>
    </row>
    <row r="726" spans="4:27">
      <c r="D726" s="50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50"/>
      <c r="P726" s="50"/>
      <c r="Q726" s="52"/>
      <c r="W726" s="53"/>
      <c r="X726" s="53"/>
      <c r="Y726" s="51"/>
      <c r="Z726" s="51"/>
      <c r="AA726" s="52"/>
    </row>
    <row r="727" spans="4:27">
      <c r="D727" s="50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50"/>
      <c r="P727" s="50"/>
      <c r="Q727" s="52"/>
      <c r="W727" s="53"/>
      <c r="X727" s="53"/>
      <c r="Y727" s="51"/>
      <c r="Z727" s="51"/>
      <c r="AA727" s="52"/>
    </row>
    <row r="728" spans="4:27">
      <c r="D728" s="50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50"/>
      <c r="P728" s="50"/>
      <c r="Q728" s="52"/>
      <c r="W728" s="53"/>
      <c r="X728" s="53"/>
      <c r="Y728" s="51"/>
      <c r="Z728" s="51"/>
      <c r="AA728" s="52"/>
    </row>
    <row r="729" spans="4:27">
      <c r="D729" s="50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50"/>
      <c r="P729" s="50"/>
      <c r="Q729" s="52"/>
      <c r="W729" s="53"/>
      <c r="X729" s="53"/>
      <c r="Y729" s="51"/>
      <c r="Z729" s="51"/>
      <c r="AA729" s="52"/>
    </row>
    <row r="730" spans="4:27">
      <c r="D730" s="50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50"/>
      <c r="P730" s="50"/>
      <c r="Q730" s="52"/>
      <c r="W730" s="53"/>
      <c r="X730" s="53"/>
      <c r="Y730" s="51"/>
      <c r="Z730" s="51"/>
      <c r="AA730" s="52"/>
    </row>
    <row r="731" spans="4:27">
      <c r="D731" s="50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50"/>
      <c r="P731" s="50"/>
      <c r="Q731" s="52"/>
      <c r="W731" s="53"/>
      <c r="X731" s="53"/>
      <c r="Y731" s="51"/>
      <c r="Z731" s="51"/>
      <c r="AA731" s="52"/>
    </row>
    <row r="732" spans="4:27">
      <c r="D732" s="50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50"/>
      <c r="P732" s="50"/>
      <c r="Q732" s="52"/>
      <c r="W732" s="53"/>
      <c r="X732" s="53"/>
      <c r="Y732" s="51"/>
      <c r="Z732" s="51"/>
      <c r="AA732" s="52"/>
    </row>
    <row r="733" spans="4:27">
      <c r="D733" s="50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50"/>
      <c r="P733" s="50"/>
      <c r="Q733" s="52"/>
      <c r="W733" s="53"/>
      <c r="X733" s="53"/>
      <c r="Y733" s="51"/>
      <c r="Z733" s="51"/>
      <c r="AA733" s="52"/>
    </row>
    <row r="734" spans="4:27">
      <c r="D734" s="50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50"/>
      <c r="P734" s="50"/>
      <c r="Q734" s="52"/>
      <c r="W734" s="53"/>
      <c r="X734" s="53"/>
      <c r="Y734" s="51"/>
      <c r="Z734" s="51"/>
      <c r="AA734" s="52"/>
    </row>
    <row r="735" spans="4:27">
      <c r="D735" s="50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50"/>
      <c r="P735" s="50"/>
      <c r="Q735" s="52"/>
      <c r="W735" s="53"/>
      <c r="X735" s="53"/>
      <c r="Y735" s="51"/>
      <c r="Z735" s="51"/>
      <c r="AA735" s="52"/>
    </row>
    <row r="736" spans="4:27">
      <c r="D736" s="50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50"/>
      <c r="P736" s="50"/>
      <c r="Q736" s="52"/>
      <c r="W736" s="53"/>
      <c r="X736" s="53"/>
      <c r="Y736" s="51"/>
      <c r="Z736" s="51"/>
      <c r="AA736" s="52"/>
    </row>
    <row r="737" spans="4:27">
      <c r="D737" s="50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50"/>
      <c r="P737" s="50"/>
      <c r="Q737" s="52"/>
      <c r="W737" s="53"/>
      <c r="X737" s="53"/>
      <c r="Y737" s="51"/>
      <c r="Z737" s="51"/>
      <c r="AA737" s="52"/>
    </row>
    <row r="738" spans="4:27">
      <c r="D738" s="50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50"/>
      <c r="P738" s="50"/>
      <c r="Q738" s="52"/>
      <c r="W738" s="53"/>
      <c r="X738" s="53"/>
      <c r="Y738" s="51"/>
      <c r="Z738" s="51"/>
      <c r="AA738" s="52"/>
    </row>
    <row r="739" spans="4:27">
      <c r="D739" s="50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50"/>
      <c r="P739" s="50"/>
      <c r="Q739" s="52"/>
      <c r="W739" s="53"/>
      <c r="X739" s="53"/>
      <c r="Y739" s="51"/>
      <c r="Z739" s="51"/>
      <c r="AA739" s="52"/>
    </row>
    <row r="740" spans="4:27">
      <c r="D740" s="50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50"/>
      <c r="P740" s="50"/>
      <c r="Q740" s="52"/>
      <c r="W740" s="53"/>
      <c r="X740" s="53"/>
      <c r="Y740" s="51"/>
      <c r="Z740" s="51"/>
      <c r="AA740" s="52"/>
    </row>
    <row r="741" spans="4:27">
      <c r="D741" s="50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50"/>
      <c r="P741" s="50"/>
      <c r="Q741" s="52"/>
      <c r="W741" s="53"/>
      <c r="X741" s="53"/>
      <c r="Y741" s="51"/>
      <c r="Z741" s="51"/>
      <c r="AA741" s="52"/>
    </row>
    <row r="742" spans="4:27">
      <c r="D742" s="50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50"/>
      <c r="P742" s="50"/>
      <c r="Q742" s="52"/>
      <c r="W742" s="53"/>
      <c r="X742" s="53"/>
      <c r="Y742" s="51"/>
      <c r="Z742" s="51"/>
      <c r="AA742" s="52"/>
    </row>
    <row r="743" spans="4:27">
      <c r="D743" s="50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50"/>
      <c r="P743" s="50"/>
      <c r="Q743" s="52"/>
      <c r="W743" s="53"/>
      <c r="X743" s="53"/>
      <c r="Y743" s="51"/>
      <c r="Z743" s="51"/>
      <c r="AA743" s="52"/>
    </row>
    <row r="744" spans="4:27">
      <c r="D744" s="50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50"/>
      <c r="P744" s="50"/>
      <c r="Q744" s="52"/>
      <c r="W744" s="53"/>
      <c r="X744" s="53"/>
      <c r="Y744" s="51"/>
      <c r="Z744" s="51"/>
      <c r="AA744" s="52"/>
    </row>
    <row r="745" spans="4:27">
      <c r="D745" s="50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50"/>
      <c r="P745" s="50"/>
      <c r="Q745" s="52"/>
      <c r="W745" s="53"/>
      <c r="X745" s="53"/>
      <c r="Y745" s="51"/>
      <c r="Z745" s="51"/>
      <c r="AA745" s="52"/>
    </row>
    <row r="746" spans="4:27">
      <c r="D746" s="50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50"/>
      <c r="P746" s="50"/>
      <c r="Q746" s="52"/>
      <c r="W746" s="53"/>
      <c r="X746" s="53"/>
      <c r="Y746" s="51"/>
      <c r="Z746" s="51"/>
      <c r="AA746" s="52"/>
    </row>
    <row r="747" spans="4:27">
      <c r="D747" s="50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50"/>
      <c r="P747" s="50"/>
      <c r="Q747" s="52"/>
      <c r="W747" s="53"/>
      <c r="X747" s="53"/>
      <c r="Y747" s="51"/>
      <c r="Z747" s="51"/>
      <c r="AA747" s="52"/>
    </row>
    <row r="748" spans="4:27">
      <c r="D748" s="50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50"/>
      <c r="P748" s="50"/>
      <c r="Q748" s="52"/>
      <c r="W748" s="53"/>
      <c r="X748" s="53"/>
      <c r="Y748" s="51"/>
      <c r="Z748" s="51"/>
      <c r="AA748" s="52"/>
    </row>
    <row r="749" spans="4:27">
      <c r="D749" s="50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50"/>
      <c r="P749" s="50"/>
      <c r="Q749" s="52"/>
      <c r="W749" s="53"/>
      <c r="X749" s="53"/>
      <c r="Y749" s="51"/>
      <c r="Z749" s="51"/>
      <c r="AA749" s="52"/>
    </row>
    <row r="750" spans="4:27">
      <c r="D750" s="50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50"/>
      <c r="P750" s="50"/>
      <c r="Q750" s="52"/>
      <c r="W750" s="53"/>
      <c r="X750" s="53"/>
      <c r="Y750" s="51"/>
      <c r="Z750" s="51"/>
      <c r="AA750" s="52"/>
    </row>
    <row r="751" spans="4:27">
      <c r="D751" s="50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50"/>
      <c r="P751" s="50"/>
      <c r="Q751" s="52"/>
      <c r="W751" s="53"/>
      <c r="X751" s="53"/>
      <c r="Y751" s="51"/>
      <c r="Z751" s="51"/>
      <c r="AA751" s="52"/>
    </row>
    <row r="752" spans="4:27">
      <c r="D752" s="50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50"/>
      <c r="P752" s="50"/>
      <c r="Q752" s="52"/>
      <c r="W752" s="53"/>
      <c r="X752" s="53"/>
      <c r="Y752" s="51"/>
      <c r="Z752" s="51"/>
      <c r="AA752" s="52"/>
    </row>
    <row r="753" spans="4:27">
      <c r="D753" s="50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50"/>
      <c r="P753" s="50"/>
      <c r="Q753" s="52"/>
      <c r="W753" s="53"/>
      <c r="X753" s="53"/>
      <c r="Y753" s="51"/>
      <c r="Z753" s="51"/>
      <c r="AA753" s="52"/>
    </row>
    <row r="754" spans="4:27">
      <c r="D754" s="50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50"/>
      <c r="P754" s="50"/>
      <c r="Q754" s="52"/>
      <c r="W754" s="53"/>
      <c r="X754" s="53"/>
      <c r="Y754" s="51"/>
      <c r="Z754" s="51"/>
      <c r="AA754" s="52"/>
    </row>
    <row r="755" spans="4:27">
      <c r="D755" s="50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50"/>
      <c r="P755" s="50"/>
      <c r="Q755" s="52"/>
      <c r="W755" s="53"/>
      <c r="X755" s="53"/>
      <c r="Y755" s="51"/>
      <c r="Z755" s="51"/>
      <c r="AA755" s="52"/>
    </row>
    <row r="756" spans="4:27">
      <c r="D756" s="50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50"/>
      <c r="P756" s="50"/>
      <c r="Q756" s="52"/>
      <c r="W756" s="53"/>
      <c r="X756" s="53"/>
      <c r="Y756" s="51"/>
      <c r="Z756" s="51"/>
      <c r="AA756" s="52"/>
    </row>
    <row r="757" spans="4:27">
      <c r="D757" s="50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50"/>
      <c r="P757" s="50"/>
      <c r="Q757" s="52"/>
      <c r="W757" s="53"/>
      <c r="X757" s="53"/>
      <c r="Y757" s="51"/>
      <c r="Z757" s="51"/>
      <c r="AA757" s="52"/>
    </row>
    <row r="758" spans="4:27">
      <c r="D758" s="50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50"/>
      <c r="P758" s="50"/>
      <c r="Q758" s="52"/>
      <c r="W758" s="53"/>
      <c r="X758" s="53"/>
      <c r="Y758" s="51"/>
      <c r="Z758" s="51"/>
      <c r="AA758" s="52"/>
    </row>
    <row r="759" spans="4:27">
      <c r="D759" s="50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50"/>
      <c r="P759" s="50"/>
      <c r="Q759" s="52"/>
      <c r="W759" s="53"/>
      <c r="X759" s="53"/>
      <c r="Y759" s="51"/>
      <c r="Z759" s="51"/>
      <c r="AA759" s="52"/>
    </row>
    <row r="760" spans="4:27">
      <c r="D760" s="50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50"/>
      <c r="P760" s="50"/>
      <c r="Q760" s="52"/>
      <c r="W760" s="53"/>
      <c r="X760" s="53"/>
      <c r="Y760" s="51"/>
      <c r="Z760" s="51"/>
      <c r="AA760" s="52"/>
    </row>
    <row r="761" spans="4:27">
      <c r="D761" s="50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50"/>
      <c r="P761" s="50"/>
      <c r="Q761" s="52"/>
      <c r="W761" s="53"/>
      <c r="X761" s="53"/>
      <c r="Y761" s="51"/>
      <c r="Z761" s="51"/>
      <c r="AA761" s="52"/>
    </row>
    <row r="762" spans="4:27">
      <c r="D762" s="50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50"/>
      <c r="P762" s="50"/>
      <c r="Q762" s="52"/>
      <c r="W762" s="53"/>
      <c r="X762" s="53"/>
      <c r="Y762" s="51"/>
      <c r="Z762" s="51"/>
      <c r="AA762" s="52"/>
    </row>
    <row r="763" spans="4:27">
      <c r="D763" s="50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50"/>
      <c r="P763" s="50"/>
      <c r="Q763" s="52"/>
      <c r="W763" s="53"/>
      <c r="X763" s="53"/>
      <c r="Y763" s="51"/>
      <c r="Z763" s="51"/>
      <c r="AA763" s="52"/>
    </row>
    <row r="764" spans="4:27">
      <c r="D764" s="50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50"/>
      <c r="P764" s="50"/>
      <c r="Q764" s="52"/>
      <c r="W764" s="53"/>
      <c r="X764" s="53"/>
      <c r="Y764" s="51"/>
      <c r="Z764" s="51"/>
      <c r="AA764" s="52"/>
    </row>
    <row r="765" spans="4:27">
      <c r="D765" s="50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50"/>
      <c r="P765" s="50"/>
      <c r="Q765" s="52"/>
      <c r="W765" s="53"/>
      <c r="X765" s="53"/>
      <c r="Y765" s="51"/>
      <c r="Z765" s="51"/>
      <c r="AA765" s="52"/>
    </row>
    <row r="766" spans="4:27">
      <c r="D766" s="50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50"/>
      <c r="P766" s="50"/>
      <c r="Q766" s="52"/>
      <c r="W766" s="53"/>
      <c r="X766" s="53"/>
      <c r="Y766" s="51"/>
      <c r="Z766" s="51"/>
      <c r="AA766" s="52"/>
    </row>
    <row r="767" spans="4:27">
      <c r="D767" s="50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50"/>
      <c r="P767" s="50"/>
      <c r="Q767" s="52"/>
      <c r="W767" s="53"/>
      <c r="X767" s="53"/>
      <c r="Y767" s="51"/>
      <c r="Z767" s="51"/>
      <c r="AA767" s="52"/>
    </row>
    <row r="768" spans="4:27">
      <c r="D768" s="50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50"/>
      <c r="P768" s="50"/>
      <c r="Q768" s="52"/>
      <c r="W768" s="53"/>
      <c r="X768" s="53"/>
      <c r="Y768" s="51"/>
      <c r="Z768" s="51"/>
      <c r="AA768" s="52"/>
    </row>
    <row r="769" spans="4:27">
      <c r="D769" s="50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50"/>
      <c r="P769" s="50"/>
      <c r="Q769" s="52"/>
      <c r="W769" s="53"/>
      <c r="X769" s="53"/>
      <c r="Y769" s="51"/>
      <c r="Z769" s="51"/>
      <c r="AA769" s="52"/>
    </row>
    <row r="770" spans="4:27">
      <c r="D770" s="50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50"/>
      <c r="P770" s="50"/>
      <c r="Q770" s="52"/>
      <c r="W770" s="53"/>
      <c r="X770" s="53"/>
      <c r="Y770" s="51"/>
      <c r="Z770" s="51"/>
      <c r="AA770" s="52"/>
    </row>
    <row r="771" spans="4:27">
      <c r="D771" s="50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50"/>
      <c r="P771" s="50"/>
      <c r="Q771" s="52"/>
      <c r="W771" s="53"/>
      <c r="X771" s="53"/>
      <c r="Y771" s="51"/>
      <c r="Z771" s="51"/>
      <c r="AA771" s="52"/>
    </row>
    <row r="772" spans="4:27">
      <c r="D772" s="50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50"/>
      <c r="P772" s="50"/>
      <c r="Q772" s="52"/>
      <c r="W772" s="53"/>
      <c r="X772" s="53"/>
      <c r="Y772" s="51"/>
      <c r="Z772" s="51"/>
      <c r="AA772" s="52"/>
    </row>
    <row r="773" spans="4:27">
      <c r="D773" s="50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50"/>
      <c r="P773" s="50"/>
      <c r="Q773" s="52"/>
      <c r="W773" s="53"/>
      <c r="X773" s="53"/>
      <c r="Y773" s="51"/>
      <c r="Z773" s="51"/>
      <c r="AA773" s="52"/>
    </row>
    <row r="774" spans="4:27">
      <c r="D774" s="50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50"/>
      <c r="P774" s="50"/>
      <c r="Q774" s="52"/>
      <c r="W774" s="53"/>
      <c r="X774" s="53"/>
      <c r="Y774" s="51"/>
      <c r="Z774" s="51"/>
      <c r="AA774" s="52"/>
    </row>
    <row r="775" spans="4:27">
      <c r="D775" s="50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50"/>
      <c r="P775" s="50"/>
      <c r="Q775" s="52"/>
      <c r="W775" s="53"/>
      <c r="X775" s="53"/>
      <c r="Y775" s="51"/>
      <c r="Z775" s="51"/>
      <c r="AA775" s="52"/>
    </row>
    <row r="776" spans="4:27">
      <c r="D776" s="50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50"/>
      <c r="P776" s="50"/>
      <c r="Q776" s="52"/>
      <c r="W776" s="53"/>
      <c r="X776" s="53"/>
      <c r="Y776" s="51"/>
      <c r="Z776" s="51"/>
      <c r="AA776" s="52"/>
    </row>
    <row r="777" spans="4:27">
      <c r="D777" s="50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50"/>
      <c r="P777" s="50"/>
      <c r="Q777" s="52"/>
      <c r="W777" s="53"/>
      <c r="X777" s="53"/>
      <c r="Y777" s="51"/>
      <c r="Z777" s="51"/>
      <c r="AA777" s="52"/>
    </row>
    <row r="778" spans="4:27">
      <c r="D778" s="50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50"/>
      <c r="P778" s="50"/>
      <c r="Q778" s="52"/>
      <c r="W778" s="53"/>
      <c r="X778" s="53"/>
      <c r="Y778" s="51"/>
      <c r="Z778" s="51"/>
      <c r="AA778" s="52"/>
    </row>
    <row r="779" spans="4:27">
      <c r="D779" s="50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50"/>
      <c r="P779" s="50"/>
      <c r="Q779" s="52"/>
      <c r="W779" s="53"/>
      <c r="X779" s="53"/>
      <c r="Y779" s="51"/>
      <c r="Z779" s="51"/>
      <c r="AA779" s="52"/>
    </row>
    <row r="780" spans="4:27">
      <c r="D780" s="50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50"/>
      <c r="P780" s="50"/>
      <c r="Q780" s="52"/>
      <c r="W780" s="53"/>
      <c r="X780" s="53"/>
      <c r="Y780" s="51"/>
      <c r="Z780" s="51"/>
      <c r="AA780" s="52"/>
    </row>
    <row r="781" spans="4:27">
      <c r="D781" s="50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50"/>
      <c r="P781" s="50"/>
      <c r="Q781" s="52"/>
      <c r="W781" s="53"/>
      <c r="X781" s="53"/>
      <c r="Y781" s="51"/>
      <c r="Z781" s="51"/>
      <c r="AA781" s="52"/>
    </row>
    <row r="782" spans="4:27">
      <c r="D782" s="50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50"/>
      <c r="P782" s="50"/>
      <c r="Q782" s="52"/>
      <c r="W782" s="53"/>
      <c r="X782" s="53"/>
      <c r="Y782" s="51"/>
      <c r="Z782" s="51"/>
      <c r="AA782" s="52"/>
    </row>
    <row r="783" spans="4:27">
      <c r="D783" s="50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50"/>
      <c r="P783" s="50"/>
      <c r="Q783" s="52"/>
      <c r="W783" s="53"/>
      <c r="X783" s="53"/>
      <c r="Y783" s="51"/>
      <c r="Z783" s="51"/>
      <c r="AA783" s="52"/>
    </row>
    <row r="784" spans="4:27">
      <c r="D784" s="50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50"/>
      <c r="P784" s="50"/>
      <c r="Q784" s="52"/>
      <c r="W784" s="53"/>
      <c r="X784" s="53"/>
      <c r="Y784" s="51"/>
      <c r="Z784" s="51"/>
      <c r="AA784" s="52"/>
    </row>
    <row r="785" spans="4:27">
      <c r="D785" s="50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50"/>
      <c r="P785" s="50"/>
      <c r="Q785" s="52"/>
      <c r="W785" s="53"/>
      <c r="X785" s="53"/>
      <c r="Y785" s="51"/>
      <c r="Z785" s="51"/>
      <c r="AA785" s="52"/>
    </row>
    <row r="786" spans="4:27">
      <c r="D786" s="50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50"/>
      <c r="P786" s="50"/>
      <c r="Q786" s="52"/>
      <c r="W786" s="53"/>
      <c r="X786" s="53"/>
      <c r="Y786" s="51"/>
      <c r="Z786" s="51"/>
      <c r="AA786" s="52"/>
    </row>
    <row r="787" spans="4:27">
      <c r="D787" s="50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50"/>
      <c r="P787" s="50"/>
      <c r="Q787" s="52"/>
      <c r="W787" s="53"/>
      <c r="X787" s="53"/>
      <c r="Y787" s="51"/>
      <c r="Z787" s="51"/>
      <c r="AA787" s="52"/>
    </row>
    <row r="788" spans="4:27">
      <c r="D788" s="50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50"/>
      <c r="P788" s="50"/>
      <c r="Q788" s="52"/>
      <c r="W788" s="53"/>
      <c r="X788" s="53"/>
      <c r="Y788" s="51"/>
      <c r="Z788" s="51"/>
      <c r="AA788" s="52"/>
    </row>
    <row r="789" spans="4:27">
      <c r="D789" s="50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50"/>
      <c r="P789" s="50"/>
      <c r="Q789" s="52"/>
      <c r="W789" s="53"/>
      <c r="X789" s="53"/>
      <c r="Y789" s="51"/>
      <c r="Z789" s="51"/>
      <c r="AA789" s="52"/>
    </row>
    <row r="790" spans="4:27">
      <c r="D790" s="50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50"/>
      <c r="P790" s="50"/>
      <c r="Q790" s="52"/>
      <c r="W790" s="53"/>
      <c r="X790" s="53"/>
      <c r="Y790" s="51"/>
      <c r="Z790" s="51"/>
      <c r="AA790" s="52"/>
    </row>
    <row r="791" spans="4:27">
      <c r="D791" s="50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50"/>
      <c r="P791" s="50"/>
      <c r="Q791" s="52"/>
      <c r="W791" s="53"/>
      <c r="X791" s="53"/>
      <c r="Y791" s="51"/>
      <c r="Z791" s="51"/>
      <c r="AA791" s="52"/>
    </row>
    <row r="792" spans="4:27">
      <c r="D792" s="50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50"/>
      <c r="P792" s="50"/>
      <c r="Q792" s="52"/>
      <c r="W792" s="53"/>
      <c r="X792" s="53"/>
      <c r="Y792" s="51"/>
      <c r="Z792" s="51"/>
      <c r="AA792" s="52"/>
    </row>
    <row r="793" spans="4:27">
      <c r="D793" s="50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50"/>
      <c r="P793" s="50"/>
      <c r="Q793" s="52"/>
      <c r="W793" s="53"/>
      <c r="X793" s="53"/>
      <c r="Y793" s="51"/>
      <c r="Z793" s="51"/>
      <c r="AA793" s="52"/>
    </row>
    <row r="794" spans="4:27">
      <c r="D794" s="50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50"/>
      <c r="P794" s="50"/>
      <c r="Q794" s="52"/>
      <c r="W794" s="53"/>
      <c r="X794" s="53"/>
      <c r="Y794" s="51"/>
      <c r="Z794" s="51"/>
      <c r="AA794" s="52"/>
    </row>
    <row r="795" spans="4:27">
      <c r="D795" s="50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50"/>
      <c r="P795" s="50"/>
      <c r="Q795" s="52"/>
      <c r="W795" s="53"/>
      <c r="X795" s="53"/>
      <c r="Y795" s="51"/>
      <c r="Z795" s="51"/>
      <c r="AA795" s="52"/>
    </row>
    <row r="796" spans="4:27">
      <c r="D796" s="50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50"/>
      <c r="P796" s="50"/>
      <c r="Q796" s="52"/>
      <c r="W796" s="53"/>
      <c r="X796" s="53"/>
      <c r="Y796" s="51"/>
      <c r="Z796" s="51"/>
      <c r="AA796" s="52"/>
    </row>
    <row r="797" spans="4:27">
      <c r="D797" s="50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50"/>
      <c r="P797" s="50"/>
      <c r="Q797" s="52"/>
      <c r="W797" s="53"/>
      <c r="X797" s="53"/>
      <c r="Y797" s="51"/>
      <c r="Z797" s="51"/>
      <c r="AA797" s="52"/>
    </row>
    <row r="798" spans="4:27">
      <c r="D798" s="50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50"/>
      <c r="P798" s="50"/>
      <c r="Q798" s="52"/>
      <c r="W798" s="53"/>
      <c r="X798" s="53"/>
      <c r="Y798" s="51"/>
      <c r="Z798" s="51"/>
      <c r="AA798" s="52"/>
    </row>
    <row r="799" spans="4:27">
      <c r="D799" s="50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50"/>
      <c r="P799" s="50"/>
      <c r="Q799" s="52"/>
      <c r="W799" s="53"/>
      <c r="X799" s="53"/>
      <c r="Y799" s="51"/>
      <c r="Z799" s="51"/>
      <c r="AA799" s="52"/>
    </row>
    <row r="800" spans="4:27">
      <c r="D800" s="50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50"/>
      <c r="P800" s="50"/>
      <c r="Q800" s="52"/>
      <c r="W800" s="53"/>
      <c r="X800" s="53"/>
      <c r="Y800" s="51"/>
      <c r="Z800" s="51"/>
      <c r="AA800" s="52"/>
    </row>
    <row r="801" spans="4:27">
      <c r="D801" s="50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50"/>
      <c r="P801" s="50"/>
      <c r="Q801" s="52"/>
      <c r="W801" s="53"/>
      <c r="X801" s="53"/>
      <c r="Y801" s="51"/>
      <c r="Z801" s="51"/>
      <c r="AA801" s="52"/>
    </row>
    <row r="802" spans="4:27">
      <c r="D802" s="50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50"/>
      <c r="P802" s="50"/>
      <c r="Q802" s="52"/>
      <c r="W802" s="53"/>
      <c r="X802" s="53"/>
      <c r="Y802" s="51"/>
      <c r="Z802" s="51"/>
      <c r="AA802" s="52"/>
    </row>
    <row r="803" spans="4:27">
      <c r="D803" s="50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50"/>
      <c r="P803" s="50"/>
      <c r="Q803" s="52"/>
      <c r="W803" s="53"/>
      <c r="X803" s="53"/>
      <c r="Y803" s="51"/>
      <c r="Z803" s="51"/>
      <c r="AA803" s="52"/>
    </row>
    <row r="804" spans="4:27">
      <c r="D804" s="50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50"/>
      <c r="P804" s="50"/>
      <c r="Q804" s="52"/>
      <c r="W804" s="53"/>
      <c r="X804" s="53"/>
      <c r="Y804" s="51"/>
      <c r="Z804" s="51"/>
      <c r="AA804" s="52"/>
    </row>
    <row r="805" spans="4:27">
      <c r="D805" s="50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50"/>
      <c r="P805" s="50"/>
      <c r="Q805" s="52"/>
      <c r="W805" s="53"/>
      <c r="X805" s="53"/>
      <c r="Y805" s="51"/>
      <c r="Z805" s="51"/>
      <c r="AA805" s="52"/>
    </row>
    <row r="806" spans="4:27">
      <c r="D806" s="50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50"/>
      <c r="P806" s="50"/>
      <c r="Q806" s="52"/>
      <c r="W806" s="53"/>
      <c r="X806" s="53"/>
      <c r="Y806" s="51"/>
      <c r="Z806" s="51"/>
      <c r="AA806" s="52"/>
    </row>
    <row r="807" spans="4:27">
      <c r="D807" s="50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50"/>
      <c r="P807" s="50"/>
      <c r="Q807" s="52"/>
      <c r="W807" s="53"/>
      <c r="X807" s="53"/>
      <c r="Y807" s="51"/>
      <c r="Z807" s="51"/>
      <c r="AA807" s="52"/>
    </row>
    <row r="808" spans="4:27">
      <c r="D808" s="50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50"/>
      <c r="P808" s="50"/>
      <c r="Q808" s="52"/>
      <c r="W808" s="53"/>
      <c r="X808" s="53"/>
      <c r="Y808" s="51"/>
      <c r="Z808" s="51"/>
      <c r="AA808" s="52"/>
    </row>
    <row r="809" spans="4:27">
      <c r="D809" s="50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50"/>
      <c r="P809" s="50"/>
      <c r="Q809" s="52"/>
      <c r="W809" s="53"/>
      <c r="X809" s="53"/>
      <c r="Y809" s="51"/>
      <c r="Z809" s="51"/>
      <c r="AA809" s="52"/>
    </row>
    <row r="810" spans="4:27">
      <c r="D810" s="50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50"/>
      <c r="P810" s="50"/>
      <c r="Q810" s="52"/>
      <c r="W810" s="53"/>
      <c r="X810" s="53"/>
      <c r="Y810" s="51"/>
      <c r="Z810" s="51"/>
      <c r="AA810" s="52"/>
    </row>
    <row r="811" spans="4:27">
      <c r="D811" s="50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50"/>
      <c r="P811" s="50"/>
      <c r="Q811" s="52"/>
      <c r="W811" s="53"/>
      <c r="X811" s="53"/>
      <c r="Y811" s="51"/>
      <c r="Z811" s="51"/>
      <c r="AA811" s="52"/>
    </row>
    <row r="812" spans="4:27">
      <c r="D812" s="50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50"/>
      <c r="P812" s="50"/>
      <c r="Q812" s="52"/>
      <c r="W812" s="53"/>
      <c r="X812" s="53"/>
      <c r="Y812" s="51"/>
      <c r="Z812" s="51"/>
      <c r="AA812" s="52"/>
    </row>
    <row r="813" spans="4:27">
      <c r="D813" s="50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50"/>
      <c r="P813" s="50"/>
      <c r="Q813" s="52"/>
      <c r="W813" s="53"/>
      <c r="X813" s="53"/>
      <c r="Y813" s="51"/>
      <c r="Z813" s="51"/>
      <c r="AA813" s="52"/>
    </row>
    <row r="814" spans="4:27">
      <c r="D814" s="50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50"/>
      <c r="P814" s="50"/>
      <c r="Q814" s="52"/>
      <c r="W814" s="53"/>
      <c r="X814" s="53"/>
      <c r="Y814" s="51"/>
      <c r="Z814" s="51"/>
      <c r="AA814" s="52"/>
    </row>
    <row r="815" spans="4:27">
      <c r="D815" s="50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50"/>
      <c r="P815" s="50"/>
      <c r="Q815" s="52"/>
      <c r="W815" s="53"/>
      <c r="X815" s="53"/>
      <c r="Y815" s="51"/>
      <c r="Z815" s="51"/>
      <c r="AA815" s="52"/>
    </row>
    <row r="816" spans="4:27">
      <c r="D816" s="50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50"/>
      <c r="P816" s="50"/>
      <c r="Q816" s="52"/>
      <c r="W816" s="53"/>
      <c r="X816" s="53"/>
      <c r="Y816" s="51"/>
      <c r="Z816" s="51"/>
      <c r="AA816" s="52"/>
    </row>
    <row r="817" spans="4:27">
      <c r="D817" s="50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50"/>
      <c r="P817" s="50"/>
      <c r="Q817" s="52"/>
      <c r="W817" s="53"/>
      <c r="X817" s="53"/>
      <c r="Y817" s="51"/>
      <c r="Z817" s="51"/>
      <c r="AA817" s="52"/>
    </row>
    <row r="818" spans="4:27">
      <c r="D818" s="50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50"/>
      <c r="P818" s="50"/>
      <c r="Q818" s="52"/>
      <c r="W818" s="53"/>
      <c r="X818" s="53"/>
      <c r="Y818" s="51"/>
      <c r="Z818" s="51"/>
      <c r="AA818" s="52"/>
    </row>
    <row r="819" spans="4:27">
      <c r="D819" s="50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50"/>
      <c r="P819" s="50"/>
      <c r="Q819" s="52"/>
      <c r="W819" s="53"/>
      <c r="X819" s="53"/>
      <c r="Y819" s="51"/>
      <c r="Z819" s="51"/>
      <c r="AA819" s="52"/>
    </row>
    <row r="820" spans="4:27">
      <c r="D820" s="50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50"/>
      <c r="P820" s="50"/>
      <c r="Q820" s="52"/>
      <c r="W820" s="53"/>
      <c r="X820" s="53"/>
      <c r="Y820" s="51"/>
      <c r="Z820" s="51"/>
      <c r="AA820" s="52"/>
    </row>
    <row r="821" spans="4:27">
      <c r="D821" s="50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50"/>
      <c r="P821" s="50"/>
      <c r="Q821" s="52"/>
      <c r="W821" s="53"/>
      <c r="X821" s="53"/>
      <c r="Y821" s="51"/>
      <c r="Z821" s="51"/>
      <c r="AA821" s="52"/>
    </row>
    <row r="822" spans="4:27">
      <c r="D822" s="50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50"/>
      <c r="P822" s="50"/>
      <c r="Q822" s="52"/>
      <c r="W822" s="53"/>
      <c r="X822" s="53"/>
      <c r="Y822" s="51"/>
      <c r="Z822" s="51"/>
      <c r="AA822" s="52"/>
    </row>
    <row r="823" spans="4:27">
      <c r="D823" s="50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50"/>
      <c r="P823" s="50"/>
      <c r="Q823" s="52"/>
      <c r="W823" s="53"/>
      <c r="X823" s="53"/>
      <c r="Y823" s="51"/>
      <c r="Z823" s="51"/>
      <c r="AA823" s="52"/>
    </row>
    <row r="824" spans="4:27">
      <c r="D824" s="50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50"/>
      <c r="P824" s="50"/>
      <c r="Q824" s="52"/>
      <c r="W824" s="53"/>
      <c r="X824" s="53"/>
      <c r="Y824" s="51"/>
      <c r="Z824" s="51"/>
      <c r="AA824" s="52"/>
    </row>
    <row r="825" spans="4:27">
      <c r="D825" s="50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50"/>
      <c r="P825" s="50"/>
      <c r="Q825" s="52"/>
      <c r="W825" s="53"/>
      <c r="X825" s="53"/>
      <c r="Y825" s="51"/>
      <c r="Z825" s="51"/>
      <c r="AA825" s="52"/>
    </row>
    <row r="826" spans="4:27">
      <c r="D826" s="50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50"/>
      <c r="P826" s="50"/>
      <c r="Q826" s="52"/>
      <c r="W826" s="53"/>
      <c r="X826" s="53"/>
      <c r="Y826" s="51"/>
      <c r="Z826" s="51"/>
      <c r="AA826" s="52"/>
    </row>
    <row r="827" spans="4:27">
      <c r="D827" s="50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50"/>
      <c r="P827" s="50"/>
      <c r="Q827" s="52"/>
      <c r="W827" s="53"/>
      <c r="X827" s="53"/>
      <c r="Y827" s="51"/>
      <c r="Z827" s="51"/>
      <c r="AA827" s="52"/>
    </row>
    <row r="828" spans="4:27">
      <c r="D828" s="50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50"/>
      <c r="P828" s="50"/>
      <c r="Q828" s="52"/>
      <c r="W828" s="53"/>
      <c r="X828" s="53"/>
      <c r="Y828" s="51"/>
      <c r="Z828" s="51"/>
      <c r="AA828" s="52"/>
    </row>
    <row r="829" spans="4:27">
      <c r="D829" s="50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50"/>
      <c r="P829" s="50"/>
      <c r="Q829" s="52"/>
      <c r="W829" s="53"/>
      <c r="X829" s="53"/>
      <c r="Y829" s="51"/>
      <c r="Z829" s="51"/>
      <c r="AA829" s="52"/>
    </row>
    <row r="830" spans="4:27">
      <c r="D830" s="50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50"/>
      <c r="P830" s="50"/>
      <c r="Q830" s="52"/>
      <c r="W830" s="53"/>
      <c r="X830" s="53"/>
      <c r="Y830" s="51"/>
      <c r="Z830" s="51"/>
      <c r="AA830" s="52"/>
    </row>
    <row r="831" spans="4:27">
      <c r="D831" s="50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50"/>
      <c r="P831" s="50"/>
      <c r="Q831" s="52"/>
      <c r="W831" s="53"/>
      <c r="X831" s="53"/>
      <c r="Y831" s="51"/>
      <c r="Z831" s="51"/>
      <c r="AA831" s="52"/>
    </row>
    <row r="832" spans="4:27">
      <c r="D832" s="50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50"/>
      <c r="P832" s="50"/>
      <c r="Q832" s="52"/>
      <c r="W832" s="53"/>
      <c r="X832" s="53"/>
      <c r="Y832" s="51"/>
      <c r="Z832" s="51"/>
      <c r="AA832" s="52"/>
    </row>
    <row r="833" spans="4:27">
      <c r="D833" s="50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50"/>
      <c r="P833" s="50"/>
      <c r="Q833" s="52"/>
      <c r="W833" s="53"/>
      <c r="X833" s="53"/>
      <c r="Y833" s="51"/>
      <c r="Z833" s="51"/>
      <c r="AA833" s="52"/>
    </row>
    <row r="834" spans="4:27">
      <c r="D834" s="50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50"/>
      <c r="P834" s="50"/>
      <c r="Q834" s="52"/>
      <c r="W834" s="53"/>
      <c r="X834" s="53"/>
      <c r="Y834" s="51"/>
      <c r="Z834" s="51"/>
      <c r="AA834" s="52"/>
    </row>
    <row r="835" spans="4:27">
      <c r="D835" s="50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50"/>
      <c r="P835" s="50"/>
      <c r="Q835" s="52"/>
      <c r="W835" s="53"/>
      <c r="X835" s="53"/>
      <c r="Y835" s="51"/>
      <c r="Z835" s="51"/>
      <c r="AA835" s="52"/>
    </row>
    <row r="836" spans="4:27">
      <c r="D836" s="50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50"/>
      <c r="P836" s="50"/>
      <c r="Q836" s="52"/>
      <c r="W836" s="53"/>
      <c r="X836" s="53"/>
      <c r="Y836" s="51"/>
      <c r="Z836" s="51"/>
      <c r="AA836" s="52"/>
    </row>
    <row r="837" spans="4:27">
      <c r="D837" s="50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50"/>
      <c r="P837" s="50"/>
      <c r="Q837" s="52"/>
      <c r="W837" s="53"/>
      <c r="X837" s="53"/>
      <c r="Y837" s="51"/>
      <c r="Z837" s="51"/>
      <c r="AA837" s="52"/>
    </row>
    <row r="838" spans="4:27">
      <c r="D838" s="50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50"/>
      <c r="P838" s="50"/>
      <c r="Q838" s="52"/>
      <c r="W838" s="53"/>
      <c r="X838" s="53"/>
      <c r="Y838" s="51"/>
      <c r="Z838" s="51"/>
      <c r="AA838" s="52"/>
    </row>
    <row r="839" spans="4:27">
      <c r="D839" s="50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50"/>
      <c r="P839" s="50"/>
      <c r="Q839" s="52"/>
      <c r="W839" s="53"/>
      <c r="X839" s="53"/>
      <c r="Y839" s="51"/>
      <c r="Z839" s="51"/>
      <c r="AA839" s="52"/>
    </row>
    <row r="840" spans="4:27">
      <c r="D840" s="50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50"/>
      <c r="P840" s="50"/>
      <c r="Q840" s="52"/>
      <c r="W840" s="53"/>
      <c r="X840" s="53"/>
      <c r="Y840" s="51"/>
      <c r="Z840" s="51"/>
      <c r="AA840" s="52"/>
    </row>
    <row r="841" spans="4:27">
      <c r="D841" s="50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50"/>
      <c r="P841" s="50"/>
      <c r="Q841" s="52"/>
      <c r="W841" s="53"/>
      <c r="X841" s="53"/>
      <c r="Y841" s="51"/>
      <c r="Z841" s="51"/>
      <c r="AA841" s="52"/>
    </row>
    <row r="842" spans="4:27">
      <c r="D842" s="50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50"/>
      <c r="P842" s="50"/>
      <c r="Q842" s="52"/>
      <c r="W842" s="53"/>
      <c r="X842" s="53"/>
      <c r="Y842" s="51"/>
      <c r="Z842" s="51"/>
      <c r="AA842" s="52"/>
    </row>
    <row r="843" spans="4:27">
      <c r="D843" s="50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50"/>
      <c r="P843" s="50"/>
      <c r="Q843" s="52"/>
      <c r="W843" s="53"/>
      <c r="X843" s="53"/>
      <c r="Y843" s="51"/>
      <c r="Z843" s="51"/>
      <c r="AA843" s="52"/>
    </row>
    <row r="844" spans="4:27">
      <c r="D844" s="50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50"/>
      <c r="P844" s="50"/>
      <c r="Q844" s="52"/>
      <c r="W844" s="53"/>
      <c r="X844" s="53"/>
      <c r="Y844" s="51"/>
      <c r="Z844" s="51"/>
      <c r="AA844" s="52"/>
    </row>
    <row r="845" spans="4:27">
      <c r="D845" s="50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50"/>
      <c r="P845" s="50"/>
      <c r="Q845" s="52"/>
      <c r="W845" s="53"/>
      <c r="X845" s="53"/>
      <c r="Y845" s="51"/>
      <c r="Z845" s="51"/>
      <c r="AA845" s="52"/>
    </row>
    <row r="846" spans="4:27">
      <c r="D846" s="50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50"/>
      <c r="P846" s="50"/>
      <c r="Q846" s="52"/>
      <c r="W846" s="53"/>
      <c r="X846" s="53"/>
      <c r="Y846" s="51"/>
      <c r="Z846" s="51"/>
      <c r="AA846" s="52"/>
    </row>
    <row r="847" spans="4:27">
      <c r="D847" s="50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50"/>
      <c r="P847" s="50"/>
      <c r="Q847" s="52"/>
      <c r="W847" s="53"/>
      <c r="X847" s="53"/>
      <c r="Y847" s="51"/>
      <c r="Z847" s="51"/>
      <c r="AA847" s="52"/>
    </row>
    <row r="848" spans="4:27">
      <c r="D848" s="50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50"/>
      <c r="P848" s="50"/>
      <c r="Q848" s="52"/>
      <c r="W848" s="53"/>
      <c r="X848" s="53"/>
      <c r="Y848" s="51"/>
      <c r="Z848" s="51"/>
      <c r="AA848" s="52"/>
    </row>
    <row r="849" spans="4:27">
      <c r="D849" s="50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50"/>
      <c r="P849" s="50"/>
      <c r="Q849" s="52"/>
      <c r="W849" s="53"/>
      <c r="X849" s="53"/>
      <c r="Y849" s="51"/>
      <c r="Z849" s="51"/>
      <c r="AA849" s="52"/>
    </row>
    <row r="850" spans="4:27">
      <c r="D850" s="50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50"/>
      <c r="P850" s="50"/>
      <c r="Q850" s="52"/>
      <c r="W850" s="53"/>
      <c r="X850" s="53"/>
      <c r="Y850" s="51"/>
      <c r="Z850" s="51"/>
      <c r="AA850" s="52"/>
    </row>
    <row r="851" spans="4:27">
      <c r="D851" s="50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50"/>
      <c r="P851" s="50"/>
      <c r="Q851" s="52"/>
      <c r="W851" s="53"/>
      <c r="X851" s="53"/>
      <c r="Y851" s="51"/>
      <c r="Z851" s="51"/>
      <c r="AA851" s="52"/>
    </row>
    <row r="852" spans="4:27">
      <c r="D852" s="50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50"/>
      <c r="P852" s="50"/>
      <c r="Q852" s="52"/>
      <c r="W852" s="53"/>
      <c r="X852" s="53"/>
      <c r="Y852" s="51"/>
      <c r="Z852" s="51"/>
      <c r="AA852" s="52"/>
    </row>
    <row r="853" spans="4:27">
      <c r="D853" s="50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50"/>
      <c r="P853" s="50"/>
      <c r="Q853" s="52"/>
      <c r="W853" s="53"/>
      <c r="X853" s="53"/>
      <c r="Y853" s="51"/>
      <c r="Z853" s="51"/>
      <c r="AA853" s="52"/>
    </row>
    <row r="854" spans="4:27">
      <c r="D854" s="50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50"/>
      <c r="P854" s="50"/>
      <c r="Q854" s="52"/>
      <c r="W854" s="53"/>
      <c r="X854" s="53"/>
      <c r="Y854" s="51"/>
      <c r="Z854" s="51"/>
      <c r="AA854" s="52"/>
    </row>
    <row r="855" spans="4:27">
      <c r="D855" s="50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50"/>
      <c r="P855" s="50"/>
      <c r="Q855" s="52"/>
      <c r="W855" s="53"/>
      <c r="X855" s="53"/>
      <c r="Y855" s="51"/>
      <c r="Z855" s="51"/>
      <c r="AA855" s="52"/>
    </row>
    <row r="856" spans="4:27">
      <c r="D856" s="50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50"/>
      <c r="P856" s="50"/>
      <c r="Q856" s="52"/>
      <c r="W856" s="53"/>
      <c r="X856" s="53"/>
      <c r="Y856" s="51"/>
      <c r="Z856" s="51"/>
      <c r="AA856" s="52"/>
    </row>
    <row r="857" spans="4:27">
      <c r="D857" s="50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50"/>
      <c r="P857" s="50"/>
      <c r="Q857" s="52"/>
      <c r="W857" s="53"/>
      <c r="X857" s="53"/>
      <c r="Y857" s="51"/>
      <c r="Z857" s="51"/>
      <c r="AA857" s="52"/>
    </row>
    <row r="858" spans="4:27">
      <c r="D858" s="50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50"/>
      <c r="P858" s="50"/>
      <c r="Q858" s="52"/>
      <c r="W858" s="53"/>
      <c r="X858" s="53"/>
      <c r="Y858" s="51"/>
      <c r="Z858" s="51"/>
      <c r="AA858" s="52"/>
    </row>
    <row r="859" spans="4:27">
      <c r="D859" s="50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50"/>
      <c r="P859" s="50"/>
      <c r="Q859" s="52"/>
      <c r="W859" s="53"/>
      <c r="X859" s="53"/>
      <c r="Y859" s="51"/>
      <c r="Z859" s="51"/>
      <c r="AA859" s="52"/>
    </row>
    <row r="860" spans="4:27">
      <c r="D860" s="50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50"/>
      <c r="P860" s="50"/>
      <c r="Q860" s="52"/>
      <c r="W860" s="53"/>
      <c r="X860" s="53"/>
      <c r="Y860" s="51"/>
      <c r="Z860" s="51"/>
      <c r="AA860" s="52"/>
    </row>
    <row r="861" spans="4:27">
      <c r="D861" s="50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50"/>
      <c r="P861" s="50"/>
      <c r="Q861" s="52"/>
      <c r="W861" s="53"/>
      <c r="X861" s="53"/>
      <c r="Y861" s="51"/>
      <c r="Z861" s="51"/>
      <c r="AA861" s="52"/>
    </row>
    <row r="862" spans="4:27">
      <c r="D862" s="50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50"/>
      <c r="P862" s="50"/>
      <c r="Q862" s="52"/>
      <c r="W862" s="53"/>
      <c r="X862" s="53"/>
      <c r="Y862" s="51"/>
      <c r="Z862" s="51"/>
      <c r="AA862" s="52"/>
    </row>
    <row r="863" spans="4:27">
      <c r="D863" s="50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50"/>
      <c r="P863" s="50"/>
      <c r="Q863" s="52"/>
      <c r="W863" s="53"/>
      <c r="X863" s="53"/>
      <c r="Y863" s="51"/>
      <c r="Z863" s="51"/>
      <c r="AA863" s="52"/>
    </row>
    <row r="864" spans="4:27">
      <c r="D864" s="50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50"/>
      <c r="P864" s="50"/>
      <c r="Q864" s="52"/>
      <c r="W864" s="53"/>
      <c r="X864" s="53"/>
      <c r="Y864" s="51"/>
      <c r="Z864" s="51"/>
      <c r="AA864" s="52"/>
    </row>
    <row r="865" spans="4:27">
      <c r="D865" s="50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50"/>
      <c r="P865" s="50"/>
      <c r="Q865" s="52"/>
      <c r="W865" s="53"/>
      <c r="X865" s="53"/>
      <c r="Y865" s="51"/>
      <c r="Z865" s="51"/>
      <c r="AA865" s="52"/>
    </row>
    <row r="866" spans="4:27">
      <c r="D866" s="50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50"/>
      <c r="P866" s="50"/>
      <c r="Q866" s="52"/>
      <c r="W866" s="53"/>
      <c r="X866" s="53"/>
      <c r="Y866" s="51"/>
      <c r="Z866" s="51"/>
      <c r="AA866" s="52"/>
    </row>
    <row r="867" spans="4:27">
      <c r="D867" s="50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50"/>
      <c r="P867" s="50"/>
      <c r="Q867" s="52"/>
      <c r="W867" s="53"/>
      <c r="X867" s="53"/>
      <c r="Y867" s="51"/>
      <c r="Z867" s="51"/>
      <c r="AA867" s="52"/>
    </row>
    <row r="868" spans="4:27">
      <c r="D868" s="50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50"/>
      <c r="P868" s="50"/>
      <c r="Q868" s="52"/>
      <c r="W868" s="53"/>
      <c r="X868" s="53"/>
      <c r="Y868" s="51"/>
      <c r="Z868" s="51"/>
      <c r="AA868" s="52"/>
    </row>
    <row r="869" spans="4:27">
      <c r="D869" s="50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50"/>
      <c r="P869" s="50"/>
      <c r="Q869" s="52"/>
      <c r="W869" s="53"/>
      <c r="X869" s="53"/>
      <c r="Y869" s="51"/>
      <c r="Z869" s="51"/>
      <c r="AA869" s="52"/>
    </row>
    <row r="870" spans="4:27">
      <c r="D870" s="50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50"/>
      <c r="P870" s="50"/>
      <c r="Q870" s="52"/>
      <c r="W870" s="53"/>
      <c r="X870" s="53"/>
      <c r="Y870" s="51"/>
      <c r="Z870" s="51"/>
      <c r="AA870" s="52"/>
    </row>
    <row r="871" spans="4:27">
      <c r="D871" s="50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50"/>
      <c r="P871" s="50"/>
      <c r="Q871" s="52"/>
      <c r="W871" s="53"/>
      <c r="X871" s="53"/>
      <c r="Y871" s="51"/>
      <c r="Z871" s="51"/>
      <c r="AA871" s="52"/>
    </row>
    <row r="872" spans="4:27">
      <c r="D872" s="50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50"/>
      <c r="P872" s="50"/>
      <c r="Q872" s="52"/>
      <c r="W872" s="53"/>
      <c r="X872" s="53"/>
      <c r="Y872" s="51"/>
      <c r="Z872" s="51"/>
      <c r="AA872" s="52"/>
    </row>
    <row r="873" spans="4:27">
      <c r="D873" s="50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50"/>
      <c r="P873" s="50"/>
      <c r="Q873" s="52"/>
      <c r="W873" s="53"/>
      <c r="X873" s="53"/>
      <c r="Y873" s="51"/>
      <c r="Z873" s="51"/>
      <c r="AA873" s="52"/>
    </row>
    <row r="874" spans="4:27">
      <c r="D874" s="50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50"/>
      <c r="P874" s="50"/>
      <c r="Q874" s="52"/>
      <c r="W874" s="53"/>
      <c r="X874" s="53"/>
      <c r="Y874" s="51"/>
      <c r="Z874" s="51"/>
      <c r="AA874" s="52"/>
    </row>
    <row r="875" spans="4:27">
      <c r="D875" s="50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50"/>
      <c r="P875" s="50"/>
      <c r="Q875" s="52"/>
      <c r="W875" s="53"/>
      <c r="X875" s="53"/>
      <c r="Y875" s="51"/>
      <c r="Z875" s="51"/>
      <c r="AA875" s="52"/>
    </row>
    <row r="876" spans="4:27">
      <c r="D876" s="50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50"/>
      <c r="P876" s="50"/>
      <c r="Q876" s="52"/>
      <c r="W876" s="53"/>
      <c r="X876" s="53"/>
      <c r="Y876" s="51"/>
      <c r="Z876" s="51"/>
      <c r="AA876" s="52"/>
    </row>
    <row r="877" spans="4:27">
      <c r="D877" s="50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50"/>
      <c r="P877" s="50"/>
      <c r="Q877" s="52"/>
      <c r="W877" s="53"/>
      <c r="X877" s="53"/>
      <c r="Y877" s="51"/>
      <c r="Z877" s="51"/>
      <c r="AA877" s="52"/>
    </row>
    <row r="878" spans="4:27">
      <c r="D878" s="50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50"/>
      <c r="P878" s="50"/>
      <c r="Q878" s="52"/>
      <c r="W878" s="53"/>
      <c r="X878" s="53"/>
      <c r="Y878" s="51"/>
      <c r="Z878" s="51"/>
      <c r="AA878" s="52"/>
    </row>
    <row r="879" spans="4:27">
      <c r="D879" s="50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50"/>
      <c r="P879" s="50"/>
      <c r="Q879" s="52"/>
      <c r="W879" s="53"/>
      <c r="X879" s="53"/>
      <c r="Y879" s="51"/>
      <c r="Z879" s="51"/>
      <c r="AA879" s="52"/>
    </row>
    <row r="880" spans="4:27">
      <c r="D880" s="50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50"/>
      <c r="P880" s="50"/>
      <c r="Q880" s="52"/>
      <c r="W880" s="53"/>
      <c r="X880" s="53"/>
      <c r="Y880" s="51"/>
      <c r="Z880" s="51"/>
      <c r="AA880" s="52"/>
    </row>
    <row r="881" spans="4:27">
      <c r="D881" s="50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50"/>
      <c r="P881" s="50"/>
      <c r="Q881" s="52"/>
      <c r="W881" s="53"/>
      <c r="X881" s="53"/>
      <c r="Y881" s="51"/>
      <c r="Z881" s="51"/>
      <c r="AA881" s="52"/>
    </row>
    <row r="882" spans="4:27">
      <c r="D882" s="50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50"/>
      <c r="P882" s="50"/>
      <c r="Q882" s="52"/>
      <c r="W882" s="53"/>
      <c r="X882" s="53"/>
      <c r="Y882" s="51"/>
      <c r="Z882" s="51"/>
      <c r="AA882" s="52"/>
    </row>
    <row r="883" spans="4:27">
      <c r="D883" s="50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50"/>
      <c r="P883" s="50"/>
      <c r="Q883" s="52"/>
      <c r="W883" s="53"/>
      <c r="X883" s="53"/>
      <c r="Y883" s="51"/>
      <c r="Z883" s="51"/>
      <c r="AA883" s="52"/>
    </row>
    <row r="884" spans="4:27">
      <c r="D884" s="50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50"/>
      <c r="P884" s="50"/>
      <c r="Q884" s="52"/>
      <c r="W884" s="53"/>
      <c r="X884" s="53"/>
      <c r="Y884" s="51"/>
      <c r="Z884" s="51"/>
      <c r="AA884" s="52"/>
    </row>
    <row r="885" spans="4:27">
      <c r="D885" s="50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50"/>
      <c r="P885" s="50"/>
      <c r="Q885" s="52"/>
      <c r="W885" s="53"/>
      <c r="X885" s="53"/>
      <c r="Y885" s="51"/>
      <c r="Z885" s="51"/>
      <c r="AA885" s="52"/>
    </row>
    <row r="886" spans="4:27">
      <c r="D886" s="50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50"/>
      <c r="P886" s="50"/>
      <c r="Q886" s="52"/>
      <c r="W886" s="53"/>
      <c r="X886" s="53"/>
      <c r="Y886" s="51"/>
      <c r="Z886" s="51"/>
      <c r="AA886" s="52"/>
    </row>
    <row r="887" spans="4:27">
      <c r="D887" s="50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50"/>
      <c r="P887" s="50"/>
      <c r="Q887" s="52"/>
      <c r="W887" s="53"/>
      <c r="X887" s="53"/>
      <c r="Y887" s="51"/>
      <c r="Z887" s="51"/>
      <c r="AA887" s="52"/>
    </row>
    <row r="888" spans="4:27">
      <c r="D888" s="50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50"/>
      <c r="P888" s="50"/>
      <c r="Q888" s="52"/>
      <c r="W888" s="53"/>
      <c r="X888" s="53"/>
      <c r="Y888" s="51"/>
      <c r="Z888" s="51"/>
      <c r="AA888" s="52"/>
    </row>
    <row r="889" spans="4:27">
      <c r="D889" s="50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50"/>
      <c r="P889" s="50"/>
      <c r="Q889" s="52"/>
      <c r="W889" s="53"/>
      <c r="X889" s="53"/>
      <c r="Y889" s="51"/>
      <c r="Z889" s="51"/>
      <c r="AA889" s="52"/>
    </row>
    <row r="890" spans="4:27">
      <c r="D890" s="50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50"/>
      <c r="P890" s="50"/>
      <c r="Q890" s="52"/>
      <c r="W890" s="53"/>
      <c r="X890" s="53"/>
      <c r="Y890" s="51"/>
      <c r="Z890" s="51"/>
      <c r="AA890" s="52"/>
    </row>
    <row r="891" spans="4:27">
      <c r="D891" s="50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50"/>
      <c r="P891" s="50"/>
      <c r="Q891" s="52"/>
      <c r="W891" s="53"/>
      <c r="X891" s="53"/>
      <c r="Y891" s="51"/>
      <c r="Z891" s="51"/>
      <c r="AA891" s="52"/>
    </row>
    <row r="892" spans="4:27">
      <c r="D892" s="50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50"/>
      <c r="P892" s="50"/>
      <c r="Q892" s="52"/>
      <c r="W892" s="53"/>
      <c r="X892" s="53"/>
      <c r="Y892" s="51"/>
      <c r="Z892" s="51"/>
      <c r="AA892" s="52"/>
    </row>
    <row r="893" spans="4:27">
      <c r="D893" s="50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50"/>
      <c r="P893" s="50"/>
      <c r="Q893" s="52"/>
      <c r="W893" s="53"/>
      <c r="X893" s="53"/>
      <c r="Y893" s="51"/>
      <c r="Z893" s="51"/>
      <c r="AA893" s="52"/>
    </row>
    <row r="894" spans="4:27">
      <c r="D894" s="50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50"/>
      <c r="P894" s="50"/>
      <c r="Q894" s="52"/>
      <c r="W894" s="53"/>
      <c r="X894" s="53"/>
      <c r="Y894" s="51"/>
      <c r="Z894" s="51"/>
      <c r="AA894" s="52"/>
    </row>
    <row r="895" spans="4:27">
      <c r="D895" s="50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50"/>
      <c r="P895" s="50"/>
      <c r="Q895" s="52"/>
      <c r="W895" s="53"/>
      <c r="X895" s="53"/>
      <c r="Y895" s="51"/>
      <c r="Z895" s="51"/>
      <c r="AA895" s="52"/>
    </row>
    <row r="896" spans="4:27">
      <c r="D896" s="50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50"/>
      <c r="P896" s="50"/>
      <c r="Q896" s="52"/>
      <c r="W896" s="53"/>
      <c r="X896" s="53"/>
      <c r="Y896" s="51"/>
      <c r="Z896" s="51"/>
      <c r="AA896" s="52"/>
    </row>
    <row r="897" spans="4:27">
      <c r="D897" s="50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50"/>
      <c r="P897" s="50"/>
      <c r="Q897" s="52"/>
      <c r="W897" s="53"/>
      <c r="X897" s="53"/>
      <c r="Y897" s="51"/>
      <c r="Z897" s="51"/>
      <c r="AA897" s="52"/>
    </row>
    <row r="898" spans="4:27">
      <c r="D898" s="50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50"/>
      <c r="P898" s="50"/>
      <c r="Q898" s="52"/>
      <c r="W898" s="53"/>
      <c r="X898" s="53"/>
      <c r="Y898" s="51"/>
      <c r="Z898" s="51"/>
      <c r="AA898" s="52"/>
    </row>
    <row r="899" spans="4:27">
      <c r="D899" s="50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50"/>
      <c r="P899" s="50"/>
      <c r="Q899" s="52"/>
      <c r="W899" s="53"/>
      <c r="X899" s="53"/>
      <c r="Y899" s="51"/>
      <c r="Z899" s="51"/>
      <c r="AA899" s="52"/>
    </row>
    <row r="900" spans="4:27">
      <c r="D900" s="50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50"/>
      <c r="P900" s="50"/>
      <c r="Q900" s="52"/>
      <c r="W900" s="53"/>
      <c r="X900" s="53"/>
      <c r="Y900" s="51"/>
      <c r="Z900" s="51"/>
      <c r="AA900" s="52"/>
    </row>
    <row r="901" spans="4:27">
      <c r="D901" s="50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50"/>
      <c r="P901" s="50"/>
      <c r="Q901" s="52"/>
      <c r="W901" s="53"/>
      <c r="X901" s="53"/>
      <c r="Y901" s="51"/>
      <c r="Z901" s="51"/>
      <c r="AA901" s="52"/>
    </row>
    <row r="902" spans="4:27">
      <c r="D902" s="50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50"/>
      <c r="P902" s="50"/>
      <c r="Q902" s="52"/>
      <c r="W902" s="53"/>
      <c r="X902" s="53"/>
      <c r="Y902" s="51"/>
      <c r="Z902" s="51"/>
      <c r="AA902" s="52"/>
    </row>
    <row r="903" spans="4:27">
      <c r="D903" s="50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50"/>
      <c r="P903" s="50"/>
      <c r="Q903" s="52"/>
      <c r="W903" s="53"/>
      <c r="X903" s="53"/>
      <c r="Y903" s="51"/>
      <c r="Z903" s="51"/>
      <c r="AA903" s="52"/>
    </row>
    <row r="904" spans="4:27">
      <c r="D904" s="50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50"/>
      <c r="P904" s="50"/>
      <c r="Q904" s="52"/>
      <c r="W904" s="53"/>
      <c r="X904" s="53"/>
      <c r="Y904" s="51"/>
      <c r="Z904" s="51"/>
      <c r="AA904" s="52"/>
    </row>
    <row r="905" spans="4:27">
      <c r="D905" s="50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50"/>
      <c r="P905" s="50"/>
      <c r="Q905" s="52"/>
      <c r="W905" s="53"/>
      <c r="X905" s="53"/>
      <c r="Y905" s="51"/>
      <c r="Z905" s="51"/>
      <c r="AA905" s="52"/>
    </row>
    <row r="906" spans="4:27">
      <c r="D906" s="50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50"/>
      <c r="P906" s="50"/>
      <c r="Q906" s="52"/>
      <c r="W906" s="53"/>
      <c r="X906" s="53"/>
      <c r="Y906" s="51"/>
      <c r="Z906" s="51"/>
      <c r="AA906" s="52"/>
    </row>
    <row r="907" spans="4:27">
      <c r="D907" s="50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50"/>
      <c r="P907" s="50"/>
      <c r="Q907" s="52"/>
      <c r="W907" s="53"/>
      <c r="X907" s="53"/>
      <c r="Y907" s="51"/>
      <c r="Z907" s="51"/>
      <c r="AA907" s="52"/>
    </row>
    <row r="908" spans="4:27">
      <c r="D908" s="50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50"/>
      <c r="P908" s="50"/>
      <c r="Q908" s="52"/>
      <c r="W908" s="53"/>
      <c r="X908" s="53"/>
      <c r="Y908" s="51"/>
      <c r="Z908" s="51"/>
      <c r="AA908" s="52"/>
    </row>
    <row r="909" spans="4:27">
      <c r="D909" s="50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50"/>
      <c r="P909" s="50"/>
      <c r="Q909" s="52"/>
      <c r="W909" s="53"/>
      <c r="X909" s="53"/>
      <c r="Y909" s="51"/>
      <c r="Z909" s="51"/>
      <c r="AA909" s="52"/>
    </row>
    <row r="910" spans="4:27">
      <c r="D910" s="50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50"/>
      <c r="P910" s="50"/>
      <c r="Q910" s="52"/>
      <c r="W910" s="53"/>
      <c r="X910" s="53"/>
      <c r="Y910" s="51"/>
      <c r="Z910" s="51"/>
      <c r="AA910" s="52"/>
    </row>
    <row r="911" spans="4:27">
      <c r="D911" s="50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50"/>
      <c r="P911" s="50"/>
      <c r="Q911" s="52"/>
      <c r="W911" s="53"/>
      <c r="X911" s="53"/>
      <c r="Y911" s="51"/>
      <c r="Z911" s="51"/>
      <c r="AA911" s="52"/>
    </row>
    <row r="912" spans="4:27">
      <c r="D912" s="50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50"/>
      <c r="P912" s="50"/>
      <c r="Q912" s="52"/>
      <c r="W912" s="53"/>
      <c r="X912" s="53"/>
      <c r="Y912" s="51"/>
      <c r="Z912" s="51"/>
      <c r="AA912" s="52"/>
    </row>
    <row r="913" spans="4:27">
      <c r="D913" s="50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50"/>
      <c r="P913" s="50"/>
      <c r="Q913" s="52"/>
      <c r="W913" s="53"/>
      <c r="X913" s="53"/>
      <c r="Y913" s="51"/>
      <c r="Z913" s="51"/>
      <c r="AA913" s="52"/>
    </row>
    <row r="914" spans="4:27">
      <c r="D914" s="50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50"/>
      <c r="P914" s="50"/>
      <c r="Q914" s="52"/>
      <c r="W914" s="53"/>
      <c r="X914" s="53"/>
      <c r="Y914" s="51"/>
      <c r="Z914" s="51"/>
      <c r="AA914" s="52"/>
    </row>
    <row r="915" spans="4:27">
      <c r="D915" s="50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50"/>
      <c r="P915" s="50"/>
      <c r="Q915" s="52"/>
      <c r="W915" s="53"/>
      <c r="X915" s="53"/>
      <c r="Y915" s="51"/>
      <c r="Z915" s="51"/>
      <c r="AA915" s="52"/>
    </row>
    <row r="916" spans="4:27">
      <c r="D916" s="50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50"/>
      <c r="P916" s="50"/>
      <c r="Q916" s="52"/>
      <c r="W916" s="53"/>
      <c r="X916" s="53"/>
      <c r="Y916" s="51"/>
      <c r="Z916" s="51"/>
      <c r="AA916" s="52"/>
    </row>
    <row r="917" spans="4:27">
      <c r="D917" s="50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50"/>
      <c r="P917" s="50"/>
      <c r="Q917" s="52"/>
      <c r="W917" s="53"/>
      <c r="X917" s="53"/>
      <c r="Y917" s="51"/>
      <c r="Z917" s="51"/>
      <c r="AA917" s="52"/>
    </row>
    <row r="918" spans="4:27">
      <c r="D918" s="50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50"/>
      <c r="P918" s="50"/>
      <c r="Q918" s="52"/>
      <c r="W918" s="53"/>
      <c r="X918" s="53"/>
      <c r="Y918" s="51"/>
      <c r="Z918" s="51"/>
      <c r="AA918" s="52"/>
    </row>
    <row r="919" spans="4:27">
      <c r="D919" s="50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50"/>
      <c r="P919" s="50"/>
      <c r="Q919" s="52"/>
      <c r="W919" s="53"/>
      <c r="X919" s="53"/>
      <c r="Y919" s="51"/>
      <c r="Z919" s="51"/>
      <c r="AA919" s="52"/>
    </row>
    <row r="920" spans="4:27">
      <c r="D920" s="50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50"/>
      <c r="P920" s="50"/>
      <c r="Q920" s="52"/>
      <c r="W920" s="53"/>
      <c r="X920" s="53"/>
      <c r="Y920" s="51"/>
      <c r="Z920" s="51"/>
      <c r="AA920" s="52"/>
    </row>
    <row r="921" spans="4:27">
      <c r="D921" s="50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50"/>
      <c r="P921" s="50"/>
      <c r="Q921" s="52"/>
      <c r="W921" s="53"/>
      <c r="X921" s="53"/>
      <c r="Y921" s="51"/>
      <c r="Z921" s="51"/>
      <c r="AA921" s="52"/>
    </row>
    <row r="922" spans="4:27">
      <c r="D922" s="50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50"/>
      <c r="P922" s="50"/>
      <c r="Q922" s="52"/>
      <c r="W922" s="53"/>
      <c r="X922" s="53"/>
      <c r="Y922" s="51"/>
      <c r="Z922" s="51"/>
      <c r="AA922" s="52"/>
    </row>
    <row r="923" spans="4:27">
      <c r="D923" s="50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50"/>
      <c r="P923" s="50"/>
      <c r="Q923" s="52"/>
      <c r="W923" s="53"/>
      <c r="X923" s="53"/>
      <c r="Y923" s="51"/>
      <c r="Z923" s="51"/>
      <c r="AA923" s="52"/>
    </row>
    <row r="924" spans="4:27">
      <c r="D924" s="50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50"/>
      <c r="P924" s="50"/>
      <c r="Q924" s="52"/>
      <c r="W924" s="53"/>
      <c r="X924" s="53"/>
      <c r="Y924" s="51"/>
      <c r="Z924" s="51"/>
      <c r="AA924" s="52"/>
    </row>
    <row r="925" spans="4:27">
      <c r="D925" s="50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50"/>
      <c r="P925" s="50"/>
      <c r="Q925" s="52"/>
      <c r="W925" s="53"/>
      <c r="X925" s="53"/>
      <c r="Y925" s="51"/>
      <c r="Z925" s="51"/>
      <c r="AA925" s="52"/>
    </row>
    <row r="926" spans="4:27">
      <c r="D926" s="50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50"/>
      <c r="P926" s="50"/>
      <c r="Q926" s="52"/>
      <c r="W926" s="53"/>
      <c r="X926" s="53"/>
      <c r="Y926" s="51"/>
      <c r="Z926" s="51"/>
      <c r="AA926" s="52"/>
    </row>
    <row r="927" spans="4:27">
      <c r="D927" s="50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50"/>
      <c r="P927" s="50"/>
      <c r="Q927" s="52"/>
      <c r="W927" s="53"/>
      <c r="X927" s="53"/>
      <c r="Y927" s="51"/>
      <c r="Z927" s="51"/>
      <c r="AA927" s="52"/>
    </row>
    <row r="928" spans="4:27">
      <c r="D928" s="50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50"/>
      <c r="P928" s="50"/>
      <c r="Q928" s="52"/>
      <c r="W928" s="53"/>
      <c r="X928" s="53"/>
      <c r="Y928" s="51"/>
      <c r="Z928" s="51"/>
      <c r="AA928" s="52"/>
    </row>
    <row r="929" spans="4:27">
      <c r="D929" s="50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50"/>
      <c r="P929" s="50"/>
      <c r="Q929" s="52"/>
      <c r="W929" s="53"/>
      <c r="X929" s="53"/>
      <c r="Y929" s="51"/>
      <c r="Z929" s="51"/>
      <c r="AA929" s="52"/>
    </row>
    <row r="930" spans="4:27">
      <c r="D930" s="50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50"/>
      <c r="P930" s="50"/>
      <c r="Q930" s="52"/>
      <c r="W930" s="53"/>
      <c r="X930" s="53"/>
      <c r="Y930" s="51"/>
      <c r="Z930" s="51"/>
      <c r="AA930" s="52"/>
    </row>
    <row r="931" spans="4:27">
      <c r="D931" s="50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50"/>
      <c r="P931" s="50"/>
      <c r="Q931" s="52"/>
      <c r="W931" s="53"/>
      <c r="X931" s="53"/>
      <c r="Y931" s="51"/>
      <c r="Z931" s="51"/>
      <c r="AA931" s="52"/>
    </row>
    <row r="932" spans="4:27">
      <c r="D932" s="50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50"/>
      <c r="P932" s="50"/>
      <c r="Q932" s="52"/>
      <c r="W932" s="53"/>
      <c r="X932" s="53"/>
      <c r="Y932" s="51"/>
      <c r="Z932" s="51"/>
      <c r="AA932" s="52"/>
    </row>
    <row r="933" spans="4:27">
      <c r="D933" s="50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50"/>
      <c r="P933" s="50"/>
      <c r="Q933" s="52"/>
      <c r="W933" s="53"/>
      <c r="X933" s="53"/>
      <c r="Y933" s="51"/>
      <c r="Z933" s="51"/>
      <c r="AA933" s="52"/>
    </row>
    <row r="934" spans="4:27">
      <c r="D934" s="50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50"/>
      <c r="P934" s="50"/>
      <c r="Q934" s="52"/>
      <c r="W934" s="53"/>
      <c r="X934" s="53"/>
      <c r="Y934" s="51"/>
      <c r="Z934" s="51"/>
      <c r="AA934" s="52"/>
    </row>
    <row r="935" spans="4:27">
      <c r="D935" s="50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50"/>
      <c r="P935" s="50"/>
      <c r="Q935" s="52"/>
      <c r="W935" s="53"/>
      <c r="X935" s="53"/>
      <c r="Y935" s="51"/>
      <c r="Z935" s="51"/>
      <c r="AA935" s="52"/>
    </row>
    <row r="936" spans="4:27">
      <c r="D936" s="50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50"/>
      <c r="P936" s="50"/>
      <c r="Q936" s="52"/>
      <c r="W936" s="53"/>
      <c r="X936" s="53"/>
      <c r="Y936" s="51"/>
      <c r="Z936" s="51"/>
      <c r="AA936" s="52"/>
    </row>
    <row r="937" spans="4:27">
      <c r="D937" s="50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50"/>
      <c r="P937" s="50"/>
      <c r="Q937" s="52"/>
      <c r="W937" s="53"/>
      <c r="X937" s="53"/>
      <c r="Y937" s="51"/>
      <c r="Z937" s="51"/>
      <c r="AA937" s="52"/>
    </row>
    <row r="938" spans="4:27">
      <c r="D938" s="50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50"/>
      <c r="P938" s="50"/>
      <c r="Q938" s="52"/>
      <c r="W938" s="53"/>
      <c r="X938" s="53"/>
      <c r="Y938" s="51"/>
      <c r="Z938" s="51"/>
      <c r="AA938" s="52"/>
    </row>
    <row r="939" spans="4:27">
      <c r="D939" s="50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50"/>
      <c r="P939" s="50"/>
      <c r="Q939" s="52"/>
      <c r="W939" s="53"/>
      <c r="X939" s="53"/>
      <c r="Y939" s="51"/>
      <c r="Z939" s="51"/>
      <c r="AA939" s="52"/>
    </row>
    <row r="940" spans="4:27">
      <c r="D940" s="50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50"/>
      <c r="P940" s="50"/>
      <c r="Q940" s="52"/>
      <c r="W940" s="53"/>
      <c r="X940" s="53"/>
      <c r="Y940" s="51"/>
      <c r="Z940" s="51"/>
      <c r="AA940" s="52"/>
    </row>
    <row r="941" spans="4:27">
      <c r="D941" s="50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50"/>
      <c r="P941" s="50"/>
      <c r="Q941" s="52"/>
      <c r="W941" s="53"/>
      <c r="X941" s="53"/>
      <c r="Y941" s="51"/>
      <c r="Z941" s="51"/>
      <c r="AA941" s="52"/>
    </row>
    <row r="942" spans="4:27">
      <c r="D942" s="50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50"/>
      <c r="P942" s="50"/>
      <c r="Q942" s="52"/>
      <c r="W942" s="53"/>
      <c r="X942" s="53"/>
      <c r="Y942" s="51"/>
      <c r="Z942" s="51"/>
      <c r="AA942" s="52"/>
    </row>
    <row r="943" spans="4:27">
      <c r="D943" s="50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50"/>
      <c r="P943" s="50"/>
      <c r="Q943" s="52"/>
      <c r="W943" s="53"/>
      <c r="X943" s="53"/>
      <c r="Y943" s="51"/>
      <c r="Z943" s="51"/>
      <c r="AA943" s="52"/>
    </row>
    <row r="944" spans="4:27">
      <c r="D944" s="50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50"/>
      <c r="P944" s="50"/>
      <c r="Q944" s="52"/>
      <c r="W944" s="53"/>
      <c r="X944" s="53"/>
      <c r="Y944" s="51"/>
      <c r="Z944" s="51"/>
      <c r="AA944" s="52"/>
    </row>
    <row r="945" spans="4:27">
      <c r="D945" s="50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50"/>
      <c r="P945" s="50"/>
      <c r="Q945" s="52"/>
      <c r="W945" s="53"/>
      <c r="X945" s="53"/>
      <c r="Y945" s="51"/>
      <c r="Z945" s="51"/>
      <c r="AA945" s="52"/>
    </row>
    <row r="946" spans="4:27">
      <c r="D946" s="50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50"/>
      <c r="P946" s="50"/>
      <c r="Q946" s="52"/>
      <c r="W946" s="53"/>
      <c r="X946" s="53"/>
      <c r="Y946" s="51"/>
      <c r="Z946" s="51"/>
      <c r="AA946" s="52"/>
    </row>
    <row r="947" spans="4:27">
      <c r="D947" s="50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50"/>
      <c r="P947" s="50"/>
      <c r="Q947" s="52"/>
      <c r="W947" s="53"/>
      <c r="X947" s="53"/>
      <c r="Y947" s="51"/>
      <c r="Z947" s="51"/>
      <c r="AA947" s="52"/>
    </row>
    <row r="948" spans="4:27">
      <c r="D948" s="50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50"/>
      <c r="P948" s="50"/>
      <c r="Q948" s="52"/>
      <c r="W948" s="53"/>
      <c r="X948" s="53"/>
      <c r="Y948" s="51"/>
      <c r="Z948" s="51"/>
      <c r="AA948" s="52"/>
    </row>
    <row r="949" spans="4:27">
      <c r="D949" s="50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50"/>
      <c r="P949" s="50"/>
      <c r="Q949" s="52"/>
      <c r="W949" s="53"/>
      <c r="X949" s="53"/>
      <c r="Y949" s="51"/>
      <c r="Z949" s="51"/>
      <c r="AA949" s="52"/>
    </row>
    <row r="950" spans="4:27">
      <c r="D950" s="50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50"/>
      <c r="P950" s="50"/>
      <c r="Q950" s="52"/>
      <c r="W950" s="53"/>
      <c r="X950" s="53"/>
      <c r="Y950" s="51"/>
      <c r="Z950" s="51"/>
      <c r="AA950" s="52"/>
    </row>
    <row r="951" spans="4:27">
      <c r="D951" s="50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50"/>
      <c r="P951" s="50"/>
      <c r="Q951" s="52"/>
      <c r="W951" s="53"/>
      <c r="X951" s="53"/>
      <c r="Y951" s="51"/>
      <c r="Z951" s="51"/>
      <c r="AA951" s="52"/>
    </row>
    <row r="952" spans="4:27">
      <c r="D952" s="50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50"/>
      <c r="P952" s="50"/>
      <c r="Q952" s="52"/>
      <c r="W952" s="53"/>
      <c r="X952" s="53"/>
      <c r="Y952" s="51"/>
      <c r="Z952" s="51"/>
      <c r="AA952" s="52"/>
    </row>
    <row r="953" spans="4:27">
      <c r="D953" s="50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50"/>
      <c r="P953" s="50"/>
      <c r="Q953" s="52"/>
      <c r="W953" s="53"/>
      <c r="X953" s="53"/>
      <c r="Y953" s="51"/>
      <c r="Z953" s="51"/>
      <c r="AA953" s="52"/>
    </row>
    <row r="954" spans="4:27">
      <c r="D954" s="50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50"/>
      <c r="P954" s="50"/>
      <c r="Q954" s="52"/>
      <c r="W954" s="53"/>
      <c r="X954" s="53"/>
      <c r="Y954" s="51"/>
      <c r="Z954" s="51"/>
      <c r="AA954" s="52"/>
    </row>
    <row r="955" spans="4:27">
      <c r="D955" s="50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50"/>
      <c r="P955" s="50"/>
      <c r="Q955" s="52"/>
      <c r="W955" s="53"/>
      <c r="X955" s="53"/>
      <c r="Y955" s="51"/>
      <c r="Z955" s="51"/>
      <c r="AA955" s="52"/>
    </row>
    <row r="956" spans="4:27">
      <c r="D956" s="50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50"/>
      <c r="P956" s="50"/>
      <c r="Q956" s="52"/>
      <c r="W956" s="53"/>
      <c r="X956" s="53"/>
      <c r="Y956" s="51"/>
      <c r="Z956" s="51"/>
      <c r="AA956" s="52"/>
    </row>
    <row r="957" spans="4:27">
      <c r="D957" s="50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50"/>
      <c r="P957" s="50"/>
      <c r="Q957" s="52"/>
      <c r="W957" s="53"/>
      <c r="X957" s="53"/>
      <c r="Y957" s="51"/>
      <c r="Z957" s="51"/>
      <c r="AA957" s="52"/>
    </row>
    <row r="958" spans="4:27">
      <c r="D958" s="50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50"/>
      <c r="P958" s="50"/>
      <c r="Q958" s="52"/>
      <c r="W958" s="53"/>
      <c r="X958" s="53"/>
      <c r="Y958" s="51"/>
      <c r="Z958" s="51"/>
      <c r="AA958" s="52"/>
    </row>
    <row r="959" spans="4:27">
      <c r="D959" s="50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50"/>
      <c r="P959" s="50"/>
      <c r="Q959" s="52"/>
      <c r="W959" s="53"/>
      <c r="X959" s="53"/>
      <c r="Y959" s="51"/>
      <c r="Z959" s="51"/>
      <c r="AA959" s="52"/>
    </row>
    <row r="960" spans="4:27">
      <c r="D960" s="50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50"/>
      <c r="P960" s="50"/>
      <c r="Q960" s="52"/>
      <c r="W960" s="53"/>
      <c r="X960" s="53"/>
      <c r="Y960" s="51"/>
      <c r="Z960" s="51"/>
      <c r="AA960" s="52"/>
    </row>
    <row r="961" spans="4:27">
      <c r="D961" s="50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50"/>
      <c r="P961" s="50"/>
      <c r="Q961" s="52"/>
      <c r="W961" s="53"/>
      <c r="X961" s="53"/>
      <c r="Y961" s="51"/>
      <c r="Z961" s="51"/>
      <c r="AA961" s="52"/>
    </row>
    <row r="962" spans="4:27">
      <c r="D962" s="50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50"/>
      <c r="P962" s="50"/>
      <c r="Q962" s="52"/>
      <c r="W962" s="53"/>
      <c r="X962" s="53"/>
      <c r="Y962" s="51"/>
      <c r="Z962" s="51"/>
      <c r="AA962" s="52"/>
    </row>
    <row r="963" spans="4:27">
      <c r="D963" s="50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50"/>
      <c r="P963" s="50"/>
      <c r="Q963" s="52"/>
      <c r="W963" s="53"/>
      <c r="X963" s="53"/>
      <c r="Y963" s="51"/>
      <c r="Z963" s="51"/>
      <c r="AA963" s="52"/>
    </row>
    <row r="964" spans="4:27">
      <c r="D964" s="50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50"/>
      <c r="P964" s="50"/>
      <c r="Q964" s="52"/>
      <c r="W964" s="53"/>
      <c r="X964" s="53"/>
      <c r="Y964" s="51"/>
      <c r="Z964" s="51"/>
      <c r="AA964" s="52"/>
    </row>
    <row r="965" spans="4:27">
      <c r="D965" s="50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50"/>
      <c r="P965" s="50"/>
      <c r="Q965" s="52"/>
      <c r="W965" s="53"/>
      <c r="X965" s="53"/>
      <c r="Y965" s="51"/>
      <c r="Z965" s="51"/>
      <c r="AA965" s="52"/>
    </row>
    <row r="966" spans="4:27">
      <c r="D966" s="50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50"/>
      <c r="P966" s="50"/>
      <c r="Q966" s="52"/>
      <c r="W966" s="53"/>
      <c r="X966" s="53"/>
      <c r="Y966" s="51"/>
      <c r="Z966" s="51"/>
      <c r="AA966" s="52"/>
    </row>
    <row r="967" spans="4:27">
      <c r="D967" s="50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50"/>
      <c r="P967" s="50"/>
      <c r="Q967" s="52"/>
      <c r="W967" s="53"/>
      <c r="X967" s="53"/>
      <c r="Y967" s="51"/>
      <c r="Z967" s="51"/>
      <c r="AA967" s="52"/>
    </row>
    <row r="968" spans="4:27">
      <c r="D968" s="50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50"/>
      <c r="P968" s="50"/>
      <c r="Q968" s="52"/>
      <c r="W968" s="53"/>
      <c r="X968" s="53"/>
      <c r="Y968" s="51"/>
      <c r="Z968" s="51"/>
      <c r="AA968" s="52"/>
    </row>
    <row r="969" spans="4:27">
      <c r="D969" s="50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50"/>
      <c r="P969" s="50"/>
      <c r="Q969" s="52"/>
      <c r="W969" s="53"/>
      <c r="X969" s="53"/>
      <c r="Y969" s="51"/>
      <c r="Z969" s="51"/>
      <c r="AA969" s="52"/>
    </row>
    <row r="970" spans="4:27">
      <c r="D970" s="50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50"/>
      <c r="P970" s="50"/>
      <c r="Q970" s="52"/>
      <c r="W970" s="53"/>
      <c r="X970" s="53"/>
      <c r="Y970" s="51"/>
      <c r="Z970" s="51"/>
      <c r="AA970" s="52"/>
    </row>
    <row r="971" spans="4:27">
      <c r="D971" s="50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50"/>
      <c r="P971" s="50"/>
      <c r="Q971" s="52"/>
      <c r="W971" s="53"/>
      <c r="X971" s="53"/>
      <c r="Y971" s="51"/>
      <c r="Z971" s="51"/>
      <c r="AA971" s="52"/>
    </row>
    <row r="972" spans="4:27">
      <c r="D972" s="50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50"/>
      <c r="P972" s="50"/>
      <c r="Q972" s="52"/>
      <c r="W972" s="53"/>
      <c r="X972" s="53"/>
      <c r="Y972" s="51"/>
      <c r="Z972" s="51"/>
      <c r="AA972" s="52"/>
    </row>
    <row r="973" spans="4:27">
      <c r="D973" s="50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50"/>
      <c r="P973" s="50"/>
      <c r="Q973" s="52"/>
      <c r="W973" s="53"/>
      <c r="X973" s="53"/>
      <c r="Y973" s="51"/>
      <c r="Z973" s="51"/>
      <c r="AA973" s="52"/>
    </row>
    <row r="974" spans="4:27">
      <c r="D974" s="50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50"/>
      <c r="P974" s="50"/>
      <c r="Q974" s="52"/>
      <c r="W974" s="53"/>
      <c r="X974" s="53"/>
      <c r="Y974" s="51"/>
      <c r="Z974" s="51"/>
      <c r="AA974" s="52"/>
    </row>
    <row r="975" spans="4:27">
      <c r="D975" s="50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50"/>
      <c r="P975" s="50"/>
      <c r="Q975" s="52"/>
      <c r="W975" s="53"/>
      <c r="X975" s="53"/>
      <c r="Y975" s="51"/>
      <c r="Z975" s="51"/>
      <c r="AA975" s="52"/>
    </row>
    <row r="976" spans="4:27">
      <c r="D976" s="50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50"/>
      <c r="P976" s="50"/>
      <c r="Q976" s="52"/>
      <c r="W976" s="53"/>
      <c r="X976" s="53"/>
      <c r="Y976" s="51"/>
      <c r="Z976" s="51"/>
      <c r="AA976" s="52"/>
    </row>
    <row r="977" spans="4:27">
      <c r="D977" s="50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50"/>
      <c r="P977" s="50"/>
      <c r="Q977" s="52"/>
      <c r="W977" s="53"/>
      <c r="X977" s="53"/>
      <c r="Y977" s="51"/>
      <c r="Z977" s="51"/>
      <c r="AA977" s="52"/>
    </row>
    <row r="978" spans="4:27">
      <c r="D978" s="50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50"/>
      <c r="P978" s="50"/>
      <c r="Q978" s="52"/>
      <c r="W978" s="53"/>
      <c r="X978" s="53"/>
      <c r="Y978" s="51"/>
      <c r="Z978" s="51"/>
      <c r="AA978" s="52"/>
    </row>
    <row r="979" spans="4:27">
      <c r="D979" s="50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50"/>
      <c r="P979" s="50"/>
      <c r="Q979" s="52"/>
      <c r="W979" s="53"/>
      <c r="X979" s="53"/>
      <c r="Y979" s="51"/>
      <c r="Z979" s="51"/>
      <c r="AA979" s="52"/>
    </row>
    <row r="980" spans="4:27">
      <c r="D980" s="50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50"/>
      <c r="P980" s="50"/>
      <c r="Q980" s="52"/>
      <c r="W980" s="53"/>
      <c r="X980" s="53"/>
      <c r="Y980" s="51"/>
      <c r="Z980" s="51"/>
      <c r="AA980" s="52"/>
    </row>
    <row r="981" spans="4:27">
      <c r="D981" s="50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50"/>
      <c r="P981" s="50"/>
      <c r="Q981" s="52"/>
      <c r="W981" s="53"/>
      <c r="X981" s="53"/>
      <c r="Y981" s="51"/>
      <c r="Z981" s="51"/>
      <c r="AA981" s="52"/>
    </row>
    <row r="982" spans="4:27">
      <c r="D982" s="50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50"/>
      <c r="P982" s="50"/>
      <c r="Q982" s="52"/>
      <c r="W982" s="53"/>
      <c r="X982" s="53"/>
      <c r="Y982" s="51"/>
      <c r="Z982" s="51"/>
      <c r="AA982" s="52"/>
    </row>
    <row r="983" spans="4:27">
      <c r="D983" s="50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50"/>
      <c r="P983" s="50"/>
      <c r="Q983" s="52"/>
      <c r="W983" s="53"/>
      <c r="X983" s="53"/>
      <c r="Y983" s="51"/>
      <c r="Z983" s="51"/>
      <c r="AA983" s="52"/>
    </row>
    <row r="984" spans="4:27">
      <c r="D984" s="50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50"/>
      <c r="P984" s="50"/>
      <c r="Q984" s="52"/>
      <c r="W984" s="53"/>
      <c r="X984" s="53"/>
      <c r="Y984" s="51"/>
      <c r="Z984" s="51"/>
      <c r="AA984" s="52"/>
    </row>
    <row r="985" spans="4:27">
      <c r="D985" s="50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50"/>
      <c r="P985" s="50"/>
      <c r="Q985" s="52"/>
      <c r="W985" s="53"/>
      <c r="X985" s="53"/>
      <c r="Y985" s="51"/>
      <c r="Z985" s="51"/>
      <c r="AA985" s="52"/>
    </row>
    <row r="986" spans="4:27">
      <c r="D986" s="50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50"/>
      <c r="P986" s="50"/>
      <c r="Q986" s="52"/>
      <c r="W986" s="53"/>
      <c r="X986" s="53"/>
      <c r="Y986" s="51"/>
      <c r="Z986" s="51"/>
      <c r="AA986" s="52"/>
    </row>
    <row r="987" spans="4:27">
      <c r="D987" s="50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50"/>
      <c r="P987" s="50"/>
      <c r="Q987" s="52"/>
      <c r="W987" s="53"/>
      <c r="X987" s="53"/>
      <c r="Y987" s="51"/>
      <c r="Z987" s="51"/>
      <c r="AA987" s="52"/>
    </row>
    <row r="988" spans="4:27">
      <c r="D988" s="50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50"/>
      <c r="P988" s="50"/>
      <c r="Q988" s="52"/>
      <c r="W988" s="53"/>
      <c r="X988" s="53"/>
      <c r="Y988" s="51"/>
      <c r="Z988" s="51"/>
      <c r="AA988" s="52"/>
    </row>
    <row r="989" spans="4:27">
      <c r="D989" s="50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50"/>
      <c r="P989" s="50"/>
      <c r="Q989" s="52"/>
      <c r="W989" s="53"/>
      <c r="X989" s="53"/>
      <c r="Y989" s="51"/>
      <c r="Z989" s="51"/>
      <c r="AA989" s="52"/>
    </row>
    <row r="990" spans="4:27">
      <c r="D990" s="50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50"/>
      <c r="P990" s="50"/>
      <c r="Q990" s="52"/>
      <c r="W990" s="53"/>
      <c r="X990" s="53"/>
      <c r="Y990" s="51"/>
      <c r="Z990" s="51"/>
      <c r="AA990" s="52"/>
    </row>
    <row r="991" spans="4:27">
      <c r="D991" s="50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50"/>
      <c r="P991" s="50"/>
      <c r="Q991" s="52"/>
      <c r="W991" s="53"/>
      <c r="X991" s="53"/>
      <c r="Y991" s="51"/>
      <c r="Z991" s="51"/>
      <c r="AA991" s="52"/>
    </row>
    <row r="992" spans="4:27">
      <c r="D992" s="50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50"/>
      <c r="P992" s="50"/>
      <c r="Q992" s="52"/>
      <c r="W992" s="53"/>
      <c r="X992" s="53"/>
      <c r="Y992" s="51"/>
      <c r="Z992" s="51"/>
      <c r="AA992" s="52"/>
    </row>
    <row r="993" spans="4:27">
      <c r="D993" s="50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50"/>
      <c r="P993" s="50"/>
      <c r="Q993" s="52"/>
      <c r="W993" s="53"/>
      <c r="X993" s="53"/>
      <c r="Y993" s="51"/>
      <c r="Z993" s="51"/>
      <c r="AA993" s="52"/>
    </row>
    <row r="994" spans="4:27">
      <c r="D994" s="50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50"/>
      <c r="P994" s="50"/>
      <c r="Q994" s="52"/>
      <c r="W994" s="53"/>
      <c r="X994" s="53"/>
      <c r="Y994" s="51"/>
      <c r="Z994" s="51"/>
      <c r="AA994" s="52"/>
    </row>
    <row r="995" spans="4:27">
      <c r="D995" s="50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50"/>
      <c r="P995" s="50"/>
      <c r="Q995" s="52"/>
      <c r="W995" s="53"/>
      <c r="X995" s="53"/>
      <c r="Y995" s="51"/>
      <c r="Z995" s="51"/>
      <c r="AA995" s="52"/>
    </row>
    <row r="996" spans="4:27">
      <c r="D996" s="50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50"/>
      <c r="P996" s="50"/>
      <c r="Q996" s="52"/>
      <c r="W996" s="53"/>
      <c r="X996" s="53"/>
      <c r="Y996" s="51"/>
      <c r="Z996" s="51"/>
      <c r="AA996" s="52"/>
    </row>
    <row r="997" spans="4:27">
      <c r="D997" s="50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50"/>
      <c r="P997" s="50"/>
      <c r="Q997" s="52"/>
      <c r="W997" s="53"/>
      <c r="X997" s="53"/>
      <c r="Y997" s="51"/>
      <c r="Z997" s="51"/>
      <c r="AA997" s="52"/>
    </row>
    <row r="998" spans="4:27">
      <c r="D998" s="50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50"/>
      <c r="P998" s="50"/>
      <c r="Q998" s="52"/>
      <c r="W998" s="53"/>
      <c r="X998" s="53"/>
      <c r="Y998" s="51"/>
      <c r="Z998" s="51"/>
      <c r="AA998" s="52"/>
    </row>
    <row r="999" spans="4:27">
      <c r="D999" s="50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50"/>
      <c r="P999" s="50"/>
      <c r="Q999" s="52"/>
      <c r="W999" s="53"/>
      <c r="X999" s="53"/>
      <c r="Y999" s="51"/>
      <c r="Z999" s="51"/>
      <c r="AA999" s="52"/>
    </row>
    <row r="1000" spans="4:27">
      <c r="D1000" s="50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50"/>
      <c r="P1000" s="50"/>
      <c r="Q1000" s="52"/>
      <c r="W1000" s="53"/>
      <c r="X1000" s="53"/>
      <c r="Y1000" s="51"/>
      <c r="Z1000" s="51"/>
      <c r="AA1000" s="52"/>
    </row>
    <row r="1001" spans="4:27">
      <c r="D1001" s="50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50"/>
      <c r="P1001" s="50"/>
      <c r="Q1001" s="52"/>
      <c r="W1001" s="53"/>
      <c r="X1001" s="53"/>
      <c r="Y1001" s="51"/>
      <c r="Z1001" s="51"/>
      <c r="AA100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476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56" t="s">
        <v>473</v>
      </c>
      <c r="Z1" s="56" t="s">
        <v>474</v>
      </c>
      <c r="AA1" s="57" t="s">
        <v>475</v>
      </c>
    </row>
    <row r="2" spans="1:27">
      <c r="A2" s="6">
        <v>2018</v>
      </c>
      <c r="B2" s="6" t="s">
        <v>133</v>
      </c>
      <c r="C2" s="7" t="s">
        <v>134</v>
      </c>
      <c r="D2" s="51">
        <v>35820328250826</v>
      </c>
      <c r="E2" s="51">
        <v>41436061933356</v>
      </c>
      <c r="F2" s="51">
        <v>114968614731327</v>
      </c>
      <c r="G2" s="51">
        <v>23235117344046</v>
      </c>
      <c r="H2" s="51">
        <v>45366918001290</v>
      </c>
      <c r="I2" s="51">
        <v>68602035345336</v>
      </c>
      <c r="J2" s="51">
        <v>46366579385991</v>
      </c>
      <c r="K2" s="8">
        <v>70000000000</v>
      </c>
      <c r="L2" s="50">
        <v>56045332632978</v>
      </c>
      <c r="M2" s="50">
        <v>37082460251259</v>
      </c>
      <c r="N2" s="50">
        <v>10515185697510</v>
      </c>
      <c r="O2" s="50">
        <v>5280332435460</v>
      </c>
      <c r="P2" s="50">
        <v>796583982267</v>
      </c>
      <c r="Q2" s="51">
        <v>2130</v>
      </c>
      <c r="R2" s="51">
        <f t="shared" ref="R2:R28" si="0">D2/G2</f>
        <v>1.5416461092246199</v>
      </c>
      <c r="S2" s="51">
        <f t="shared" ref="S2:S28" si="1">H2/J2</f>
        <v>0.97844004457652456</v>
      </c>
      <c r="T2" s="51">
        <f t="shared" ref="T2:T28" si="2">O2/F2</f>
        <v>4.5928468806897771E-2</v>
      </c>
      <c r="U2" s="51">
        <f t="shared" ref="U2:U28" si="3">O2/J2</f>
        <v>0.11388229421675598</v>
      </c>
      <c r="V2" s="51">
        <f t="shared" ref="V2:V28" si="4">O2/L2</f>
        <v>9.4215382216376833E-2</v>
      </c>
      <c r="W2" s="51">
        <f t="shared" ref="W2:W28" si="5">(P2/K2)/Q2</f>
        <v>5.3426155752313879E-3</v>
      </c>
      <c r="X2" s="51">
        <f t="shared" ref="X2:X28" si="6">P2/O2</f>
        <v>0.1508586802068656</v>
      </c>
      <c r="Y2" s="58">
        <f t="shared" ref="Y2:Y28" si="7">Q2/(O2/K2)</f>
        <v>28.236858535406025</v>
      </c>
      <c r="Z2" s="58">
        <f t="shared" ref="Z2:Z28" si="8">Q2/(J2/K2)</f>
        <v>3.2156782314860264</v>
      </c>
      <c r="AA2" s="59">
        <v>2</v>
      </c>
    </row>
    <row r="3" spans="1:27">
      <c r="A3" s="6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9">
        <v>53501024525284</v>
      </c>
      <c r="M3" s="9">
        <v>36439368501116</v>
      </c>
      <c r="N3" s="9">
        <v>10330208510406</v>
      </c>
      <c r="O3" s="9">
        <v>1570551591695</v>
      </c>
      <c r="P3" s="9">
        <v>1353577596878</v>
      </c>
      <c r="Q3" s="51">
        <v>2170</v>
      </c>
      <c r="R3" s="51">
        <f t="shared" si="0"/>
        <v>1.9757312157069979</v>
      </c>
      <c r="S3" s="51">
        <f t="shared" si="1"/>
        <v>0.93252022275289359</v>
      </c>
      <c r="T3" s="51">
        <f t="shared" si="2"/>
        <v>1.5322157590042278E-2</v>
      </c>
      <c r="U3" s="51">
        <f t="shared" si="3"/>
        <v>3.4932184467966941E-2</v>
      </c>
      <c r="V3" s="51">
        <f t="shared" si="4"/>
        <v>2.9355542358871549E-2</v>
      </c>
      <c r="W3" s="51">
        <f t="shared" si="5"/>
        <v>8.9109782546280443E-3</v>
      </c>
      <c r="X3" s="51">
        <f t="shared" si="6"/>
        <v>0.8618485403699262</v>
      </c>
      <c r="Y3" s="58">
        <f t="shared" si="7"/>
        <v>96.717612336480869</v>
      </c>
      <c r="Z3" s="58">
        <f t="shared" si="8"/>
        <v>3.3785574754392651</v>
      </c>
      <c r="AA3" s="59">
        <v>2</v>
      </c>
    </row>
    <row r="4" spans="1:27">
      <c r="A4" s="6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9">
        <v>40700486761025</v>
      </c>
      <c r="M4" s="9">
        <v>28648929334025</v>
      </c>
      <c r="N4" s="9">
        <v>8359448650280</v>
      </c>
      <c r="O4" s="9">
        <v>-2473389962225</v>
      </c>
      <c r="P4" s="9">
        <v>953146912445</v>
      </c>
      <c r="Q4" s="51">
        <v>1655</v>
      </c>
      <c r="R4" s="51">
        <f t="shared" si="0"/>
        <v>1.6952852469745359</v>
      </c>
      <c r="S4" s="51">
        <f t="shared" si="1"/>
        <v>1.1488622741274748</v>
      </c>
      <c r="T4" s="51">
        <f t="shared" si="2"/>
        <v>-2.3275267010885014E-2</v>
      </c>
      <c r="U4" s="51">
        <f t="shared" si="3"/>
        <v>-5.9333166275233259E-2</v>
      </c>
      <c r="V4" s="51">
        <f t="shared" si="4"/>
        <v>-6.0770525344024419E-2</v>
      </c>
      <c r="W4" s="51">
        <f t="shared" si="5"/>
        <v>8.2274226365558912E-3</v>
      </c>
      <c r="X4" s="51">
        <f t="shared" si="6"/>
        <v>-0.3853605484788063</v>
      </c>
      <c r="Y4" s="58">
        <f t="shared" si="7"/>
        <v>-46.838550236447233</v>
      </c>
      <c r="Z4" s="58">
        <f t="shared" si="8"/>
        <v>2.7790794892699902</v>
      </c>
      <c r="AA4" s="59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9">
        <v>1710322585164</v>
      </c>
      <c r="M5" s="9">
        <v>1413357025509</v>
      </c>
      <c r="N5" s="9">
        <v>222397112736</v>
      </c>
      <c r="O5" s="9">
        <v>180054987318</v>
      </c>
      <c r="P5" s="9">
        <v>47384597871</v>
      </c>
      <c r="Q5" s="51">
        <v>472</v>
      </c>
      <c r="R5" s="51">
        <f t="shared" si="0"/>
        <v>3.7496105368305823</v>
      </c>
      <c r="S5" s="51">
        <f t="shared" si="1"/>
        <v>0.31509486105841239</v>
      </c>
      <c r="T5" s="51">
        <f t="shared" si="2"/>
        <v>6.5063362834525726E-2</v>
      </c>
      <c r="U5" s="51">
        <f t="shared" si="3"/>
        <v>9.4371043686282977E-2</v>
      </c>
      <c r="V5" s="51">
        <f t="shared" si="4"/>
        <v>0.10527545439665396</v>
      </c>
      <c r="W5" s="51">
        <f t="shared" si="5"/>
        <v>2.3749500319504537E-2</v>
      </c>
      <c r="X5" s="51">
        <f t="shared" si="6"/>
        <v>0.26316737223897485</v>
      </c>
      <c r="Y5" s="58">
        <f t="shared" si="7"/>
        <v>11.080964597088629</v>
      </c>
      <c r="Z5" s="58">
        <f t="shared" si="8"/>
        <v>1.0457221940780062</v>
      </c>
      <c r="AA5" s="59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9">
        <v>1697756320356</v>
      </c>
      <c r="M6" s="9">
        <v>1460057977986</v>
      </c>
      <c r="N6" s="9">
        <v>215576318772</v>
      </c>
      <c r="O6" s="9">
        <v>88096225202</v>
      </c>
      <c r="P6" s="9">
        <v>32799770926</v>
      </c>
      <c r="Q6" s="51">
        <v>189</v>
      </c>
      <c r="R6" s="51">
        <f t="shared" si="0"/>
        <v>3.0102059261958711</v>
      </c>
      <c r="S6" s="51">
        <f t="shared" si="1"/>
        <v>0.2789078550474956</v>
      </c>
      <c r="T6" s="51">
        <f t="shared" si="2"/>
        <v>3.5121918724434209E-2</v>
      </c>
      <c r="U6" s="51">
        <f t="shared" si="3"/>
        <v>5.1649022938184963E-2</v>
      </c>
      <c r="V6" s="51">
        <f t="shared" si="4"/>
        <v>5.1889793691669031E-2</v>
      </c>
      <c r="W6" s="51">
        <f t="shared" si="5"/>
        <v>4.1055210423082002E-2</v>
      </c>
      <c r="X6" s="51">
        <f t="shared" si="6"/>
        <v>0.37231755220830237</v>
      </c>
      <c r="Y6" s="58">
        <f t="shared" si="7"/>
        <v>9.068704029805156</v>
      </c>
      <c r="Z6" s="58">
        <f t="shared" si="8"/>
        <v>0.46838970245501693</v>
      </c>
      <c r="AA6" s="59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9">
        <v>1393076432020</v>
      </c>
      <c r="M7" s="9">
        <v>1166087107185</v>
      </c>
      <c r="N7" s="9">
        <v>44814815045</v>
      </c>
      <c r="O7" s="9">
        <v>85004671115</v>
      </c>
      <c r="P7" s="9">
        <v>27326152490</v>
      </c>
      <c r="Q7" s="51">
        <v>252</v>
      </c>
      <c r="R7" s="51">
        <f t="shared" si="0"/>
        <v>7.6415628488178378</v>
      </c>
      <c r="S7" s="51">
        <f t="shared" si="1"/>
        <v>0.17517619656560871</v>
      </c>
      <c r="T7" s="51">
        <f t="shared" si="2"/>
        <v>3.6164288097723603E-2</v>
      </c>
      <c r="U7" s="51">
        <f t="shared" si="3"/>
        <v>4.8898417753319497E-2</v>
      </c>
      <c r="V7" s="51">
        <f t="shared" si="4"/>
        <v>6.1019387853501215E-2</v>
      </c>
      <c r="W7" s="51">
        <f t="shared" si="5"/>
        <v>2.5652944567690732E-2</v>
      </c>
      <c r="X7" s="51">
        <f t="shared" si="6"/>
        <v>0.32146648097763186</v>
      </c>
      <c r="Y7" s="58">
        <f t="shared" si="7"/>
        <v>12.531367700474867</v>
      </c>
      <c r="Z7" s="58">
        <f t="shared" si="8"/>
        <v>0.61276405283827484</v>
      </c>
      <c r="AA7" s="59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9">
        <v>1239476562819</v>
      </c>
      <c r="M8" s="9">
        <v>1055003147262</v>
      </c>
      <c r="N8" s="9">
        <v>289740496401</v>
      </c>
      <c r="O8" s="9">
        <v>83913832674</v>
      </c>
      <c r="P8" s="9">
        <v>0</v>
      </c>
      <c r="Q8" s="51">
        <v>4300</v>
      </c>
      <c r="R8" s="51">
        <f t="shared" si="0"/>
        <v>3.153291683758872</v>
      </c>
      <c r="S8" s="51">
        <f t="shared" si="1"/>
        <v>7.6515917613361323E-2</v>
      </c>
      <c r="T8" s="51">
        <f t="shared" si="2"/>
        <v>3.7228593079066861E-2</v>
      </c>
      <c r="U8" s="51">
        <f t="shared" si="3"/>
        <v>5.8689223298761396E-2</v>
      </c>
      <c r="V8" s="51">
        <f t="shared" si="4"/>
        <v>6.7701024118722197E-2</v>
      </c>
      <c r="W8" s="51">
        <f t="shared" si="5"/>
        <v>0</v>
      </c>
      <c r="X8" s="51">
        <f t="shared" si="6"/>
        <v>0</v>
      </c>
      <c r="Y8" s="58">
        <f t="shared" si="7"/>
        <v>163.97773241340008</v>
      </c>
      <c r="Z8" s="58">
        <f t="shared" si="8"/>
        <v>9.6237257536345826</v>
      </c>
      <c r="AA8" s="59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9">
        <v>1995615229813</v>
      </c>
      <c r="M9" s="9">
        <v>1631562719269</v>
      </c>
      <c r="N9" s="9">
        <v>314445540954</v>
      </c>
      <c r="O9" s="9">
        <v>22867965159</v>
      </c>
      <c r="P9" s="9">
        <v>252928695</v>
      </c>
      <c r="Q9" s="51">
        <v>3150</v>
      </c>
      <c r="R9" s="51">
        <f t="shared" si="0"/>
        <v>2.8101815133752064</v>
      </c>
      <c r="S9" s="51">
        <f t="shared" si="1"/>
        <v>9.4146785805276939E-2</v>
      </c>
      <c r="T9" s="51">
        <f t="shared" si="2"/>
        <v>9.5464315859699663E-3</v>
      </c>
      <c r="U9" s="51">
        <f t="shared" si="3"/>
        <v>1.621544608674353E-2</v>
      </c>
      <c r="V9" s="51">
        <f t="shared" si="4"/>
        <v>1.1459105351256943E-2</v>
      </c>
      <c r="W9" s="51">
        <f t="shared" si="5"/>
        <v>2.5092132440476188E-5</v>
      </c>
      <c r="X9" s="51">
        <f t="shared" si="6"/>
        <v>1.1060393578588975E-2</v>
      </c>
      <c r="Y9" s="58">
        <f t="shared" si="7"/>
        <v>440.79129602980345</v>
      </c>
      <c r="Z9" s="58">
        <f t="shared" si="8"/>
        <v>7.147627496277086</v>
      </c>
      <c r="AA9" s="59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9">
        <v>1779978175885</v>
      </c>
      <c r="M10" s="9">
        <v>1493795681105</v>
      </c>
      <c r="N10" s="9">
        <v>281118009900</v>
      </c>
      <c r="O10" s="9">
        <v>-43122327885</v>
      </c>
      <c r="P10" s="9">
        <v>81061435</v>
      </c>
      <c r="Q10" s="51">
        <v>3220</v>
      </c>
      <c r="R10" s="51">
        <f t="shared" si="0"/>
        <v>3.3453244934461215</v>
      </c>
      <c r="S10" s="51">
        <f t="shared" si="1"/>
        <v>8.3887610858021405E-2</v>
      </c>
      <c r="T10" s="51">
        <f t="shared" si="2"/>
        <v>-2.3437035363445741E-2</v>
      </c>
      <c r="U10" s="51">
        <f t="shared" si="3"/>
        <v>-3.077377202841718E-2</v>
      </c>
      <c r="V10" s="51">
        <f t="shared" si="4"/>
        <v>-2.4226323934314366E-2</v>
      </c>
      <c r="W10" s="51">
        <f t="shared" si="5"/>
        <v>7.8669870923913051E-6</v>
      </c>
      <c r="X10" s="51">
        <f t="shared" si="6"/>
        <v>-1.8798019257257451E-3</v>
      </c>
      <c r="Y10" s="58">
        <f t="shared" si="7"/>
        <v>-238.94813905870379</v>
      </c>
      <c r="Z10" s="58">
        <f t="shared" si="8"/>
        <v>7.3533355580070774</v>
      </c>
      <c r="AA10" s="59">
        <v>2</v>
      </c>
    </row>
    <row r="11" spans="1:27">
      <c r="A11" s="6">
        <v>2018</v>
      </c>
      <c r="B11" s="6" t="s">
        <v>239</v>
      </c>
      <c r="C11" s="7" t="s">
        <v>240</v>
      </c>
      <c r="D11" s="13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10">
        <v>48741000000</v>
      </c>
      <c r="P11" s="49">
        <v>0</v>
      </c>
      <c r="Q11" s="51">
        <v>87</v>
      </c>
      <c r="R11" s="51">
        <f t="shared" si="0"/>
        <v>1.411469332006918</v>
      </c>
      <c r="S11" s="51">
        <f t="shared" si="1"/>
        <v>0.34275417298937783</v>
      </c>
      <c r="T11" s="51">
        <f t="shared" si="2"/>
        <v>7.5054626759489809E-3</v>
      </c>
      <c r="U11" s="51">
        <f t="shared" si="3"/>
        <v>1.6718368836557116E-2</v>
      </c>
      <c r="V11" s="51">
        <f t="shared" si="4"/>
        <v>1.0909908921812431E-2</v>
      </c>
      <c r="W11" s="51">
        <f t="shared" si="5"/>
        <v>0</v>
      </c>
      <c r="X11" s="51">
        <f t="shared" si="6"/>
        <v>0</v>
      </c>
      <c r="Y11" s="58">
        <f t="shared" si="7"/>
        <v>30.34406351941897</v>
      </c>
      <c r="Z11" s="58">
        <f t="shared" si="8"/>
        <v>0.50730324591756371</v>
      </c>
      <c r="AA11" s="59">
        <v>2</v>
      </c>
    </row>
    <row r="12" spans="1:27">
      <c r="A12" s="6">
        <v>2019</v>
      </c>
      <c r="B12" s="6" t="s">
        <v>239</v>
      </c>
      <c r="C12" s="7" t="s">
        <v>240</v>
      </c>
      <c r="D12" s="13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10">
        <v>185694000000</v>
      </c>
      <c r="P12" s="49">
        <v>0</v>
      </c>
      <c r="Q12" s="51">
        <v>184</v>
      </c>
      <c r="R12" s="51">
        <f t="shared" si="0"/>
        <v>1.3949772326960428</v>
      </c>
      <c r="S12" s="51">
        <f t="shared" si="1"/>
        <v>0.25267001993761184</v>
      </c>
      <c r="T12" s="51">
        <f t="shared" si="2"/>
        <v>2.8904007731643845E-2</v>
      </c>
      <c r="U12" s="51">
        <f t="shared" si="3"/>
        <v>5.9927078297564176E-2</v>
      </c>
      <c r="V12" s="51">
        <f t="shared" si="4"/>
        <v>3.8006293652621079E-2</v>
      </c>
      <c r="W12" s="51">
        <f t="shared" si="5"/>
        <v>0</v>
      </c>
      <c r="X12" s="51">
        <f t="shared" si="6"/>
        <v>0</v>
      </c>
      <c r="Y12" s="58">
        <f t="shared" si="7"/>
        <v>16.844916906308228</v>
      </c>
      <c r="Z12" s="58">
        <f t="shared" si="8"/>
        <v>1.0094666543602957</v>
      </c>
      <c r="AA12" s="59">
        <v>2</v>
      </c>
    </row>
    <row r="13" spans="1:27">
      <c r="A13" s="6">
        <v>2020</v>
      </c>
      <c r="B13" s="6" t="s">
        <v>239</v>
      </c>
      <c r="C13" s="7" t="s">
        <v>240</v>
      </c>
      <c r="D13" s="13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10">
        <v>175835000000</v>
      </c>
      <c r="P13" s="49">
        <v>0</v>
      </c>
      <c r="Q13" s="51">
        <v>160</v>
      </c>
      <c r="R13" s="51">
        <f t="shared" si="0"/>
        <v>1.4399384365795489</v>
      </c>
      <c r="S13" s="51">
        <f t="shared" si="1"/>
        <v>0.17357780616069127</v>
      </c>
      <c r="T13" s="51">
        <f t="shared" si="2"/>
        <v>2.8936392761483222E-2</v>
      </c>
      <c r="U13" s="51">
        <f t="shared" si="3"/>
        <v>5.2718763304490698E-2</v>
      </c>
      <c r="V13" s="51">
        <f t="shared" si="4"/>
        <v>4.657226932377706E-2</v>
      </c>
      <c r="W13" s="51">
        <f t="shared" si="5"/>
        <v>0</v>
      </c>
      <c r="X13" s="51">
        <f t="shared" si="6"/>
        <v>0</v>
      </c>
      <c r="Y13" s="58">
        <f t="shared" si="7"/>
        <v>15.469047686751784</v>
      </c>
      <c r="Z13" s="58">
        <f t="shared" si="8"/>
        <v>0.81550906354374675</v>
      </c>
      <c r="AA13" s="59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9">
        <v>2362363017831</v>
      </c>
      <c r="M14" s="9">
        <v>2241184156263</v>
      </c>
      <c r="N14" s="9">
        <v>97572413241</v>
      </c>
      <c r="O14" s="9">
        <v>-22261091022</v>
      </c>
      <c r="P14" s="9">
        <v>0</v>
      </c>
      <c r="Q14" s="51">
        <v>3500</v>
      </c>
      <c r="R14" s="51">
        <f t="shared" si="0"/>
        <v>1.0999107439637852</v>
      </c>
      <c r="S14" s="51">
        <f t="shared" si="1"/>
        <v>5.0281259128170101E-2</v>
      </c>
      <c r="T14" s="51">
        <f t="shared" si="2"/>
        <v>-1.0402564638991836E-2</v>
      </c>
      <c r="U14" s="51">
        <f t="shared" si="3"/>
        <v>-3.5705824487911979E-2</v>
      </c>
      <c r="V14" s="51">
        <f t="shared" si="4"/>
        <v>-9.4232304070011163E-3</v>
      </c>
      <c r="W14" s="51">
        <f t="shared" si="5"/>
        <v>0</v>
      </c>
      <c r="X14" s="51">
        <f t="shared" si="6"/>
        <v>0</v>
      </c>
      <c r="Y14" s="58">
        <f t="shared" si="7"/>
        <v>-1257.7999870863653</v>
      </c>
      <c r="Z14" s="58">
        <f t="shared" si="8"/>
        <v>44.910785579803708</v>
      </c>
      <c r="AA14" s="59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9">
        <v>2267048602389</v>
      </c>
      <c r="M15" s="9">
        <v>2120573320557</v>
      </c>
      <c r="N15" s="9">
        <v>101630628030</v>
      </c>
      <c r="O15" s="9">
        <v>37263938066</v>
      </c>
      <c r="P15" s="9">
        <v>0</v>
      </c>
      <c r="Q15" s="51">
        <v>675</v>
      </c>
      <c r="R15" s="51">
        <f t="shared" si="0"/>
        <v>1.1377548504394015</v>
      </c>
      <c r="S15" s="51">
        <f t="shared" si="1"/>
        <v>5.7195924351019514E-2</v>
      </c>
      <c r="T15" s="51">
        <f t="shared" si="2"/>
        <v>1.7672121174156768E-2</v>
      </c>
      <c r="U15" s="51">
        <f t="shared" si="3"/>
        <v>5.8736092891804037E-2</v>
      </c>
      <c r="V15" s="51">
        <f t="shared" si="4"/>
        <v>1.6437202990148302E-2</v>
      </c>
      <c r="W15" s="51">
        <f t="shared" si="5"/>
        <v>0</v>
      </c>
      <c r="X15" s="51">
        <f t="shared" si="6"/>
        <v>0</v>
      </c>
      <c r="Y15" s="58">
        <f t="shared" si="7"/>
        <v>144.9122202391973</v>
      </c>
      <c r="Z15" s="58">
        <f t="shared" si="8"/>
        <v>8.5115776291270571</v>
      </c>
      <c r="AA15" s="59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9">
        <v>2041413970050</v>
      </c>
      <c r="M16" s="9">
        <v>1903450256890</v>
      </c>
      <c r="N16" s="9">
        <v>100600541405</v>
      </c>
      <c r="O16" s="9">
        <v>38338476085</v>
      </c>
      <c r="P16" s="9">
        <v>0</v>
      </c>
      <c r="Q16" s="51">
        <v>1445</v>
      </c>
      <c r="R16" s="51">
        <f t="shared" si="0"/>
        <v>1.2320970451076141</v>
      </c>
      <c r="S16" s="51">
        <f t="shared" si="1"/>
        <v>6.3656898517348681E-2</v>
      </c>
      <c r="T16" s="51">
        <f t="shared" si="2"/>
        <v>2.0603181920457476E-2</v>
      </c>
      <c r="U16" s="51">
        <f t="shared" si="3"/>
        <v>5.6175935068245628E-2</v>
      </c>
      <c r="V16" s="51">
        <f t="shared" si="4"/>
        <v>1.8780353542922498E-2</v>
      </c>
      <c r="W16" s="51">
        <f t="shared" si="5"/>
        <v>0</v>
      </c>
      <c r="X16" s="51">
        <f t="shared" si="6"/>
        <v>0</v>
      </c>
      <c r="Y16" s="58">
        <f t="shared" si="7"/>
        <v>301.52476520898728</v>
      </c>
      <c r="Z16" s="58">
        <f t="shared" si="8"/>
        <v>16.93843563184808</v>
      </c>
      <c r="AA16" s="59">
        <v>2</v>
      </c>
    </row>
    <row r="17" spans="1:27">
      <c r="A17" s="6">
        <v>2018</v>
      </c>
      <c r="B17" s="6" t="s">
        <v>243</v>
      </c>
      <c r="C17" s="7" t="s">
        <v>244</v>
      </c>
      <c r="D17" s="13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12">
        <v>38735092000</v>
      </c>
      <c r="P17" s="49">
        <v>0</v>
      </c>
      <c r="Q17" s="51">
        <v>66</v>
      </c>
      <c r="R17" s="51">
        <f t="shared" si="0"/>
        <v>2.4527998532633956E-3</v>
      </c>
      <c r="S17" s="51">
        <f t="shared" si="1"/>
        <v>5.4919701041643537E-2</v>
      </c>
      <c r="T17" s="51">
        <f t="shared" si="2"/>
        <v>5.6401248293604198E-2</v>
      </c>
      <c r="U17" s="51">
        <f t="shared" si="3"/>
        <v>8.1071711099593588E-2</v>
      </c>
      <c r="V17" s="51">
        <f t="shared" si="4"/>
        <v>6.4452476093354666E-2</v>
      </c>
      <c r="W17" s="51">
        <f t="shared" si="5"/>
        <v>0</v>
      </c>
      <c r="X17" s="51">
        <f t="shared" si="6"/>
        <v>0</v>
      </c>
      <c r="Y17" s="58">
        <f t="shared" si="7"/>
        <v>20.44657593687915</v>
      </c>
      <c r="Z17" s="58">
        <f t="shared" si="8"/>
        <v>1.6576388973305685</v>
      </c>
      <c r="AA17" s="59">
        <v>2</v>
      </c>
    </row>
    <row r="18" spans="1:27">
      <c r="A18" s="6">
        <v>2019</v>
      </c>
      <c r="B18" s="6" t="s">
        <v>243</v>
      </c>
      <c r="C18" s="7" t="s">
        <v>244</v>
      </c>
      <c r="D18" s="13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12">
        <v>42829128000</v>
      </c>
      <c r="P18" s="50">
        <v>6017384000</v>
      </c>
      <c r="Q18" s="51">
        <v>68</v>
      </c>
      <c r="R18" s="51">
        <f t="shared" si="0"/>
        <v>2.4689492555091102E-3</v>
      </c>
      <c r="S18" s="51">
        <f t="shared" si="1"/>
        <v>9.1279684433613811E-2</v>
      </c>
      <c r="T18" s="51">
        <f t="shared" si="2"/>
        <v>5.4962208137642563E-2</v>
      </c>
      <c r="U18" s="51">
        <f t="shared" si="3"/>
        <v>8.3227907389599967E-2</v>
      </c>
      <c r="V18" s="51">
        <f t="shared" si="4"/>
        <v>6.2573201032202125E-2</v>
      </c>
      <c r="W18" s="51">
        <f t="shared" si="5"/>
        <v>7.3742450980392154E-3</v>
      </c>
      <c r="X18" s="51">
        <f t="shared" si="6"/>
        <v>0.14049746705092853</v>
      </c>
      <c r="Y18" s="58">
        <f t="shared" si="7"/>
        <v>19.052454208266859</v>
      </c>
      <c r="Z18" s="58">
        <f t="shared" si="8"/>
        <v>1.5856958943902282</v>
      </c>
      <c r="AA18" s="59">
        <v>2</v>
      </c>
    </row>
    <row r="19" spans="1:27">
      <c r="A19" s="6">
        <v>2020</v>
      </c>
      <c r="B19" s="6" t="s">
        <v>243</v>
      </c>
      <c r="C19" s="7" t="s">
        <v>244</v>
      </c>
      <c r="D19" s="51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12">
        <v>44152245000</v>
      </c>
      <c r="P19" s="50">
        <v>12034736000</v>
      </c>
      <c r="Q19" s="51">
        <v>58</v>
      </c>
      <c r="R19" s="51">
        <f t="shared" si="0"/>
        <v>2.1713376878089419E-3</v>
      </c>
      <c r="S19" s="51">
        <f t="shared" si="1"/>
        <v>8.8660111064330041E-2</v>
      </c>
      <c r="T19" s="51">
        <f t="shared" si="2"/>
        <v>4.8687650852021716E-2</v>
      </c>
      <c r="U19" s="51">
        <f t="shared" si="3"/>
        <v>7.5103234310186728E-2</v>
      </c>
      <c r="V19" s="51">
        <f t="shared" si="4"/>
        <v>4.9553760158792745E-2</v>
      </c>
      <c r="W19" s="51">
        <f t="shared" si="5"/>
        <v>1.7291287356321839E-2</v>
      </c>
      <c r="X19" s="51">
        <f t="shared" si="6"/>
        <v>0.27257359167127287</v>
      </c>
      <c r="Y19" s="58">
        <f t="shared" si="7"/>
        <v>15.763637839933168</v>
      </c>
      <c r="Z19" s="58">
        <f t="shared" si="8"/>
        <v>1.1839001862734264</v>
      </c>
      <c r="AA19" s="59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10">
        <v>393305654277</v>
      </c>
      <c r="M20" s="10">
        <v>128270496888</v>
      </c>
      <c r="N20" s="10">
        <v>1426748344740</v>
      </c>
      <c r="O20" s="10">
        <v>316519688385</v>
      </c>
      <c r="P20" s="10">
        <v>0</v>
      </c>
      <c r="Q20" s="51">
        <v>50</v>
      </c>
      <c r="R20" s="51">
        <f t="shared" si="0"/>
        <v>0.58467920257730366</v>
      </c>
      <c r="S20" s="51">
        <f t="shared" si="1"/>
        <v>1.0029738394916661</v>
      </c>
      <c r="T20" s="51">
        <f t="shared" si="2"/>
        <v>1.7949065066748152E-2</v>
      </c>
      <c r="U20" s="51">
        <f t="shared" si="3"/>
        <v>5.9583061667976854E-2</v>
      </c>
      <c r="V20" s="51">
        <f t="shared" si="4"/>
        <v>0.80476770405665043</v>
      </c>
      <c r="W20" s="51">
        <f t="shared" si="5"/>
        <v>0</v>
      </c>
      <c r="X20" s="51">
        <f t="shared" si="6"/>
        <v>0</v>
      </c>
      <c r="Y20" s="58">
        <f t="shared" si="7"/>
        <v>14.533061192720407</v>
      </c>
      <c r="Z20" s="58">
        <f t="shared" si="8"/>
        <v>0.86592428127034138</v>
      </c>
      <c r="AA20" s="59">
        <v>2</v>
      </c>
    </row>
    <row r="21" spans="1:27">
      <c r="A21" s="6">
        <v>2019</v>
      </c>
      <c r="B21" s="6" t="s">
        <v>387</v>
      </c>
      <c r="C21" s="7" t="s">
        <v>388</v>
      </c>
      <c r="D21" s="51">
        <v>4871941173051</v>
      </c>
      <c r="E21" s="51">
        <v>1270778472835</v>
      </c>
      <c r="F21" s="51">
        <v>17425618108707</v>
      </c>
      <c r="G21" s="51">
        <v>4174579395048</v>
      </c>
      <c r="H21" s="51">
        <v>8198421378258</v>
      </c>
      <c r="I21" s="51">
        <v>12373000773306</v>
      </c>
      <c r="J21" s="51">
        <v>5052617335401</v>
      </c>
      <c r="K21" s="8">
        <v>92000000000</v>
      </c>
      <c r="L21" s="50">
        <v>985413740475</v>
      </c>
      <c r="M21" s="50">
        <v>177307046485</v>
      </c>
      <c r="N21" s="50">
        <v>950520923781</v>
      </c>
      <c r="O21" s="50">
        <v>381395703966</v>
      </c>
      <c r="P21" s="50">
        <v>0</v>
      </c>
      <c r="Q21" s="51">
        <v>50</v>
      </c>
      <c r="R21" s="51">
        <f t="shared" si="0"/>
        <v>1.167049590392323</v>
      </c>
      <c r="S21" s="51">
        <f t="shared" si="1"/>
        <v>1.622608805304931</v>
      </c>
      <c r="T21" s="51">
        <f t="shared" si="2"/>
        <v>2.1887068888272566E-2</v>
      </c>
      <c r="U21" s="51">
        <f t="shared" si="3"/>
        <v>7.5484779204188557E-2</v>
      </c>
      <c r="V21" s="51">
        <f t="shared" si="4"/>
        <v>0.38704118716890984</v>
      </c>
      <c r="W21" s="51">
        <f t="shared" si="5"/>
        <v>0</v>
      </c>
      <c r="X21" s="51">
        <f t="shared" si="6"/>
        <v>0</v>
      </c>
      <c r="Y21" s="58">
        <f t="shared" si="7"/>
        <v>12.060964379425924</v>
      </c>
      <c r="Z21" s="58">
        <f t="shared" si="8"/>
        <v>0.91041923317054885</v>
      </c>
      <c r="AA21" s="59">
        <v>2</v>
      </c>
    </row>
    <row r="22" spans="1:27">
      <c r="A22" s="6">
        <v>2020</v>
      </c>
      <c r="B22" s="6" t="s">
        <v>387</v>
      </c>
      <c r="C22" s="7" t="s">
        <v>388</v>
      </c>
      <c r="D22" s="51">
        <v>2743346826675</v>
      </c>
      <c r="E22" s="51">
        <v>1759004633295</v>
      </c>
      <c r="F22" s="51">
        <v>18952683723610</v>
      </c>
      <c r="G22" s="51">
        <v>7215807323270</v>
      </c>
      <c r="H22" s="51">
        <v>6298449154270</v>
      </c>
      <c r="I22" s="51">
        <v>13514256477540</v>
      </c>
      <c r="J22" s="51">
        <v>5438427246070</v>
      </c>
      <c r="K22" s="8">
        <v>92000000000</v>
      </c>
      <c r="L22" s="50">
        <v>1107410335395</v>
      </c>
      <c r="M22" s="50">
        <v>187898445735</v>
      </c>
      <c r="N22" s="50">
        <v>929563916645</v>
      </c>
      <c r="O22" s="50">
        <v>381477285280</v>
      </c>
      <c r="P22" s="50">
        <v>0</v>
      </c>
      <c r="Q22" s="51">
        <v>50</v>
      </c>
      <c r="R22" s="51">
        <f t="shared" si="0"/>
        <v>0.38018570948091679</v>
      </c>
      <c r="S22" s="51">
        <f t="shared" si="1"/>
        <v>1.1581379816787072</v>
      </c>
      <c r="T22" s="51">
        <f t="shared" si="2"/>
        <v>2.0127876919339968E-2</v>
      </c>
      <c r="U22" s="51">
        <f t="shared" si="3"/>
        <v>7.0144780470432697E-2</v>
      </c>
      <c r="V22" s="51">
        <f t="shared" si="4"/>
        <v>0.34447690534144387</v>
      </c>
      <c r="W22" s="51">
        <f t="shared" si="5"/>
        <v>0</v>
      </c>
      <c r="X22" s="51">
        <f t="shared" si="6"/>
        <v>0</v>
      </c>
      <c r="Y22" s="58">
        <f t="shared" si="7"/>
        <v>12.058385066423162</v>
      </c>
      <c r="Z22" s="58">
        <f t="shared" si="8"/>
        <v>0.84583277331219664</v>
      </c>
      <c r="AA22" s="59">
        <v>2</v>
      </c>
    </row>
    <row r="23" spans="1:27">
      <c r="A23" s="6">
        <v>2018</v>
      </c>
      <c r="B23" s="6" t="s">
        <v>391</v>
      </c>
      <c r="C23" s="7" t="s">
        <v>392</v>
      </c>
      <c r="D23" s="51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12">
        <v>276316000000</v>
      </c>
      <c r="P23" s="50">
        <v>37071000000</v>
      </c>
      <c r="Q23" s="51">
        <v>360</v>
      </c>
      <c r="R23" s="51">
        <f t="shared" si="0"/>
        <v>2.672460836563689</v>
      </c>
      <c r="S23" s="51">
        <f t="shared" si="1"/>
        <v>7.2792255014847582E-2</v>
      </c>
      <c r="T23" s="51">
        <f t="shared" si="2"/>
        <v>4.8842147537167285E-2</v>
      </c>
      <c r="U23" s="51">
        <f t="shared" si="3"/>
        <v>8.372704684564572E-2</v>
      </c>
      <c r="V23" s="51">
        <f t="shared" si="4"/>
        <v>4.1709498316470868E-2</v>
      </c>
      <c r="W23" s="51">
        <f t="shared" si="5"/>
        <v>4.5766666666666664E-3</v>
      </c>
      <c r="X23" s="51">
        <f t="shared" si="6"/>
        <v>0.1341616120673432</v>
      </c>
      <c r="Y23" s="58">
        <f t="shared" si="7"/>
        <v>29.314263379608853</v>
      </c>
      <c r="Z23" s="58">
        <f t="shared" si="8"/>
        <v>2.4543967032301075</v>
      </c>
      <c r="AA23" s="59">
        <v>2</v>
      </c>
    </row>
    <row r="24" spans="1:27">
      <c r="A24" s="6">
        <v>2019</v>
      </c>
      <c r="B24" s="6" t="s">
        <v>391</v>
      </c>
      <c r="C24" s="7" t="s">
        <v>392</v>
      </c>
      <c r="D24" s="13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12">
        <v>356477000000</v>
      </c>
      <c r="P24" s="50">
        <v>69079000000</v>
      </c>
      <c r="Q24" s="51">
        <v>306</v>
      </c>
      <c r="R24" s="51">
        <f t="shared" si="0"/>
        <v>2.7173029966038889</v>
      </c>
      <c r="S24" s="51">
        <f t="shared" si="1"/>
        <v>0.20242245780885051</v>
      </c>
      <c r="T24" s="51">
        <f t="shared" si="2"/>
        <v>5.2384285346281E-2</v>
      </c>
      <c r="U24" s="51">
        <f t="shared" si="3"/>
        <v>9.9666508047366598E-2</v>
      </c>
      <c r="V24" s="51">
        <f t="shared" si="4"/>
        <v>4.2513036781098711E-2</v>
      </c>
      <c r="W24" s="51">
        <f t="shared" si="5"/>
        <v>1.0033260711692084E-2</v>
      </c>
      <c r="X24" s="51">
        <f t="shared" si="6"/>
        <v>0.19378248807075912</v>
      </c>
      <c r="Y24" s="58">
        <f t="shared" si="7"/>
        <v>19.314009038451289</v>
      </c>
      <c r="Z24" s="58">
        <f t="shared" si="8"/>
        <v>1.9249598372577164</v>
      </c>
      <c r="AA24" s="59">
        <v>2</v>
      </c>
    </row>
    <row r="25" spans="1:27">
      <c r="A25" s="6">
        <v>2020</v>
      </c>
      <c r="B25" s="6" t="s">
        <v>391</v>
      </c>
      <c r="C25" s="7" t="s">
        <v>392</v>
      </c>
      <c r="D25" s="51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12">
        <v>249085000000</v>
      </c>
      <c r="P25" s="50">
        <v>69079000000</v>
      </c>
      <c r="Q25" s="51">
        <v>352</v>
      </c>
      <c r="R25" s="51">
        <f t="shared" si="0"/>
        <v>1.6387717425558594</v>
      </c>
      <c r="S25" s="51">
        <f t="shared" si="1"/>
        <v>0.33371478764996876</v>
      </c>
      <c r="T25" s="51">
        <f t="shared" si="2"/>
        <v>3.2935457161361197E-2</v>
      </c>
      <c r="U25" s="51">
        <f t="shared" si="3"/>
        <v>6.6583425689651768E-2</v>
      </c>
      <c r="V25" s="51">
        <f t="shared" si="4"/>
        <v>3.2235896593026094E-2</v>
      </c>
      <c r="W25" s="51">
        <f t="shared" si="5"/>
        <v>8.7220959595959591E-3</v>
      </c>
      <c r="X25" s="51">
        <f t="shared" si="6"/>
        <v>0.2773310315755666</v>
      </c>
      <c r="Y25" s="58">
        <f t="shared" si="7"/>
        <v>31.796374731517353</v>
      </c>
      <c r="Z25" s="58">
        <f t="shared" si="8"/>
        <v>2.117111554136307</v>
      </c>
      <c r="AA25" s="59">
        <v>2</v>
      </c>
    </row>
    <row r="26" spans="1:27">
      <c r="A26" s="6">
        <v>2018</v>
      </c>
      <c r="B26" s="6" t="s">
        <v>438</v>
      </c>
      <c r="C26" s="7" t="s">
        <v>439</v>
      </c>
      <c r="D26" s="51">
        <v>53144584947333</v>
      </c>
      <c r="E26" s="51">
        <v>9078886611954</v>
      </c>
      <c r="F26" s="51">
        <v>53144584947333</v>
      </c>
      <c r="G26" s="51">
        <v>9708395825025</v>
      </c>
      <c r="H26" s="51">
        <v>27113435866107</v>
      </c>
      <c r="I26" s="51">
        <v>36821831691132</v>
      </c>
      <c r="J26" s="51">
        <v>16322753256201</v>
      </c>
      <c r="K26" s="13">
        <v>17000000000</v>
      </c>
      <c r="L26" s="50">
        <v>42905188707381</v>
      </c>
      <c r="M26" s="50">
        <v>33619749716385</v>
      </c>
      <c r="N26" s="50">
        <v>3376167922827</v>
      </c>
      <c r="O26" s="50">
        <v>1417142358909</v>
      </c>
      <c r="P26" s="50">
        <v>0</v>
      </c>
      <c r="Q26" s="51">
        <v>2130</v>
      </c>
      <c r="R26" s="51">
        <f t="shared" si="0"/>
        <v>5.4740851017161889</v>
      </c>
      <c r="S26" s="51">
        <f t="shared" si="1"/>
        <v>1.6610822598697697</v>
      </c>
      <c r="T26" s="51">
        <f t="shared" si="2"/>
        <v>2.6665790321128806E-2</v>
      </c>
      <c r="U26" s="51">
        <f t="shared" si="3"/>
        <v>8.6820056436902202E-2</v>
      </c>
      <c r="V26" s="51">
        <f t="shared" si="4"/>
        <v>3.3029626523125126E-2</v>
      </c>
      <c r="W26" s="51">
        <f t="shared" si="5"/>
        <v>0</v>
      </c>
      <c r="X26" s="51">
        <f t="shared" si="6"/>
        <v>0</v>
      </c>
      <c r="Y26" s="58">
        <f t="shared" si="7"/>
        <v>25.551420273596651</v>
      </c>
      <c r="Z26" s="58">
        <f t="shared" si="8"/>
        <v>2.2183757501966679</v>
      </c>
      <c r="AA26" s="59">
        <v>2</v>
      </c>
    </row>
    <row r="27" spans="1:27">
      <c r="A27" s="6">
        <v>2019</v>
      </c>
      <c r="B27" s="6" t="s">
        <v>438</v>
      </c>
      <c r="C27" s="7" t="s">
        <v>439</v>
      </c>
      <c r="D27" s="51">
        <v>50268282766565</v>
      </c>
      <c r="E27" s="51">
        <v>9490045651683</v>
      </c>
      <c r="F27" s="51">
        <v>50268282766565</v>
      </c>
      <c r="G27" s="51">
        <v>9889326201536</v>
      </c>
      <c r="H27" s="51">
        <v>25841649160611</v>
      </c>
      <c r="I27" s="51">
        <v>35730975362147</v>
      </c>
      <c r="J27" s="51">
        <v>14537307404418</v>
      </c>
      <c r="K27" s="13">
        <v>17000000000</v>
      </c>
      <c r="L27" s="50">
        <v>38681984914420</v>
      </c>
      <c r="M27" s="50">
        <v>32750407793851</v>
      </c>
      <c r="N27" s="50">
        <v>3428721170543</v>
      </c>
      <c r="O27" s="50">
        <v>69399825034</v>
      </c>
      <c r="P27" s="50">
        <v>0</v>
      </c>
      <c r="Q27" s="51">
        <v>1195</v>
      </c>
      <c r="R27" s="51">
        <f t="shared" si="0"/>
        <v>5.0830847058879884</v>
      </c>
      <c r="S27" s="51">
        <f t="shared" si="1"/>
        <v>1.777609046965432</v>
      </c>
      <c r="T27" s="51">
        <f t="shared" si="2"/>
        <v>1.380588737361046E-3</v>
      </c>
      <c r="U27" s="51">
        <f t="shared" si="3"/>
        <v>4.7739119152772997E-3</v>
      </c>
      <c r="V27" s="51">
        <f t="shared" si="4"/>
        <v>1.7941123028598488E-3</v>
      </c>
      <c r="W27" s="51">
        <f t="shared" si="5"/>
        <v>0</v>
      </c>
      <c r="X27" s="51">
        <f t="shared" si="6"/>
        <v>0</v>
      </c>
      <c r="Y27" s="58">
        <f t="shared" si="7"/>
        <v>292.72408093316346</v>
      </c>
      <c r="Z27" s="58">
        <f t="shared" si="8"/>
        <v>1.3974389778554257</v>
      </c>
      <c r="AA27" s="59">
        <v>2</v>
      </c>
    </row>
    <row r="28" spans="1:27">
      <c r="A28" s="6">
        <v>2020</v>
      </c>
      <c r="B28" s="6" t="s">
        <v>438</v>
      </c>
      <c r="C28" s="7" t="s">
        <v>439</v>
      </c>
      <c r="D28" s="51">
        <v>49278678797985</v>
      </c>
      <c r="E28" s="51">
        <v>8660333505915</v>
      </c>
      <c r="F28" s="51">
        <v>49278678797985</v>
      </c>
      <c r="G28" s="51">
        <v>9982303924775</v>
      </c>
      <c r="H28" s="51">
        <v>27063145130840</v>
      </c>
      <c r="I28" s="51">
        <v>37045449055615</v>
      </c>
      <c r="J28" s="51">
        <v>12233229742370</v>
      </c>
      <c r="K28" s="13">
        <v>17000000000</v>
      </c>
      <c r="L28" s="50">
        <v>29299080126225</v>
      </c>
      <c r="M28" s="50">
        <v>25718122628380</v>
      </c>
      <c r="N28" s="50">
        <v>3632451919005</v>
      </c>
      <c r="O28" s="50">
        <v>-1459130852270</v>
      </c>
      <c r="P28" s="50">
        <v>0</v>
      </c>
      <c r="Q28" s="51">
        <v>1730</v>
      </c>
      <c r="R28" s="51">
        <f t="shared" si="0"/>
        <v>4.9366037308962953</v>
      </c>
      <c r="S28" s="51">
        <f t="shared" si="1"/>
        <v>2.2122649292775347</v>
      </c>
      <c r="T28" s="51">
        <f t="shared" si="2"/>
        <v>-2.9609780291627131E-2</v>
      </c>
      <c r="U28" s="51">
        <f t="shared" si="3"/>
        <v>-0.11927601156841479</v>
      </c>
      <c r="V28" s="51">
        <f t="shared" si="4"/>
        <v>-4.9801251301537015E-2</v>
      </c>
      <c r="W28" s="51">
        <f t="shared" si="5"/>
        <v>0</v>
      </c>
      <c r="X28" s="51">
        <f t="shared" si="6"/>
        <v>0</v>
      </c>
      <c r="Y28" s="58">
        <f t="shared" si="7"/>
        <v>-20.155834519053762</v>
      </c>
      <c r="Z28" s="58">
        <f t="shared" si="8"/>
        <v>2.4041075512657106</v>
      </c>
      <c r="AA28" s="59">
        <v>2</v>
      </c>
    </row>
    <row r="29" spans="1:27">
      <c r="K29" s="51"/>
      <c r="Q29" s="51"/>
      <c r="R29" s="51"/>
      <c r="S29" s="51"/>
      <c r="W29" s="53"/>
      <c r="X29" s="53"/>
      <c r="Y29" s="58"/>
      <c r="Z29" s="58"/>
      <c r="AA29" s="60"/>
    </row>
    <row r="30" spans="1:27">
      <c r="K30" s="51"/>
      <c r="Q30" s="51"/>
      <c r="R30" s="51"/>
      <c r="S30" s="51"/>
      <c r="W30" s="53"/>
      <c r="X30" s="53"/>
      <c r="Y30" s="58"/>
      <c r="Z30" s="58"/>
      <c r="AA30" s="60"/>
    </row>
    <row r="31" spans="1:27">
      <c r="K31" s="51"/>
      <c r="Q31" s="51"/>
      <c r="R31" s="51"/>
      <c r="S31" s="51"/>
      <c r="W31" s="53"/>
      <c r="X31" s="53"/>
      <c r="Y31" s="58"/>
      <c r="Z31" s="58"/>
      <c r="AA31" s="60"/>
    </row>
    <row r="32" spans="1:27">
      <c r="K32" s="51"/>
      <c r="Q32" s="51"/>
      <c r="R32" s="51"/>
      <c r="S32" s="51"/>
      <c r="W32" s="53"/>
      <c r="X32" s="53"/>
      <c r="Y32" s="58"/>
      <c r="Z32" s="58"/>
      <c r="AA32" s="60"/>
    </row>
    <row r="33" spans="4:27">
      <c r="K33" s="51"/>
      <c r="Q33" s="51"/>
      <c r="R33" s="51"/>
      <c r="S33" s="51"/>
      <c r="W33" s="53"/>
      <c r="X33" s="53"/>
      <c r="Y33" s="58"/>
      <c r="Z33" s="58"/>
      <c r="AA33" s="60"/>
    </row>
    <row r="34" spans="4:27">
      <c r="K34" s="51"/>
      <c r="Q34" s="51"/>
      <c r="R34" s="51"/>
      <c r="S34" s="51"/>
      <c r="W34" s="53"/>
      <c r="X34" s="53"/>
      <c r="Y34" s="58"/>
      <c r="Z34" s="58"/>
      <c r="AA34" s="60"/>
    </row>
    <row r="35" spans="4:27">
      <c r="D35" s="49"/>
      <c r="K35" s="51"/>
      <c r="Q35" s="51"/>
      <c r="R35" s="51"/>
      <c r="S35" s="51"/>
      <c r="W35" s="53"/>
      <c r="X35" s="53"/>
      <c r="Y35" s="58"/>
      <c r="Z35" s="58"/>
      <c r="AA35" s="60"/>
    </row>
    <row r="36" spans="4:27">
      <c r="K36" s="51"/>
      <c r="Q36" s="51"/>
      <c r="R36" s="51"/>
      <c r="S36" s="51"/>
      <c r="W36" s="53"/>
      <c r="X36" s="53"/>
      <c r="Y36" s="58"/>
      <c r="Z36" s="58"/>
      <c r="AA36" s="60"/>
    </row>
    <row r="37" spans="4:27">
      <c r="K37" s="51"/>
      <c r="Q37" s="51"/>
      <c r="R37" s="51"/>
      <c r="S37" s="51"/>
      <c r="W37" s="53"/>
      <c r="X37" s="53"/>
      <c r="Y37" s="58"/>
      <c r="Z37" s="58"/>
      <c r="AA37" s="60"/>
    </row>
    <row r="38" spans="4:27">
      <c r="K38" s="51"/>
      <c r="Q38" s="51"/>
      <c r="R38" s="51"/>
      <c r="S38" s="51"/>
      <c r="W38" s="53"/>
      <c r="X38" s="53"/>
      <c r="Y38" s="58"/>
      <c r="Z38" s="58"/>
      <c r="AA38" s="60"/>
    </row>
    <row r="39" spans="4:27">
      <c r="K39" s="51"/>
      <c r="Q39" s="51"/>
      <c r="R39" s="51"/>
      <c r="S39" s="51"/>
      <c r="W39" s="53"/>
      <c r="X39" s="53"/>
      <c r="Y39" s="58"/>
      <c r="Z39" s="58"/>
      <c r="AA39" s="60"/>
    </row>
    <row r="40" spans="4:27">
      <c r="K40" s="51"/>
      <c r="Q40" s="51"/>
      <c r="R40" s="51"/>
      <c r="S40" s="51"/>
      <c r="W40" s="53"/>
      <c r="X40" s="53"/>
      <c r="Y40" s="58"/>
      <c r="Z40" s="58"/>
      <c r="AA40" s="60"/>
    </row>
    <row r="41" spans="4:27">
      <c r="K41" s="51"/>
      <c r="Q41" s="51"/>
      <c r="R41" s="51"/>
      <c r="S41" s="51"/>
      <c r="W41" s="53"/>
      <c r="X41" s="53"/>
      <c r="Y41" s="58"/>
      <c r="Z41" s="58"/>
      <c r="AA41" s="60"/>
    </row>
    <row r="42" spans="4:27">
      <c r="K42" s="51"/>
      <c r="Q42" s="51"/>
      <c r="R42" s="51"/>
      <c r="S42" s="51"/>
      <c r="W42" s="53"/>
      <c r="X42" s="53"/>
      <c r="Y42" s="58"/>
      <c r="Z42" s="58"/>
      <c r="AA42" s="60"/>
    </row>
    <row r="43" spans="4:27">
      <c r="K43" s="51"/>
      <c r="Q43" s="51"/>
      <c r="R43" s="51"/>
      <c r="S43" s="51"/>
      <c r="W43" s="53"/>
      <c r="X43" s="53"/>
      <c r="Y43" s="58"/>
      <c r="Z43" s="58"/>
      <c r="AA43" s="60"/>
    </row>
    <row r="44" spans="4:27">
      <c r="K44" s="51"/>
      <c r="Q44" s="51"/>
      <c r="R44" s="51"/>
      <c r="S44" s="51"/>
      <c r="W44" s="53"/>
      <c r="X44" s="53"/>
      <c r="Y44" s="58"/>
      <c r="Z44" s="58"/>
      <c r="AA44" s="60"/>
    </row>
    <row r="45" spans="4:27">
      <c r="K45" s="51"/>
      <c r="Q45" s="51"/>
      <c r="R45" s="51"/>
      <c r="S45" s="51"/>
      <c r="W45" s="53"/>
      <c r="X45" s="53"/>
      <c r="Y45" s="58"/>
      <c r="Z45" s="58"/>
      <c r="AA45" s="60"/>
    </row>
    <row r="46" spans="4:27">
      <c r="K46" s="51"/>
      <c r="Q46" s="51"/>
      <c r="R46" s="51"/>
      <c r="S46" s="51"/>
      <c r="W46" s="53"/>
      <c r="X46" s="53"/>
      <c r="Y46" s="58"/>
      <c r="Z46" s="58"/>
      <c r="AA46" s="60"/>
    </row>
    <row r="47" spans="4:27">
      <c r="K47" s="51"/>
      <c r="Q47" s="51"/>
      <c r="R47" s="51"/>
      <c r="S47" s="51"/>
      <c r="W47" s="53"/>
      <c r="X47" s="53"/>
      <c r="Y47" s="58"/>
      <c r="Z47" s="58"/>
      <c r="AA47" s="60"/>
    </row>
    <row r="48" spans="4:27">
      <c r="K48" s="51"/>
      <c r="Q48" s="51"/>
      <c r="R48" s="51"/>
      <c r="S48" s="51"/>
      <c r="W48" s="53"/>
      <c r="X48" s="53"/>
      <c r="Y48" s="58"/>
      <c r="Z48" s="58"/>
      <c r="AA48" s="60"/>
    </row>
    <row r="49" spans="11:27">
      <c r="K49" s="51"/>
      <c r="Q49" s="51"/>
      <c r="R49" s="51"/>
      <c r="S49" s="51"/>
      <c r="W49" s="53"/>
      <c r="X49" s="53"/>
      <c r="Y49" s="58"/>
      <c r="Z49" s="58"/>
      <c r="AA49" s="60"/>
    </row>
    <row r="50" spans="11:27">
      <c r="K50" s="51"/>
      <c r="Q50" s="51"/>
      <c r="R50" s="51"/>
      <c r="S50" s="51"/>
      <c r="W50" s="53"/>
      <c r="X50" s="53"/>
      <c r="Y50" s="58"/>
      <c r="Z50" s="58"/>
      <c r="AA50" s="60"/>
    </row>
    <row r="51" spans="11:27">
      <c r="K51" s="51"/>
      <c r="Q51" s="51"/>
      <c r="R51" s="51"/>
      <c r="S51" s="51"/>
      <c r="W51" s="53"/>
      <c r="X51" s="53"/>
      <c r="Y51" s="58"/>
      <c r="Z51" s="58"/>
      <c r="AA51" s="60"/>
    </row>
    <row r="52" spans="11:27">
      <c r="K52" s="51"/>
      <c r="Q52" s="51"/>
      <c r="R52" s="51"/>
      <c r="S52" s="51"/>
      <c r="W52" s="53"/>
      <c r="X52" s="53"/>
      <c r="Y52" s="58"/>
      <c r="Z52" s="58"/>
      <c r="AA52" s="60"/>
    </row>
    <row r="53" spans="11:27">
      <c r="K53" s="51"/>
      <c r="Q53" s="51"/>
      <c r="R53" s="51"/>
      <c r="S53" s="51"/>
      <c r="W53" s="53"/>
      <c r="X53" s="53"/>
      <c r="Y53" s="58"/>
      <c r="Z53" s="58"/>
      <c r="AA53" s="60"/>
    </row>
    <row r="54" spans="11:27">
      <c r="K54" s="51"/>
      <c r="Q54" s="51"/>
      <c r="R54" s="51"/>
      <c r="S54" s="51"/>
      <c r="W54" s="53"/>
      <c r="X54" s="53"/>
      <c r="Y54" s="58"/>
      <c r="Z54" s="58"/>
      <c r="AA54" s="60"/>
    </row>
    <row r="55" spans="11:27">
      <c r="K55" s="51"/>
      <c r="Q55" s="51"/>
      <c r="R55" s="51"/>
      <c r="S55" s="51"/>
      <c r="W55" s="53"/>
      <c r="X55" s="53"/>
      <c r="Y55" s="58"/>
      <c r="Z55" s="58"/>
      <c r="AA55" s="60"/>
    </row>
    <row r="56" spans="11:27">
      <c r="K56" s="51"/>
      <c r="Q56" s="51"/>
      <c r="R56" s="51"/>
      <c r="S56" s="51"/>
      <c r="W56" s="53"/>
      <c r="X56" s="53"/>
      <c r="Y56" s="58"/>
      <c r="Z56" s="58"/>
      <c r="AA56" s="60"/>
    </row>
    <row r="57" spans="11:27">
      <c r="K57" s="51"/>
      <c r="Q57" s="51"/>
      <c r="R57" s="51"/>
      <c r="S57" s="51"/>
      <c r="W57" s="53"/>
      <c r="X57" s="53"/>
      <c r="Y57" s="58"/>
      <c r="Z57" s="58"/>
      <c r="AA57" s="60"/>
    </row>
    <row r="58" spans="11:27">
      <c r="K58" s="51"/>
      <c r="Q58" s="51"/>
      <c r="R58" s="51"/>
      <c r="S58" s="51"/>
      <c r="W58" s="53"/>
      <c r="X58" s="53"/>
      <c r="Y58" s="58"/>
      <c r="Z58" s="58"/>
      <c r="AA58" s="60"/>
    </row>
    <row r="59" spans="11:27">
      <c r="K59" s="51"/>
      <c r="Q59" s="51"/>
      <c r="R59" s="51"/>
      <c r="S59" s="51"/>
      <c r="W59" s="53"/>
      <c r="X59" s="53"/>
      <c r="Y59" s="58"/>
      <c r="Z59" s="58"/>
      <c r="AA59" s="60"/>
    </row>
    <row r="60" spans="11:27">
      <c r="K60" s="51"/>
      <c r="Q60" s="51"/>
      <c r="R60" s="51"/>
      <c r="S60" s="51"/>
      <c r="W60" s="53"/>
      <c r="X60" s="53"/>
      <c r="Y60" s="58"/>
      <c r="Z60" s="58"/>
      <c r="AA60" s="60"/>
    </row>
    <row r="61" spans="11:27">
      <c r="K61" s="51"/>
      <c r="Q61" s="51"/>
      <c r="R61" s="51"/>
      <c r="S61" s="51"/>
      <c r="W61" s="53"/>
      <c r="X61" s="53"/>
      <c r="Y61" s="58"/>
      <c r="Z61" s="58"/>
      <c r="AA61" s="60"/>
    </row>
    <row r="62" spans="11:27">
      <c r="K62" s="51"/>
      <c r="Q62" s="51"/>
      <c r="R62" s="51"/>
      <c r="S62" s="51"/>
      <c r="W62" s="53"/>
      <c r="X62" s="53"/>
      <c r="Y62" s="58"/>
      <c r="Z62" s="58"/>
      <c r="AA62" s="60"/>
    </row>
    <row r="63" spans="11:27">
      <c r="K63" s="51"/>
      <c r="Q63" s="51"/>
      <c r="R63" s="51"/>
      <c r="S63" s="51"/>
      <c r="W63" s="53"/>
      <c r="X63" s="53"/>
      <c r="Y63" s="58"/>
      <c r="Z63" s="58"/>
      <c r="AA63" s="60"/>
    </row>
    <row r="64" spans="11:27">
      <c r="K64" s="51"/>
      <c r="Q64" s="51"/>
      <c r="R64" s="51"/>
      <c r="S64" s="51"/>
      <c r="W64" s="53"/>
      <c r="X64" s="53"/>
      <c r="Y64" s="58"/>
      <c r="Z64" s="58"/>
      <c r="AA64" s="60"/>
    </row>
    <row r="65" spans="11:27">
      <c r="K65" s="51"/>
      <c r="Q65" s="51"/>
      <c r="R65" s="51"/>
      <c r="S65" s="51"/>
      <c r="W65" s="53"/>
      <c r="X65" s="53"/>
      <c r="Y65" s="58"/>
      <c r="Z65" s="58"/>
      <c r="AA65" s="60"/>
    </row>
    <row r="66" spans="11:27">
      <c r="K66" s="51"/>
      <c r="Q66" s="51"/>
      <c r="R66" s="51"/>
      <c r="S66" s="51"/>
      <c r="W66" s="53"/>
      <c r="X66" s="53"/>
      <c r="Y66" s="58"/>
      <c r="Z66" s="58"/>
      <c r="AA66" s="60"/>
    </row>
    <row r="67" spans="11:27">
      <c r="K67" s="51"/>
      <c r="Q67" s="51"/>
      <c r="R67" s="51"/>
      <c r="S67" s="51"/>
      <c r="W67" s="53"/>
      <c r="X67" s="53"/>
      <c r="Y67" s="58"/>
      <c r="Z67" s="58"/>
      <c r="AA67" s="60"/>
    </row>
    <row r="68" spans="11:27">
      <c r="K68" s="51"/>
      <c r="Q68" s="51"/>
      <c r="R68" s="51"/>
      <c r="S68" s="51"/>
      <c r="W68" s="53"/>
      <c r="X68" s="53"/>
      <c r="Y68" s="58"/>
      <c r="Z68" s="58"/>
      <c r="AA68" s="60"/>
    </row>
    <row r="69" spans="11:27">
      <c r="K69" s="51"/>
      <c r="Q69" s="51"/>
      <c r="R69" s="51"/>
      <c r="S69" s="51"/>
      <c r="W69" s="53"/>
      <c r="X69" s="53"/>
      <c r="Y69" s="58"/>
      <c r="Z69" s="58"/>
      <c r="AA69" s="60"/>
    </row>
    <row r="70" spans="11:27">
      <c r="K70" s="51"/>
      <c r="Q70" s="51"/>
      <c r="R70" s="51"/>
      <c r="S70" s="51"/>
      <c r="W70" s="53"/>
      <c r="X70" s="53"/>
      <c r="Y70" s="58"/>
      <c r="Z70" s="58"/>
      <c r="AA70" s="60"/>
    </row>
    <row r="71" spans="11:27">
      <c r="K71" s="51"/>
      <c r="Q71" s="51"/>
      <c r="R71" s="51"/>
      <c r="S71" s="51"/>
      <c r="W71" s="53"/>
      <c r="X71" s="53"/>
      <c r="Y71" s="58"/>
      <c r="Z71" s="58"/>
      <c r="AA71" s="60"/>
    </row>
    <row r="72" spans="11:27">
      <c r="K72" s="51"/>
      <c r="Q72" s="51"/>
      <c r="R72" s="51"/>
      <c r="S72" s="51"/>
      <c r="W72" s="53"/>
      <c r="X72" s="53"/>
      <c r="Y72" s="58"/>
      <c r="Z72" s="58"/>
      <c r="AA72" s="60"/>
    </row>
    <row r="73" spans="11:27">
      <c r="K73" s="51"/>
      <c r="Q73" s="51"/>
      <c r="R73" s="51"/>
      <c r="S73" s="51"/>
      <c r="W73" s="53"/>
      <c r="X73" s="53"/>
      <c r="Y73" s="58"/>
      <c r="Z73" s="58"/>
      <c r="AA73" s="60"/>
    </row>
    <row r="74" spans="11:27">
      <c r="K74" s="51"/>
      <c r="Q74" s="51"/>
      <c r="R74" s="51"/>
      <c r="S74" s="51"/>
      <c r="W74" s="53"/>
      <c r="X74" s="53"/>
      <c r="Y74" s="58"/>
      <c r="Z74" s="58"/>
      <c r="AA74" s="60"/>
    </row>
    <row r="75" spans="11:27">
      <c r="K75" s="51"/>
      <c r="Q75" s="51"/>
      <c r="R75" s="51"/>
      <c r="S75" s="51"/>
      <c r="W75" s="53"/>
      <c r="X75" s="53"/>
      <c r="Y75" s="58"/>
      <c r="Z75" s="58"/>
      <c r="AA75" s="60"/>
    </row>
    <row r="76" spans="11:27">
      <c r="K76" s="51"/>
      <c r="Q76" s="51"/>
      <c r="R76" s="51"/>
      <c r="S76" s="51"/>
      <c r="W76" s="53"/>
      <c r="X76" s="53"/>
      <c r="Y76" s="58"/>
      <c r="Z76" s="58"/>
      <c r="AA76" s="60"/>
    </row>
    <row r="77" spans="11:27">
      <c r="K77" s="51"/>
      <c r="Q77" s="51"/>
      <c r="R77" s="51"/>
      <c r="S77" s="51"/>
      <c r="W77" s="53"/>
      <c r="X77" s="53"/>
      <c r="Y77" s="58"/>
      <c r="Z77" s="58"/>
      <c r="AA77" s="60"/>
    </row>
    <row r="78" spans="11:27">
      <c r="K78" s="51"/>
      <c r="Q78" s="51"/>
      <c r="R78" s="51"/>
      <c r="S78" s="51"/>
      <c r="W78" s="53"/>
      <c r="X78" s="53"/>
      <c r="Y78" s="58"/>
      <c r="Z78" s="58"/>
      <c r="AA78" s="60"/>
    </row>
    <row r="79" spans="11:27">
      <c r="K79" s="51"/>
      <c r="Q79" s="51"/>
      <c r="R79" s="51"/>
      <c r="S79" s="51"/>
      <c r="W79" s="53"/>
      <c r="X79" s="53"/>
      <c r="Y79" s="58"/>
      <c r="Z79" s="58"/>
      <c r="AA79" s="60"/>
    </row>
    <row r="80" spans="11:27">
      <c r="K80" s="51"/>
      <c r="Q80" s="51"/>
      <c r="R80" s="51"/>
      <c r="S80" s="51"/>
      <c r="W80" s="53"/>
      <c r="X80" s="53"/>
      <c r="Y80" s="58"/>
      <c r="Z80" s="58"/>
      <c r="AA80" s="60"/>
    </row>
    <row r="81" spans="11:27">
      <c r="K81" s="51"/>
      <c r="Q81" s="51"/>
      <c r="R81" s="51"/>
      <c r="S81" s="51"/>
      <c r="W81" s="53"/>
      <c r="X81" s="53"/>
      <c r="Y81" s="58"/>
      <c r="Z81" s="58"/>
      <c r="AA81" s="60"/>
    </row>
    <row r="82" spans="11:27">
      <c r="K82" s="51"/>
      <c r="Q82" s="51"/>
      <c r="R82" s="51"/>
      <c r="S82" s="51"/>
      <c r="W82" s="53"/>
      <c r="X82" s="53"/>
      <c r="Y82" s="58"/>
      <c r="Z82" s="58"/>
      <c r="AA82" s="60"/>
    </row>
    <row r="83" spans="11:27">
      <c r="K83" s="51"/>
      <c r="Q83" s="51"/>
      <c r="R83" s="51"/>
      <c r="S83" s="51"/>
      <c r="W83" s="53"/>
      <c r="X83" s="53"/>
      <c r="Y83" s="58"/>
      <c r="Z83" s="58"/>
      <c r="AA83" s="60"/>
    </row>
    <row r="84" spans="11:27">
      <c r="K84" s="51"/>
      <c r="Q84" s="51"/>
      <c r="R84" s="51"/>
      <c r="S84" s="51"/>
      <c r="W84" s="53"/>
      <c r="X84" s="53"/>
      <c r="Y84" s="58"/>
      <c r="Z84" s="58"/>
      <c r="AA84" s="60"/>
    </row>
    <row r="85" spans="11:27">
      <c r="K85" s="51"/>
      <c r="Q85" s="51"/>
      <c r="R85" s="51"/>
      <c r="S85" s="51"/>
      <c r="W85" s="53"/>
      <c r="X85" s="53"/>
      <c r="Y85" s="58"/>
      <c r="Z85" s="58"/>
      <c r="AA85" s="60"/>
    </row>
    <row r="86" spans="11:27">
      <c r="K86" s="51"/>
      <c r="Q86" s="51"/>
      <c r="R86" s="51"/>
      <c r="S86" s="51"/>
      <c r="W86" s="53"/>
      <c r="X86" s="53"/>
      <c r="Y86" s="58"/>
      <c r="Z86" s="58"/>
      <c r="AA86" s="60"/>
    </row>
    <row r="87" spans="11:27">
      <c r="K87" s="51"/>
      <c r="Q87" s="51"/>
      <c r="R87" s="51"/>
      <c r="S87" s="51"/>
      <c r="W87" s="53"/>
      <c r="X87" s="53"/>
      <c r="Y87" s="58"/>
      <c r="Z87" s="58"/>
      <c r="AA87" s="60"/>
    </row>
    <row r="88" spans="11:27">
      <c r="K88" s="51"/>
      <c r="Q88" s="51"/>
      <c r="R88" s="51"/>
      <c r="S88" s="51"/>
      <c r="W88" s="53"/>
      <c r="X88" s="53"/>
      <c r="Y88" s="58"/>
      <c r="Z88" s="58"/>
      <c r="AA88" s="60"/>
    </row>
    <row r="89" spans="11:27">
      <c r="K89" s="51"/>
      <c r="Q89" s="51"/>
      <c r="R89" s="51"/>
      <c r="S89" s="51"/>
      <c r="W89" s="53"/>
      <c r="X89" s="53"/>
      <c r="Y89" s="58"/>
      <c r="Z89" s="58"/>
      <c r="AA89" s="60"/>
    </row>
    <row r="90" spans="11:27">
      <c r="K90" s="51"/>
      <c r="Q90" s="51"/>
      <c r="R90" s="51"/>
      <c r="S90" s="51"/>
      <c r="W90" s="53"/>
      <c r="X90" s="53"/>
      <c r="Y90" s="58"/>
      <c r="Z90" s="58"/>
      <c r="AA90" s="60"/>
    </row>
    <row r="91" spans="11:27">
      <c r="K91" s="51"/>
      <c r="Q91" s="51"/>
      <c r="R91" s="51"/>
      <c r="S91" s="51"/>
      <c r="W91" s="53"/>
      <c r="X91" s="53"/>
      <c r="Y91" s="58"/>
      <c r="Z91" s="58"/>
      <c r="AA91" s="60"/>
    </row>
    <row r="92" spans="11:27">
      <c r="K92" s="51"/>
      <c r="Q92" s="51"/>
      <c r="R92" s="51"/>
      <c r="S92" s="51"/>
      <c r="W92" s="53"/>
      <c r="X92" s="53"/>
      <c r="Y92" s="58"/>
      <c r="Z92" s="58"/>
      <c r="AA92" s="60"/>
    </row>
    <row r="93" spans="11:27">
      <c r="K93" s="51"/>
      <c r="Q93" s="51"/>
      <c r="R93" s="51"/>
      <c r="S93" s="51"/>
      <c r="W93" s="53"/>
      <c r="X93" s="53"/>
      <c r="Y93" s="58"/>
      <c r="Z93" s="58"/>
      <c r="AA93" s="60"/>
    </row>
    <row r="94" spans="11:27">
      <c r="K94" s="51"/>
      <c r="Q94" s="51"/>
      <c r="R94" s="51"/>
      <c r="S94" s="51"/>
      <c r="W94" s="53"/>
      <c r="X94" s="53"/>
      <c r="Y94" s="58"/>
      <c r="Z94" s="58"/>
      <c r="AA94" s="60"/>
    </row>
    <row r="95" spans="11:27">
      <c r="K95" s="51"/>
      <c r="Q95" s="51"/>
      <c r="R95" s="51"/>
      <c r="S95" s="51"/>
      <c r="W95" s="53"/>
      <c r="X95" s="53"/>
      <c r="Y95" s="58"/>
      <c r="Z95" s="58"/>
      <c r="AA95" s="60"/>
    </row>
    <row r="96" spans="11:27">
      <c r="K96" s="51"/>
      <c r="Q96" s="51"/>
      <c r="R96" s="51"/>
      <c r="S96" s="51"/>
      <c r="W96" s="53"/>
      <c r="X96" s="53"/>
      <c r="Y96" s="58"/>
      <c r="Z96" s="58"/>
      <c r="AA96" s="60"/>
    </row>
    <row r="97" spans="11:27">
      <c r="K97" s="51"/>
      <c r="Q97" s="51"/>
      <c r="R97" s="51"/>
      <c r="S97" s="51"/>
      <c r="W97" s="53"/>
      <c r="X97" s="53"/>
      <c r="Y97" s="58"/>
      <c r="Z97" s="58"/>
      <c r="AA97" s="60"/>
    </row>
    <row r="98" spans="11:27">
      <c r="K98" s="51"/>
      <c r="Q98" s="51"/>
      <c r="R98" s="51"/>
      <c r="S98" s="51"/>
      <c r="W98" s="53"/>
      <c r="X98" s="53"/>
      <c r="Y98" s="58"/>
      <c r="Z98" s="58"/>
      <c r="AA98" s="60"/>
    </row>
    <row r="99" spans="11:27">
      <c r="K99" s="51"/>
      <c r="Q99" s="51"/>
      <c r="R99" s="51"/>
      <c r="S99" s="51"/>
      <c r="W99" s="53"/>
      <c r="X99" s="53"/>
      <c r="Y99" s="58"/>
      <c r="Z99" s="58"/>
      <c r="AA99" s="60"/>
    </row>
    <row r="100" spans="11:27">
      <c r="K100" s="51"/>
      <c r="Q100" s="51"/>
      <c r="R100" s="51"/>
      <c r="S100" s="51"/>
      <c r="W100" s="53"/>
      <c r="X100" s="53"/>
      <c r="Y100" s="58"/>
      <c r="Z100" s="58"/>
      <c r="AA100" s="60"/>
    </row>
    <row r="101" spans="11:27">
      <c r="K101" s="51"/>
      <c r="Q101" s="51"/>
      <c r="R101" s="51"/>
      <c r="S101" s="51"/>
      <c r="W101" s="53"/>
      <c r="X101" s="53"/>
      <c r="Y101" s="58"/>
      <c r="Z101" s="58"/>
      <c r="AA101" s="60"/>
    </row>
    <row r="102" spans="11:27">
      <c r="K102" s="51"/>
      <c r="Q102" s="51"/>
      <c r="R102" s="51"/>
      <c r="S102" s="51"/>
      <c r="W102" s="53"/>
      <c r="X102" s="53"/>
      <c r="Y102" s="58"/>
      <c r="Z102" s="58"/>
      <c r="AA102" s="60"/>
    </row>
    <row r="103" spans="11:27">
      <c r="K103" s="51"/>
      <c r="Q103" s="51"/>
      <c r="R103" s="51"/>
      <c r="S103" s="51"/>
      <c r="W103" s="53"/>
      <c r="X103" s="53"/>
      <c r="Y103" s="58"/>
      <c r="Z103" s="58"/>
      <c r="AA103" s="60"/>
    </row>
    <row r="104" spans="11:27">
      <c r="K104" s="51"/>
      <c r="Q104" s="51"/>
      <c r="R104" s="51"/>
      <c r="S104" s="51"/>
      <c r="W104" s="53"/>
      <c r="X104" s="53"/>
      <c r="Y104" s="58"/>
      <c r="Z104" s="58"/>
      <c r="AA104" s="60"/>
    </row>
    <row r="105" spans="11:27">
      <c r="K105" s="51"/>
      <c r="Q105" s="51"/>
      <c r="R105" s="51"/>
      <c r="S105" s="51"/>
      <c r="W105" s="53"/>
      <c r="X105" s="53"/>
      <c r="Y105" s="58"/>
      <c r="Z105" s="58"/>
      <c r="AA105" s="60"/>
    </row>
    <row r="106" spans="11:27">
      <c r="K106" s="51"/>
      <c r="Q106" s="51"/>
      <c r="R106" s="51"/>
      <c r="S106" s="51"/>
      <c r="W106" s="53"/>
      <c r="X106" s="53"/>
      <c r="Y106" s="58"/>
      <c r="Z106" s="58"/>
      <c r="AA106" s="60"/>
    </row>
    <row r="107" spans="11:27">
      <c r="K107" s="51"/>
      <c r="Q107" s="51"/>
      <c r="R107" s="51"/>
      <c r="S107" s="51"/>
      <c r="W107" s="53"/>
      <c r="X107" s="53"/>
      <c r="Y107" s="58"/>
      <c r="Z107" s="58"/>
      <c r="AA107" s="60"/>
    </row>
    <row r="108" spans="11:27">
      <c r="K108" s="51"/>
      <c r="Q108" s="51"/>
      <c r="R108" s="51"/>
      <c r="S108" s="51"/>
      <c r="W108" s="53"/>
      <c r="X108" s="53"/>
      <c r="Y108" s="58"/>
      <c r="Z108" s="58"/>
      <c r="AA108" s="60"/>
    </row>
    <row r="109" spans="11:27">
      <c r="K109" s="51"/>
      <c r="Q109" s="51"/>
      <c r="R109" s="51"/>
      <c r="S109" s="51"/>
      <c r="W109" s="53"/>
      <c r="X109" s="53"/>
      <c r="Y109" s="58"/>
      <c r="Z109" s="58"/>
      <c r="AA109" s="60"/>
    </row>
    <row r="110" spans="11:27">
      <c r="K110" s="51"/>
      <c r="Q110" s="51"/>
      <c r="R110" s="51"/>
      <c r="S110" s="51"/>
      <c r="W110" s="53"/>
      <c r="X110" s="53"/>
      <c r="Y110" s="58"/>
      <c r="Z110" s="58"/>
      <c r="AA110" s="60"/>
    </row>
    <row r="111" spans="11:27">
      <c r="K111" s="51"/>
      <c r="Q111" s="51"/>
      <c r="R111" s="51"/>
      <c r="S111" s="51"/>
      <c r="W111" s="53"/>
      <c r="X111" s="53"/>
      <c r="Y111" s="58"/>
      <c r="Z111" s="58"/>
      <c r="AA111" s="60"/>
    </row>
    <row r="112" spans="11:27">
      <c r="K112" s="51"/>
      <c r="Q112" s="51"/>
      <c r="R112" s="51"/>
      <c r="S112" s="51"/>
      <c r="W112" s="53"/>
      <c r="X112" s="53"/>
      <c r="Y112" s="58"/>
      <c r="Z112" s="58"/>
      <c r="AA112" s="60"/>
    </row>
    <row r="113" spans="11:27">
      <c r="K113" s="51"/>
      <c r="Q113" s="51"/>
      <c r="R113" s="51"/>
      <c r="S113" s="51"/>
      <c r="W113" s="53"/>
      <c r="X113" s="53"/>
      <c r="Y113" s="58"/>
      <c r="Z113" s="58"/>
      <c r="AA113" s="60"/>
    </row>
    <row r="114" spans="11:27">
      <c r="K114" s="51"/>
      <c r="Q114" s="51"/>
      <c r="R114" s="51"/>
      <c r="S114" s="51"/>
      <c r="W114" s="53"/>
      <c r="X114" s="53"/>
      <c r="Y114" s="58"/>
      <c r="Z114" s="58"/>
      <c r="AA114" s="60"/>
    </row>
    <row r="115" spans="11:27">
      <c r="K115" s="51"/>
      <c r="Q115" s="51"/>
      <c r="R115" s="51"/>
      <c r="S115" s="51"/>
      <c r="W115" s="53"/>
      <c r="X115" s="53"/>
      <c r="Y115" s="58"/>
      <c r="Z115" s="58"/>
      <c r="AA115" s="60"/>
    </row>
    <row r="116" spans="11:27">
      <c r="K116" s="51"/>
      <c r="Q116" s="51"/>
      <c r="R116" s="51"/>
      <c r="S116" s="51"/>
      <c r="W116" s="53"/>
      <c r="X116" s="53"/>
      <c r="Y116" s="58"/>
      <c r="Z116" s="58"/>
      <c r="AA116" s="60"/>
    </row>
    <row r="117" spans="11:27">
      <c r="K117" s="51"/>
      <c r="Q117" s="51"/>
      <c r="R117" s="51"/>
      <c r="S117" s="51"/>
      <c r="W117" s="53"/>
      <c r="X117" s="53"/>
      <c r="Y117" s="58"/>
      <c r="Z117" s="58"/>
      <c r="AA117" s="60"/>
    </row>
    <row r="118" spans="11:27">
      <c r="K118" s="51"/>
      <c r="Q118" s="51"/>
      <c r="R118" s="51"/>
      <c r="S118" s="51"/>
      <c r="W118" s="53"/>
      <c r="X118" s="53"/>
      <c r="Y118" s="58"/>
      <c r="Z118" s="58"/>
      <c r="AA118" s="60"/>
    </row>
    <row r="119" spans="11:27">
      <c r="K119" s="51"/>
      <c r="Q119" s="51"/>
      <c r="R119" s="51"/>
      <c r="S119" s="51"/>
      <c r="W119" s="53"/>
      <c r="X119" s="53"/>
      <c r="Y119" s="58"/>
      <c r="Z119" s="58"/>
      <c r="AA119" s="60"/>
    </row>
    <row r="120" spans="11:27">
      <c r="K120" s="51"/>
      <c r="Q120" s="51"/>
      <c r="R120" s="51"/>
      <c r="S120" s="51"/>
      <c r="W120" s="53"/>
      <c r="X120" s="53"/>
      <c r="Y120" s="58"/>
      <c r="Z120" s="58"/>
      <c r="AA120" s="60"/>
    </row>
    <row r="121" spans="11:27">
      <c r="K121" s="51"/>
      <c r="Q121" s="51"/>
      <c r="R121" s="51"/>
      <c r="S121" s="51"/>
      <c r="W121" s="53"/>
      <c r="X121" s="53"/>
      <c r="Y121" s="58"/>
      <c r="Z121" s="58"/>
      <c r="AA121" s="60"/>
    </row>
    <row r="122" spans="11:27">
      <c r="K122" s="51"/>
      <c r="Q122" s="51"/>
      <c r="R122" s="51"/>
      <c r="S122" s="51"/>
      <c r="W122" s="53"/>
      <c r="X122" s="53"/>
      <c r="Y122" s="58"/>
      <c r="Z122" s="58"/>
      <c r="AA122" s="60"/>
    </row>
    <row r="123" spans="11:27">
      <c r="K123" s="51"/>
      <c r="Q123" s="51"/>
      <c r="R123" s="51"/>
      <c r="S123" s="51"/>
      <c r="W123" s="53"/>
      <c r="X123" s="53"/>
      <c r="Y123" s="58"/>
      <c r="Z123" s="58"/>
      <c r="AA123" s="60"/>
    </row>
    <row r="124" spans="11:27">
      <c r="K124" s="51"/>
      <c r="Q124" s="51"/>
      <c r="R124" s="51"/>
      <c r="S124" s="51"/>
      <c r="W124" s="53"/>
      <c r="X124" s="53"/>
      <c r="Y124" s="58"/>
      <c r="Z124" s="58"/>
      <c r="AA124" s="60"/>
    </row>
    <row r="125" spans="11:27">
      <c r="K125" s="51"/>
      <c r="Q125" s="51"/>
      <c r="R125" s="51"/>
      <c r="S125" s="51"/>
      <c r="W125" s="53"/>
      <c r="X125" s="53"/>
      <c r="Y125" s="58"/>
      <c r="Z125" s="58"/>
      <c r="AA125" s="60"/>
    </row>
    <row r="126" spans="11:27">
      <c r="K126" s="51"/>
      <c r="Q126" s="51"/>
      <c r="R126" s="51"/>
      <c r="S126" s="51"/>
      <c r="W126" s="53"/>
      <c r="X126" s="53"/>
      <c r="Y126" s="58"/>
      <c r="Z126" s="58"/>
      <c r="AA126" s="60"/>
    </row>
    <row r="127" spans="11:27">
      <c r="K127" s="51"/>
      <c r="Q127" s="51"/>
      <c r="R127" s="51"/>
      <c r="S127" s="51"/>
      <c r="W127" s="53"/>
      <c r="X127" s="53"/>
      <c r="Y127" s="58"/>
      <c r="Z127" s="58"/>
      <c r="AA127" s="60"/>
    </row>
    <row r="128" spans="11:27">
      <c r="K128" s="51"/>
      <c r="Q128" s="51"/>
      <c r="R128" s="51"/>
      <c r="S128" s="51"/>
      <c r="W128" s="53"/>
      <c r="X128" s="53"/>
      <c r="Y128" s="58"/>
      <c r="Z128" s="58"/>
      <c r="AA128" s="60"/>
    </row>
    <row r="129" spans="11:27">
      <c r="K129" s="51"/>
      <c r="Q129" s="51"/>
      <c r="R129" s="51"/>
      <c r="S129" s="51"/>
      <c r="W129" s="53"/>
      <c r="X129" s="53"/>
      <c r="Y129" s="58"/>
      <c r="Z129" s="58"/>
      <c r="AA129" s="60"/>
    </row>
    <row r="130" spans="11:27">
      <c r="K130" s="51"/>
      <c r="Q130" s="51"/>
      <c r="R130" s="51"/>
      <c r="S130" s="51"/>
      <c r="W130" s="53"/>
      <c r="X130" s="53"/>
      <c r="Y130" s="58"/>
      <c r="Z130" s="58"/>
      <c r="AA130" s="60"/>
    </row>
    <row r="131" spans="11:27">
      <c r="K131" s="51"/>
      <c r="Q131" s="51"/>
      <c r="R131" s="51"/>
      <c r="S131" s="51"/>
      <c r="W131" s="53"/>
      <c r="X131" s="53"/>
      <c r="Y131" s="58"/>
      <c r="Z131" s="58"/>
      <c r="AA131" s="60"/>
    </row>
    <row r="132" spans="11:27">
      <c r="K132" s="51"/>
      <c r="Q132" s="51"/>
      <c r="R132" s="51"/>
      <c r="S132" s="51"/>
      <c r="W132" s="53"/>
      <c r="X132" s="53"/>
      <c r="Y132" s="58"/>
      <c r="Z132" s="58"/>
      <c r="AA132" s="60"/>
    </row>
    <row r="133" spans="11:27">
      <c r="K133" s="51"/>
      <c r="Q133" s="51"/>
      <c r="R133" s="51"/>
      <c r="S133" s="51"/>
      <c r="W133" s="53"/>
      <c r="X133" s="53"/>
      <c r="Y133" s="58"/>
      <c r="Z133" s="58"/>
      <c r="AA133" s="60"/>
    </row>
    <row r="134" spans="11:27">
      <c r="K134" s="51"/>
      <c r="Q134" s="51"/>
      <c r="R134" s="51"/>
      <c r="S134" s="51"/>
      <c r="W134" s="53"/>
      <c r="X134" s="53"/>
      <c r="Y134" s="58"/>
      <c r="Z134" s="58"/>
      <c r="AA134" s="60"/>
    </row>
    <row r="135" spans="11:27">
      <c r="K135" s="51"/>
      <c r="Q135" s="51"/>
      <c r="R135" s="51"/>
      <c r="S135" s="51"/>
      <c r="W135" s="53"/>
      <c r="X135" s="53"/>
      <c r="Y135" s="58"/>
      <c r="Z135" s="58"/>
      <c r="AA135" s="60"/>
    </row>
    <row r="136" spans="11:27">
      <c r="K136" s="51"/>
      <c r="Q136" s="51"/>
      <c r="R136" s="51"/>
      <c r="S136" s="51"/>
      <c r="W136" s="53"/>
      <c r="X136" s="53"/>
      <c r="Y136" s="58"/>
      <c r="Z136" s="58"/>
      <c r="AA136" s="60"/>
    </row>
    <row r="137" spans="11:27">
      <c r="K137" s="51"/>
      <c r="Q137" s="51"/>
      <c r="R137" s="51"/>
      <c r="S137" s="51"/>
      <c r="W137" s="53"/>
      <c r="X137" s="53"/>
      <c r="Y137" s="58"/>
      <c r="Z137" s="58"/>
      <c r="AA137" s="60"/>
    </row>
    <row r="138" spans="11:27">
      <c r="K138" s="51"/>
      <c r="Q138" s="51"/>
      <c r="R138" s="51"/>
      <c r="S138" s="51"/>
      <c r="W138" s="53"/>
      <c r="X138" s="53"/>
      <c r="Y138" s="58"/>
      <c r="Z138" s="58"/>
      <c r="AA138" s="60"/>
    </row>
    <row r="139" spans="11:27">
      <c r="K139" s="51"/>
      <c r="Q139" s="51"/>
      <c r="R139" s="51"/>
      <c r="S139" s="51"/>
      <c r="W139" s="53"/>
      <c r="X139" s="53"/>
      <c r="Y139" s="58"/>
      <c r="Z139" s="58"/>
      <c r="AA139" s="60"/>
    </row>
    <row r="140" spans="11:27">
      <c r="K140" s="51"/>
      <c r="Q140" s="51"/>
      <c r="R140" s="51"/>
      <c r="S140" s="51"/>
      <c r="W140" s="53"/>
      <c r="X140" s="53"/>
      <c r="Y140" s="58"/>
      <c r="Z140" s="58"/>
      <c r="AA140" s="60"/>
    </row>
    <row r="141" spans="11:27">
      <c r="K141" s="51"/>
      <c r="Q141" s="51"/>
      <c r="R141" s="51"/>
      <c r="S141" s="51"/>
      <c r="W141" s="53"/>
      <c r="X141" s="53"/>
      <c r="Y141" s="58"/>
      <c r="Z141" s="58"/>
      <c r="AA141" s="60"/>
    </row>
    <row r="142" spans="11:27">
      <c r="K142" s="51"/>
      <c r="Q142" s="51"/>
      <c r="R142" s="51"/>
      <c r="S142" s="51"/>
      <c r="W142" s="53"/>
      <c r="X142" s="53"/>
      <c r="Y142" s="58"/>
      <c r="Z142" s="58"/>
      <c r="AA142" s="60"/>
    </row>
    <row r="143" spans="11:27">
      <c r="K143" s="51"/>
      <c r="Q143" s="51"/>
      <c r="R143" s="51"/>
      <c r="S143" s="51"/>
      <c r="W143" s="53"/>
      <c r="X143" s="53"/>
      <c r="Y143" s="58"/>
      <c r="Z143" s="58"/>
      <c r="AA143" s="60"/>
    </row>
    <row r="144" spans="11:27">
      <c r="K144" s="51"/>
      <c r="Q144" s="51"/>
      <c r="R144" s="51"/>
      <c r="S144" s="51"/>
      <c r="W144" s="53"/>
      <c r="X144" s="53"/>
      <c r="Y144" s="58"/>
      <c r="Z144" s="58"/>
      <c r="AA144" s="60"/>
    </row>
    <row r="145" spans="11:27">
      <c r="K145" s="51"/>
      <c r="Q145" s="51"/>
      <c r="R145" s="51"/>
      <c r="S145" s="51"/>
      <c r="W145" s="53"/>
      <c r="X145" s="53"/>
      <c r="Y145" s="58"/>
      <c r="Z145" s="58"/>
      <c r="AA145" s="60"/>
    </row>
    <row r="146" spans="11:27">
      <c r="K146" s="51"/>
      <c r="Q146" s="51"/>
      <c r="R146" s="51"/>
      <c r="S146" s="51"/>
      <c r="W146" s="53"/>
      <c r="X146" s="53"/>
      <c r="Y146" s="58"/>
      <c r="Z146" s="58"/>
      <c r="AA146" s="60"/>
    </row>
    <row r="147" spans="11:27">
      <c r="K147" s="51"/>
      <c r="Q147" s="51"/>
      <c r="R147" s="51"/>
      <c r="S147" s="51"/>
      <c r="W147" s="53"/>
      <c r="X147" s="53"/>
      <c r="Y147" s="58"/>
      <c r="Z147" s="58"/>
      <c r="AA147" s="60"/>
    </row>
    <row r="148" spans="11:27">
      <c r="K148" s="51"/>
      <c r="Q148" s="51"/>
      <c r="R148" s="51"/>
      <c r="S148" s="51"/>
      <c r="W148" s="53"/>
      <c r="X148" s="53"/>
      <c r="Y148" s="58"/>
      <c r="Z148" s="58"/>
      <c r="AA148" s="60"/>
    </row>
    <row r="149" spans="11:27">
      <c r="K149" s="51"/>
      <c r="Q149" s="51"/>
      <c r="R149" s="51"/>
      <c r="S149" s="51"/>
      <c r="W149" s="53"/>
      <c r="X149" s="53"/>
      <c r="Y149" s="58"/>
      <c r="Z149" s="58"/>
      <c r="AA149" s="60"/>
    </row>
    <row r="150" spans="11:27">
      <c r="K150" s="51"/>
      <c r="Q150" s="51"/>
      <c r="R150" s="51"/>
      <c r="S150" s="51"/>
      <c r="W150" s="53"/>
      <c r="X150" s="53"/>
      <c r="Y150" s="58"/>
      <c r="Z150" s="58"/>
      <c r="AA150" s="60"/>
    </row>
    <row r="151" spans="11:27">
      <c r="K151" s="51"/>
      <c r="Q151" s="51"/>
      <c r="R151" s="51"/>
      <c r="S151" s="51"/>
      <c r="W151" s="53"/>
      <c r="X151" s="53"/>
      <c r="Y151" s="58"/>
      <c r="Z151" s="58"/>
      <c r="AA151" s="60"/>
    </row>
    <row r="152" spans="11:27">
      <c r="K152" s="51"/>
      <c r="Q152" s="51"/>
      <c r="R152" s="51"/>
      <c r="S152" s="51"/>
      <c r="W152" s="53"/>
      <c r="X152" s="53"/>
      <c r="Y152" s="58"/>
      <c r="Z152" s="58"/>
      <c r="AA152" s="60"/>
    </row>
    <row r="153" spans="11:27">
      <c r="K153" s="51"/>
      <c r="Q153" s="51"/>
      <c r="R153" s="51"/>
      <c r="S153" s="51"/>
      <c r="W153" s="53"/>
      <c r="X153" s="53"/>
      <c r="Y153" s="58"/>
      <c r="Z153" s="58"/>
      <c r="AA153" s="60"/>
    </row>
    <row r="154" spans="11:27">
      <c r="K154" s="51"/>
      <c r="Q154" s="51"/>
      <c r="R154" s="51"/>
      <c r="S154" s="51"/>
      <c r="W154" s="53"/>
      <c r="X154" s="53"/>
      <c r="Y154" s="58"/>
      <c r="Z154" s="58"/>
      <c r="AA154" s="60"/>
    </row>
    <row r="155" spans="11:27">
      <c r="K155" s="51"/>
      <c r="Q155" s="51"/>
      <c r="R155" s="51"/>
      <c r="S155" s="51"/>
      <c r="W155" s="53"/>
      <c r="X155" s="53"/>
      <c r="Y155" s="58"/>
      <c r="Z155" s="58"/>
      <c r="AA155" s="60"/>
    </row>
    <row r="156" spans="11:27">
      <c r="K156" s="51"/>
      <c r="Q156" s="51"/>
      <c r="R156" s="51"/>
      <c r="S156" s="51"/>
      <c r="W156" s="53"/>
      <c r="X156" s="53"/>
      <c r="Y156" s="58"/>
      <c r="Z156" s="58"/>
      <c r="AA156" s="60"/>
    </row>
    <row r="157" spans="11:27">
      <c r="K157" s="51"/>
      <c r="Q157" s="51"/>
      <c r="R157" s="51"/>
      <c r="S157" s="51"/>
      <c r="W157" s="53"/>
      <c r="X157" s="53"/>
      <c r="Y157" s="58"/>
      <c r="Z157" s="58"/>
      <c r="AA157" s="60"/>
    </row>
    <row r="158" spans="11:27">
      <c r="K158" s="51"/>
      <c r="Q158" s="51"/>
      <c r="R158" s="51"/>
      <c r="S158" s="51"/>
      <c r="W158" s="53"/>
      <c r="X158" s="53"/>
      <c r="Y158" s="58"/>
      <c r="Z158" s="58"/>
      <c r="AA158" s="60"/>
    </row>
    <row r="159" spans="11:27">
      <c r="K159" s="51"/>
      <c r="Q159" s="51"/>
      <c r="R159" s="51"/>
      <c r="S159" s="51"/>
      <c r="W159" s="53"/>
      <c r="X159" s="53"/>
      <c r="Y159" s="58"/>
      <c r="Z159" s="58"/>
      <c r="AA159" s="60"/>
    </row>
    <row r="160" spans="11:27">
      <c r="K160" s="51"/>
      <c r="Q160" s="51"/>
      <c r="R160" s="51"/>
      <c r="S160" s="51"/>
      <c r="W160" s="53"/>
      <c r="X160" s="53"/>
      <c r="Y160" s="58"/>
      <c r="Z160" s="58"/>
      <c r="AA160" s="60"/>
    </row>
    <row r="161" spans="11:27">
      <c r="K161" s="51"/>
      <c r="Q161" s="51"/>
      <c r="R161" s="51"/>
      <c r="S161" s="51"/>
      <c r="W161" s="53"/>
      <c r="X161" s="53"/>
      <c r="Y161" s="58"/>
      <c r="Z161" s="58"/>
      <c r="AA161" s="60"/>
    </row>
    <row r="162" spans="11:27">
      <c r="K162" s="51"/>
      <c r="Q162" s="51"/>
      <c r="R162" s="51"/>
      <c r="S162" s="51"/>
      <c r="W162" s="53"/>
      <c r="X162" s="53"/>
      <c r="Y162" s="58"/>
      <c r="Z162" s="58"/>
      <c r="AA162" s="60"/>
    </row>
    <row r="163" spans="11:27">
      <c r="K163" s="51"/>
      <c r="Q163" s="51"/>
      <c r="R163" s="51"/>
      <c r="S163" s="51"/>
      <c r="W163" s="53"/>
      <c r="X163" s="53"/>
      <c r="Y163" s="58"/>
      <c r="Z163" s="58"/>
      <c r="AA163" s="60"/>
    </row>
    <row r="164" spans="11:27">
      <c r="K164" s="51"/>
      <c r="Q164" s="51"/>
      <c r="R164" s="51"/>
      <c r="S164" s="51"/>
      <c r="W164" s="53"/>
      <c r="X164" s="53"/>
      <c r="Y164" s="58"/>
      <c r="Z164" s="58"/>
      <c r="AA164" s="60"/>
    </row>
    <row r="165" spans="11:27">
      <c r="K165" s="51"/>
      <c r="Q165" s="51"/>
      <c r="R165" s="51"/>
      <c r="S165" s="51"/>
      <c r="W165" s="53"/>
      <c r="X165" s="53"/>
      <c r="Y165" s="58"/>
      <c r="Z165" s="58"/>
      <c r="AA165" s="60"/>
    </row>
    <row r="166" spans="11:27">
      <c r="K166" s="51"/>
      <c r="Q166" s="51"/>
      <c r="R166" s="51"/>
      <c r="S166" s="51"/>
      <c r="W166" s="53"/>
      <c r="X166" s="53"/>
      <c r="Y166" s="58"/>
      <c r="Z166" s="58"/>
      <c r="AA166" s="60"/>
    </row>
    <row r="167" spans="11:27">
      <c r="K167" s="51"/>
      <c r="Q167" s="51"/>
      <c r="R167" s="51"/>
      <c r="S167" s="51"/>
      <c r="W167" s="53"/>
      <c r="X167" s="53"/>
      <c r="Y167" s="58"/>
      <c r="Z167" s="58"/>
      <c r="AA167" s="60"/>
    </row>
    <row r="168" spans="11:27">
      <c r="K168" s="51"/>
      <c r="Q168" s="51"/>
      <c r="R168" s="51"/>
      <c r="S168" s="51"/>
      <c r="W168" s="53"/>
      <c r="X168" s="53"/>
      <c r="Y168" s="58"/>
      <c r="Z168" s="58"/>
      <c r="AA168" s="60"/>
    </row>
    <row r="169" spans="11:27">
      <c r="K169" s="51"/>
      <c r="Q169" s="51"/>
      <c r="R169" s="51"/>
      <c r="S169" s="51"/>
      <c r="W169" s="53"/>
      <c r="X169" s="53"/>
      <c r="Y169" s="58"/>
      <c r="Z169" s="58"/>
      <c r="AA169" s="60"/>
    </row>
    <row r="170" spans="11:27">
      <c r="K170" s="51"/>
      <c r="Q170" s="51"/>
      <c r="R170" s="51"/>
      <c r="S170" s="51"/>
      <c r="W170" s="53"/>
      <c r="X170" s="53"/>
      <c r="Y170" s="58"/>
      <c r="Z170" s="58"/>
      <c r="AA170" s="60"/>
    </row>
    <row r="171" spans="11:27">
      <c r="K171" s="51"/>
      <c r="Q171" s="51"/>
      <c r="R171" s="51"/>
      <c r="S171" s="51"/>
      <c r="W171" s="53"/>
      <c r="X171" s="53"/>
      <c r="Y171" s="58"/>
      <c r="Z171" s="58"/>
      <c r="AA171" s="60"/>
    </row>
    <row r="172" spans="11:27">
      <c r="K172" s="51"/>
      <c r="Q172" s="51"/>
      <c r="R172" s="51"/>
      <c r="S172" s="51"/>
      <c r="W172" s="53"/>
      <c r="X172" s="53"/>
      <c r="Y172" s="58"/>
      <c r="Z172" s="58"/>
      <c r="AA172" s="60"/>
    </row>
    <row r="173" spans="11:27">
      <c r="K173" s="51"/>
      <c r="Q173" s="51"/>
      <c r="R173" s="51"/>
      <c r="S173" s="51"/>
      <c r="W173" s="53"/>
      <c r="X173" s="53"/>
      <c r="Y173" s="58"/>
      <c r="Z173" s="58"/>
      <c r="AA173" s="60"/>
    </row>
    <row r="174" spans="11:27">
      <c r="K174" s="51"/>
      <c r="Q174" s="51"/>
      <c r="R174" s="51"/>
      <c r="S174" s="51"/>
      <c r="W174" s="53"/>
      <c r="X174" s="53"/>
      <c r="Y174" s="58"/>
      <c r="Z174" s="58"/>
      <c r="AA174" s="60"/>
    </row>
    <row r="175" spans="11:27">
      <c r="K175" s="51"/>
      <c r="Q175" s="51"/>
      <c r="R175" s="51"/>
      <c r="S175" s="51"/>
      <c r="W175" s="53"/>
      <c r="X175" s="53"/>
      <c r="Y175" s="58"/>
      <c r="Z175" s="58"/>
      <c r="AA175" s="60"/>
    </row>
    <row r="176" spans="11:27">
      <c r="K176" s="51"/>
      <c r="Q176" s="51"/>
      <c r="R176" s="51"/>
      <c r="S176" s="51"/>
      <c r="W176" s="53"/>
      <c r="X176" s="53"/>
      <c r="Y176" s="58"/>
      <c r="Z176" s="58"/>
      <c r="AA176" s="60"/>
    </row>
    <row r="177" spans="11:27">
      <c r="K177" s="51"/>
      <c r="Q177" s="51"/>
      <c r="R177" s="51"/>
      <c r="S177" s="51"/>
      <c r="W177" s="53"/>
      <c r="X177" s="53"/>
      <c r="Y177" s="58"/>
      <c r="Z177" s="58"/>
      <c r="AA177" s="60"/>
    </row>
    <row r="178" spans="11:27">
      <c r="K178" s="51"/>
      <c r="Q178" s="51"/>
      <c r="R178" s="51"/>
      <c r="S178" s="51"/>
      <c r="W178" s="53"/>
      <c r="X178" s="53"/>
      <c r="Y178" s="58"/>
      <c r="Z178" s="58"/>
      <c r="AA178" s="60"/>
    </row>
    <row r="179" spans="11:27">
      <c r="K179" s="51"/>
      <c r="Q179" s="51"/>
      <c r="R179" s="51"/>
      <c r="S179" s="51"/>
      <c r="W179" s="53"/>
      <c r="X179" s="53"/>
      <c r="Y179" s="58"/>
      <c r="Z179" s="58"/>
      <c r="AA179" s="60"/>
    </row>
    <row r="180" spans="11:27">
      <c r="K180" s="51"/>
      <c r="Q180" s="51"/>
      <c r="R180" s="51"/>
      <c r="S180" s="51"/>
      <c r="W180" s="53"/>
      <c r="X180" s="53"/>
      <c r="Y180" s="58"/>
      <c r="Z180" s="58"/>
      <c r="AA180" s="60"/>
    </row>
    <row r="181" spans="11:27">
      <c r="K181" s="51"/>
      <c r="Q181" s="51"/>
      <c r="R181" s="51"/>
      <c r="S181" s="51"/>
      <c r="W181" s="53"/>
      <c r="X181" s="53"/>
      <c r="Y181" s="58"/>
      <c r="Z181" s="58"/>
      <c r="AA181" s="60"/>
    </row>
    <row r="182" spans="11:27">
      <c r="K182" s="51"/>
      <c r="Q182" s="51"/>
      <c r="R182" s="51"/>
      <c r="S182" s="51"/>
      <c r="W182" s="53"/>
      <c r="X182" s="53"/>
      <c r="Y182" s="58"/>
      <c r="Z182" s="58"/>
      <c r="AA182" s="60"/>
    </row>
    <row r="183" spans="11:27">
      <c r="K183" s="51"/>
      <c r="Q183" s="51"/>
      <c r="R183" s="51"/>
      <c r="S183" s="51"/>
      <c r="W183" s="53"/>
      <c r="X183" s="53"/>
      <c r="Y183" s="58"/>
      <c r="Z183" s="58"/>
      <c r="AA183" s="60"/>
    </row>
    <row r="184" spans="11:27">
      <c r="K184" s="51"/>
      <c r="Q184" s="51"/>
      <c r="R184" s="51"/>
      <c r="S184" s="51"/>
      <c r="W184" s="53"/>
      <c r="X184" s="53"/>
      <c r="Y184" s="58"/>
      <c r="Z184" s="58"/>
      <c r="AA184" s="60"/>
    </row>
    <row r="185" spans="11:27">
      <c r="K185" s="51"/>
      <c r="Q185" s="51"/>
      <c r="R185" s="51"/>
      <c r="S185" s="51"/>
      <c r="W185" s="53"/>
      <c r="X185" s="53"/>
      <c r="Y185" s="58"/>
      <c r="Z185" s="58"/>
      <c r="AA185" s="60"/>
    </row>
    <row r="186" spans="11:27">
      <c r="K186" s="51"/>
      <c r="Q186" s="51"/>
      <c r="R186" s="51"/>
      <c r="S186" s="51"/>
      <c r="W186" s="53"/>
      <c r="X186" s="53"/>
      <c r="Y186" s="58"/>
      <c r="Z186" s="58"/>
      <c r="AA186" s="60"/>
    </row>
    <row r="187" spans="11:27">
      <c r="K187" s="51"/>
      <c r="Q187" s="51"/>
      <c r="R187" s="51"/>
      <c r="S187" s="51"/>
      <c r="W187" s="53"/>
      <c r="X187" s="53"/>
      <c r="Y187" s="58"/>
      <c r="Z187" s="58"/>
      <c r="AA187" s="60"/>
    </row>
    <row r="188" spans="11:27">
      <c r="K188" s="51"/>
      <c r="Q188" s="51"/>
      <c r="R188" s="51"/>
      <c r="S188" s="51"/>
      <c r="W188" s="53"/>
      <c r="X188" s="53"/>
      <c r="Y188" s="58"/>
      <c r="Z188" s="58"/>
      <c r="AA188" s="60"/>
    </row>
    <row r="189" spans="11:27">
      <c r="K189" s="51"/>
      <c r="Q189" s="51"/>
      <c r="R189" s="51"/>
      <c r="S189" s="51"/>
      <c r="W189" s="53"/>
      <c r="X189" s="53"/>
      <c r="Y189" s="58"/>
      <c r="Z189" s="58"/>
      <c r="AA189" s="60"/>
    </row>
    <row r="190" spans="11:27">
      <c r="K190" s="51"/>
      <c r="Q190" s="51"/>
      <c r="R190" s="51"/>
      <c r="S190" s="51"/>
      <c r="W190" s="53"/>
      <c r="X190" s="53"/>
      <c r="Y190" s="58"/>
      <c r="Z190" s="58"/>
      <c r="AA190" s="60"/>
    </row>
    <row r="191" spans="11:27">
      <c r="K191" s="51"/>
      <c r="Q191" s="51"/>
      <c r="R191" s="51"/>
      <c r="S191" s="51"/>
      <c r="W191" s="53"/>
      <c r="X191" s="53"/>
      <c r="Y191" s="58"/>
      <c r="Z191" s="58"/>
      <c r="AA191" s="60"/>
    </row>
    <row r="192" spans="11:27">
      <c r="K192" s="51"/>
      <c r="Q192" s="51"/>
      <c r="R192" s="51"/>
      <c r="S192" s="51"/>
      <c r="W192" s="53"/>
      <c r="X192" s="53"/>
      <c r="Y192" s="58"/>
      <c r="Z192" s="58"/>
      <c r="AA192" s="60"/>
    </row>
    <row r="193" spans="11:27">
      <c r="K193" s="51"/>
      <c r="Q193" s="51"/>
      <c r="R193" s="51"/>
      <c r="S193" s="51"/>
      <c r="W193" s="53"/>
      <c r="X193" s="53"/>
      <c r="Y193" s="58"/>
      <c r="Z193" s="58"/>
      <c r="AA193" s="60"/>
    </row>
    <row r="194" spans="11:27">
      <c r="K194" s="51"/>
      <c r="Q194" s="51"/>
      <c r="R194" s="51"/>
      <c r="S194" s="51"/>
      <c r="W194" s="53"/>
      <c r="X194" s="53"/>
      <c r="Y194" s="58"/>
      <c r="Z194" s="58"/>
      <c r="AA194" s="60"/>
    </row>
    <row r="195" spans="11:27">
      <c r="K195" s="51"/>
      <c r="Q195" s="51"/>
      <c r="R195" s="51"/>
      <c r="S195" s="51"/>
      <c r="W195" s="53"/>
      <c r="X195" s="53"/>
      <c r="Y195" s="58"/>
      <c r="Z195" s="58"/>
      <c r="AA195" s="60"/>
    </row>
    <row r="196" spans="11:27">
      <c r="K196" s="51"/>
      <c r="Q196" s="51"/>
      <c r="R196" s="51"/>
      <c r="S196" s="51"/>
      <c r="W196" s="53"/>
      <c r="X196" s="53"/>
      <c r="Y196" s="58"/>
      <c r="Z196" s="58"/>
      <c r="AA196" s="60"/>
    </row>
    <row r="197" spans="11:27">
      <c r="K197" s="51"/>
      <c r="Q197" s="51"/>
      <c r="R197" s="51"/>
      <c r="S197" s="51"/>
      <c r="W197" s="53"/>
      <c r="X197" s="53"/>
      <c r="Y197" s="58"/>
      <c r="Z197" s="58"/>
      <c r="AA197" s="60"/>
    </row>
    <row r="198" spans="11:27">
      <c r="K198" s="51"/>
      <c r="Q198" s="51"/>
      <c r="R198" s="51"/>
      <c r="S198" s="51"/>
      <c r="W198" s="53"/>
      <c r="X198" s="53"/>
      <c r="Y198" s="58"/>
      <c r="Z198" s="58"/>
      <c r="AA198" s="60"/>
    </row>
    <row r="199" spans="11:27">
      <c r="K199" s="51"/>
      <c r="Q199" s="51"/>
      <c r="R199" s="51"/>
      <c r="S199" s="51"/>
      <c r="W199" s="53"/>
      <c r="X199" s="53"/>
      <c r="Y199" s="58"/>
      <c r="Z199" s="58"/>
      <c r="AA199" s="60"/>
    </row>
    <row r="200" spans="11:27">
      <c r="K200" s="51"/>
      <c r="Q200" s="51"/>
      <c r="R200" s="51"/>
      <c r="S200" s="51"/>
      <c r="W200" s="53"/>
      <c r="X200" s="53"/>
      <c r="Y200" s="58"/>
      <c r="Z200" s="58"/>
      <c r="AA200" s="60"/>
    </row>
    <row r="201" spans="11:27">
      <c r="K201" s="51"/>
      <c r="Q201" s="51"/>
      <c r="R201" s="51"/>
      <c r="S201" s="51"/>
      <c r="W201" s="53"/>
      <c r="X201" s="53"/>
      <c r="Y201" s="58"/>
      <c r="Z201" s="58"/>
      <c r="AA201" s="60"/>
    </row>
    <row r="202" spans="11:27">
      <c r="K202" s="51"/>
      <c r="Q202" s="51"/>
      <c r="R202" s="51"/>
      <c r="S202" s="51"/>
      <c r="W202" s="53"/>
      <c r="X202" s="53"/>
      <c r="Y202" s="58"/>
      <c r="Z202" s="58"/>
      <c r="AA202" s="60"/>
    </row>
    <row r="203" spans="11:27">
      <c r="K203" s="51"/>
      <c r="Q203" s="51"/>
      <c r="R203" s="51"/>
      <c r="S203" s="51"/>
      <c r="W203" s="53"/>
      <c r="X203" s="53"/>
      <c r="Y203" s="58"/>
      <c r="Z203" s="58"/>
      <c r="AA203" s="60"/>
    </row>
    <row r="204" spans="11:27">
      <c r="K204" s="51"/>
      <c r="Q204" s="51"/>
      <c r="R204" s="51"/>
      <c r="S204" s="51"/>
      <c r="W204" s="53"/>
      <c r="X204" s="53"/>
      <c r="Y204" s="58"/>
      <c r="Z204" s="58"/>
      <c r="AA204" s="60"/>
    </row>
    <row r="205" spans="11:27">
      <c r="K205" s="51"/>
      <c r="Q205" s="51"/>
      <c r="R205" s="51"/>
      <c r="S205" s="51"/>
      <c r="W205" s="53"/>
      <c r="X205" s="53"/>
      <c r="Y205" s="58"/>
      <c r="Z205" s="58"/>
      <c r="AA205" s="60"/>
    </row>
    <row r="206" spans="11:27">
      <c r="K206" s="51"/>
      <c r="Q206" s="51"/>
      <c r="R206" s="51"/>
      <c r="S206" s="51"/>
      <c r="W206" s="53"/>
      <c r="X206" s="53"/>
      <c r="Y206" s="58"/>
      <c r="Z206" s="58"/>
      <c r="AA206" s="60"/>
    </row>
    <row r="207" spans="11:27">
      <c r="K207" s="51"/>
      <c r="Q207" s="51"/>
      <c r="R207" s="51"/>
      <c r="S207" s="51"/>
      <c r="W207" s="53"/>
      <c r="X207" s="53"/>
      <c r="Y207" s="58"/>
      <c r="Z207" s="58"/>
      <c r="AA207" s="60"/>
    </row>
    <row r="208" spans="11:27">
      <c r="K208" s="51"/>
      <c r="Q208" s="51"/>
      <c r="R208" s="51"/>
      <c r="S208" s="51"/>
      <c r="W208" s="53"/>
      <c r="X208" s="53"/>
      <c r="Y208" s="58"/>
      <c r="Z208" s="58"/>
      <c r="AA208" s="60"/>
    </row>
    <row r="209" spans="11:27">
      <c r="K209" s="51"/>
      <c r="Q209" s="51"/>
      <c r="R209" s="51"/>
      <c r="S209" s="51"/>
      <c r="W209" s="53"/>
      <c r="X209" s="53"/>
      <c r="Y209" s="58"/>
      <c r="Z209" s="58"/>
      <c r="AA209" s="60"/>
    </row>
    <row r="210" spans="11:27">
      <c r="K210" s="51"/>
      <c r="Q210" s="51"/>
      <c r="R210" s="51"/>
      <c r="S210" s="51"/>
      <c r="W210" s="53"/>
      <c r="X210" s="53"/>
      <c r="Y210" s="58"/>
      <c r="Z210" s="58"/>
      <c r="AA210" s="60"/>
    </row>
    <row r="211" spans="11:27">
      <c r="K211" s="51"/>
      <c r="Q211" s="51"/>
      <c r="R211" s="51"/>
      <c r="S211" s="51"/>
      <c r="W211" s="53"/>
      <c r="X211" s="53"/>
      <c r="Y211" s="58"/>
      <c r="Z211" s="58"/>
      <c r="AA211" s="60"/>
    </row>
    <row r="212" spans="11:27">
      <c r="K212" s="51"/>
      <c r="Q212" s="51"/>
      <c r="R212" s="51"/>
      <c r="S212" s="51"/>
      <c r="W212" s="53"/>
      <c r="X212" s="53"/>
      <c r="Y212" s="58"/>
      <c r="Z212" s="58"/>
      <c r="AA212" s="60"/>
    </row>
    <row r="213" spans="11:27">
      <c r="K213" s="51"/>
      <c r="Q213" s="51"/>
      <c r="R213" s="51"/>
      <c r="S213" s="51"/>
      <c r="W213" s="53"/>
      <c r="X213" s="53"/>
      <c r="Y213" s="58"/>
      <c r="Z213" s="58"/>
      <c r="AA213" s="60"/>
    </row>
    <row r="214" spans="11:27">
      <c r="K214" s="51"/>
      <c r="Q214" s="51"/>
      <c r="R214" s="51"/>
      <c r="S214" s="51"/>
      <c r="W214" s="53"/>
      <c r="X214" s="53"/>
      <c r="Y214" s="58"/>
      <c r="Z214" s="58"/>
      <c r="AA214" s="60"/>
    </row>
    <row r="215" spans="11:27">
      <c r="K215" s="51"/>
      <c r="Q215" s="51"/>
      <c r="R215" s="51"/>
      <c r="S215" s="51"/>
      <c r="W215" s="53"/>
      <c r="X215" s="53"/>
      <c r="Y215" s="58"/>
      <c r="Z215" s="58"/>
      <c r="AA215" s="60"/>
    </row>
    <row r="216" spans="11:27">
      <c r="K216" s="51"/>
      <c r="Q216" s="51"/>
      <c r="R216" s="51"/>
      <c r="S216" s="51"/>
      <c r="W216" s="53"/>
      <c r="X216" s="53"/>
      <c r="Y216" s="58"/>
      <c r="Z216" s="58"/>
      <c r="AA216" s="60"/>
    </row>
    <row r="217" spans="11:27">
      <c r="K217" s="51"/>
      <c r="Q217" s="51"/>
      <c r="R217" s="51"/>
      <c r="S217" s="51"/>
      <c r="W217" s="53"/>
      <c r="X217" s="53"/>
      <c r="Y217" s="58"/>
      <c r="Z217" s="58"/>
      <c r="AA217" s="60"/>
    </row>
    <row r="218" spans="11:27">
      <c r="K218" s="51"/>
      <c r="Q218" s="51"/>
      <c r="R218" s="51"/>
      <c r="S218" s="51"/>
      <c r="W218" s="53"/>
      <c r="X218" s="53"/>
      <c r="Y218" s="58"/>
      <c r="Z218" s="58"/>
      <c r="AA218" s="60"/>
    </row>
    <row r="219" spans="11:27">
      <c r="K219" s="51"/>
      <c r="Q219" s="51"/>
      <c r="R219" s="51"/>
      <c r="S219" s="51"/>
      <c r="W219" s="53"/>
      <c r="X219" s="53"/>
      <c r="Y219" s="58"/>
      <c r="Z219" s="58"/>
      <c r="AA219" s="60"/>
    </row>
    <row r="220" spans="11:27">
      <c r="K220" s="51"/>
      <c r="Q220" s="51"/>
      <c r="R220" s="51"/>
      <c r="S220" s="51"/>
      <c r="W220" s="53"/>
      <c r="X220" s="53"/>
      <c r="Y220" s="58"/>
      <c r="Z220" s="58"/>
      <c r="AA220" s="60"/>
    </row>
    <row r="221" spans="11:27">
      <c r="K221" s="51"/>
      <c r="Q221" s="51"/>
      <c r="R221" s="51"/>
      <c r="S221" s="51"/>
      <c r="W221" s="53"/>
      <c r="X221" s="53"/>
      <c r="Y221" s="58"/>
      <c r="Z221" s="58"/>
      <c r="AA221" s="60"/>
    </row>
    <row r="222" spans="11:27">
      <c r="K222" s="51"/>
      <c r="Q222" s="51"/>
      <c r="R222" s="51"/>
      <c r="S222" s="51"/>
      <c r="W222" s="53"/>
      <c r="X222" s="53"/>
      <c r="Y222" s="58"/>
      <c r="Z222" s="58"/>
      <c r="AA222" s="60"/>
    </row>
    <row r="223" spans="11:27">
      <c r="K223" s="51"/>
      <c r="Q223" s="51"/>
      <c r="R223" s="51"/>
      <c r="S223" s="51"/>
      <c r="W223" s="53"/>
      <c r="X223" s="53"/>
      <c r="Y223" s="58"/>
      <c r="Z223" s="58"/>
      <c r="AA223" s="60"/>
    </row>
    <row r="224" spans="11:27">
      <c r="K224" s="51"/>
      <c r="Q224" s="51"/>
      <c r="R224" s="51"/>
      <c r="S224" s="51"/>
      <c r="W224" s="53"/>
      <c r="X224" s="53"/>
      <c r="Y224" s="58"/>
      <c r="Z224" s="58"/>
      <c r="AA224" s="60"/>
    </row>
    <row r="225" spans="11:27">
      <c r="K225" s="51"/>
      <c r="Q225" s="51"/>
      <c r="R225" s="51"/>
      <c r="S225" s="51"/>
      <c r="W225" s="53"/>
      <c r="X225" s="53"/>
      <c r="Y225" s="58"/>
      <c r="Z225" s="58"/>
      <c r="AA225" s="60"/>
    </row>
    <row r="226" spans="11:27">
      <c r="K226" s="51"/>
      <c r="Q226" s="51"/>
      <c r="R226" s="51"/>
      <c r="S226" s="51"/>
      <c r="W226" s="53"/>
      <c r="X226" s="53"/>
      <c r="Y226" s="58"/>
      <c r="Z226" s="58"/>
      <c r="AA226" s="60"/>
    </row>
    <row r="227" spans="11:27">
      <c r="K227" s="51"/>
      <c r="Q227" s="51"/>
      <c r="R227" s="51"/>
      <c r="S227" s="51"/>
      <c r="W227" s="53"/>
      <c r="X227" s="53"/>
      <c r="Y227" s="58"/>
      <c r="Z227" s="58"/>
      <c r="AA227" s="60"/>
    </row>
    <row r="228" spans="11:27">
      <c r="K228" s="51"/>
      <c r="Q228" s="51"/>
      <c r="R228" s="51"/>
      <c r="S228" s="51"/>
      <c r="W228" s="53"/>
      <c r="X228" s="53"/>
      <c r="Y228" s="58"/>
      <c r="Z228" s="58"/>
      <c r="AA228" s="60"/>
    </row>
    <row r="229" spans="11:27">
      <c r="K229" s="51"/>
      <c r="Q229" s="51"/>
      <c r="R229" s="51"/>
      <c r="S229" s="51"/>
      <c r="W229" s="53"/>
      <c r="X229" s="53"/>
      <c r="Y229" s="58"/>
      <c r="Z229" s="58"/>
      <c r="AA229" s="60"/>
    </row>
    <row r="230" spans="11:27">
      <c r="K230" s="51"/>
      <c r="Q230" s="51"/>
      <c r="R230" s="51"/>
      <c r="S230" s="51"/>
      <c r="W230" s="53"/>
      <c r="X230" s="53"/>
      <c r="Y230" s="58"/>
      <c r="Z230" s="58"/>
      <c r="AA230" s="60"/>
    </row>
    <row r="231" spans="11:27">
      <c r="K231" s="51"/>
      <c r="Q231" s="51"/>
      <c r="R231" s="51"/>
      <c r="S231" s="51"/>
      <c r="W231" s="53"/>
      <c r="X231" s="53"/>
      <c r="Y231" s="58"/>
      <c r="Z231" s="58"/>
      <c r="AA231" s="60"/>
    </row>
    <row r="232" spans="11:27">
      <c r="K232" s="51"/>
      <c r="Q232" s="51"/>
      <c r="R232" s="51"/>
      <c r="S232" s="51"/>
      <c r="W232" s="53"/>
      <c r="X232" s="53"/>
      <c r="Y232" s="58"/>
      <c r="Z232" s="58"/>
      <c r="AA232" s="60"/>
    </row>
    <row r="233" spans="11:27">
      <c r="K233" s="51"/>
      <c r="Q233" s="51"/>
      <c r="R233" s="51"/>
      <c r="S233" s="51"/>
      <c r="W233" s="53"/>
      <c r="X233" s="53"/>
      <c r="Y233" s="58"/>
      <c r="Z233" s="58"/>
      <c r="AA233" s="60"/>
    </row>
    <row r="234" spans="11:27">
      <c r="K234" s="51"/>
      <c r="Q234" s="51"/>
      <c r="R234" s="51"/>
      <c r="S234" s="51"/>
      <c r="W234" s="53"/>
      <c r="X234" s="53"/>
      <c r="Y234" s="58"/>
      <c r="Z234" s="58"/>
      <c r="AA234" s="60"/>
    </row>
    <row r="235" spans="11:27">
      <c r="K235" s="51"/>
      <c r="Q235" s="51"/>
      <c r="R235" s="51"/>
      <c r="S235" s="51"/>
      <c r="W235" s="53"/>
      <c r="X235" s="53"/>
      <c r="Y235" s="58"/>
      <c r="Z235" s="58"/>
      <c r="AA235" s="60"/>
    </row>
    <row r="236" spans="11:27">
      <c r="K236" s="51"/>
      <c r="Q236" s="51"/>
      <c r="R236" s="51"/>
      <c r="S236" s="51"/>
      <c r="W236" s="53"/>
      <c r="X236" s="53"/>
      <c r="Y236" s="58"/>
      <c r="Z236" s="58"/>
      <c r="AA236" s="60"/>
    </row>
    <row r="237" spans="11:27">
      <c r="K237" s="51"/>
      <c r="Q237" s="51"/>
      <c r="R237" s="51"/>
      <c r="S237" s="51"/>
      <c r="W237" s="53"/>
      <c r="X237" s="53"/>
      <c r="Y237" s="58"/>
      <c r="Z237" s="58"/>
      <c r="AA237" s="60"/>
    </row>
    <row r="238" spans="11:27">
      <c r="K238" s="51"/>
      <c r="Q238" s="51"/>
      <c r="R238" s="51"/>
      <c r="S238" s="51"/>
      <c r="W238" s="53"/>
      <c r="X238" s="53"/>
      <c r="Y238" s="58"/>
      <c r="Z238" s="58"/>
      <c r="AA238" s="60"/>
    </row>
    <row r="239" spans="11:27">
      <c r="K239" s="51"/>
      <c r="Q239" s="51"/>
      <c r="R239" s="51"/>
      <c r="S239" s="51"/>
      <c r="W239" s="53"/>
      <c r="X239" s="53"/>
      <c r="Y239" s="58"/>
      <c r="Z239" s="58"/>
      <c r="AA239" s="60"/>
    </row>
    <row r="240" spans="11:27">
      <c r="K240" s="51"/>
      <c r="Q240" s="51"/>
      <c r="R240" s="51"/>
      <c r="S240" s="51"/>
      <c r="W240" s="53"/>
      <c r="X240" s="53"/>
      <c r="Y240" s="58"/>
      <c r="Z240" s="58"/>
      <c r="AA240" s="60"/>
    </row>
    <row r="241" spans="11:27">
      <c r="K241" s="51"/>
      <c r="Q241" s="51"/>
      <c r="R241" s="51"/>
      <c r="S241" s="51"/>
      <c r="W241" s="53"/>
      <c r="X241" s="53"/>
      <c r="Y241" s="58"/>
      <c r="Z241" s="58"/>
      <c r="AA241" s="60"/>
    </row>
    <row r="242" spans="11:27">
      <c r="K242" s="51"/>
      <c r="Q242" s="51"/>
      <c r="R242" s="51"/>
      <c r="S242" s="51"/>
      <c r="W242" s="53"/>
      <c r="X242" s="53"/>
      <c r="Y242" s="58"/>
      <c r="Z242" s="58"/>
      <c r="AA242" s="60"/>
    </row>
    <row r="243" spans="11:27">
      <c r="K243" s="51"/>
      <c r="Q243" s="51"/>
      <c r="R243" s="51"/>
      <c r="S243" s="51"/>
      <c r="W243" s="53"/>
      <c r="X243" s="53"/>
      <c r="Y243" s="58"/>
      <c r="Z243" s="58"/>
      <c r="AA243" s="60"/>
    </row>
    <row r="244" spans="11:27">
      <c r="K244" s="51"/>
      <c r="Q244" s="51"/>
      <c r="R244" s="51"/>
      <c r="S244" s="51"/>
      <c r="W244" s="53"/>
      <c r="X244" s="53"/>
      <c r="Y244" s="58"/>
      <c r="Z244" s="58"/>
      <c r="AA244" s="60"/>
    </row>
    <row r="245" spans="11:27">
      <c r="K245" s="51"/>
      <c r="Q245" s="51"/>
      <c r="R245" s="51"/>
      <c r="S245" s="51"/>
      <c r="W245" s="53"/>
      <c r="X245" s="53"/>
      <c r="Y245" s="58"/>
      <c r="Z245" s="58"/>
      <c r="AA245" s="60"/>
    </row>
    <row r="246" spans="11:27">
      <c r="K246" s="51"/>
      <c r="Q246" s="51"/>
      <c r="R246" s="51"/>
      <c r="S246" s="51"/>
      <c r="W246" s="53"/>
      <c r="X246" s="53"/>
      <c r="Y246" s="58"/>
      <c r="Z246" s="58"/>
      <c r="AA246" s="60"/>
    </row>
    <row r="247" spans="11:27">
      <c r="K247" s="51"/>
      <c r="Q247" s="51"/>
      <c r="R247" s="51"/>
      <c r="S247" s="51"/>
      <c r="W247" s="53"/>
      <c r="X247" s="53"/>
      <c r="Y247" s="58"/>
      <c r="Z247" s="58"/>
      <c r="AA247" s="60"/>
    </row>
    <row r="248" spans="11:27">
      <c r="K248" s="51"/>
      <c r="Q248" s="51"/>
      <c r="R248" s="51"/>
      <c r="S248" s="51"/>
      <c r="W248" s="53"/>
      <c r="X248" s="53"/>
      <c r="Y248" s="58"/>
      <c r="Z248" s="58"/>
      <c r="AA248" s="60"/>
    </row>
    <row r="249" spans="11:27">
      <c r="K249" s="51"/>
      <c r="Q249" s="51"/>
      <c r="R249" s="51"/>
      <c r="S249" s="51"/>
      <c r="W249" s="53"/>
      <c r="X249" s="53"/>
      <c r="Y249" s="58"/>
      <c r="Z249" s="58"/>
      <c r="AA249" s="60"/>
    </row>
    <row r="250" spans="11:27">
      <c r="K250" s="51"/>
      <c r="Q250" s="51"/>
      <c r="R250" s="51"/>
      <c r="S250" s="51"/>
      <c r="W250" s="53"/>
      <c r="X250" s="53"/>
      <c r="Y250" s="58"/>
      <c r="Z250" s="58"/>
      <c r="AA250" s="60"/>
    </row>
    <row r="251" spans="11:27">
      <c r="K251" s="51"/>
      <c r="Q251" s="51"/>
      <c r="R251" s="51"/>
      <c r="S251" s="51"/>
      <c r="W251" s="53"/>
      <c r="X251" s="53"/>
      <c r="Y251" s="58"/>
      <c r="Z251" s="58"/>
      <c r="AA251" s="60"/>
    </row>
    <row r="252" spans="11:27">
      <c r="K252" s="51"/>
      <c r="Q252" s="51"/>
      <c r="R252" s="51"/>
      <c r="S252" s="51"/>
      <c r="W252" s="53"/>
      <c r="X252" s="53"/>
      <c r="Y252" s="58"/>
      <c r="Z252" s="58"/>
      <c r="AA252" s="60"/>
    </row>
    <row r="253" spans="11:27">
      <c r="K253" s="51"/>
      <c r="Q253" s="51"/>
      <c r="R253" s="51"/>
      <c r="S253" s="51"/>
      <c r="W253" s="53"/>
      <c r="X253" s="53"/>
      <c r="Y253" s="58"/>
      <c r="Z253" s="58"/>
      <c r="AA253" s="60"/>
    </row>
    <row r="254" spans="11:27">
      <c r="K254" s="51"/>
      <c r="Q254" s="51"/>
      <c r="R254" s="51"/>
      <c r="S254" s="51"/>
      <c r="W254" s="53"/>
      <c r="X254" s="53"/>
      <c r="Y254" s="58"/>
      <c r="Z254" s="58"/>
      <c r="AA254" s="60"/>
    </row>
    <row r="255" spans="11:27">
      <c r="K255" s="51"/>
      <c r="Q255" s="51"/>
      <c r="R255" s="51"/>
      <c r="S255" s="51"/>
      <c r="W255" s="53"/>
      <c r="X255" s="53"/>
      <c r="Y255" s="58"/>
      <c r="Z255" s="58"/>
      <c r="AA255" s="60"/>
    </row>
    <row r="256" spans="11:27">
      <c r="K256" s="51"/>
      <c r="Q256" s="51"/>
      <c r="R256" s="51"/>
      <c r="S256" s="51"/>
      <c r="W256" s="53"/>
      <c r="X256" s="53"/>
      <c r="Y256" s="58"/>
      <c r="Z256" s="58"/>
      <c r="AA256" s="60"/>
    </row>
    <row r="257" spans="11:27">
      <c r="K257" s="51"/>
      <c r="Q257" s="51"/>
      <c r="R257" s="51"/>
      <c r="S257" s="51"/>
      <c r="W257" s="53"/>
      <c r="X257" s="53"/>
      <c r="Y257" s="58"/>
      <c r="Z257" s="58"/>
      <c r="AA257" s="60"/>
    </row>
    <row r="258" spans="11:27">
      <c r="K258" s="51"/>
      <c r="Q258" s="51"/>
      <c r="R258" s="51"/>
      <c r="S258" s="51"/>
      <c r="W258" s="53"/>
      <c r="X258" s="53"/>
      <c r="Y258" s="58"/>
      <c r="Z258" s="58"/>
      <c r="AA258" s="60"/>
    </row>
    <row r="259" spans="11:27">
      <c r="K259" s="51"/>
      <c r="Q259" s="51"/>
      <c r="R259" s="51"/>
      <c r="S259" s="51"/>
      <c r="W259" s="53"/>
      <c r="X259" s="53"/>
      <c r="Y259" s="58"/>
      <c r="Z259" s="58"/>
      <c r="AA259" s="60"/>
    </row>
    <row r="260" spans="11:27">
      <c r="K260" s="51"/>
      <c r="Q260" s="51"/>
      <c r="R260" s="51"/>
      <c r="S260" s="51"/>
      <c r="W260" s="53"/>
      <c r="X260" s="53"/>
      <c r="Y260" s="58"/>
      <c r="Z260" s="58"/>
      <c r="AA260" s="60"/>
    </row>
    <row r="261" spans="11:27">
      <c r="K261" s="51"/>
      <c r="Q261" s="51"/>
      <c r="R261" s="51"/>
      <c r="S261" s="51"/>
      <c r="W261" s="53"/>
      <c r="X261" s="53"/>
      <c r="Y261" s="58"/>
      <c r="Z261" s="58"/>
      <c r="AA261" s="60"/>
    </row>
    <row r="262" spans="11:27">
      <c r="K262" s="51"/>
      <c r="Q262" s="51"/>
      <c r="R262" s="51"/>
      <c r="S262" s="51"/>
      <c r="W262" s="53"/>
      <c r="X262" s="53"/>
      <c r="Y262" s="58"/>
      <c r="Z262" s="58"/>
      <c r="AA262" s="60"/>
    </row>
    <row r="263" spans="11:27">
      <c r="K263" s="51"/>
      <c r="Q263" s="51"/>
      <c r="R263" s="51"/>
      <c r="S263" s="51"/>
      <c r="W263" s="53"/>
      <c r="X263" s="53"/>
      <c r="Y263" s="58"/>
      <c r="Z263" s="58"/>
      <c r="AA263" s="60"/>
    </row>
    <row r="264" spans="11:27">
      <c r="K264" s="51"/>
      <c r="Q264" s="51"/>
      <c r="R264" s="51"/>
      <c r="S264" s="51"/>
      <c r="W264" s="53"/>
      <c r="X264" s="53"/>
      <c r="Y264" s="58"/>
      <c r="Z264" s="58"/>
      <c r="AA264" s="60"/>
    </row>
    <row r="265" spans="11:27">
      <c r="K265" s="51"/>
      <c r="Q265" s="51"/>
      <c r="R265" s="51"/>
      <c r="S265" s="51"/>
      <c r="W265" s="53"/>
      <c r="X265" s="53"/>
      <c r="Y265" s="58"/>
      <c r="Z265" s="58"/>
      <c r="AA265" s="60"/>
    </row>
    <row r="266" spans="11:27">
      <c r="K266" s="51"/>
      <c r="Q266" s="51"/>
      <c r="R266" s="51"/>
      <c r="S266" s="51"/>
      <c r="W266" s="53"/>
      <c r="X266" s="53"/>
      <c r="Y266" s="58"/>
      <c r="Z266" s="58"/>
      <c r="AA266" s="60"/>
    </row>
    <row r="267" spans="11:27">
      <c r="K267" s="51"/>
      <c r="Q267" s="51"/>
      <c r="R267" s="51"/>
      <c r="S267" s="51"/>
      <c r="W267" s="53"/>
      <c r="X267" s="53"/>
      <c r="Y267" s="58"/>
      <c r="Z267" s="58"/>
      <c r="AA267" s="60"/>
    </row>
    <row r="268" spans="11:27">
      <c r="K268" s="51"/>
      <c r="Q268" s="51"/>
      <c r="R268" s="51"/>
      <c r="S268" s="51"/>
      <c r="W268" s="53"/>
      <c r="X268" s="53"/>
      <c r="Y268" s="58"/>
      <c r="Z268" s="58"/>
      <c r="AA268" s="60"/>
    </row>
    <row r="269" spans="11:27">
      <c r="K269" s="51"/>
      <c r="Q269" s="51"/>
      <c r="R269" s="51"/>
      <c r="S269" s="51"/>
      <c r="W269" s="53"/>
      <c r="X269" s="53"/>
      <c r="Y269" s="58"/>
      <c r="Z269" s="58"/>
      <c r="AA269" s="60"/>
    </row>
    <row r="270" spans="11:27">
      <c r="K270" s="51"/>
      <c r="Q270" s="51"/>
      <c r="R270" s="51"/>
      <c r="S270" s="51"/>
      <c r="W270" s="53"/>
      <c r="X270" s="53"/>
      <c r="Y270" s="58"/>
      <c r="Z270" s="58"/>
      <c r="AA270" s="60"/>
    </row>
    <row r="271" spans="11:27">
      <c r="K271" s="51"/>
      <c r="Q271" s="51"/>
      <c r="R271" s="51"/>
      <c r="S271" s="51"/>
      <c r="W271" s="53"/>
      <c r="X271" s="53"/>
      <c r="Y271" s="58"/>
      <c r="Z271" s="58"/>
      <c r="AA271" s="60"/>
    </row>
    <row r="272" spans="11:27">
      <c r="K272" s="51"/>
      <c r="Q272" s="51"/>
      <c r="R272" s="51"/>
      <c r="S272" s="51"/>
      <c r="W272" s="53"/>
      <c r="X272" s="53"/>
      <c r="Y272" s="58"/>
      <c r="Z272" s="58"/>
      <c r="AA272" s="60"/>
    </row>
    <row r="273" spans="11:27">
      <c r="K273" s="51"/>
      <c r="Q273" s="51"/>
      <c r="R273" s="51"/>
      <c r="S273" s="51"/>
      <c r="W273" s="53"/>
      <c r="X273" s="53"/>
      <c r="Y273" s="58"/>
      <c r="Z273" s="58"/>
      <c r="AA273" s="60"/>
    </row>
    <row r="274" spans="11:27">
      <c r="K274" s="51"/>
      <c r="Q274" s="51"/>
      <c r="R274" s="51"/>
      <c r="S274" s="51"/>
      <c r="W274" s="53"/>
      <c r="X274" s="53"/>
      <c r="Y274" s="58"/>
      <c r="Z274" s="58"/>
      <c r="AA274" s="60"/>
    </row>
    <row r="275" spans="11:27">
      <c r="K275" s="51"/>
      <c r="Q275" s="51"/>
      <c r="R275" s="51"/>
      <c r="S275" s="51"/>
      <c r="W275" s="53"/>
      <c r="X275" s="53"/>
      <c r="Y275" s="58"/>
      <c r="Z275" s="58"/>
      <c r="AA275" s="60"/>
    </row>
    <row r="276" spans="11:27">
      <c r="K276" s="51"/>
      <c r="Q276" s="51"/>
      <c r="R276" s="51"/>
      <c r="S276" s="51"/>
      <c r="W276" s="53"/>
      <c r="X276" s="53"/>
      <c r="Y276" s="58"/>
      <c r="Z276" s="58"/>
      <c r="AA276" s="60"/>
    </row>
    <row r="277" spans="11:27">
      <c r="K277" s="51"/>
      <c r="Q277" s="51"/>
      <c r="R277" s="51"/>
      <c r="S277" s="51"/>
      <c r="W277" s="53"/>
      <c r="X277" s="53"/>
      <c r="Y277" s="58"/>
      <c r="Z277" s="58"/>
      <c r="AA277" s="60"/>
    </row>
    <row r="278" spans="11:27">
      <c r="K278" s="51"/>
      <c r="Q278" s="51"/>
      <c r="R278" s="51"/>
      <c r="S278" s="51"/>
      <c r="W278" s="53"/>
      <c r="X278" s="53"/>
      <c r="Y278" s="58"/>
      <c r="Z278" s="58"/>
      <c r="AA278" s="60"/>
    </row>
    <row r="279" spans="11:27">
      <c r="K279" s="51"/>
      <c r="Q279" s="51"/>
      <c r="R279" s="51"/>
      <c r="S279" s="51"/>
      <c r="W279" s="53"/>
      <c r="X279" s="53"/>
      <c r="Y279" s="58"/>
      <c r="Z279" s="58"/>
      <c r="AA279" s="60"/>
    </row>
    <row r="280" spans="11:27">
      <c r="K280" s="51"/>
      <c r="Q280" s="51"/>
      <c r="R280" s="51"/>
      <c r="S280" s="51"/>
      <c r="W280" s="53"/>
      <c r="X280" s="53"/>
      <c r="Y280" s="58"/>
      <c r="Z280" s="58"/>
      <c r="AA280" s="60"/>
    </row>
    <row r="281" spans="11:27">
      <c r="K281" s="51"/>
      <c r="Q281" s="51"/>
      <c r="R281" s="51"/>
      <c r="S281" s="51"/>
      <c r="W281" s="53"/>
      <c r="X281" s="53"/>
      <c r="Y281" s="58"/>
      <c r="Z281" s="58"/>
      <c r="AA281" s="60"/>
    </row>
    <row r="282" spans="11:27">
      <c r="K282" s="51"/>
      <c r="Q282" s="51"/>
      <c r="R282" s="51"/>
      <c r="S282" s="51"/>
      <c r="W282" s="53"/>
      <c r="X282" s="53"/>
      <c r="Y282" s="58"/>
      <c r="Z282" s="58"/>
      <c r="AA282" s="60"/>
    </row>
    <row r="283" spans="11:27">
      <c r="K283" s="51"/>
      <c r="Q283" s="51"/>
      <c r="R283" s="51"/>
      <c r="S283" s="51"/>
      <c r="W283" s="53"/>
      <c r="X283" s="53"/>
      <c r="Y283" s="58"/>
      <c r="Z283" s="58"/>
      <c r="AA283" s="60"/>
    </row>
    <row r="284" spans="11:27">
      <c r="K284" s="51"/>
      <c r="Q284" s="51"/>
      <c r="R284" s="51"/>
      <c r="S284" s="51"/>
      <c r="W284" s="53"/>
      <c r="X284" s="53"/>
      <c r="Y284" s="58"/>
      <c r="Z284" s="58"/>
      <c r="AA284" s="60"/>
    </row>
    <row r="285" spans="11:27">
      <c r="K285" s="51"/>
      <c r="Q285" s="51"/>
      <c r="R285" s="51"/>
      <c r="S285" s="51"/>
      <c r="W285" s="53"/>
      <c r="X285" s="53"/>
      <c r="Y285" s="58"/>
      <c r="Z285" s="58"/>
      <c r="AA285" s="60"/>
    </row>
    <row r="286" spans="11:27">
      <c r="K286" s="51"/>
      <c r="Q286" s="51"/>
      <c r="R286" s="51"/>
      <c r="S286" s="51"/>
      <c r="W286" s="53"/>
      <c r="X286" s="53"/>
      <c r="Y286" s="58"/>
      <c r="Z286" s="58"/>
      <c r="AA286" s="60"/>
    </row>
    <row r="287" spans="11:27">
      <c r="K287" s="51"/>
      <c r="Q287" s="51"/>
      <c r="R287" s="51"/>
      <c r="S287" s="51"/>
      <c r="W287" s="53"/>
      <c r="X287" s="53"/>
      <c r="Y287" s="58"/>
      <c r="Z287" s="58"/>
      <c r="AA287" s="60"/>
    </row>
    <row r="288" spans="11:27">
      <c r="K288" s="51"/>
      <c r="Q288" s="51"/>
      <c r="R288" s="51"/>
      <c r="S288" s="51"/>
      <c r="W288" s="53"/>
      <c r="X288" s="53"/>
      <c r="Y288" s="58"/>
      <c r="Z288" s="58"/>
      <c r="AA288" s="60"/>
    </row>
    <row r="289" spans="11:27">
      <c r="K289" s="51"/>
      <c r="Q289" s="51"/>
      <c r="R289" s="51"/>
      <c r="S289" s="51"/>
      <c r="W289" s="53"/>
      <c r="X289" s="53"/>
      <c r="Y289" s="58"/>
      <c r="Z289" s="58"/>
      <c r="AA289" s="60"/>
    </row>
    <row r="290" spans="11:27">
      <c r="K290" s="51"/>
      <c r="Q290" s="51"/>
      <c r="R290" s="51"/>
      <c r="S290" s="51"/>
      <c r="W290" s="53"/>
      <c r="X290" s="53"/>
      <c r="Y290" s="58"/>
      <c r="Z290" s="58"/>
      <c r="AA290" s="60"/>
    </row>
    <row r="291" spans="11:27">
      <c r="K291" s="51"/>
      <c r="Q291" s="51"/>
      <c r="R291" s="51"/>
      <c r="S291" s="51"/>
      <c r="W291" s="53"/>
      <c r="X291" s="53"/>
      <c r="Y291" s="58"/>
      <c r="Z291" s="58"/>
      <c r="AA291" s="60"/>
    </row>
    <row r="292" spans="11:27">
      <c r="K292" s="51"/>
      <c r="Q292" s="51"/>
      <c r="R292" s="51"/>
      <c r="S292" s="51"/>
      <c r="W292" s="53"/>
      <c r="X292" s="53"/>
      <c r="Y292" s="58"/>
      <c r="Z292" s="58"/>
      <c r="AA292" s="60"/>
    </row>
    <row r="293" spans="11:27">
      <c r="K293" s="51"/>
      <c r="Q293" s="51"/>
      <c r="R293" s="51"/>
      <c r="S293" s="51"/>
      <c r="W293" s="53"/>
      <c r="X293" s="53"/>
      <c r="Y293" s="58"/>
      <c r="Z293" s="58"/>
      <c r="AA293" s="60"/>
    </row>
    <row r="294" spans="11:27">
      <c r="K294" s="51"/>
      <c r="Q294" s="51"/>
      <c r="R294" s="51"/>
      <c r="S294" s="51"/>
      <c r="W294" s="53"/>
      <c r="X294" s="53"/>
      <c r="Y294" s="58"/>
      <c r="Z294" s="58"/>
      <c r="AA294" s="60"/>
    </row>
    <row r="295" spans="11:27">
      <c r="K295" s="51"/>
      <c r="Q295" s="51"/>
      <c r="R295" s="51"/>
      <c r="S295" s="51"/>
      <c r="W295" s="53"/>
      <c r="X295" s="53"/>
      <c r="Y295" s="58"/>
      <c r="Z295" s="58"/>
      <c r="AA295" s="60"/>
    </row>
    <row r="296" spans="11:27">
      <c r="K296" s="51"/>
      <c r="Q296" s="51"/>
      <c r="R296" s="51"/>
      <c r="S296" s="51"/>
      <c r="W296" s="53"/>
      <c r="X296" s="53"/>
      <c r="Y296" s="58"/>
      <c r="Z296" s="58"/>
      <c r="AA296" s="60"/>
    </row>
    <row r="297" spans="11:27">
      <c r="K297" s="51"/>
      <c r="Q297" s="51"/>
      <c r="R297" s="51"/>
      <c r="S297" s="51"/>
      <c r="W297" s="53"/>
      <c r="X297" s="53"/>
      <c r="Y297" s="58"/>
      <c r="Z297" s="58"/>
      <c r="AA297" s="60"/>
    </row>
    <row r="298" spans="11:27">
      <c r="K298" s="51"/>
      <c r="Q298" s="51"/>
      <c r="R298" s="51"/>
      <c r="S298" s="51"/>
      <c r="W298" s="53"/>
      <c r="X298" s="53"/>
      <c r="Y298" s="58"/>
      <c r="Z298" s="58"/>
      <c r="AA298" s="60"/>
    </row>
    <row r="299" spans="11:27">
      <c r="K299" s="51"/>
      <c r="Q299" s="51"/>
      <c r="R299" s="51"/>
      <c r="S299" s="51"/>
      <c r="W299" s="53"/>
      <c r="X299" s="53"/>
      <c r="Y299" s="58"/>
      <c r="Z299" s="58"/>
      <c r="AA299" s="60"/>
    </row>
    <row r="300" spans="11:27">
      <c r="K300" s="51"/>
      <c r="Q300" s="51"/>
      <c r="R300" s="51"/>
      <c r="S300" s="51"/>
      <c r="W300" s="53"/>
      <c r="X300" s="53"/>
      <c r="Y300" s="58"/>
      <c r="Z300" s="58"/>
      <c r="AA300" s="60"/>
    </row>
    <row r="301" spans="11:27">
      <c r="K301" s="51"/>
      <c r="Q301" s="51"/>
      <c r="R301" s="51"/>
      <c r="S301" s="51"/>
      <c r="W301" s="53"/>
      <c r="X301" s="53"/>
      <c r="Y301" s="58"/>
      <c r="Z301" s="58"/>
      <c r="AA301" s="60"/>
    </row>
    <row r="302" spans="11:27">
      <c r="K302" s="51"/>
      <c r="Q302" s="51"/>
      <c r="R302" s="51"/>
      <c r="S302" s="51"/>
      <c r="W302" s="53"/>
      <c r="X302" s="53"/>
      <c r="Y302" s="58"/>
      <c r="Z302" s="58"/>
      <c r="AA302" s="60"/>
    </row>
    <row r="303" spans="11:27">
      <c r="K303" s="51"/>
      <c r="Q303" s="51"/>
      <c r="R303" s="51"/>
      <c r="S303" s="51"/>
      <c r="W303" s="53"/>
      <c r="X303" s="53"/>
      <c r="Y303" s="58"/>
      <c r="Z303" s="58"/>
      <c r="AA303" s="60"/>
    </row>
    <row r="304" spans="11:27">
      <c r="K304" s="51"/>
      <c r="Q304" s="51"/>
      <c r="R304" s="51"/>
      <c r="S304" s="51"/>
      <c r="W304" s="53"/>
      <c r="X304" s="53"/>
      <c r="Y304" s="58"/>
      <c r="Z304" s="58"/>
      <c r="AA304" s="60"/>
    </row>
    <row r="305" spans="11:27">
      <c r="K305" s="51"/>
      <c r="Q305" s="51"/>
      <c r="R305" s="51"/>
      <c r="S305" s="51"/>
      <c r="W305" s="53"/>
      <c r="X305" s="53"/>
      <c r="Y305" s="58"/>
      <c r="Z305" s="58"/>
      <c r="AA305" s="60"/>
    </row>
    <row r="306" spans="11:27">
      <c r="K306" s="51"/>
      <c r="Q306" s="51"/>
      <c r="R306" s="51"/>
      <c r="S306" s="51"/>
      <c r="W306" s="53"/>
      <c r="X306" s="53"/>
      <c r="Y306" s="58"/>
      <c r="Z306" s="58"/>
      <c r="AA306" s="60"/>
    </row>
    <row r="307" spans="11:27">
      <c r="K307" s="51"/>
      <c r="Q307" s="51"/>
      <c r="R307" s="51"/>
      <c r="S307" s="51"/>
      <c r="W307" s="53"/>
      <c r="X307" s="53"/>
      <c r="Y307" s="58"/>
      <c r="Z307" s="58"/>
      <c r="AA307" s="60"/>
    </row>
    <row r="308" spans="11:27">
      <c r="K308" s="51"/>
      <c r="Q308" s="51"/>
      <c r="R308" s="51"/>
      <c r="S308" s="51"/>
      <c r="W308" s="53"/>
      <c r="X308" s="53"/>
      <c r="Y308" s="58"/>
      <c r="Z308" s="58"/>
      <c r="AA308" s="60"/>
    </row>
    <row r="309" spans="11:27">
      <c r="K309" s="51"/>
      <c r="Q309" s="51"/>
      <c r="R309" s="51"/>
      <c r="S309" s="51"/>
      <c r="W309" s="53"/>
      <c r="X309" s="53"/>
      <c r="Y309" s="58"/>
      <c r="Z309" s="58"/>
      <c r="AA309" s="60"/>
    </row>
    <row r="310" spans="11:27">
      <c r="K310" s="51"/>
      <c r="Q310" s="51"/>
      <c r="R310" s="51"/>
      <c r="S310" s="51"/>
      <c r="W310" s="53"/>
      <c r="X310" s="53"/>
      <c r="Y310" s="58"/>
      <c r="Z310" s="58"/>
      <c r="AA310" s="60"/>
    </row>
    <row r="311" spans="11:27">
      <c r="K311" s="51"/>
      <c r="Q311" s="51"/>
      <c r="R311" s="51"/>
      <c r="S311" s="51"/>
      <c r="W311" s="53"/>
      <c r="X311" s="53"/>
      <c r="Y311" s="58"/>
      <c r="Z311" s="58"/>
      <c r="AA311" s="60"/>
    </row>
    <row r="312" spans="11:27">
      <c r="K312" s="51"/>
      <c r="Q312" s="51"/>
      <c r="R312" s="51"/>
      <c r="S312" s="51"/>
      <c r="W312" s="53"/>
      <c r="X312" s="53"/>
      <c r="Y312" s="58"/>
      <c r="Z312" s="58"/>
      <c r="AA312" s="60"/>
    </row>
    <row r="313" spans="11:27">
      <c r="K313" s="51"/>
      <c r="Q313" s="51"/>
      <c r="R313" s="51"/>
      <c r="S313" s="51"/>
      <c r="W313" s="53"/>
      <c r="X313" s="53"/>
      <c r="Y313" s="58"/>
      <c r="Z313" s="58"/>
      <c r="AA313" s="60"/>
    </row>
    <row r="314" spans="11:27">
      <c r="K314" s="51"/>
      <c r="Q314" s="51"/>
      <c r="R314" s="51"/>
      <c r="S314" s="51"/>
      <c r="W314" s="53"/>
      <c r="X314" s="53"/>
      <c r="Y314" s="58"/>
      <c r="Z314" s="58"/>
      <c r="AA314" s="60"/>
    </row>
    <row r="315" spans="11:27">
      <c r="K315" s="51"/>
      <c r="Q315" s="51"/>
      <c r="R315" s="51"/>
      <c r="S315" s="51"/>
      <c r="W315" s="53"/>
      <c r="X315" s="53"/>
      <c r="Y315" s="58"/>
      <c r="Z315" s="58"/>
      <c r="AA315" s="60"/>
    </row>
    <row r="316" spans="11:27">
      <c r="K316" s="51"/>
      <c r="Q316" s="51"/>
      <c r="R316" s="51"/>
      <c r="S316" s="51"/>
      <c r="W316" s="53"/>
      <c r="X316" s="53"/>
      <c r="Y316" s="58"/>
      <c r="Z316" s="58"/>
      <c r="AA316" s="60"/>
    </row>
    <row r="317" spans="11:27">
      <c r="K317" s="51"/>
      <c r="Q317" s="51"/>
      <c r="R317" s="51"/>
      <c r="S317" s="51"/>
      <c r="W317" s="53"/>
      <c r="X317" s="53"/>
      <c r="Y317" s="58"/>
      <c r="Z317" s="58"/>
      <c r="AA317" s="60"/>
    </row>
    <row r="318" spans="11:27">
      <c r="K318" s="51"/>
      <c r="Q318" s="51"/>
      <c r="R318" s="51"/>
      <c r="S318" s="51"/>
      <c r="W318" s="53"/>
      <c r="X318" s="53"/>
      <c r="Y318" s="58"/>
      <c r="Z318" s="58"/>
      <c r="AA318" s="60"/>
    </row>
    <row r="319" spans="11:27">
      <c r="K319" s="51"/>
      <c r="Q319" s="51"/>
      <c r="R319" s="51"/>
      <c r="S319" s="51"/>
      <c r="W319" s="53"/>
      <c r="X319" s="53"/>
      <c r="Y319" s="58"/>
      <c r="Z319" s="58"/>
      <c r="AA319" s="60"/>
    </row>
    <row r="320" spans="11:27">
      <c r="K320" s="51"/>
      <c r="Q320" s="51"/>
      <c r="R320" s="51"/>
      <c r="S320" s="51"/>
      <c r="W320" s="53"/>
      <c r="X320" s="53"/>
      <c r="Y320" s="58"/>
      <c r="Z320" s="58"/>
      <c r="AA320" s="60"/>
    </row>
    <row r="321" spans="11:27">
      <c r="K321" s="51"/>
      <c r="Q321" s="51"/>
      <c r="R321" s="51"/>
      <c r="S321" s="51"/>
      <c r="W321" s="53"/>
      <c r="X321" s="53"/>
      <c r="Y321" s="58"/>
      <c r="Z321" s="58"/>
      <c r="AA321" s="60"/>
    </row>
    <row r="322" spans="11:27">
      <c r="K322" s="51"/>
      <c r="Q322" s="51"/>
      <c r="R322" s="51"/>
      <c r="S322" s="51"/>
      <c r="W322" s="53"/>
      <c r="X322" s="53"/>
      <c r="Y322" s="58"/>
      <c r="Z322" s="58"/>
      <c r="AA322" s="60"/>
    </row>
    <row r="323" spans="11:27">
      <c r="K323" s="51"/>
      <c r="Q323" s="51"/>
      <c r="R323" s="51"/>
      <c r="S323" s="51"/>
      <c r="W323" s="53"/>
      <c r="X323" s="53"/>
      <c r="Y323" s="58"/>
      <c r="Z323" s="58"/>
      <c r="AA323" s="60"/>
    </row>
    <row r="324" spans="11:27">
      <c r="K324" s="51"/>
      <c r="Q324" s="51"/>
      <c r="R324" s="51"/>
      <c r="S324" s="51"/>
      <c r="W324" s="53"/>
      <c r="X324" s="53"/>
      <c r="Y324" s="58"/>
      <c r="Z324" s="58"/>
      <c r="AA324" s="60"/>
    </row>
    <row r="325" spans="11:27">
      <c r="K325" s="51"/>
      <c r="Q325" s="51"/>
      <c r="R325" s="51"/>
      <c r="S325" s="51"/>
      <c r="W325" s="53"/>
      <c r="X325" s="53"/>
      <c r="Y325" s="58"/>
      <c r="Z325" s="58"/>
      <c r="AA325" s="60"/>
    </row>
    <row r="326" spans="11:27">
      <c r="K326" s="51"/>
      <c r="Q326" s="51"/>
      <c r="R326" s="51"/>
      <c r="S326" s="51"/>
      <c r="W326" s="53"/>
      <c r="X326" s="53"/>
      <c r="Y326" s="58"/>
      <c r="Z326" s="58"/>
      <c r="AA326" s="60"/>
    </row>
    <row r="327" spans="11:27">
      <c r="K327" s="51"/>
      <c r="Q327" s="51"/>
      <c r="R327" s="51"/>
      <c r="S327" s="51"/>
      <c r="W327" s="53"/>
      <c r="X327" s="53"/>
      <c r="Y327" s="58"/>
      <c r="Z327" s="58"/>
      <c r="AA327" s="60"/>
    </row>
    <row r="328" spans="11:27">
      <c r="K328" s="51"/>
      <c r="Q328" s="51"/>
      <c r="R328" s="51"/>
      <c r="S328" s="51"/>
      <c r="W328" s="53"/>
      <c r="X328" s="53"/>
      <c r="Y328" s="58"/>
      <c r="Z328" s="58"/>
      <c r="AA328" s="60"/>
    </row>
    <row r="329" spans="11:27">
      <c r="K329" s="51"/>
      <c r="Q329" s="51"/>
      <c r="R329" s="51"/>
      <c r="S329" s="51"/>
      <c r="W329" s="53"/>
      <c r="X329" s="53"/>
      <c r="Y329" s="58"/>
      <c r="Z329" s="58"/>
      <c r="AA329" s="60"/>
    </row>
    <row r="330" spans="11:27">
      <c r="K330" s="51"/>
      <c r="Q330" s="51"/>
      <c r="R330" s="51"/>
      <c r="S330" s="51"/>
      <c r="W330" s="53"/>
      <c r="X330" s="53"/>
      <c r="Y330" s="58"/>
      <c r="Z330" s="58"/>
      <c r="AA330" s="60"/>
    </row>
    <row r="331" spans="11:27">
      <c r="K331" s="51"/>
      <c r="Q331" s="51"/>
      <c r="R331" s="51"/>
      <c r="S331" s="51"/>
      <c r="W331" s="53"/>
      <c r="X331" s="53"/>
      <c r="Y331" s="58"/>
      <c r="Z331" s="58"/>
      <c r="AA331" s="60"/>
    </row>
    <row r="332" spans="11:27">
      <c r="K332" s="51"/>
      <c r="Q332" s="51"/>
      <c r="R332" s="51"/>
      <c r="S332" s="51"/>
      <c r="W332" s="53"/>
      <c r="X332" s="53"/>
      <c r="Y332" s="58"/>
      <c r="Z332" s="58"/>
      <c r="AA332" s="60"/>
    </row>
    <row r="333" spans="11:27">
      <c r="K333" s="51"/>
      <c r="Q333" s="51"/>
      <c r="R333" s="51"/>
      <c r="S333" s="51"/>
      <c r="W333" s="53"/>
      <c r="X333" s="53"/>
      <c r="Y333" s="58"/>
      <c r="Z333" s="58"/>
      <c r="AA333" s="60"/>
    </row>
    <row r="334" spans="11:27">
      <c r="K334" s="51"/>
      <c r="Q334" s="51"/>
      <c r="R334" s="51"/>
      <c r="S334" s="51"/>
      <c r="W334" s="53"/>
      <c r="X334" s="53"/>
      <c r="Y334" s="58"/>
      <c r="Z334" s="58"/>
      <c r="AA334" s="60"/>
    </row>
    <row r="335" spans="11:27">
      <c r="K335" s="51"/>
      <c r="Q335" s="51"/>
      <c r="R335" s="51"/>
      <c r="S335" s="51"/>
      <c r="W335" s="53"/>
      <c r="X335" s="53"/>
      <c r="Y335" s="58"/>
      <c r="Z335" s="58"/>
      <c r="AA335" s="60"/>
    </row>
    <row r="336" spans="11:27">
      <c r="K336" s="51"/>
      <c r="Q336" s="51"/>
      <c r="R336" s="51"/>
      <c r="S336" s="51"/>
      <c r="W336" s="53"/>
      <c r="X336" s="53"/>
      <c r="Y336" s="58"/>
      <c r="Z336" s="58"/>
      <c r="AA336" s="60"/>
    </row>
    <row r="337" spans="11:27">
      <c r="K337" s="51"/>
      <c r="Q337" s="51"/>
      <c r="R337" s="51"/>
      <c r="S337" s="51"/>
      <c r="W337" s="53"/>
      <c r="X337" s="53"/>
      <c r="Y337" s="58"/>
      <c r="Z337" s="58"/>
      <c r="AA337" s="60"/>
    </row>
    <row r="338" spans="11:27">
      <c r="K338" s="51"/>
      <c r="Q338" s="51"/>
      <c r="R338" s="51"/>
      <c r="S338" s="51"/>
      <c r="W338" s="53"/>
      <c r="X338" s="53"/>
      <c r="Y338" s="58"/>
      <c r="Z338" s="58"/>
      <c r="AA338" s="60"/>
    </row>
    <row r="339" spans="11:27">
      <c r="K339" s="51"/>
      <c r="Q339" s="51"/>
      <c r="R339" s="51"/>
      <c r="S339" s="51"/>
      <c r="W339" s="53"/>
      <c r="X339" s="53"/>
      <c r="Y339" s="58"/>
      <c r="Z339" s="58"/>
      <c r="AA339" s="60"/>
    </row>
    <row r="340" spans="11:27">
      <c r="K340" s="51"/>
      <c r="Q340" s="51"/>
      <c r="R340" s="51"/>
      <c r="S340" s="51"/>
      <c r="W340" s="53"/>
      <c r="X340" s="53"/>
      <c r="Y340" s="58"/>
      <c r="Z340" s="58"/>
      <c r="AA340" s="60"/>
    </row>
    <row r="341" spans="11:27">
      <c r="K341" s="51"/>
      <c r="Q341" s="51"/>
      <c r="R341" s="51"/>
      <c r="S341" s="51"/>
      <c r="W341" s="53"/>
      <c r="X341" s="53"/>
      <c r="Y341" s="58"/>
      <c r="Z341" s="58"/>
      <c r="AA341" s="60"/>
    </row>
    <row r="342" spans="11:27">
      <c r="K342" s="51"/>
      <c r="Q342" s="51"/>
      <c r="R342" s="51"/>
      <c r="S342" s="51"/>
      <c r="W342" s="53"/>
      <c r="X342" s="53"/>
      <c r="Y342" s="58"/>
      <c r="Z342" s="58"/>
      <c r="AA342" s="60"/>
    </row>
    <row r="343" spans="11:27">
      <c r="K343" s="51"/>
      <c r="Q343" s="51"/>
      <c r="R343" s="51"/>
      <c r="S343" s="51"/>
      <c r="W343" s="53"/>
      <c r="X343" s="53"/>
      <c r="Y343" s="58"/>
      <c r="Z343" s="58"/>
      <c r="AA343" s="60"/>
    </row>
    <row r="344" spans="11:27">
      <c r="K344" s="51"/>
      <c r="Q344" s="51"/>
      <c r="R344" s="51"/>
      <c r="S344" s="51"/>
      <c r="W344" s="53"/>
      <c r="X344" s="53"/>
      <c r="Y344" s="58"/>
      <c r="Z344" s="58"/>
      <c r="AA344" s="60"/>
    </row>
    <row r="345" spans="11:27">
      <c r="K345" s="51"/>
      <c r="Q345" s="51"/>
      <c r="R345" s="51"/>
      <c r="S345" s="51"/>
      <c r="W345" s="53"/>
      <c r="X345" s="53"/>
      <c r="Y345" s="58"/>
      <c r="Z345" s="58"/>
      <c r="AA345" s="60"/>
    </row>
    <row r="346" spans="11:27">
      <c r="K346" s="51"/>
      <c r="Q346" s="51"/>
      <c r="R346" s="51"/>
      <c r="S346" s="51"/>
      <c r="W346" s="53"/>
      <c r="X346" s="53"/>
      <c r="Y346" s="58"/>
      <c r="Z346" s="58"/>
      <c r="AA346" s="60"/>
    </row>
    <row r="347" spans="11:27">
      <c r="K347" s="51"/>
      <c r="Q347" s="51"/>
      <c r="R347" s="51"/>
      <c r="S347" s="51"/>
      <c r="W347" s="53"/>
      <c r="X347" s="53"/>
      <c r="Y347" s="58"/>
      <c r="Z347" s="58"/>
      <c r="AA347" s="60"/>
    </row>
    <row r="348" spans="11:27">
      <c r="K348" s="51"/>
      <c r="Q348" s="51"/>
      <c r="R348" s="51"/>
      <c r="S348" s="51"/>
      <c r="W348" s="53"/>
      <c r="X348" s="53"/>
      <c r="Y348" s="58"/>
      <c r="Z348" s="58"/>
      <c r="AA348" s="60"/>
    </row>
    <row r="349" spans="11:27">
      <c r="K349" s="51"/>
      <c r="Q349" s="51"/>
      <c r="R349" s="51"/>
      <c r="S349" s="51"/>
      <c r="W349" s="53"/>
      <c r="X349" s="53"/>
      <c r="Y349" s="58"/>
      <c r="Z349" s="58"/>
      <c r="AA349" s="60"/>
    </row>
    <row r="350" spans="11:27">
      <c r="K350" s="51"/>
      <c r="Q350" s="51"/>
      <c r="R350" s="51"/>
      <c r="S350" s="51"/>
      <c r="W350" s="53"/>
      <c r="X350" s="53"/>
      <c r="Y350" s="58"/>
      <c r="Z350" s="58"/>
      <c r="AA350" s="60"/>
    </row>
    <row r="351" spans="11:27">
      <c r="K351" s="51"/>
      <c r="Q351" s="51"/>
      <c r="R351" s="51"/>
      <c r="S351" s="51"/>
      <c r="W351" s="53"/>
      <c r="X351" s="53"/>
      <c r="Y351" s="58"/>
      <c r="Z351" s="58"/>
      <c r="AA351" s="60"/>
    </row>
    <row r="352" spans="11:27">
      <c r="K352" s="51"/>
      <c r="Q352" s="51"/>
      <c r="R352" s="51"/>
      <c r="S352" s="51"/>
      <c r="W352" s="53"/>
      <c r="X352" s="53"/>
      <c r="Y352" s="58"/>
      <c r="Z352" s="58"/>
      <c r="AA352" s="60"/>
    </row>
    <row r="353" spans="11:27">
      <c r="K353" s="51"/>
      <c r="Q353" s="51"/>
      <c r="R353" s="51"/>
      <c r="S353" s="51"/>
      <c r="W353" s="53"/>
      <c r="X353" s="53"/>
      <c r="Y353" s="58"/>
      <c r="Z353" s="58"/>
      <c r="AA353" s="60"/>
    </row>
    <row r="354" spans="11:27">
      <c r="K354" s="51"/>
      <c r="Q354" s="51"/>
      <c r="R354" s="51"/>
      <c r="S354" s="51"/>
      <c r="W354" s="53"/>
      <c r="X354" s="53"/>
      <c r="Y354" s="58"/>
      <c r="Z354" s="58"/>
      <c r="AA354" s="60"/>
    </row>
    <row r="355" spans="11:27">
      <c r="K355" s="51"/>
      <c r="Q355" s="51"/>
      <c r="R355" s="51"/>
      <c r="S355" s="51"/>
      <c r="W355" s="53"/>
      <c r="X355" s="53"/>
      <c r="Y355" s="58"/>
      <c r="Z355" s="58"/>
      <c r="AA355" s="60"/>
    </row>
    <row r="356" spans="11:27">
      <c r="K356" s="51"/>
      <c r="Q356" s="51"/>
      <c r="R356" s="51"/>
      <c r="S356" s="51"/>
      <c r="W356" s="53"/>
      <c r="X356" s="53"/>
      <c r="Y356" s="58"/>
      <c r="Z356" s="58"/>
      <c r="AA356" s="60"/>
    </row>
    <row r="357" spans="11:27">
      <c r="K357" s="51"/>
      <c r="Q357" s="51"/>
      <c r="R357" s="51"/>
      <c r="S357" s="51"/>
      <c r="W357" s="53"/>
      <c r="X357" s="53"/>
      <c r="Y357" s="58"/>
      <c r="Z357" s="58"/>
      <c r="AA357" s="60"/>
    </row>
    <row r="358" spans="11:27">
      <c r="K358" s="51"/>
      <c r="Q358" s="51"/>
      <c r="R358" s="51"/>
      <c r="S358" s="51"/>
      <c r="W358" s="53"/>
      <c r="X358" s="53"/>
      <c r="Y358" s="58"/>
      <c r="Z358" s="58"/>
      <c r="AA358" s="60"/>
    </row>
    <row r="359" spans="11:27">
      <c r="K359" s="51"/>
      <c r="Q359" s="51"/>
      <c r="R359" s="51"/>
      <c r="S359" s="51"/>
      <c r="W359" s="53"/>
      <c r="X359" s="53"/>
      <c r="Y359" s="58"/>
      <c r="Z359" s="58"/>
      <c r="AA359" s="60"/>
    </row>
    <row r="360" spans="11:27">
      <c r="K360" s="51"/>
      <c r="Q360" s="51"/>
      <c r="R360" s="51"/>
      <c r="S360" s="51"/>
      <c r="W360" s="53"/>
      <c r="X360" s="53"/>
      <c r="Y360" s="58"/>
      <c r="Z360" s="58"/>
      <c r="AA360" s="60"/>
    </row>
    <row r="361" spans="11:27">
      <c r="K361" s="51"/>
      <c r="Q361" s="51"/>
      <c r="R361" s="51"/>
      <c r="S361" s="51"/>
      <c r="W361" s="53"/>
      <c r="X361" s="53"/>
      <c r="Y361" s="58"/>
      <c r="Z361" s="58"/>
      <c r="AA361" s="60"/>
    </row>
    <row r="362" spans="11:27">
      <c r="K362" s="51"/>
      <c r="Q362" s="51"/>
      <c r="R362" s="51"/>
      <c r="S362" s="51"/>
      <c r="W362" s="53"/>
      <c r="X362" s="53"/>
      <c r="Y362" s="58"/>
      <c r="Z362" s="58"/>
      <c r="AA362" s="60"/>
    </row>
    <row r="363" spans="11:27">
      <c r="K363" s="51"/>
      <c r="Q363" s="51"/>
      <c r="R363" s="51"/>
      <c r="S363" s="51"/>
      <c r="W363" s="53"/>
      <c r="X363" s="53"/>
      <c r="Y363" s="58"/>
      <c r="Z363" s="58"/>
      <c r="AA363" s="60"/>
    </row>
    <row r="364" spans="11:27">
      <c r="K364" s="51"/>
      <c r="Q364" s="51"/>
      <c r="R364" s="51"/>
      <c r="S364" s="51"/>
      <c r="W364" s="53"/>
      <c r="X364" s="53"/>
      <c r="Y364" s="58"/>
      <c r="Z364" s="58"/>
      <c r="AA364" s="60"/>
    </row>
    <row r="365" spans="11:27">
      <c r="K365" s="51"/>
      <c r="Q365" s="51"/>
      <c r="R365" s="51"/>
      <c r="S365" s="51"/>
      <c r="W365" s="53"/>
      <c r="X365" s="53"/>
      <c r="Y365" s="58"/>
      <c r="Z365" s="58"/>
      <c r="AA365" s="60"/>
    </row>
    <row r="366" spans="11:27">
      <c r="K366" s="51"/>
      <c r="Q366" s="51"/>
      <c r="R366" s="51"/>
      <c r="S366" s="51"/>
      <c r="W366" s="53"/>
      <c r="X366" s="53"/>
      <c r="Y366" s="58"/>
      <c r="Z366" s="58"/>
      <c r="AA366" s="60"/>
    </row>
    <row r="367" spans="11:27">
      <c r="K367" s="51"/>
      <c r="Q367" s="51"/>
      <c r="R367" s="51"/>
      <c r="S367" s="51"/>
      <c r="W367" s="53"/>
      <c r="X367" s="53"/>
      <c r="Y367" s="58"/>
      <c r="Z367" s="58"/>
      <c r="AA367" s="60"/>
    </row>
    <row r="368" spans="11:27">
      <c r="K368" s="51"/>
      <c r="Q368" s="51"/>
      <c r="R368" s="51"/>
      <c r="S368" s="51"/>
      <c r="W368" s="53"/>
      <c r="X368" s="53"/>
      <c r="Y368" s="58"/>
      <c r="Z368" s="58"/>
      <c r="AA368" s="60"/>
    </row>
    <row r="369" spans="11:27">
      <c r="K369" s="51"/>
      <c r="Q369" s="51"/>
      <c r="R369" s="51"/>
      <c r="S369" s="51"/>
      <c r="W369" s="53"/>
      <c r="X369" s="53"/>
      <c r="Y369" s="58"/>
      <c r="Z369" s="58"/>
      <c r="AA369" s="60"/>
    </row>
    <row r="370" spans="11:27">
      <c r="K370" s="51"/>
      <c r="Q370" s="51"/>
      <c r="R370" s="51"/>
      <c r="S370" s="51"/>
      <c r="W370" s="53"/>
      <c r="X370" s="53"/>
      <c r="Y370" s="58"/>
      <c r="Z370" s="58"/>
      <c r="AA370" s="60"/>
    </row>
    <row r="371" spans="11:27">
      <c r="K371" s="51"/>
      <c r="Q371" s="51"/>
      <c r="R371" s="51"/>
      <c r="S371" s="51"/>
      <c r="W371" s="53"/>
      <c r="X371" s="53"/>
      <c r="Y371" s="58"/>
      <c r="Z371" s="58"/>
      <c r="AA371" s="60"/>
    </row>
    <row r="372" spans="11:27">
      <c r="K372" s="51"/>
      <c r="Q372" s="51"/>
      <c r="R372" s="51"/>
      <c r="S372" s="51"/>
      <c r="W372" s="53"/>
      <c r="X372" s="53"/>
      <c r="Y372" s="58"/>
      <c r="Z372" s="58"/>
      <c r="AA372" s="60"/>
    </row>
    <row r="373" spans="11:27">
      <c r="K373" s="51"/>
      <c r="Q373" s="51"/>
      <c r="R373" s="51"/>
      <c r="S373" s="51"/>
      <c r="W373" s="53"/>
      <c r="X373" s="53"/>
      <c r="Y373" s="58"/>
      <c r="Z373" s="58"/>
      <c r="AA373" s="60"/>
    </row>
    <row r="374" spans="11:27">
      <c r="K374" s="51"/>
      <c r="Q374" s="51"/>
      <c r="R374" s="51"/>
      <c r="S374" s="51"/>
      <c r="W374" s="53"/>
      <c r="X374" s="53"/>
      <c r="Y374" s="58"/>
      <c r="Z374" s="58"/>
      <c r="AA374" s="60"/>
    </row>
    <row r="375" spans="11:27">
      <c r="K375" s="51"/>
      <c r="Q375" s="51"/>
      <c r="R375" s="51"/>
      <c r="S375" s="51"/>
      <c r="W375" s="53"/>
      <c r="X375" s="53"/>
      <c r="Y375" s="58"/>
      <c r="Z375" s="58"/>
      <c r="AA375" s="60"/>
    </row>
    <row r="376" spans="11:27">
      <c r="K376" s="51"/>
      <c r="Q376" s="51"/>
      <c r="R376" s="51"/>
      <c r="S376" s="51"/>
      <c r="W376" s="53"/>
      <c r="X376" s="53"/>
      <c r="Y376" s="58"/>
      <c r="Z376" s="58"/>
      <c r="AA376" s="60"/>
    </row>
    <row r="377" spans="11:27">
      <c r="K377" s="51"/>
      <c r="Q377" s="51"/>
      <c r="R377" s="51"/>
      <c r="S377" s="51"/>
      <c r="W377" s="53"/>
      <c r="X377" s="53"/>
      <c r="Y377" s="58"/>
      <c r="Z377" s="58"/>
      <c r="AA377" s="60"/>
    </row>
    <row r="378" spans="11:27">
      <c r="K378" s="51"/>
      <c r="Q378" s="51"/>
      <c r="R378" s="51"/>
      <c r="S378" s="51"/>
      <c r="W378" s="53"/>
      <c r="X378" s="53"/>
      <c r="Y378" s="58"/>
      <c r="Z378" s="58"/>
      <c r="AA378" s="60"/>
    </row>
    <row r="379" spans="11:27">
      <c r="K379" s="51"/>
      <c r="Q379" s="51"/>
      <c r="R379" s="51"/>
      <c r="S379" s="51"/>
      <c r="W379" s="53"/>
      <c r="X379" s="53"/>
      <c r="Y379" s="58"/>
      <c r="Z379" s="58"/>
      <c r="AA379" s="60"/>
    </row>
    <row r="380" spans="11:27">
      <c r="K380" s="51"/>
      <c r="Q380" s="51"/>
      <c r="R380" s="51"/>
      <c r="S380" s="51"/>
      <c r="W380" s="53"/>
      <c r="X380" s="53"/>
      <c r="Y380" s="58"/>
      <c r="Z380" s="58"/>
      <c r="AA380" s="60"/>
    </row>
    <row r="381" spans="11:27">
      <c r="K381" s="51"/>
      <c r="Q381" s="51"/>
      <c r="R381" s="51"/>
      <c r="S381" s="51"/>
      <c r="W381" s="53"/>
      <c r="X381" s="53"/>
      <c r="Y381" s="58"/>
      <c r="Z381" s="58"/>
      <c r="AA381" s="60"/>
    </row>
    <row r="382" spans="11:27">
      <c r="K382" s="51"/>
      <c r="Q382" s="51"/>
      <c r="R382" s="51"/>
      <c r="S382" s="51"/>
      <c r="W382" s="53"/>
      <c r="X382" s="53"/>
      <c r="Y382" s="58"/>
      <c r="Z382" s="58"/>
      <c r="AA382" s="60"/>
    </row>
    <row r="383" spans="11:27">
      <c r="K383" s="51"/>
      <c r="Q383" s="51"/>
      <c r="R383" s="51"/>
      <c r="S383" s="51"/>
      <c r="W383" s="53"/>
      <c r="X383" s="53"/>
      <c r="Y383" s="58"/>
      <c r="Z383" s="58"/>
      <c r="AA383" s="60"/>
    </row>
    <row r="384" spans="11:27">
      <c r="K384" s="51"/>
      <c r="Q384" s="51"/>
      <c r="R384" s="51"/>
      <c r="S384" s="51"/>
      <c r="W384" s="53"/>
      <c r="X384" s="53"/>
      <c r="Y384" s="58"/>
      <c r="Z384" s="58"/>
      <c r="AA384" s="60"/>
    </row>
    <row r="385" spans="11:27">
      <c r="K385" s="51"/>
      <c r="Q385" s="51"/>
      <c r="R385" s="51"/>
      <c r="S385" s="51"/>
      <c r="W385" s="53"/>
      <c r="X385" s="53"/>
      <c r="Y385" s="58"/>
      <c r="Z385" s="58"/>
      <c r="AA385" s="60"/>
    </row>
    <row r="386" spans="11:27">
      <c r="K386" s="51"/>
      <c r="Q386" s="51"/>
      <c r="R386" s="51"/>
      <c r="S386" s="51"/>
      <c r="W386" s="53"/>
      <c r="X386" s="53"/>
      <c r="Y386" s="58"/>
      <c r="Z386" s="58"/>
      <c r="AA386" s="60"/>
    </row>
    <row r="387" spans="11:27">
      <c r="K387" s="51"/>
      <c r="Q387" s="51"/>
      <c r="R387" s="51"/>
      <c r="S387" s="51"/>
      <c r="W387" s="53"/>
      <c r="X387" s="53"/>
      <c r="Y387" s="58"/>
      <c r="Z387" s="58"/>
      <c r="AA387" s="60"/>
    </row>
    <row r="388" spans="11:27">
      <c r="K388" s="51"/>
      <c r="Q388" s="51"/>
      <c r="R388" s="51"/>
      <c r="S388" s="51"/>
      <c r="W388" s="53"/>
      <c r="X388" s="53"/>
      <c r="Y388" s="58"/>
      <c r="Z388" s="58"/>
      <c r="AA388" s="60"/>
    </row>
    <row r="389" spans="11:27">
      <c r="K389" s="51"/>
      <c r="Q389" s="51"/>
      <c r="R389" s="51"/>
      <c r="S389" s="51"/>
      <c r="W389" s="53"/>
      <c r="X389" s="53"/>
      <c r="Y389" s="58"/>
      <c r="Z389" s="58"/>
      <c r="AA389" s="60"/>
    </row>
    <row r="390" spans="11:27">
      <c r="K390" s="51"/>
      <c r="Q390" s="51"/>
      <c r="R390" s="51"/>
      <c r="S390" s="51"/>
      <c r="W390" s="53"/>
      <c r="X390" s="53"/>
      <c r="Y390" s="58"/>
      <c r="Z390" s="58"/>
      <c r="AA390" s="60"/>
    </row>
    <row r="391" spans="11:27">
      <c r="K391" s="51"/>
      <c r="Q391" s="51"/>
      <c r="R391" s="51"/>
      <c r="S391" s="51"/>
      <c r="W391" s="53"/>
      <c r="X391" s="53"/>
      <c r="Y391" s="58"/>
      <c r="Z391" s="58"/>
      <c r="AA391" s="60"/>
    </row>
    <row r="392" spans="11:27">
      <c r="K392" s="51"/>
      <c r="Q392" s="51"/>
      <c r="R392" s="51"/>
      <c r="S392" s="51"/>
      <c r="W392" s="53"/>
      <c r="X392" s="53"/>
      <c r="Y392" s="58"/>
      <c r="Z392" s="58"/>
      <c r="AA392" s="60"/>
    </row>
    <row r="393" spans="11:27">
      <c r="K393" s="51"/>
      <c r="Q393" s="51"/>
      <c r="R393" s="51"/>
      <c r="S393" s="51"/>
      <c r="W393" s="53"/>
      <c r="X393" s="53"/>
      <c r="Y393" s="58"/>
      <c r="Z393" s="58"/>
      <c r="AA393" s="60"/>
    </row>
    <row r="394" spans="11:27">
      <c r="K394" s="51"/>
      <c r="Q394" s="51"/>
      <c r="R394" s="51"/>
      <c r="S394" s="51"/>
      <c r="W394" s="53"/>
      <c r="X394" s="53"/>
      <c r="Y394" s="58"/>
      <c r="Z394" s="58"/>
      <c r="AA394" s="60"/>
    </row>
    <row r="395" spans="11:27">
      <c r="K395" s="51"/>
      <c r="Q395" s="51"/>
      <c r="R395" s="51"/>
      <c r="S395" s="51"/>
      <c r="W395" s="53"/>
      <c r="X395" s="53"/>
      <c r="Y395" s="58"/>
      <c r="Z395" s="58"/>
      <c r="AA395" s="60"/>
    </row>
    <row r="396" spans="11:27">
      <c r="K396" s="51"/>
      <c r="Q396" s="51"/>
      <c r="R396" s="51"/>
      <c r="S396" s="51"/>
      <c r="W396" s="53"/>
      <c r="X396" s="53"/>
      <c r="Y396" s="58"/>
      <c r="Z396" s="58"/>
      <c r="AA396" s="60"/>
    </row>
    <row r="397" spans="11:27">
      <c r="K397" s="51"/>
      <c r="Q397" s="51"/>
      <c r="R397" s="51"/>
      <c r="S397" s="51"/>
      <c r="W397" s="53"/>
      <c r="X397" s="53"/>
      <c r="Y397" s="58"/>
      <c r="Z397" s="58"/>
      <c r="AA397" s="60"/>
    </row>
    <row r="398" spans="11:27">
      <c r="K398" s="51"/>
      <c r="Q398" s="51"/>
      <c r="R398" s="51"/>
      <c r="S398" s="51"/>
      <c r="W398" s="53"/>
      <c r="X398" s="53"/>
      <c r="Y398" s="58"/>
      <c r="Z398" s="58"/>
      <c r="AA398" s="60"/>
    </row>
    <row r="399" spans="11:27">
      <c r="K399" s="51"/>
      <c r="Q399" s="51"/>
      <c r="R399" s="51"/>
      <c r="S399" s="51"/>
      <c r="W399" s="53"/>
      <c r="X399" s="53"/>
      <c r="Y399" s="58"/>
      <c r="Z399" s="58"/>
      <c r="AA399" s="60"/>
    </row>
    <row r="400" spans="11:27">
      <c r="K400" s="51"/>
      <c r="Q400" s="51"/>
      <c r="R400" s="51"/>
      <c r="S400" s="51"/>
      <c r="W400" s="53"/>
      <c r="X400" s="53"/>
      <c r="Y400" s="58"/>
      <c r="Z400" s="58"/>
      <c r="AA400" s="60"/>
    </row>
    <row r="401" spans="11:27">
      <c r="K401" s="51"/>
      <c r="Q401" s="51"/>
      <c r="R401" s="51"/>
      <c r="S401" s="51"/>
      <c r="W401" s="53"/>
      <c r="X401" s="53"/>
      <c r="Y401" s="58"/>
      <c r="Z401" s="58"/>
      <c r="AA401" s="60"/>
    </row>
    <row r="402" spans="11:27">
      <c r="K402" s="51"/>
      <c r="Q402" s="51"/>
      <c r="R402" s="51"/>
      <c r="S402" s="51"/>
      <c r="W402" s="53"/>
      <c r="X402" s="53"/>
      <c r="Y402" s="58"/>
      <c r="Z402" s="58"/>
      <c r="AA402" s="60"/>
    </row>
    <row r="403" spans="11:27">
      <c r="K403" s="51"/>
      <c r="Q403" s="51"/>
      <c r="R403" s="51"/>
      <c r="S403" s="51"/>
      <c r="W403" s="53"/>
      <c r="X403" s="53"/>
      <c r="Y403" s="58"/>
      <c r="Z403" s="58"/>
      <c r="AA403" s="60"/>
    </row>
    <row r="404" spans="11:27">
      <c r="K404" s="51"/>
      <c r="Q404" s="51"/>
      <c r="R404" s="51"/>
      <c r="S404" s="51"/>
      <c r="W404" s="53"/>
      <c r="X404" s="53"/>
      <c r="Y404" s="58"/>
      <c r="Z404" s="58"/>
      <c r="AA404" s="60"/>
    </row>
    <row r="405" spans="11:27">
      <c r="K405" s="51"/>
      <c r="Q405" s="51"/>
      <c r="R405" s="51"/>
      <c r="S405" s="51"/>
      <c r="W405" s="53"/>
      <c r="X405" s="53"/>
      <c r="Y405" s="58"/>
      <c r="Z405" s="58"/>
      <c r="AA405" s="60"/>
    </row>
    <row r="406" spans="11:27">
      <c r="K406" s="51"/>
      <c r="Q406" s="51"/>
      <c r="R406" s="51"/>
      <c r="S406" s="51"/>
      <c r="W406" s="53"/>
      <c r="X406" s="53"/>
      <c r="Y406" s="58"/>
      <c r="Z406" s="58"/>
      <c r="AA406" s="60"/>
    </row>
    <row r="407" spans="11:27">
      <c r="K407" s="51"/>
      <c r="Q407" s="51"/>
      <c r="R407" s="51"/>
      <c r="S407" s="51"/>
      <c r="W407" s="53"/>
      <c r="X407" s="53"/>
      <c r="Y407" s="58"/>
      <c r="Z407" s="58"/>
      <c r="AA407" s="60"/>
    </row>
    <row r="408" spans="11:27">
      <c r="K408" s="51"/>
      <c r="Q408" s="51"/>
      <c r="R408" s="51"/>
      <c r="S408" s="51"/>
      <c r="W408" s="53"/>
      <c r="X408" s="53"/>
      <c r="Y408" s="58"/>
      <c r="Z408" s="58"/>
      <c r="AA408" s="60"/>
    </row>
    <row r="409" spans="11:27">
      <c r="K409" s="51"/>
      <c r="Q409" s="51"/>
      <c r="R409" s="51"/>
      <c r="S409" s="51"/>
      <c r="W409" s="53"/>
      <c r="X409" s="53"/>
      <c r="Y409" s="58"/>
      <c r="Z409" s="58"/>
      <c r="AA409" s="60"/>
    </row>
    <row r="410" spans="11:27">
      <c r="K410" s="51"/>
      <c r="Q410" s="51"/>
      <c r="R410" s="51"/>
      <c r="S410" s="51"/>
      <c r="W410" s="53"/>
      <c r="X410" s="53"/>
      <c r="Y410" s="58"/>
      <c r="Z410" s="58"/>
      <c r="AA410" s="60"/>
    </row>
    <row r="411" spans="11:27">
      <c r="K411" s="51"/>
      <c r="Q411" s="51"/>
      <c r="R411" s="51"/>
      <c r="S411" s="51"/>
      <c r="W411" s="53"/>
      <c r="X411" s="53"/>
      <c r="Y411" s="58"/>
      <c r="Z411" s="58"/>
      <c r="AA411" s="60"/>
    </row>
    <row r="412" spans="11:27">
      <c r="K412" s="51"/>
      <c r="Q412" s="51"/>
      <c r="R412" s="51"/>
      <c r="S412" s="51"/>
      <c r="W412" s="53"/>
      <c r="X412" s="53"/>
      <c r="Y412" s="58"/>
      <c r="Z412" s="58"/>
      <c r="AA412" s="60"/>
    </row>
    <row r="413" spans="11:27">
      <c r="K413" s="51"/>
      <c r="Q413" s="51"/>
      <c r="R413" s="51"/>
      <c r="S413" s="51"/>
      <c r="W413" s="53"/>
      <c r="X413" s="53"/>
      <c r="Y413" s="58"/>
      <c r="Z413" s="58"/>
      <c r="AA413" s="60"/>
    </row>
    <row r="414" spans="11:27">
      <c r="K414" s="51"/>
      <c r="Q414" s="51"/>
      <c r="R414" s="51"/>
      <c r="S414" s="51"/>
      <c r="W414" s="53"/>
      <c r="X414" s="53"/>
      <c r="Y414" s="58"/>
      <c r="Z414" s="58"/>
      <c r="AA414" s="60"/>
    </row>
    <row r="415" spans="11:27">
      <c r="K415" s="51"/>
      <c r="Q415" s="51"/>
      <c r="R415" s="51"/>
      <c r="S415" s="51"/>
      <c r="W415" s="53"/>
      <c r="X415" s="53"/>
      <c r="Y415" s="58"/>
      <c r="Z415" s="58"/>
      <c r="AA415" s="60"/>
    </row>
    <row r="416" spans="11:27">
      <c r="K416" s="51"/>
      <c r="Q416" s="51"/>
      <c r="R416" s="51"/>
      <c r="S416" s="51"/>
      <c r="W416" s="53"/>
      <c r="X416" s="53"/>
      <c r="Y416" s="58"/>
      <c r="Z416" s="58"/>
      <c r="AA416" s="60"/>
    </row>
    <row r="417" spans="11:27">
      <c r="K417" s="51"/>
      <c r="Q417" s="51"/>
      <c r="R417" s="51"/>
      <c r="S417" s="51"/>
      <c r="W417" s="53"/>
      <c r="X417" s="53"/>
      <c r="Y417" s="58"/>
      <c r="Z417" s="58"/>
      <c r="AA417" s="60"/>
    </row>
    <row r="418" spans="11:27">
      <c r="K418" s="51"/>
      <c r="Q418" s="51"/>
      <c r="R418" s="51"/>
      <c r="S418" s="51"/>
      <c r="W418" s="53"/>
      <c r="X418" s="53"/>
      <c r="Y418" s="58"/>
      <c r="Z418" s="58"/>
      <c r="AA418" s="60"/>
    </row>
    <row r="419" spans="11:27">
      <c r="K419" s="51"/>
      <c r="Q419" s="51"/>
      <c r="R419" s="51"/>
      <c r="S419" s="51"/>
      <c r="W419" s="53"/>
      <c r="X419" s="53"/>
      <c r="Y419" s="58"/>
      <c r="Z419" s="58"/>
      <c r="AA419" s="60"/>
    </row>
    <row r="420" spans="11:27">
      <c r="K420" s="51"/>
      <c r="Q420" s="51"/>
      <c r="R420" s="51"/>
      <c r="S420" s="51"/>
      <c r="W420" s="53"/>
      <c r="X420" s="53"/>
      <c r="Y420" s="58"/>
      <c r="Z420" s="58"/>
      <c r="AA420" s="60"/>
    </row>
    <row r="421" spans="11:27">
      <c r="K421" s="51"/>
      <c r="Q421" s="51"/>
      <c r="R421" s="51"/>
      <c r="S421" s="51"/>
      <c r="W421" s="53"/>
      <c r="X421" s="53"/>
      <c r="Y421" s="58"/>
      <c r="Z421" s="58"/>
      <c r="AA421" s="60"/>
    </row>
    <row r="422" spans="11:27">
      <c r="K422" s="51"/>
      <c r="Q422" s="51"/>
      <c r="R422" s="51"/>
      <c r="S422" s="51"/>
      <c r="W422" s="53"/>
      <c r="X422" s="53"/>
      <c r="Y422" s="58"/>
      <c r="Z422" s="58"/>
      <c r="AA422" s="60"/>
    </row>
    <row r="423" spans="11:27">
      <c r="K423" s="51"/>
      <c r="Q423" s="51"/>
      <c r="R423" s="51"/>
      <c r="S423" s="51"/>
      <c r="W423" s="53"/>
      <c r="X423" s="53"/>
      <c r="Y423" s="58"/>
      <c r="Z423" s="58"/>
      <c r="AA423" s="60"/>
    </row>
    <row r="424" spans="11:27">
      <c r="K424" s="51"/>
      <c r="Q424" s="51"/>
      <c r="R424" s="51"/>
      <c r="S424" s="51"/>
      <c r="W424" s="53"/>
      <c r="X424" s="53"/>
      <c r="Y424" s="58"/>
      <c r="Z424" s="58"/>
      <c r="AA424" s="60"/>
    </row>
    <row r="425" spans="11:27">
      <c r="K425" s="51"/>
      <c r="Q425" s="51"/>
      <c r="R425" s="51"/>
      <c r="S425" s="51"/>
      <c r="W425" s="53"/>
      <c r="X425" s="53"/>
      <c r="Y425" s="58"/>
      <c r="Z425" s="58"/>
      <c r="AA425" s="60"/>
    </row>
    <row r="426" spans="11:27">
      <c r="K426" s="51"/>
      <c r="Q426" s="51"/>
      <c r="R426" s="51"/>
      <c r="S426" s="51"/>
      <c r="W426" s="53"/>
      <c r="X426" s="53"/>
      <c r="Y426" s="58"/>
      <c r="Z426" s="58"/>
      <c r="AA426" s="60"/>
    </row>
    <row r="427" spans="11:27">
      <c r="K427" s="51"/>
      <c r="Q427" s="51"/>
      <c r="R427" s="51"/>
      <c r="S427" s="51"/>
      <c r="W427" s="53"/>
      <c r="X427" s="53"/>
      <c r="Y427" s="58"/>
      <c r="Z427" s="58"/>
      <c r="AA427" s="60"/>
    </row>
    <row r="428" spans="11:27">
      <c r="K428" s="51"/>
      <c r="Q428" s="51"/>
      <c r="R428" s="51"/>
      <c r="S428" s="51"/>
      <c r="W428" s="53"/>
      <c r="X428" s="53"/>
      <c r="Y428" s="58"/>
      <c r="Z428" s="58"/>
      <c r="AA428" s="60"/>
    </row>
    <row r="429" spans="11:27">
      <c r="K429" s="51"/>
      <c r="Q429" s="51"/>
      <c r="R429" s="51"/>
      <c r="S429" s="51"/>
      <c r="W429" s="53"/>
      <c r="X429" s="53"/>
      <c r="Y429" s="58"/>
      <c r="Z429" s="58"/>
      <c r="AA429" s="60"/>
    </row>
    <row r="430" spans="11:27">
      <c r="K430" s="51"/>
      <c r="Q430" s="51"/>
      <c r="R430" s="51"/>
      <c r="S430" s="51"/>
      <c r="W430" s="53"/>
      <c r="X430" s="53"/>
      <c r="Y430" s="58"/>
      <c r="Z430" s="58"/>
      <c r="AA430" s="60"/>
    </row>
    <row r="431" spans="11:27">
      <c r="K431" s="51"/>
      <c r="Q431" s="51"/>
      <c r="R431" s="51"/>
      <c r="S431" s="51"/>
      <c r="W431" s="53"/>
      <c r="X431" s="53"/>
      <c r="Y431" s="58"/>
      <c r="Z431" s="58"/>
      <c r="AA431" s="60"/>
    </row>
    <row r="432" spans="11:27">
      <c r="K432" s="51"/>
      <c r="Q432" s="51"/>
      <c r="R432" s="51"/>
      <c r="S432" s="51"/>
      <c r="W432" s="53"/>
      <c r="X432" s="53"/>
      <c r="Y432" s="58"/>
      <c r="Z432" s="58"/>
      <c r="AA432" s="60"/>
    </row>
    <row r="433" spans="11:27">
      <c r="K433" s="51"/>
      <c r="Q433" s="51"/>
      <c r="R433" s="51"/>
      <c r="S433" s="51"/>
      <c r="W433" s="53"/>
      <c r="X433" s="53"/>
      <c r="Y433" s="58"/>
      <c r="Z433" s="58"/>
      <c r="AA433" s="60"/>
    </row>
    <row r="434" spans="11:27">
      <c r="K434" s="51"/>
      <c r="Q434" s="51"/>
      <c r="R434" s="51"/>
      <c r="S434" s="51"/>
      <c r="W434" s="53"/>
      <c r="X434" s="53"/>
      <c r="Y434" s="58"/>
      <c r="Z434" s="58"/>
      <c r="AA434" s="60"/>
    </row>
    <row r="435" spans="11:27">
      <c r="K435" s="51"/>
      <c r="Q435" s="51"/>
      <c r="R435" s="51"/>
      <c r="S435" s="51"/>
      <c r="W435" s="53"/>
      <c r="X435" s="53"/>
      <c r="Y435" s="58"/>
      <c r="Z435" s="58"/>
      <c r="AA435" s="60"/>
    </row>
    <row r="436" spans="11:27">
      <c r="K436" s="51"/>
      <c r="Q436" s="51"/>
      <c r="R436" s="51"/>
      <c r="S436" s="51"/>
      <c r="W436" s="53"/>
      <c r="X436" s="53"/>
      <c r="Y436" s="58"/>
      <c r="Z436" s="58"/>
      <c r="AA436" s="60"/>
    </row>
    <row r="437" spans="11:27">
      <c r="K437" s="51"/>
      <c r="Q437" s="51"/>
      <c r="R437" s="51"/>
      <c r="S437" s="51"/>
      <c r="W437" s="53"/>
      <c r="X437" s="53"/>
      <c r="Y437" s="58"/>
      <c r="Z437" s="58"/>
      <c r="AA437" s="60"/>
    </row>
    <row r="438" spans="11:27">
      <c r="K438" s="51"/>
      <c r="Q438" s="51"/>
      <c r="R438" s="51"/>
      <c r="S438" s="51"/>
      <c r="W438" s="53"/>
      <c r="X438" s="53"/>
      <c r="Y438" s="58"/>
      <c r="Z438" s="58"/>
      <c r="AA438" s="60"/>
    </row>
    <row r="439" spans="11:27">
      <c r="K439" s="51"/>
      <c r="Q439" s="51"/>
      <c r="R439" s="51"/>
      <c r="S439" s="51"/>
      <c r="W439" s="53"/>
      <c r="X439" s="53"/>
      <c r="Y439" s="58"/>
      <c r="Z439" s="58"/>
      <c r="AA439" s="60"/>
    </row>
    <row r="440" spans="11:27">
      <c r="K440" s="51"/>
      <c r="Q440" s="51"/>
      <c r="R440" s="51"/>
      <c r="S440" s="51"/>
      <c r="W440" s="53"/>
      <c r="X440" s="53"/>
      <c r="Y440" s="58"/>
      <c r="Z440" s="58"/>
      <c r="AA440" s="60"/>
    </row>
    <row r="441" spans="11:27">
      <c r="K441" s="51"/>
      <c r="Q441" s="51"/>
      <c r="R441" s="51"/>
      <c r="S441" s="51"/>
      <c r="W441" s="53"/>
      <c r="X441" s="53"/>
      <c r="Y441" s="58"/>
      <c r="Z441" s="58"/>
      <c r="AA441" s="60"/>
    </row>
    <row r="442" spans="11:27">
      <c r="K442" s="51"/>
      <c r="Q442" s="51"/>
      <c r="R442" s="51"/>
      <c r="S442" s="51"/>
      <c r="W442" s="53"/>
      <c r="X442" s="53"/>
      <c r="Y442" s="58"/>
      <c r="Z442" s="58"/>
      <c r="AA442" s="60"/>
    </row>
    <row r="443" spans="11:27">
      <c r="K443" s="51"/>
      <c r="Q443" s="51"/>
      <c r="R443" s="51"/>
      <c r="S443" s="51"/>
      <c r="W443" s="53"/>
      <c r="X443" s="53"/>
      <c r="Y443" s="58"/>
      <c r="Z443" s="58"/>
      <c r="AA443" s="60"/>
    </row>
    <row r="444" spans="11:27">
      <c r="K444" s="51"/>
      <c r="Q444" s="51"/>
      <c r="R444" s="51"/>
      <c r="S444" s="51"/>
      <c r="W444" s="53"/>
      <c r="X444" s="53"/>
      <c r="Y444" s="58"/>
      <c r="Z444" s="58"/>
      <c r="AA444" s="60"/>
    </row>
    <row r="445" spans="11:27">
      <c r="K445" s="51"/>
      <c r="Q445" s="51"/>
      <c r="R445" s="51"/>
      <c r="S445" s="51"/>
      <c r="W445" s="53"/>
      <c r="X445" s="53"/>
      <c r="Y445" s="58"/>
      <c r="Z445" s="58"/>
      <c r="AA445" s="60"/>
    </row>
    <row r="446" spans="11:27">
      <c r="K446" s="51"/>
      <c r="Q446" s="51"/>
      <c r="R446" s="51"/>
      <c r="S446" s="51"/>
      <c r="W446" s="53"/>
      <c r="X446" s="53"/>
      <c r="Y446" s="58"/>
      <c r="Z446" s="58"/>
      <c r="AA446" s="60"/>
    </row>
    <row r="447" spans="11:27">
      <c r="K447" s="51"/>
      <c r="Q447" s="51"/>
      <c r="R447" s="51"/>
      <c r="S447" s="51"/>
      <c r="W447" s="53"/>
      <c r="X447" s="53"/>
      <c r="Y447" s="58"/>
      <c r="Z447" s="58"/>
      <c r="AA447" s="60"/>
    </row>
    <row r="448" spans="11:27">
      <c r="K448" s="51"/>
      <c r="Q448" s="51"/>
      <c r="R448" s="51"/>
      <c r="S448" s="51"/>
      <c r="W448" s="53"/>
      <c r="X448" s="53"/>
      <c r="Y448" s="58"/>
      <c r="Z448" s="58"/>
      <c r="AA448" s="60"/>
    </row>
    <row r="449" spans="11:27">
      <c r="K449" s="51"/>
      <c r="Q449" s="51"/>
      <c r="R449" s="51"/>
      <c r="S449" s="51"/>
      <c r="W449" s="53"/>
      <c r="X449" s="53"/>
      <c r="Y449" s="58"/>
      <c r="Z449" s="58"/>
      <c r="AA449" s="60"/>
    </row>
    <row r="450" spans="11:27">
      <c r="K450" s="51"/>
      <c r="Q450" s="51"/>
      <c r="R450" s="51"/>
      <c r="S450" s="51"/>
      <c r="W450" s="53"/>
      <c r="X450" s="53"/>
      <c r="Y450" s="58"/>
      <c r="Z450" s="58"/>
      <c r="AA450" s="60"/>
    </row>
    <row r="451" spans="11:27">
      <c r="K451" s="51"/>
      <c r="Q451" s="51"/>
      <c r="R451" s="51"/>
      <c r="S451" s="51"/>
      <c r="W451" s="53"/>
      <c r="X451" s="53"/>
      <c r="Y451" s="58"/>
      <c r="Z451" s="58"/>
      <c r="AA451" s="60"/>
    </row>
    <row r="452" spans="11:27">
      <c r="K452" s="51"/>
      <c r="Q452" s="51"/>
      <c r="R452" s="51"/>
      <c r="S452" s="51"/>
      <c r="W452" s="53"/>
      <c r="X452" s="53"/>
      <c r="Y452" s="58"/>
      <c r="Z452" s="58"/>
      <c r="AA452" s="60"/>
    </row>
    <row r="453" spans="11:27">
      <c r="K453" s="51"/>
      <c r="Q453" s="51"/>
      <c r="R453" s="51"/>
      <c r="S453" s="51"/>
      <c r="W453" s="53"/>
      <c r="X453" s="53"/>
      <c r="Y453" s="58"/>
      <c r="Z453" s="58"/>
      <c r="AA453" s="60"/>
    </row>
    <row r="454" spans="11:27">
      <c r="K454" s="51"/>
      <c r="Q454" s="51"/>
      <c r="R454" s="51"/>
      <c r="S454" s="51"/>
      <c r="W454" s="53"/>
      <c r="X454" s="53"/>
      <c r="Y454" s="58"/>
      <c r="Z454" s="58"/>
      <c r="AA454" s="60"/>
    </row>
    <row r="455" spans="11:27">
      <c r="K455" s="51"/>
      <c r="Q455" s="51"/>
      <c r="R455" s="51"/>
      <c r="S455" s="51"/>
      <c r="W455" s="53"/>
      <c r="X455" s="53"/>
      <c r="Y455" s="58"/>
      <c r="Z455" s="58"/>
      <c r="AA455" s="60"/>
    </row>
    <row r="456" spans="11:27">
      <c r="K456" s="51"/>
      <c r="Q456" s="51"/>
      <c r="R456" s="51"/>
      <c r="S456" s="51"/>
      <c r="W456" s="53"/>
      <c r="X456" s="53"/>
      <c r="Y456" s="58"/>
      <c r="Z456" s="58"/>
      <c r="AA456" s="60"/>
    </row>
    <row r="457" spans="11:27">
      <c r="K457" s="51"/>
      <c r="Q457" s="51"/>
      <c r="R457" s="51"/>
      <c r="S457" s="51"/>
      <c r="W457" s="53"/>
      <c r="X457" s="53"/>
      <c r="Y457" s="58"/>
      <c r="Z457" s="58"/>
      <c r="AA457" s="60"/>
    </row>
    <row r="458" spans="11:27">
      <c r="K458" s="51"/>
      <c r="Q458" s="51"/>
      <c r="R458" s="51"/>
      <c r="S458" s="51"/>
      <c r="W458" s="53"/>
      <c r="X458" s="53"/>
      <c r="Y458" s="58"/>
      <c r="Z458" s="58"/>
      <c r="AA458" s="60"/>
    </row>
    <row r="459" spans="11:27">
      <c r="K459" s="51"/>
      <c r="Q459" s="51"/>
      <c r="R459" s="51"/>
      <c r="S459" s="51"/>
      <c r="W459" s="53"/>
      <c r="X459" s="53"/>
      <c r="Y459" s="58"/>
      <c r="Z459" s="58"/>
      <c r="AA459" s="60"/>
    </row>
    <row r="460" spans="11:27">
      <c r="K460" s="51"/>
      <c r="Q460" s="51"/>
      <c r="R460" s="51"/>
      <c r="S460" s="51"/>
      <c r="W460" s="53"/>
      <c r="X460" s="53"/>
      <c r="Y460" s="58"/>
      <c r="Z460" s="58"/>
      <c r="AA460" s="60"/>
    </row>
    <row r="461" spans="11:27">
      <c r="K461" s="51"/>
      <c r="Q461" s="51"/>
      <c r="R461" s="51"/>
      <c r="S461" s="51"/>
      <c r="W461" s="53"/>
      <c r="X461" s="53"/>
      <c r="Y461" s="58"/>
      <c r="Z461" s="58"/>
      <c r="AA461" s="60"/>
    </row>
    <row r="462" spans="11:27">
      <c r="K462" s="51"/>
      <c r="Q462" s="51"/>
      <c r="R462" s="51"/>
      <c r="S462" s="51"/>
      <c r="W462" s="53"/>
      <c r="X462" s="53"/>
      <c r="Y462" s="58"/>
      <c r="Z462" s="58"/>
      <c r="AA462" s="60"/>
    </row>
    <row r="463" spans="11:27">
      <c r="K463" s="51"/>
      <c r="Q463" s="51"/>
      <c r="R463" s="51"/>
      <c r="S463" s="51"/>
      <c r="W463" s="53"/>
      <c r="X463" s="53"/>
      <c r="Y463" s="58"/>
      <c r="Z463" s="58"/>
      <c r="AA463" s="60"/>
    </row>
    <row r="464" spans="11:27">
      <c r="K464" s="51"/>
      <c r="Q464" s="51"/>
      <c r="R464" s="51"/>
      <c r="S464" s="51"/>
      <c r="W464" s="53"/>
      <c r="X464" s="53"/>
      <c r="Y464" s="58"/>
      <c r="Z464" s="58"/>
      <c r="AA464" s="60"/>
    </row>
    <row r="465" spans="11:27">
      <c r="K465" s="51"/>
      <c r="Q465" s="51"/>
      <c r="R465" s="51"/>
      <c r="S465" s="51"/>
      <c r="W465" s="53"/>
      <c r="X465" s="53"/>
      <c r="Y465" s="58"/>
      <c r="Z465" s="58"/>
      <c r="AA465" s="60"/>
    </row>
    <row r="466" spans="11:27">
      <c r="K466" s="51"/>
      <c r="Q466" s="51"/>
      <c r="R466" s="51"/>
      <c r="S466" s="51"/>
      <c r="W466" s="53"/>
      <c r="X466" s="53"/>
      <c r="Y466" s="58"/>
      <c r="Z466" s="58"/>
      <c r="AA466" s="60"/>
    </row>
    <row r="467" spans="11:27">
      <c r="K467" s="51"/>
      <c r="Q467" s="51"/>
      <c r="R467" s="51"/>
      <c r="S467" s="51"/>
      <c r="W467" s="53"/>
      <c r="X467" s="53"/>
      <c r="Y467" s="58"/>
      <c r="Z467" s="58"/>
      <c r="AA467" s="60"/>
    </row>
    <row r="468" spans="11:27">
      <c r="K468" s="51"/>
      <c r="Q468" s="51"/>
      <c r="R468" s="51"/>
      <c r="S468" s="51"/>
      <c r="W468" s="53"/>
      <c r="X468" s="53"/>
      <c r="Y468" s="58"/>
      <c r="Z468" s="58"/>
      <c r="AA468" s="60"/>
    </row>
    <row r="469" spans="11:27">
      <c r="K469" s="51"/>
      <c r="Q469" s="51"/>
      <c r="R469" s="51"/>
      <c r="S469" s="51"/>
      <c r="W469" s="53"/>
      <c r="X469" s="53"/>
      <c r="Y469" s="58"/>
      <c r="Z469" s="58"/>
      <c r="AA469" s="60"/>
    </row>
    <row r="470" spans="11:27">
      <c r="K470" s="51"/>
      <c r="Q470" s="51"/>
      <c r="R470" s="51"/>
      <c r="S470" s="51"/>
      <c r="W470" s="53"/>
      <c r="X470" s="53"/>
      <c r="Y470" s="58"/>
      <c r="Z470" s="58"/>
      <c r="AA470" s="60"/>
    </row>
    <row r="471" spans="11:27">
      <c r="K471" s="51"/>
      <c r="Q471" s="51"/>
      <c r="R471" s="51"/>
      <c r="S471" s="51"/>
      <c r="W471" s="53"/>
      <c r="X471" s="53"/>
      <c r="Y471" s="58"/>
      <c r="Z471" s="58"/>
      <c r="AA471" s="60"/>
    </row>
    <row r="472" spans="11:27">
      <c r="K472" s="51"/>
      <c r="Q472" s="51"/>
      <c r="R472" s="51"/>
      <c r="S472" s="51"/>
      <c r="W472" s="53"/>
      <c r="X472" s="53"/>
      <c r="Y472" s="58"/>
      <c r="Z472" s="58"/>
      <c r="AA472" s="60"/>
    </row>
    <row r="473" spans="11:27">
      <c r="K473" s="51"/>
      <c r="Q473" s="51"/>
      <c r="R473" s="51"/>
      <c r="S473" s="51"/>
      <c r="W473" s="53"/>
      <c r="X473" s="53"/>
      <c r="Y473" s="58"/>
      <c r="Z473" s="58"/>
      <c r="AA473" s="60"/>
    </row>
    <row r="474" spans="11:27">
      <c r="K474" s="51"/>
      <c r="Q474" s="51"/>
      <c r="R474" s="51"/>
      <c r="S474" s="51"/>
      <c r="W474" s="53"/>
      <c r="X474" s="53"/>
      <c r="Y474" s="58"/>
      <c r="Z474" s="58"/>
      <c r="AA474" s="60"/>
    </row>
    <row r="475" spans="11:27">
      <c r="K475" s="51"/>
      <c r="Q475" s="51"/>
      <c r="R475" s="51"/>
      <c r="S475" s="51"/>
      <c r="W475" s="53"/>
      <c r="X475" s="53"/>
      <c r="Y475" s="58"/>
      <c r="Z475" s="58"/>
      <c r="AA475" s="60"/>
    </row>
    <row r="476" spans="11:27">
      <c r="K476" s="51"/>
      <c r="Q476" s="51"/>
      <c r="R476" s="51"/>
      <c r="S476" s="51"/>
      <c r="W476" s="53"/>
      <c r="X476" s="53"/>
      <c r="Y476" s="58"/>
      <c r="Z476" s="58"/>
      <c r="AA476" s="60"/>
    </row>
    <row r="477" spans="11:27">
      <c r="K477" s="51"/>
      <c r="Q477" s="51"/>
      <c r="R477" s="51"/>
      <c r="S477" s="51"/>
      <c r="W477" s="53"/>
      <c r="X477" s="53"/>
      <c r="Y477" s="58"/>
      <c r="Z477" s="58"/>
      <c r="AA477" s="60"/>
    </row>
    <row r="478" spans="11:27">
      <c r="K478" s="51"/>
      <c r="Q478" s="51"/>
      <c r="R478" s="51"/>
      <c r="S478" s="51"/>
      <c r="W478" s="53"/>
      <c r="X478" s="53"/>
      <c r="Y478" s="58"/>
      <c r="Z478" s="58"/>
      <c r="AA478" s="60"/>
    </row>
    <row r="479" spans="11:27">
      <c r="K479" s="51"/>
      <c r="Q479" s="51"/>
      <c r="R479" s="51"/>
      <c r="S479" s="51"/>
      <c r="W479" s="53"/>
      <c r="X479" s="53"/>
      <c r="Y479" s="58"/>
      <c r="Z479" s="58"/>
      <c r="AA479" s="60"/>
    </row>
    <row r="480" spans="11:27">
      <c r="K480" s="51"/>
      <c r="Q480" s="51"/>
      <c r="R480" s="51"/>
      <c r="S480" s="51"/>
      <c r="W480" s="53"/>
      <c r="X480" s="53"/>
      <c r="Y480" s="58"/>
      <c r="Z480" s="58"/>
      <c r="AA480" s="60"/>
    </row>
    <row r="481" spans="11:27">
      <c r="K481" s="51"/>
      <c r="Q481" s="51"/>
      <c r="R481" s="51"/>
      <c r="S481" s="51"/>
      <c r="W481" s="53"/>
      <c r="X481" s="53"/>
      <c r="Y481" s="58"/>
      <c r="Z481" s="58"/>
      <c r="AA481" s="60"/>
    </row>
    <row r="482" spans="11:27">
      <c r="K482" s="51"/>
      <c r="Q482" s="51"/>
      <c r="R482" s="51"/>
      <c r="S482" s="51"/>
      <c r="W482" s="53"/>
      <c r="X482" s="53"/>
      <c r="Y482" s="58"/>
      <c r="Z482" s="58"/>
      <c r="AA482" s="60"/>
    </row>
    <row r="483" spans="11:27">
      <c r="K483" s="51"/>
      <c r="Q483" s="51"/>
      <c r="R483" s="51"/>
      <c r="S483" s="51"/>
      <c r="W483" s="53"/>
      <c r="X483" s="53"/>
      <c r="Y483" s="58"/>
      <c r="Z483" s="58"/>
      <c r="AA483" s="60"/>
    </row>
    <row r="484" spans="11:27">
      <c r="K484" s="51"/>
      <c r="Q484" s="51"/>
      <c r="R484" s="51"/>
      <c r="S484" s="51"/>
      <c r="W484" s="53"/>
      <c r="X484" s="53"/>
      <c r="Y484" s="58"/>
      <c r="Z484" s="58"/>
      <c r="AA484" s="60"/>
    </row>
    <row r="485" spans="11:27">
      <c r="K485" s="51"/>
      <c r="Q485" s="51"/>
      <c r="R485" s="51"/>
      <c r="S485" s="51"/>
      <c r="W485" s="53"/>
      <c r="X485" s="53"/>
      <c r="Y485" s="58"/>
      <c r="Z485" s="58"/>
      <c r="AA485" s="60"/>
    </row>
    <row r="486" spans="11:27">
      <c r="K486" s="51"/>
      <c r="Q486" s="51"/>
      <c r="R486" s="51"/>
      <c r="S486" s="51"/>
      <c r="W486" s="53"/>
      <c r="X486" s="53"/>
      <c r="Y486" s="58"/>
      <c r="Z486" s="58"/>
      <c r="AA486" s="60"/>
    </row>
    <row r="487" spans="11:27">
      <c r="K487" s="51"/>
      <c r="Q487" s="51"/>
      <c r="R487" s="51"/>
      <c r="S487" s="51"/>
      <c r="W487" s="53"/>
      <c r="X487" s="53"/>
      <c r="Y487" s="58"/>
      <c r="Z487" s="58"/>
      <c r="AA487" s="60"/>
    </row>
    <row r="488" spans="11:27">
      <c r="K488" s="51"/>
      <c r="Q488" s="51"/>
      <c r="R488" s="51"/>
      <c r="S488" s="51"/>
      <c r="W488" s="53"/>
      <c r="X488" s="53"/>
      <c r="Y488" s="58"/>
      <c r="Z488" s="58"/>
      <c r="AA488" s="60"/>
    </row>
    <row r="489" spans="11:27">
      <c r="K489" s="51"/>
      <c r="Q489" s="51"/>
      <c r="R489" s="51"/>
      <c r="S489" s="51"/>
      <c r="W489" s="53"/>
      <c r="X489" s="53"/>
      <c r="Y489" s="58"/>
      <c r="Z489" s="58"/>
      <c r="AA489" s="60"/>
    </row>
    <row r="490" spans="11:27">
      <c r="K490" s="51"/>
      <c r="Q490" s="51"/>
      <c r="R490" s="51"/>
      <c r="S490" s="51"/>
      <c r="W490" s="53"/>
      <c r="X490" s="53"/>
      <c r="Y490" s="58"/>
      <c r="Z490" s="58"/>
      <c r="AA490" s="60"/>
    </row>
    <row r="491" spans="11:27">
      <c r="K491" s="51"/>
      <c r="Q491" s="51"/>
      <c r="R491" s="51"/>
      <c r="S491" s="51"/>
      <c r="W491" s="53"/>
      <c r="X491" s="53"/>
      <c r="Y491" s="58"/>
      <c r="Z491" s="58"/>
      <c r="AA491" s="60"/>
    </row>
    <row r="492" spans="11:27">
      <c r="K492" s="51"/>
      <c r="Q492" s="51"/>
      <c r="R492" s="51"/>
      <c r="S492" s="51"/>
      <c r="W492" s="53"/>
      <c r="X492" s="53"/>
      <c r="Y492" s="58"/>
      <c r="Z492" s="58"/>
      <c r="AA492" s="60"/>
    </row>
    <row r="493" spans="11:27">
      <c r="K493" s="51"/>
      <c r="Q493" s="51"/>
      <c r="R493" s="51"/>
      <c r="S493" s="51"/>
      <c r="W493" s="53"/>
      <c r="X493" s="53"/>
      <c r="Y493" s="58"/>
      <c r="Z493" s="58"/>
      <c r="AA493" s="60"/>
    </row>
    <row r="494" spans="11:27">
      <c r="K494" s="51"/>
      <c r="Q494" s="51"/>
      <c r="R494" s="51"/>
      <c r="S494" s="51"/>
      <c r="W494" s="53"/>
      <c r="X494" s="53"/>
      <c r="Y494" s="58"/>
      <c r="Z494" s="58"/>
      <c r="AA494" s="60"/>
    </row>
    <row r="495" spans="11:27">
      <c r="K495" s="51"/>
      <c r="Q495" s="51"/>
      <c r="R495" s="51"/>
      <c r="S495" s="51"/>
      <c r="W495" s="53"/>
      <c r="X495" s="53"/>
      <c r="Y495" s="58"/>
      <c r="Z495" s="58"/>
      <c r="AA495" s="60"/>
    </row>
    <row r="496" spans="11:27">
      <c r="K496" s="51"/>
      <c r="Q496" s="51"/>
      <c r="R496" s="51"/>
      <c r="S496" s="51"/>
      <c r="W496" s="53"/>
      <c r="X496" s="53"/>
      <c r="Y496" s="58"/>
      <c r="Z496" s="58"/>
      <c r="AA496" s="60"/>
    </row>
    <row r="497" spans="11:27">
      <c r="K497" s="51"/>
      <c r="Q497" s="51"/>
      <c r="R497" s="51"/>
      <c r="S497" s="51"/>
      <c r="W497" s="53"/>
      <c r="X497" s="53"/>
      <c r="Y497" s="58"/>
      <c r="Z497" s="58"/>
      <c r="AA497" s="60"/>
    </row>
    <row r="498" spans="11:27">
      <c r="K498" s="51"/>
      <c r="Q498" s="51"/>
      <c r="R498" s="51"/>
      <c r="S498" s="51"/>
      <c r="W498" s="53"/>
      <c r="X498" s="53"/>
      <c r="Y498" s="58"/>
      <c r="Z498" s="58"/>
      <c r="AA498" s="60"/>
    </row>
    <row r="499" spans="11:27">
      <c r="K499" s="51"/>
      <c r="Q499" s="51"/>
      <c r="R499" s="51"/>
      <c r="S499" s="51"/>
      <c r="W499" s="53"/>
      <c r="X499" s="53"/>
      <c r="Y499" s="58"/>
      <c r="Z499" s="58"/>
      <c r="AA499" s="60"/>
    </row>
    <row r="500" spans="11:27">
      <c r="K500" s="51"/>
      <c r="Q500" s="51"/>
      <c r="R500" s="51"/>
      <c r="S500" s="51"/>
      <c r="W500" s="53"/>
      <c r="X500" s="53"/>
      <c r="Y500" s="58"/>
      <c r="Z500" s="58"/>
      <c r="AA500" s="60"/>
    </row>
    <row r="501" spans="11:27">
      <c r="K501" s="51"/>
      <c r="Q501" s="51"/>
      <c r="R501" s="51"/>
      <c r="S501" s="51"/>
      <c r="W501" s="53"/>
      <c r="X501" s="53"/>
      <c r="Y501" s="58"/>
      <c r="Z501" s="58"/>
      <c r="AA501" s="60"/>
    </row>
    <row r="502" spans="11:27">
      <c r="K502" s="51"/>
      <c r="Q502" s="51"/>
      <c r="R502" s="51"/>
      <c r="S502" s="51"/>
      <c r="W502" s="53"/>
      <c r="X502" s="53"/>
      <c r="Y502" s="58"/>
      <c r="Z502" s="58"/>
      <c r="AA502" s="60"/>
    </row>
    <row r="503" spans="11:27">
      <c r="K503" s="51"/>
      <c r="Q503" s="51"/>
      <c r="R503" s="51"/>
      <c r="S503" s="51"/>
      <c r="W503" s="53"/>
      <c r="X503" s="53"/>
      <c r="Y503" s="58"/>
      <c r="Z503" s="58"/>
      <c r="AA503" s="60"/>
    </row>
    <row r="504" spans="11:27">
      <c r="K504" s="51"/>
      <c r="Q504" s="51"/>
      <c r="R504" s="51"/>
      <c r="S504" s="51"/>
      <c r="W504" s="53"/>
      <c r="X504" s="53"/>
      <c r="Y504" s="58"/>
      <c r="Z504" s="58"/>
      <c r="AA504" s="60"/>
    </row>
    <row r="505" spans="11:27">
      <c r="K505" s="51"/>
      <c r="Q505" s="51"/>
      <c r="R505" s="51"/>
      <c r="S505" s="51"/>
      <c r="W505" s="53"/>
      <c r="X505" s="53"/>
      <c r="Y505" s="58"/>
      <c r="Z505" s="58"/>
      <c r="AA505" s="60"/>
    </row>
    <row r="506" spans="11:27">
      <c r="K506" s="51"/>
      <c r="Q506" s="51"/>
      <c r="R506" s="51"/>
      <c r="S506" s="51"/>
      <c r="W506" s="53"/>
      <c r="X506" s="53"/>
      <c r="Y506" s="58"/>
      <c r="Z506" s="58"/>
      <c r="AA506" s="60"/>
    </row>
    <row r="507" spans="11:27">
      <c r="K507" s="51"/>
      <c r="Q507" s="51"/>
      <c r="R507" s="51"/>
      <c r="S507" s="51"/>
      <c r="W507" s="53"/>
      <c r="X507" s="53"/>
      <c r="Y507" s="58"/>
      <c r="Z507" s="58"/>
      <c r="AA507" s="60"/>
    </row>
    <row r="508" spans="11:27">
      <c r="K508" s="51"/>
      <c r="Q508" s="51"/>
      <c r="R508" s="51"/>
      <c r="S508" s="51"/>
      <c r="W508" s="53"/>
      <c r="X508" s="53"/>
      <c r="Y508" s="58"/>
      <c r="Z508" s="58"/>
      <c r="AA508" s="60"/>
    </row>
    <row r="509" spans="11:27">
      <c r="K509" s="51"/>
      <c r="Q509" s="51"/>
      <c r="R509" s="51"/>
      <c r="S509" s="51"/>
      <c r="W509" s="53"/>
      <c r="X509" s="53"/>
      <c r="Y509" s="58"/>
      <c r="Z509" s="58"/>
      <c r="AA509" s="60"/>
    </row>
    <row r="510" spans="11:27">
      <c r="K510" s="51"/>
      <c r="Q510" s="51"/>
      <c r="R510" s="51"/>
      <c r="S510" s="51"/>
      <c r="W510" s="53"/>
      <c r="X510" s="53"/>
      <c r="Y510" s="58"/>
      <c r="Z510" s="58"/>
      <c r="AA510" s="60"/>
    </row>
    <row r="511" spans="11:27">
      <c r="K511" s="51"/>
      <c r="Q511" s="51"/>
      <c r="R511" s="51"/>
      <c r="S511" s="51"/>
      <c r="W511" s="53"/>
      <c r="X511" s="53"/>
      <c r="Y511" s="58"/>
      <c r="Z511" s="58"/>
      <c r="AA511" s="60"/>
    </row>
    <row r="512" spans="11:27">
      <c r="K512" s="51"/>
      <c r="Q512" s="51"/>
      <c r="R512" s="51"/>
      <c r="S512" s="51"/>
      <c r="W512" s="53"/>
      <c r="X512" s="53"/>
      <c r="Y512" s="58"/>
      <c r="Z512" s="58"/>
      <c r="AA512" s="60"/>
    </row>
    <row r="513" spans="11:27">
      <c r="K513" s="51"/>
      <c r="Q513" s="51"/>
      <c r="R513" s="51"/>
      <c r="S513" s="51"/>
      <c r="W513" s="53"/>
      <c r="X513" s="53"/>
      <c r="Y513" s="58"/>
      <c r="Z513" s="58"/>
      <c r="AA513" s="60"/>
    </row>
    <row r="514" spans="11:27">
      <c r="K514" s="51"/>
      <c r="Q514" s="51"/>
      <c r="R514" s="51"/>
      <c r="S514" s="51"/>
      <c r="W514" s="53"/>
      <c r="X514" s="53"/>
      <c r="Y514" s="58"/>
      <c r="Z514" s="58"/>
      <c r="AA514" s="60"/>
    </row>
    <row r="515" spans="11:27">
      <c r="K515" s="51"/>
      <c r="Q515" s="51"/>
      <c r="R515" s="51"/>
      <c r="S515" s="51"/>
      <c r="W515" s="53"/>
      <c r="X515" s="53"/>
      <c r="Y515" s="58"/>
      <c r="Z515" s="58"/>
      <c r="AA515" s="60"/>
    </row>
    <row r="516" spans="11:27">
      <c r="K516" s="51"/>
      <c r="Q516" s="51"/>
      <c r="R516" s="51"/>
      <c r="S516" s="51"/>
      <c r="W516" s="53"/>
      <c r="X516" s="53"/>
      <c r="Y516" s="58"/>
      <c r="Z516" s="58"/>
      <c r="AA516" s="60"/>
    </row>
    <row r="517" spans="11:27">
      <c r="K517" s="51"/>
      <c r="Q517" s="51"/>
      <c r="R517" s="51"/>
      <c r="S517" s="51"/>
      <c r="W517" s="53"/>
      <c r="X517" s="53"/>
      <c r="Y517" s="58"/>
      <c r="Z517" s="58"/>
      <c r="AA517" s="60"/>
    </row>
    <row r="518" spans="11:27">
      <c r="K518" s="51"/>
      <c r="Q518" s="51"/>
      <c r="R518" s="51"/>
      <c r="S518" s="51"/>
      <c r="W518" s="53"/>
      <c r="X518" s="53"/>
      <c r="Y518" s="58"/>
      <c r="Z518" s="58"/>
      <c r="AA518" s="60"/>
    </row>
    <row r="519" spans="11:27">
      <c r="K519" s="51"/>
      <c r="Q519" s="51"/>
      <c r="R519" s="51"/>
      <c r="S519" s="51"/>
      <c r="W519" s="53"/>
      <c r="X519" s="53"/>
      <c r="Y519" s="58"/>
      <c r="Z519" s="58"/>
      <c r="AA519" s="60"/>
    </row>
    <row r="520" spans="11:27">
      <c r="K520" s="51"/>
      <c r="Q520" s="51"/>
      <c r="R520" s="51"/>
      <c r="S520" s="51"/>
      <c r="W520" s="53"/>
      <c r="X520" s="53"/>
      <c r="Y520" s="58"/>
      <c r="Z520" s="58"/>
      <c r="AA520" s="60"/>
    </row>
    <row r="521" spans="11:27">
      <c r="K521" s="51"/>
      <c r="Q521" s="51"/>
      <c r="R521" s="51"/>
      <c r="S521" s="51"/>
      <c r="W521" s="53"/>
      <c r="X521" s="53"/>
      <c r="Y521" s="58"/>
      <c r="Z521" s="58"/>
      <c r="AA521" s="60"/>
    </row>
    <row r="522" spans="11:27">
      <c r="K522" s="51"/>
      <c r="Q522" s="51"/>
      <c r="R522" s="51"/>
      <c r="S522" s="51"/>
      <c r="W522" s="53"/>
      <c r="X522" s="53"/>
      <c r="Y522" s="58"/>
      <c r="Z522" s="58"/>
      <c r="AA522" s="60"/>
    </row>
    <row r="523" spans="11:27">
      <c r="K523" s="51"/>
      <c r="Q523" s="51"/>
      <c r="R523" s="51"/>
      <c r="S523" s="51"/>
      <c r="W523" s="53"/>
      <c r="X523" s="53"/>
      <c r="Y523" s="58"/>
      <c r="Z523" s="58"/>
      <c r="AA523" s="60"/>
    </row>
    <row r="524" spans="11:27">
      <c r="K524" s="51"/>
      <c r="Q524" s="51"/>
      <c r="R524" s="51"/>
      <c r="S524" s="51"/>
      <c r="W524" s="53"/>
      <c r="X524" s="53"/>
      <c r="Y524" s="58"/>
      <c r="Z524" s="58"/>
      <c r="AA524" s="60"/>
    </row>
    <row r="525" spans="11:27">
      <c r="K525" s="51"/>
      <c r="Q525" s="51"/>
      <c r="R525" s="51"/>
      <c r="S525" s="51"/>
      <c r="W525" s="53"/>
      <c r="X525" s="53"/>
      <c r="Y525" s="58"/>
      <c r="Z525" s="58"/>
      <c r="AA525" s="60"/>
    </row>
    <row r="526" spans="11:27">
      <c r="K526" s="51"/>
      <c r="Q526" s="51"/>
      <c r="R526" s="51"/>
      <c r="S526" s="51"/>
      <c r="W526" s="53"/>
      <c r="X526" s="53"/>
      <c r="Y526" s="58"/>
      <c r="Z526" s="58"/>
      <c r="AA526" s="60"/>
    </row>
    <row r="527" spans="11:27">
      <c r="K527" s="51"/>
      <c r="Q527" s="51"/>
      <c r="R527" s="51"/>
      <c r="S527" s="51"/>
      <c r="W527" s="53"/>
      <c r="X527" s="53"/>
      <c r="Y527" s="58"/>
      <c r="Z527" s="58"/>
      <c r="AA527" s="60"/>
    </row>
    <row r="528" spans="11:27">
      <c r="K528" s="51"/>
      <c r="Q528" s="51"/>
      <c r="R528" s="51"/>
      <c r="S528" s="51"/>
      <c r="W528" s="53"/>
      <c r="X528" s="53"/>
      <c r="Y528" s="58"/>
      <c r="Z528" s="58"/>
      <c r="AA528" s="60"/>
    </row>
    <row r="529" spans="11:27">
      <c r="K529" s="51"/>
      <c r="Q529" s="51"/>
      <c r="R529" s="51"/>
      <c r="S529" s="51"/>
      <c r="W529" s="53"/>
      <c r="X529" s="53"/>
      <c r="Y529" s="58"/>
      <c r="Z529" s="58"/>
      <c r="AA529" s="60"/>
    </row>
    <row r="530" spans="11:27">
      <c r="K530" s="51"/>
      <c r="Q530" s="51"/>
      <c r="R530" s="51"/>
      <c r="S530" s="51"/>
      <c r="W530" s="53"/>
      <c r="X530" s="53"/>
      <c r="Y530" s="58"/>
      <c r="Z530" s="58"/>
      <c r="AA530" s="60"/>
    </row>
    <row r="531" spans="11:27">
      <c r="K531" s="51"/>
      <c r="Q531" s="51"/>
      <c r="R531" s="51"/>
      <c r="S531" s="51"/>
      <c r="W531" s="53"/>
      <c r="X531" s="53"/>
      <c r="Y531" s="58"/>
      <c r="Z531" s="58"/>
      <c r="AA531" s="60"/>
    </row>
    <row r="532" spans="11:27">
      <c r="K532" s="51"/>
      <c r="Q532" s="51"/>
      <c r="R532" s="51"/>
      <c r="S532" s="51"/>
      <c r="W532" s="53"/>
      <c r="X532" s="53"/>
      <c r="Y532" s="58"/>
      <c r="Z532" s="58"/>
      <c r="AA532" s="60"/>
    </row>
    <row r="533" spans="11:27">
      <c r="K533" s="51"/>
      <c r="Q533" s="51"/>
      <c r="R533" s="51"/>
      <c r="S533" s="51"/>
      <c r="W533" s="53"/>
      <c r="X533" s="53"/>
      <c r="Y533" s="58"/>
      <c r="Z533" s="58"/>
      <c r="AA533" s="60"/>
    </row>
    <row r="534" spans="11:27">
      <c r="K534" s="51"/>
      <c r="Q534" s="51"/>
      <c r="R534" s="51"/>
      <c r="S534" s="51"/>
      <c r="W534" s="53"/>
      <c r="X534" s="53"/>
      <c r="Y534" s="58"/>
      <c r="Z534" s="58"/>
      <c r="AA534" s="60"/>
    </row>
    <row r="535" spans="11:27">
      <c r="K535" s="51"/>
      <c r="Q535" s="51"/>
      <c r="R535" s="51"/>
      <c r="S535" s="51"/>
      <c r="W535" s="53"/>
      <c r="X535" s="53"/>
      <c r="Y535" s="58"/>
      <c r="Z535" s="58"/>
      <c r="AA535" s="60"/>
    </row>
    <row r="536" spans="11:27">
      <c r="K536" s="51"/>
      <c r="Q536" s="51"/>
      <c r="R536" s="51"/>
      <c r="S536" s="51"/>
      <c r="W536" s="53"/>
      <c r="X536" s="53"/>
      <c r="Y536" s="58"/>
      <c r="Z536" s="58"/>
      <c r="AA536" s="60"/>
    </row>
    <row r="537" spans="11:27">
      <c r="K537" s="51"/>
      <c r="Q537" s="51"/>
      <c r="R537" s="51"/>
      <c r="S537" s="51"/>
      <c r="W537" s="53"/>
      <c r="X537" s="53"/>
      <c r="Y537" s="58"/>
      <c r="Z537" s="58"/>
      <c r="AA537" s="60"/>
    </row>
    <row r="538" spans="11:27">
      <c r="K538" s="51"/>
      <c r="Q538" s="51"/>
      <c r="R538" s="51"/>
      <c r="S538" s="51"/>
      <c r="W538" s="53"/>
      <c r="X538" s="53"/>
      <c r="Y538" s="58"/>
      <c r="Z538" s="58"/>
      <c r="AA538" s="60"/>
    </row>
    <row r="539" spans="11:27">
      <c r="K539" s="51"/>
      <c r="Q539" s="51"/>
      <c r="R539" s="51"/>
      <c r="S539" s="51"/>
      <c r="W539" s="53"/>
      <c r="X539" s="53"/>
      <c r="Y539" s="58"/>
      <c r="Z539" s="58"/>
      <c r="AA539" s="60"/>
    </row>
    <row r="540" spans="11:27">
      <c r="K540" s="51"/>
      <c r="Q540" s="51"/>
      <c r="R540" s="51"/>
      <c r="S540" s="51"/>
      <c r="W540" s="53"/>
      <c r="X540" s="53"/>
      <c r="Y540" s="58"/>
      <c r="Z540" s="58"/>
      <c r="AA540" s="60"/>
    </row>
    <row r="541" spans="11:27">
      <c r="K541" s="51"/>
      <c r="Q541" s="51"/>
      <c r="R541" s="51"/>
      <c r="S541" s="51"/>
      <c r="W541" s="53"/>
      <c r="X541" s="53"/>
      <c r="Y541" s="58"/>
      <c r="Z541" s="58"/>
      <c r="AA541" s="60"/>
    </row>
    <row r="542" spans="11:27">
      <c r="K542" s="51"/>
      <c r="Q542" s="51"/>
      <c r="R542" s="51"/>
      <c r="S542" s="51"/>
      <c r="W542" s="53"/>
      <c r="X542" s="53"/>
      <c r="Y542" s="58"/>
      <c r="Z542" s="58"/>
      <c r="AA542" s="60"/>
    </row>
    <row r="543" spans="11:27">
      <c r="K543" s="51"/>
      <c r="Q543" s="51"/>
      <c r="R543" s="51"/>
      <c r="S543" s="51"/>
      <c r="W543" s="53"/>
      <c r="X543" s="53"/>
      <c r="Y543" s="58"/>
      <c r="Z543" s="58"/>
      <c r="AA543" s="60"/>
    </row>
    <row r="544" spans="11:27">
      <c r="K544" s="51"/>
      <c r="Q544" s="51"/>
      <c r="R544" s="51"/>
      <c r="S544" s="51"/>
      <c r="W544" s="53"/>
      <c r="X544" s="53"/>
      <c r="Y544" s="58"/>
      <c r="Z544" s="58"/>
      <c r="AA544" s="60"/>
    </row>
    <row r="545" spans="11:27">
      <c r="K545" s="51"/>
      <c r="Q545" s="51"/>
      <c r="R545" s="51"/>
      <c r="S545" s="51"/>
      <c r="W545" s="53"/>
      <c r="X545" s="53"/>
      <c r="Y545" s="58"/>
      <c r="Z545" s="58"/>
      <c r="AA545" s="60"/>
    </row>
    <row r="546" spans="11:27">
      <c r="K546" s="51"/>
      <c r="Q546" s="51"/>
      <c r="R546" s="51"/>
      <c r="S546" s="51"/>
      <c r="W546" s="53"/>
      <c r="X546" s="53"/>
      <c r="Y546" s="58"/>
      <c r="Z546" s="58"/>
      <c r="AA546" s="60"/>
    </row>
    <row r="547" spans="11:27">
      <c r="K547" s="51"/>
      <c r="Q547" s="51"/>
      <c r="R547" s="51"/>
      <c r="S547" s="51"/>
      <c r="W547" s="53"/>
      <c r="X547" s="53"/>
      <c r="Y547" s="58"/>
      <c r="Z547" s="58"/>
      <c r="AA547" s="60"/>
    </row>
    <row r="548" spans="11:27">
      <c r="K548" s="51"/>
      <c r="Q548" s="51"/>
      <c r="R548" s="51"/>
      <c r="S548" s="51"/>
      <c r="W548" s="53"/>
      <c r="X548" s="53"/>
      <c r="Y548" s="58"/>
      <c r="Z548" s="58"/>
      <c r="AA548" s="60"/>
    </row>
    <row r="549" spans="11:27">
      <c r="K549" s="51"/>
      <c r="Q549" s="51"/>
      <c r="R549" s="51"/>
      <c r="S549" s="51"/>
      <c r="W549" s="53"/>
      <c r="X549" s="53"/>
      <c r="Y549" s="58"/>
      <c r="Z549" s="58"/>
      <c r="AA549" s="60"/>
    </row>
    <row r="550" spans="11:27">
      <c r="K550" s="51"/>
      <c r="Q550" s="51"/>
      <c r="R550" s="51"/>
      <c r="S550" s="51"/>
      <c r="W550" s="53"/>
      <c r="X550" s="53"/>
      <c r="Y550" s="58"/>
      <c r="Z550" s="58"/>
      <c r="AA550" s="60"/>
    </row>
    <row r="551" spans="11:27">
      <c r="K551" s="51"/>
      <c r="Q551" s="51"/>
      <c r="R551" s="51"/>
      <c r="S551" s="51"/>
      <c r="W551" s="53"/>
      <c r="X551" s="53"/>
      <c r="Y551" s="58"/>
      <c r="Z551" s="58"/>
      <c r="AA551" s="60"/>
    </row>
    <row r="552" spans="11:27">
      <c r="K552" s="51"/>
      <c r="Q552" s="51"/>
      <c r="R552" s="51"/>
      <c r="S552" s="51"/>
      <c r="W552" s="53"/>
      <c r="X552" s="53"/>
      <c r="Y552" s="58"/>
      <c r="Z552" s="58"/>
      <c r="AA552" s="60"/>
    </row>
    <row r="553" spans="11:27">
      <c r="K553" s="51"/>
      <c r="Q553" s="51"/>
      <c r="R553" s="51"/>
      <c r="S553" s="51"/>
      <c r="W553" s="53"/>
      <c r="X553" s="53"/>
      <c r="Y553" s="58"/>
      <c r="Z553" s="58"/>
      <c r="AA553" s="60"/>
    </row>
    <row r="554" spans="11:27">
      <c r="K554" s="51"/>
      <c r="Q554" s="51"/>
      <c r="R554" s="51"/>
      <c r="S554" s="51"/>
      <c r="W554" s="53"/>
      <c r="X554" s="53"/>
      <c r="Y554" s="58"/>
      <c r="Z554" s="58"/>
      <c r="AA554" s="60"/>
    </row>
    <row r="555" spans="11:27">
      <c r="K555" s="51"/>
      <c r="Q555" s="51"/>
      <c r="R555" s="51"/>
      <c r="S555" s="51"/>
      <c r="W555" s="53"/>
      <c r="X555" s="53"/>
      <c r="Y555" s="58"/>
      <c r="Z555" s="58"/>
      <c r="AA555" s="60"/>
    </row>
    <row r="556" spans="11:27">
      <c r="K556" s="51"/>
      <c r="Q556" s="51"/>
      <c r="R556" s="51"/>
      <c r="S556" s="51"/>
      <c r="W556" s="53"/>
      <c r="X556" s="53"/>
      <c r="Y556" s="58"/>
      <c r="Z556" s="58"/>
      <c r="AA556" s="60"/>
    </row>
    <row r="557" spans="11:27">
      <c r="K557" s="51"/>
      <c r="Q557" s="51"/>
      <c r="R557" s="51"/>
      <c r="S557" s="51"/>
      <c r="W557" s="53"/>
      <c r="X557" s="53"/>
      <c r="Y557" s="58"/>
      <c r="Z557" s="58"/>
      <c r="AA557" s="60"/>
    </row>
    <row r="558" spans="11:27">
      <c r="K558" s="51"/>
      <c r="Q558" s="51"/>
      <c r="R558" s="51"/>
      <c r="S558" s="51"/>
      <c r="W558" s="53"/>
      <c r="X558" s="53"/>
      <c r="Y558" s="58"/>
      <c r="Z558" s="58"/>
      <c r="AA558" s="60"/>
    </row>
    <row r="559" spans="11:27">
      <c r="K559" s="51"/>
      <c r="Q559" s="51"/>
      <c r="R559" s="51"/>
      <c r="S559" s="51"/>
      <c r="W559" s="53"/>
      <c r="X559" s="53"/>
      <c r="Y559" s="58"/>
      <c r="Z559" s="58"/>
      <c r="AA559" s="60"/>
    </row>
    <row r="560" spans="11:27">
      <c r="K560" s="51"/>
      <c r="Q560" s="51"/>
      <c r="R560" s="51"/>
      <c r="S560" s="51"/>
      <c r="W560" s="53"/>
      <c r="X560" s="53"/>
      <c r="Y560" s="58"/>
      <c r="Z560" s="58"/>
      <c r="AA560" s="60"/>
    </row>
    <row r="561" spans="11:27">
      <c r="K561" s="51"/>
      <c r="Q561" s="51"/>
      <c r="R561" s="51"/>
      <c r="S561" s="51"/>
      <c r="W561" s="53"/>
      <c r="X561" s="53"/>
      <c r="Y561" s="58"/>
      <c r="Z561" s="58"/>
      <c r="AA561" s="60"/>
    </row>
    <row r="562" spans="11:27">
      <c r="K562" s="51"/>
      <c r="Q562" s="51"/>
      <c r="R562" s="51"/>
      <c r="S562" s="51"/>
      <c r="W562" s="53"/>
      <c r="X562" s="53"/>
      <c r="Y562" s="58"/>
      <c r="Z562" s="58"/>
      <c r="AA562" s="60"/>
    </row>
    <row r="563" spans="11:27">
      <c r="K563" s="51"/>
      <c r="Q563" s="51"/>
      <c r="R563" s="51"/>
      <c r="S563" s="51"/>
      <c r="W563" s="53"/>
      <c r="X563" s="53"/>
      <c r="Y563" s="58"/>
      <c r="Z563" s="58"/>
      <c r="AA563" s="60"/>
    </row>
    <row r="564" spans="11:27">
      <c r="K564" s="51"/>
      <c r="Q564" s="51"/>
      <c r="R564" s="51"/>
      <c r="S564" s="51"/>
      <c r="W564" s="53"/>
      <c r="X564" s="53"/>
      <c r="Y564" s="58"/>
      <c r="Z564" s="58"/>
      <c r="AA564" s="60"/>
    </row>
    <row r="565" spans="11:27">
      <c r="K565" s="51"/>
      <c r="Q565" s="51"/>
      <c r="R565" s="51"/>
      <c r="S565" s="51"/>
      <c r="W565" s="53"/>
      <c r="X565" s="53"/>
      <c r="Y565" s="58"/>
      <c r="Z565" s="58"/>
      <c r="AA565" s="60"/>
    </row>
    <row r="566" spans="11:27">
      <c r="K566" s="51"/>
      <c r="Q566" s="51"/>
      <c r="R566" s="51"/>
      <c r="S566" s="51"/>
      <c r="W566" s="53"/>
      <c r="X566" s="53"/>
      <c r="Y566" s="58"/>
      <c r="Z566" s="58"/>
      <c r="AA566" s="60"/>
    </row>
    <row r="567" spans="11:27">
      <c r="K567" s="51"/>
      <c r="Q567" s="51"/>
      <c r="R567" s="51"/>
      <c r="S567" s="51"/>
      <c r="W567" s="53"/>
      <c r="X567" s="53"/>
      <c r="Y567" s="58"/>
      <c r="Z567" s="58"/>
      <c r="AA567" s="60"/>
    </row>
    <row r="568" spans="11:27">
      <c r="K568" s="51"/>
      <c r="Q568" s="51"/>
      <c r="R568" s="51"/>
      <c r="S568" s="51"/>
      <c r="W568" s="53"/>
      <c r="X568" s="53"/>
      <c r="Y568" s="58"/>
      <c r="Z568" s="58"/>
      <c r="AA568" s="60"/>
    </row>
    <row r="569" spans="11:27">
      <c r="K569" s="51"/>
      <c r="Q569" s="51"/>
      <c r="R569" s="51"/>
      <c r="S569" s="51"/>
      <c r="W569" s="53"/>
      <c r="X569" s="53"/>
      <c r="Y569" s="58"/>
      <c r="Z569" s="58"/>
      <c r="AA569" s="60"/>
    </row>
    <row r="570" spans="11:27">
      <c r="K570" s="51"/>
      <c r="Q570" s="51"/>
      <c r="R570" s="51"/>
      <c r="S570" s="51"/>
      <c r="W570" s="53"/>
      <c r="X570" s="53"/>
      <c r="Y570" s="58"/>
      <c r="Z570" s="58"/>
      <c r="AA570" s="60"/>
    </row>
    <row r="571" spans="11:27">
      <c r="K571" s="51"/>
      <c r="Q571" s="51"/>
      <c r="R571" s="51"/>
      <c r="S571" s="51"/>
      <c r="W571" s="53"/>
      <c r="X571" s="53"/>
      <c r="Y571" s="58"/>
      <c r="Z571" s="58"/>
      <c r="AA571" s="60"/>
    </row>
    <row r="572" spans="11:27">
      <c r="K572" s="51"/>
      <c r="Q572" s="51"/>
      <c r="R572" s="51"/>
      <c r="S572" s="51"/>
      <c r="W572" s="53"/>
      <c r="X572" s="53"/>
      <c r="Y572" s="58"/>
      <c r="Z572" s="58"/>
      <c r="AA572" s="60"/>
    </row>
    <row r="573" spans="11:27">
      <c r="K573" s="51"/>
      <c r="Q573" s="51"/>
      <c r="R573" s="51"/>
      <c r="S573" s="51"/>
      <c r="W573" s="53"/>
      <c r="X573" s="53"/>
      <c r="Y573" s="58"/>
      <c r="Z573" s="58"/>
      <c r="AA573" s="60"/>
    </row>
    <row r="574" spans="11:27">
      <c r="K574" s="51"/>
      <c r="Q574" s="51"/>
      <c r="R574" s="51"/>
      <c r="S574" s="51"/>
      <c r="W574" s="53"/>
      <c r="X574" s="53"/>
      <c r="Y574" s="58"/>
      <c r="Z574" s="58"/>
      <c r="AA574" s="60"/>
    </row>
    <row r="575" spans="11:27">
      <c r="K575" s="51"/>
      <c r="Q575" s="51"/>
      <c r="R575" s="51"/>
      <c r="S575" s="51"/>
      <c r="W575" s="53"/>
      <c r="X575" s="53"/>
      <c r="Y575" s="58"/>
      <c r="Z575" s="58"/>
      <c r="AA575" s="60"/>
    </row>
    <row r="576" spans="11:27">
      <c r="K576" s="51"/>
      <c r="Q576" s="51"/>
      <c r="R576" s="51"/>
      <c r="S576" s="51"/>
      <c r="W576" s="53"/>
      <c r="X576" s="53"/>
      <c r="Y576" s="58"/>
      <c r="Z576" s="58"/>
      <c r="AA576" s="60"/>
    </row>
    <row r="577" spans="11:27">
      <c r="K577" s="51"/>
      <c r="Q577" s="51"/>
      <c r="R577" s="51"/>
      <c r="S577" s="51"/>
      <c r="W577" s="53"/>
      <c r="X577" s="53"/>
      <c r="Y577" s="58"/>
      <c r="Z577" s="58"/>
      <c r="AA577" s="60"/>
    </row>
    <row r="578" spans="11:27">
      <c r="K578" s="51"/>
      <c r="Q578" s="51"/>
      <c r="R578" s="51"/>
      <c r="S578" s="51"/>
      <c r="W578" s="53"/>
      <c r="X578" s="53"/>
      <c r="Y578" s="58"/>
      <c r="Z578" s="58"/>
      <c r="AA578" s="60"/>
    </row>
    <row r="579" spans="11:27">
      <c r="K579" s="51"/>
      <c r="Q579" s="51"/>
      <c r="R579" s="51"/>
      <c r="S579" s="51"/>
      <c r="W579" s="53"/>
      <c r="X579" s="53"/>
      <c r="Y579" s="58"/>
      <c r="Z579" s="58"/>
      <c r="AA579" s="60"/>
    </row>
    <row r="580" spans="11:27">
      <c r="K580" s="51"/>
      <c r="Q580" s="51"/>
      <c r="R580" s="51"/>
      <c r="S580" s="51"/>
      <c r="W580" s="53"/>
      <c r="X580" s="53"/>
      <c r="Y580" s="58"/>
      <c r="Z580" s="58"/>
      <c r="AA580" s="60"/>
    </row>
    <row r="581" spans="11:27">
      <c r="K581" s="51"/>
      <c r="Q581" s="51"/>
      <c r="R581" s="51"/>
      <c r="S581" s="51"/>
      <c r="W581" s="53"/>
      <c r="X581" s="53"/>
      <c r="Y581" s="58"/>
      <c r="Z581" s="58"/>
      <c r="AA581" s="60"/>
    </row>
    <row r="582" spans="11:27">
      <c r="K582" s="51"/>
      <c r="Q582" s="51"/>
      <c r="R582" s="51"/>
      <c r="S582" s="51"/>
      <c r="W582" s="53"/>
      <c r="X582" s="53"/>
      <c r="Y582" s="58"/>
      <c r="Z582" s="58"/>
      <c r="AA582" s="60"/>
    </row>
    <row r="583" spans="11:27">
      <c r="K583" s="51"/>
      <c r="Q583" s="51"/>
      <c r="R583" s="51"/>
      <c r="S583" s="51"/>
      <c r="W583" s="53"/>
      <c r="X583" s="53"/>
      <c r="Y583" s="58"/>
      <c r="Z583" s="58"/>
      <c r="AA583" s="60"/>
    </row>
    <row r="584" spans="11:27">
      <c r="K584" s="51"/>
      <c r="Q584" s="51"/>
      <c r="R584" s="51"/>
      <c r="S584" s="51"/>
      <c r="W584" s="53"/>
      <c r="X584" s="53"/>
      <c r="Y584" s="58"/>
      <c r="Z584" s="58"/>
      <c r="AA584" s="60"/>
    </row>
    <row r="585" spans="11:27">
      <c r="K585" s="51"/>
      <c r="Q585" s="51"/>
      <c r="R585" s="51"/>
      <c r="S585" s="51"/>
      <c r="W585" s="53"/>
      <c r="X585" s="53"/>
      <c r="Y585" s="58"/>
      <c r="Z585" s="58"/>
      <c r="AA585" s="60"/>
    </row>
    <row r="586" spans="11:27">
      <c r="K586" s="51"/>
      <c r="Q586" s="51"/>
      <c r="R586" s="51"/>
      <c r="S586" s="51"/>
      <c r="W586" s="53"/>
      <c r="X586" s="53"/>
      <c r="Y586" s="58"/>
      <c r="Z586" s="58"/>
      <c r="AA586" s="60"/>
    </row>
    <row r="587" spans="11:27">
      <c r="K587" s="51"/>
      <c r="Q587" s="51"/>
      <c r="R587" s="51"/>
      <c r="S587" s="51"/>
      <c r="W587" s="53"/>
      <c r="X587" s="53"/>
      <c r="Y587" s="58"/>
      <c r="Z587" s="58"/>
      <c r="AA587" s="60"/>
    </row>
    <row r="588" spans="11:27">
      <c r="K588" s="51"/>
      <c r="Q588" s="51"/>
      <c r="R588" s="51"/>
      <c r="S588" s="51"/>
      <c r="W588" s="53"/>
      <c r="X588" s="53"/>
      <c r="Y588" s="58"/>
      <c r="Z588" s="58"/>
      <c r="AA588" s="60"/>
    </row>
    <row r="589" spans="11:27">
      <c r="K589" s="51"/>
      <c r="Q589" s="51"/>
      <c r="R589" s="51"/>
      <c r="S589" s="51"/>
      <c r="W589" s="53"/>
      <c r="X589" s="53"/>
      <c r="Y589" s="58"/>
      <c r="Z589" s="58"/>
      <c r="AA589" s="60"/>
    </row>
    <row r="590" spans="11:27">
      <c r="K590" s="51"/>
      <c r="Q590" s="51"/>
      <c r="R590" s="51"/>
      <c r="S590" s="51"/>
      <c r="W590" s="53"/>
      <c r="X590" s="53"/>
      <c r="Y590" s="58"/>
      <c r="Z590" s="58"/>
      <c r="AA590" s="60"/>
    </row>
    <row r="591" spans="11:27">
      <c r="K591" s="51"/>
      <c r="Q591" s="51"/>
      <c r="R591" s="51"/>
      <c r="S591" s="51"/>
      <c r="W591" s="53"/>
      <c r="X591" s="53"/>
      <c r="Y591" s="58"/>
      <c r="Z591" s="58"/>
      <c r="AA591" s="60"/>
    </row>
    <row r="592" spans="11:27">
      <c r="K592" s="51"/>
      <c r="Q592" s="51"/>
      <c r="R592" s="51"/>
      <c r="S592" s="51"/>
      <c r="W592" s="53"/>
      <c r="X592" s="53"/>
      <c r="Y592" s="58"/>
      <c r="Z592" s="58"/>
      <c r="AA592" s="60"/>
    </row>
    <row r="593" spans="11:27">
      <c r="K593" s="51"/>
      <c r="Q593" s="51"/>
      <c r="R593" s="51"/>
      <c r="S593" s="51"/>
      <c r="W593" s="53"/>
      <c r="X593" s="53"/>
      <c r="Y593" s="58"/>
      <c r="Z593" s="58"/>
      <c r="AA593" s="60"/>
    </row>
    <row r="594" spans="11:27">
      <c r="K594" s="51"/>
      <c r="Q594" s="51"/>
      <c r="R594" s="51"/>
      <c r="S594" s="51"/>
      <c r="W594" s="53"/>
      <c r="X594" s="53"/>
      <c r="Y594" s="58"/>
      <c r="Z594" s="58"/>
      <c r="AA594" s="60"/>
    </row>
    <row r="595" spans="11:27">
      <c r="K595" s="51"/>
      <c r="Q595" s="51"/>
      <c r="R595" s="51"/>
      <c r="S595" s="51"/>
      <c r="W595" s="53"/>
      <c r="X595" s="53"/>
      <c r="Y595" s="58"/>
      <c r="Z595" s="58"/>
      <c r="AA595" s="60"/>
    </row>
    <row r="596" spans="11:27">
      <c r="K596" s="51"/>
      <c r="Q596" s="51"/>
      <c r="R596" s="51"/>
      <c r="S596" s="51"/>
      <c r="W596" s="53"/>
      <c r="X596" s="53"/>
      <c r="Y596" s="58"/>
      <c r="Z596" s="58"/>
      <c r="AA596" s="60"/>
    </row>
    <row r="597" spans="11:27">
      <c r="K597" s="51"/>
      <c r="Q597" s="51"/>
      <c r="R597" s="51"/>
      <c r="S597" s="51"/>
      <c r="W597" s="53"/>
      <c r="X597" s="53"/>
      <c r="Y597" s="58"/>
      <c r="Z597" s="58"/>
      <c r="AA597" s="60"/>
    </row>
    <row r="598" spans="11:27">
      <c r="K598" s="51"/>
      <c r="Q598" s="51"/>
      <c r="R598" s="51"/>
      <c r="S598" s="51"/>
      <c r="W598" s="53"/>
      <c r="X598" s="53"/>
      <c r="Y598" s="58"/>
      <c r="Z598" s="58"/>
      <c r="AA598" s="60"/>
    </row>
    <row r="599" spans="11:27">
      <c r="K599" s="51"/>
      <c r="Q599" s="51"/>
      <c r="R599" s="51"/>
      <c r="S599" s="51"/>
      <c r="W599" s="53"/>
      <c r="X599" s="53"/>
      <c r="Y599" s="58"/>
      <c r="Z599" s="58"/>
      <c r="AA599" s="60"/>
    </row>
    <row r="600" spans="11:27">
      <c r="K600" s="51"/>
      <c r="Q600" s="51"/>
      <c r="R600" s="51"/>
      <c r="S600" s="51"/>
      <c r="W600" s="53"/>
      <c r="X600" s="53"/>
      <c r="Y600" s="58"/>
      <c r="Z600" s="58"/>
      <c r="AA600" s="60"/>
    </row>
    <row r="601" spans="11:27">
      <c r="K601" s="51"/>
      <c r="Q601" s="51"/>
      <c r="R601" s="51"/>
      <c r="S601" s="51"/>
      <c r="W601" s="53"/>
      <c r="X601" s="53"/>
      <c r="Y601" s="58"/>
      <c r="Z601" s="58"/>
      <c r="AA601" s="60"/>
    </row>
    <row r="602" spans="11:27">
      <c r="K602" s="51"/>
      <c r="Q602" s="51"/>
      <c r="R602" s="51"/>
      <c r="S602" s="51"/>
      <c r="W602" s="53"/>
      <c r="X602" s="53"/>
      <c r="Y602" s="58"/>
      <c r="Z602" s="58"/>
      <c r="AA602" s="60"/>
    </row>
    <row r="603" spans="11:27">
      <c r="K603" s="51"/>
      <c r="Q603" s="51"/>
      <c r="R603" s="51"/>
      <c r="S603" s="51"/>
      <c r="W603" s="53"/>
      <c r="X603" s="53"/>
      <c r="Y603" s="58"/>
      <c r="Z603" s="58"/>
      <c r="AA603" s="60"/>
    </row>
    <row r="604" spans="11:27">
      <c r="K604" s="51"/>
      <c r="Q604" s="51"/>
      <c r="R604" s="51"/>
      <c r="S604" s="51"/>
      <c r="W604" s="53"/>
      <c r="X604" s="53"/>
      <c r="Y604" s="58"/>
      <c r="Z604" s="58"/>
      <c r="AA604" s="60"/>
    </row>
    <row r="605" spans="11:27">
      <c r="K605" s="51"/>
      <c r="Q605" s="51"/>
      <c r="R605" s="51"/>
      <c r="S605" s="51"/>
      <c r="W605" s="53"/>
      <c r="X605" s="53"/>
      <c r="Y605" s="58"/>
      <c r="Z605" s="58"/>
      <c r="AA605" s="60"/>
    </row>
    <row r="606" spans="11:27">
      <c r="K606" s="51"/>
      <c r="Q606" s="51"/>
      <c r="R606" s="51"/>
      <c r="S606" s="51"/>
      <c r="W606" s="53"/>
      <c r="X606" s="53"/>
      <c r="Y606" s="58"/>
      <c r="Z606" s="58"/>
      <c r="AA606" s="60"/>
    </row>
    <row r="607" spans="11:27">
      <c r="K607" s="51"/>
      <c r="Q607" s="51"/>
      <c r="R607" s="51"/>
      <c r="S607" s="51"/>
      <c r="W607" s="53"/>
      <c r="X607" s="53"/>
      <c r="Y607" s="58"/>
      <c r="Z607" s="58"/>
      <c r="AA607" s="60"/>
    </row>
    <row r="608" spans="11:27">
      <c r="K608" s="51"/>
      <c r="Q608" s="51"/>
      <c r="R608" s="51"/>
      <c r="S608" s="51"/>
      <c r="W608" s="53"/>
      <c r="X608" s="53"/>
      <c r="Y608" s="58"/>
      <c r="Z608" s="58"/>
      <c r="AA608" s="60"/>
    </row>
    <row r="609" spans="11:27">
      <c r="K609" s="51"/>
      <c r="Q609" s="51"/>
      <c r="R609" s="51"/>
      <c r="S609" s="51"/>
      <c r="W609" s="53"/>
      <c r="X609" s="53"/>
      <c r="Y609" s="58"/>
      <c r="Z609" s="58"/>
      <c r="AA609" s="60"/>
    </row>
    <row r="610" spans="11:27">
      <c r="K610" s="51"/>
      <c r="Q610" s="51"/>
      <c r="R610" s="51"/>
      <c r="S610" s="51"/>
      <c r="W610" s="53"/>
      <c r="X610" s="53"/>
      <c r="Y610" s="58"/>
      <c r="Z610" s="58"/>
      <c r="AA610" s="60"/>
    </row>
    <row r="611" spans="11:27">
      <c r="K611" s="51"/>
      <c r="Q611" s="51"/>
      <c r="R611" s="51"/>
      <c r="S611" s="51"/>
      <c r="W611" s="53"/>
      <c r="X611" s="53"/>
      <c r="Y611" s="58"/>
      <c r="Z611" s="58"/>
      <c r="AA611" s="60"/>
    </row>
    <row r="612" spans="11:27">
      <c r="K612" s="51"/>
      <c r="Q612" s="51"/>
      <c r="R612" s="51"/>
      <c r="S612" s="51"/>
      <c r="W612" s="53"/>
      <c r="X612" s="53"/>
      <c r="Y612" s="58"/>
      <c r="Z612" s="58"/>
      <c r="AA612" s="60"/>
    </row>
    <row r="613" spans="11:27">
      <c r="K613" s="51"/>
      <c r="Q613" s="51"/>
      <c r="R613" s="51"/>
      <c r="S613" s="51"/>
      <c r="W613" s="53"/>
      <c r="X613" s="53"/>
      <c r="Y613" s="58"/>
      <c r="Z613" s="58"/>
      <c r="AA613" s="60"/>
    </row>
    <row r="614" spans="11:27">
      <c r="K614" s="51"/>
      <c r="Q614" s="51"/>
      <c r="R614" s="51"/>
      <c r="S614" s="51"/>
      <c r="W614" s="53"/>
      <c r="X614" s="53"/>
      <c r="Y614" s="58"/>
      <c r="Z614" s="58"/>
      <c r="AA614" s="60"/>
    </row>
    <row r="615" spans="11:27">
      <c r="K615" s="51"/>
      <c r="Q615" s="51"/>
      <c r="R615" s="51"/>
      <c r="S615" s="51"/>
      <c r="W615" s="53"/>
      <c r="X615" s="53"/>
      <c r="Y615" s="58"/>
      <c r="Z615" s="58"/>
      <c r="AA615" s="60"/>
    </row>
    <row r="616" spans="11:27">
      <c r="K616" s="51"/>
      <c r="Q616" s="51"/>
      <c r="R616" s="51"/>
      <c r="S616" s="51"/>
      <c r="W616" s="53"/>
      <c r="X616" s="53"/>
      <c r="Y616" s="58"/>
      <c r="Z616" s="58"/>
      <c r="AA616" s="60"/>
    </row>
    <row r="617" spans="11:27">
      <c r="K617" s="51"/>
      <c r="Q617" s="51"/>
      <c r="R617" s="51"/>
      <c r="S617" s="51"/>
      <c r="W617" s="53"/>
      <c r="X617" s="53"/>
      <c r="Y617" s="58"/>
      <c r="Z617" s="58"/>
      <c r="AA617" s="60"/>
    </row>
    <row r="618" spans="11:27">
      <c r="K618" s="51"/>
      <c r="Q618" s="51"/>
      <c r="R618" s="51"/>
      <c r="S618" s="51"/>
      <c r="W618" s="53"/>
      <c r="X618" s="53"/>
      <c r="Y618" s="58"/>
      <c r="Z618" s="58"/>
      <c r="AA618" s="60"/>
    </row>
    <row r="619" spans="11:27">
      <c r="K619" s="51"/>
      <c r="Q619" s="51"/>
      <c r="R619" s="51"/>
      <c r="S619" s="51"/>
      <c r="W619" s="53"/>
      <c r="X619" s="53"/>
      <c r="Y619" s="58"/>
      <c r="Z619" s="58"/>
      <c r="AA619" s="60"/>
    </row>
    <row r="620" spans="11:27">
      <c r="K620" s="51"/>
      <c r="Q620" s="51"/>
      <c r="R620" s="51"/>
      <c r="S620" s="51"/>
      <c r="W620" s="53"/>
      <c r="X620" s="53"/>
      <c r="Y620" s="58"/>
      <c r="Z620" s="58"/>
      <c r="AA620" s="60"/>
    </row>
    <row r="621" spans="11:27">
      <c r="K621" s="51"/>
      <c r="Q621" s="51"/>
      <c r="R621" s="51"/>
      <c r="S621" s="51"/>
      <c r="W621" s="53"/>
      <c r="X621" s="53"/>
      <c r="Y621" s="58"/>
      <c r="Z621" s="58"/>
      <c r="AA621" s="60"/>
    </row>
    <row r="622" spans="11:27">
      <c r="K622" s="51"/>
      <c r="Q622" s="51"/>
      <c r="R622" s="51"/>
      <c r="S622" s="51"/>
      <c r="W622" s="53"/>
      <c r="X622" s="53"/>
      <c r="Y622" s="58"/>
      <c r="Z622" s="58"/>
      <c r="AA622" s="60"/>
    </row>
    <row r="623" spans="11:27">
      <c r="K623" s="51"/>
      <c r="Q623" s="51"/>
      <c r="R623" s="51"/>
      <c r="S623" s="51"/>
      <c r="W623" s="53"/>
      <c r="X623" s="53"/>
      <c r="Y623" s="58"/>
      <c r="Z623" s="58"/>
      <c r="AA623" s="60"/>
    </row>
    <row r="624" spans="11:27">
      <c r="K624" s="51"/>
      <c r="Q624" s="51"/>
      <c r="R624" s="51"/>
      <c r="S624" s="51"/>
      <c r="W624" s="53"/>
      <c r="X624" s="53"/>
      <c r="Y624" s="58"/>
      <c r="Z624" s="58"/>
      <c r="AA624" s="60"/>
    </row>
    <row r="625" spans="11:27">
      <c r="K625" s="51"/>
      <c r="Q625" s="51"/>
      <c r="R625" s="51"/>
      <c r="S625" s="51"/>
      <c r="W625" s="53"/>
      <c r="X625" s="53"/>
      <c r="Y625" s="58"/>
      <c r="Z625" s="58"/>
      <c r="AA625" s="60"/>
    </row>
    <row r="626" spans="11:27">
      <c r="K626" s="51"/>
      <c r="Q626" s="51"/>
      <c r="R626" s="51"/>
      <c r="S626" s="51"/>
      <c r="W626" s="53"/>
      <c r="X626" s="53"/>
      <c r="Y626" s="58"/>
      <c r="Z626" s="58"/>
      <c r="AA626" s="60"/>
    </row>
    <row r="627" spans="11:27">
      <c r="K627" s="51"/>
      <c r="Q627" s="51"/>
      <c r="R627" s="51"/>
      <c r="S627" s="51"/>
      <c r="W627" s="53"/>
      <c r="X627" s="53"/>
      <c r="Y627" s="58"/>
      <c r="Z627" s="58"/>
      <c r="AA627" s="60"/>
    </row>
    <row r="628" spans="11:27">
      <c r="K628" s="51"/>
      <c r="Q628" s="51"/>
      <c r="R628" s="51"/>
      <c r="S628" s="51"/>
      <c r="W628" s="53"/>
      <c r="X628" s="53"/>
      <c r="Y628" s="58"/>
      <c r="Z628" s="58"/>
      <c r="AA628" s="60"/>
    </row>
    <row r="629" spans="11:27">
      <c r="K629" s="51"/>
      <c r="Q629" s="51"/>
      <c r="R629" s="51"/>
      <c r="S629" s="51"/>
      <c r="W629" s="53"/>
      <c r="X629" s="53"/>
      <c r="Y629" s="58"/>
      <c r="Z629" s="58"/>
      <c r="AA629" s="60"/>
    </row>
    <row r="630" spans="11:27">
      <c r="K630" s="51"/>
      <c r="Q630" s="51"/>
      <c r="R630" s="51"/>
      <c r="S630" s="51"/>
      <c r="W630" s="53"/>
      <c r="X630" s="53"/>
      <c r="Y630" s="58"/>
      <c r="Z630" s="58"/>
      <c r="AA630" s="60"/>
    </row>
    <row r="631" spans="11:27">
      <c r="K631" s="51"/>
      <c r="Q631" s="51"/>
      <c r="R631" s="51"/>
      <c r="S631" s="51"/>
      <c r="W631" s="53"/>
      <c r="X631" s="53"/>
      <c r="Y631" s="58"/>
      <c r="Z631" s="58"/>
      <c r="AA631" s="60"/>
    </row>
    <row r="632" spans="11:27">
      <c r="K632" s="51"/>
      <c r="Q632" s="51"/>
      <c r="R632" s="51"/>
      <c r="S632" s="51"/>
      <c r="W632" s="53"/>
      <c r="X632" s="53"/>
      <c r="Y632" s="58"/>
      <c r="Z632" s="58"/>
      <c r="AA632" s="60"/>
    </row>
    <row r="633" spans="11:27">
      <c r="K633" s="51"/>
      <c r="Q633" s="51"/>
      <c r="R633" s="51"/>
      <c r="S633" s="51"/>
      <c r="W633" s="53"/>
      <c r="X633" s="53"/>
      <c r="Y633" s="58"/>
      <c r="Z633" s="58"/>
      <c r="AA633" s="60"/>
    </row>
    <row r="634" spans="11:27">
      <c r="K634" s="51"/>
      <c r="Q634" s="51"/>
      <c r="R634" s="51"/>
      <c r="S634" s="51"/>
      <c r="W634" s="53"/>
      <c r="X634" s="53"/>
      <c r="Y634" s="58"/>
      <c r="Z634" s="58"/>
      <c r="AA634" s="60"/>
    </row>
    <row r="635" spans="11:27">
      <c r="K635" s="51"/>
      <c r="Q635" s="51"/>
      <c r="R635" s="51"/>
      <c r="S635" s="51"/>
      <c r="W635" s="53"/>
      <c r="X635" s="53"/>
      <c r="Y635" s="58"/>
      <c r="Z635" s="58"/>
      <c r="AA635" s="60"/>
    </row>
    <row r="636" spans="11:27">
      <c r="K636" s="51"/>
      <c r="Q636" s="51"/>
      <c r="R636" s="51"/>
      <c r="S636" s="51"/>
      <c r="W636" s="53"/>
      <c r="X636" s="53"/>
      <c r="Y636" s="58"/>
      <c r="Z636" s="58"/>
      <c r="AA636" s="60"/>
    </row>
    <row r="637" spans="11:27">
      <c r="K637" s="51"/>
      <c r="Q637" s="51"/>
      <c r="R637" s="51"/>
      <c r="S637" s="51"/>
      <c r="W637" s="53"/>
      <c r="X637" s="53"/>
      <c r="Y637" s="58"/>
      <c r="Z637" s="58"/>
      <c r="AA637" s="60"/>
    </row>
    <row r="638" spans="11:27">
      <c r="K638" s="51"/>
      <c r="Q638" s="51"/>
      <c r="R638" s="51"/>
      <c r="S638" s="51"/>
      <c r="W638" s="53"/>
      <c r="X638" s="53"/>
      <c r="Y638" s="58"/>
      <c r="Z638" s="58"/>
      <c r="AA638" s="60"/>
    </row>
    <row r="639" spans="11:27">
      <c r="K639" s="51"/>
      <c r="Q639" s="51"/>
      <c r="R639" s="51"/>
      <c r="S639" s="51"/>
      <c r="W639" s="53"/>
      <c r="X639" s="53"/>
      <c r="Y639" s="58"/>
      <c r="Z639" s="58"/>
      <c r="AA639" s="60"/>
    </row>
    <row r="640" spans="11:27">
      <c r="K640" s="51"/>
      <c r="Q640" s="51"/>
      <c r="R640" s="51"/>
      <c r="S640" s="51"/>
      <c r="W640" s="53"/>
      <c r="X640" s="53"/>
      <c r="Y640" s="58"/>
      <c r="Z640" s="58"/>
      <c r="AA640" s="60"/>
    </row>
    <row r="641" spans="11:27">
      <c r="K641" s="51"/>
      <c r="Q641" s="51"/>
      <c r="R641" s="51"/>
      <c r="S641" s="51"/>
      <c r="W641" s="53"/>
      <c r="X641" s="53"/>
      <c r="Y641" s="58"/>
      <c r="Z641" s="58"/>
      <c r="AA641" s="60"/>
    </row>
    <row r="642" spans="11:27">
      <c r="K642" s="51"/>
      <c r="Q642" s="51"/>
      <c r="R642" s="51"/>
      <c r="S642" s="51"/>
      <c r="W642" s="53"/>
      <c r="X642" s="53"/>
      <c r="Y642" s="58"/>
      <c r="Z642" s="58"/>
      <c r="AA642" s="60"/>
    </row>
    <row r="643" spans="11:27">
      <c r="K643" s="51"/>
      <c r="Q643" s="51"/>
      <c r="R643" s="51"/>
      <c r="S643" s="51"/>
      <c r="W643" s="53"/>
      <c r="X643" s="53"/>
      <c r="Y643" s="58"/>
      <c r="Z643" s="58"/>
      <c r="AA643" s="60"/>
    </row>
    <row r="644" spans="11:27">
      <c r="K644" s="51"/>
      <c r="Q644" s="51"/>
      <c r="R644" s="51"/>
      <c r="S644" s="51"/>
      <c r="W644" s="53"/>
      <c r="X644" s="53"/>
      <c r="Y644" s="58"/>
      <c r="Z644" s="58"/>
      <c r="AA644" s="60"/>
    </row>
    <row r="645" spans="11:27">
      <c r="K645" s="51"/>
      <c r="Q645" s="51"/>
      <c r="R645" s="51"/>
      <c r="S645" s="51"/>
      <c r="W645" s="53"/>
      <c r="X645" s="53"/>
      <c r="Y645" s="58"/>
      <c r="Z645" s="58"/>
      <c r="AA645" s="60"/>
    </row>
    <row r="646" spans="11:27">
      <c r="K646" s="51"/>
      <c r="Q646" s="51"/>
      <c r="R646" s="51"/>
      <c r="S646" s="51"/>
      <c r="W646" s="53"/>
      <c r="X646" s="53"/>
      <c r="Y646" s="58"/>
      <c r="Z646" s="58"/>
      <c r="AA646" s="60"/>
    </row>
    <row r="647" spans="11:27">
      <c r="K647" s="51"/>
      <c r="Q647" s="51"/>
      <c r="R647" s="51"/>
      <c r="S647" s="51"/>
      <c r="W647" s="53"/>
      <c r="X647" s="53"/>
      <c r="Y647" s="58"/>
      <c r="Z647" s="58"/>
      <c r="AA647" s="60"/>
    </row>
    <row r="648" spans="11:27">
      <c r="K648" s="51"/>
      <c r="Q648" s="51"/>
      <c r="R648" s="51"/>
      <c r="S648" s="51"/>
      <c r="W648" s="53"/>
      <c r="X648" s="53"/>
      <c r="Y648" s="58"/>
      <c r="Z648" s="58"/>
      <c r="AA648" s="60"/>
    </row>
    <row r="649" spans="11:27">
      <c r="K649" s="51"/>
      <c r="Q649" s="51"/>
      <c r="R649" s="51"/>
      <c r="S649" s="51"/>
      <c r="W649" s="53"/>
      <c r="X649" s="53"/>
      <c r="Y649" s="58"/>
      <c r="Z649" s="58"/>
      <c r="AA649" s="60"/>
    </row>
    <row r="650" spans="11:27">
      <c r="K650" s="51"/>
      <c r="Q650" s="51"/>
      <c r="R650" s="51"/>
      <c r="S650" s="51"/>
      <c r="W650" s="53"/>
      <c r="X650" s="53"/>
      <c r="Y650" s="58"/>
      <c r="Z650" s="58"/>
      <c r="AA650" s="60"/>
    </row>
    <row r="651" spans="11:27">
      <c r="K651" s="51"/>
      <c r="Q651" s="51"/>
      <c r="R651" s="51"/>
      <c r="S651" s="51"/>
      <c r="W651" s="53"/>
      <c r="X651" s="53"/>
      <c r="Y651" s="58"/>
      <c r="Z651" s="58"/>
      <c r="AA651" s="60"/>
    </row>
    <row r="652" spans="11:27">
      <c r="K652" s="51"/>
      <c r="Q652" s="51"/>
      <c r="R652" s="51"/>
      <c r="S652" s="51"/>
      <c r="W652" s="53"/>
      <c r="X652" s="53"/>
      <c r="Y652" s="58"/>
      <c r="Z652" s="58"/>
      <c r="AA652" s="60"/>
    </row>
    <row r="653" spans="11:27">
      <c r="K653" s="51"/>
      <c r="Q653" s="51"/>
      <c r="R653" s="51"/>
      <c r="S653" s="51"/>
      <c r="W653" s="53"/>
      <c r="X653" s="53"/>
      <c r="Y653" s="58"/>
      <c r="Z653" s="58"/>
      <c r="AA653" s="60"/>
    </row>
    <row r="654" spans="11:27">
      <c r="K654" s="51"/>
      <c r="Q654" s="51"/>
      <c r="R654" s="51"/>
      <c r="S654" s="51"/>
      <c r="W654" s="53"/>
      <c r="X654" s="53"/>
      <c r="Y654" s="58"/>
      <c r="Z654" s="58"/>
      <c r="AA654" s="60"/>
    </row>
    <row r="655" spans="11:27">
      <c r="K655" s="51"/>
      <c r="Q655" s="51"/>
      <c r="R655" s="51"/>
      <c r="S655" s="51"/>
      <c r="W655" s="53"/>
      <c r="X655" s="53"/>
      <c r="Y655" s="58"/>
      <c r="Z655" s="58"/>
      <c r="AA655" s="60"/>
    </row>
    <row r="656" spans="11:27">
      <c r="K656" s="51"/>
      <c r="Q656" s="51"/>
      <c r="R656" s="51"/>
      <c r="S656" s="51"/>
      <c r="W656" s="53"/>
      <c r="X656" s="53"/>
      <c r="Y656" s="58"/>
      <c r="Z656" s="58"/>
      <c r="AA656" s="60"/>
    </row>
    <row r="657" spans="11:27">
      <c r="K657" s="51"/>
      <c r="Q657" s="51"/>
      <c r="R657" s="51"/>
      <c r="S657" s="51"/>
      <c r="W657" s="53"/>
      <c r="X657" s="53"/>
      <c r="Y657" s="58"/>
      <c r="Z657" s="58"/>
      <c r="AA657" s="60"/>
    </row>
    <row r="658" spans="11:27">
      <c r="K658" s="51"/>
      <c r="Q658" s="51"/>
      <c r="R658" s="51"/>
      <c r="S658" s="51"/>
      <c r="W658" s="53"/>
      <c r="X658" s="53"/>
      <c r="Y658" s="58"/>
      <c r="Z658" s="58"/>
      <c r="AA658" s="60"/>
    </row>
    <row r="659" spans="11:27">
      <c r="K659" s="51"/>
      <c r="Q659" s="51"/>
      <c r="R659" s="51"/>
      <c r="S659" s="51"/>
      <c r="W659" s="53"/>
      <c r="X659" s="53"/>
      <c r="Y659" s="58"/>
      <c r="Z659" s="58"/>
      <c r="AA659" s="60"/>
    </row>
    <row r="660" spans="11:27">
      <c r="K660" s="51"/>
      <c r="Q660" s="51"/>
      <c r="R660" s="51"/>
      <c r="S660" s="51"/>
      <c r="W660" s="53"/>
      <c r="X660" s="53"/>
      <c r="Y660" s="58"/>
      <c r="Z660" s="58"/>
      <c r="AA660" s="60"/>
    </row>
    <row r="661" spans="11:27">
      <c r="K661" s="51"/>
      <c r="Q661" s="51"/>
      <c r="R661" s="51"/>
      <c r="S661" s="51"/>
      <c r="W661" s="53"/>
      <c r="X661" s="53"/>
      <c r="Y661" s="58"/>
      <c r="Z661" s="58"/>
      <c r="AA661" s="60"/>
    </row>
    <row r="662" spans="11:27">
      <c r="K662" s="51"/>
      <c r="Q662" s="51"/>
      <c r="R662" s="51"/>
      <c r="S662" s="51"/>
      <c r="W662" s="53"/>
      <c r="X662" s="53"/>
      <c r="Y662" s="58"/>
      <c r="Z662" s="58"/>
      <c r="AA662" s="60"/>
    </row>
    <row r="663" spans="11:27">
      <c r="K663" s="51"/>
      <c r="Q663" s="51"/>
      <c r="R663" s="51"/>
      <c r="S663" s="51"/>
      <c r="W663" s="53"/>
      <c r="X663" s="53"/>
      <c r="Y663" s="58"/>
      <c r="Z663" s="58"/>
      <c r="AA663" s="60"/>
    </row>
    <row r="664" spans="11:27">
      <c r="K664" s="51"/>
      <c r="Q664" s="51"/>
      <c r="R664" s="51"/>
      <c r="S664" s="51"/>
      <c r="W664" s="53"/>
      <c r="X664" s="53"/>
      <c r="Y664" s="58"/>
      <c r="Z664" s="58"/>
      <c r="AA664" s="60"/>
    </row>
    <row r="665" spans="11:27">
      <c r="K665" s="51"/>
      <c r="Q665" s="51"/>
      <c r="R665" s="51"/>
      <c r="S665" s="51"/>
      <c r="W665" s="53"/>
      <c r="X665" s="53"/>
      <c r="Y665" s="58"/>
      <c r="Z665" s="58"/>
      <c r="AA665" s="60"/>
    </row>
    <row r="666" spans="11:27">
      <c r="K666" s="51"/>
      <c r="Q666" s="51"/>
      <c r="R666" s="51"/>
      <c r="S666" s="51"/>
      <c r="W666" s="53"/>
      <c r="X666" s="53"/>
      <c r="Y666" s="58"/>
      <c r="Z666" s="58"/>
      <c r="AA666" s="60"/>
    </row>
    <row r="667" spans="11:27">
      <c r="K667" s="51"/>
      <c r="Q667" s="51"/>
      <c r="R667" s="51"/>
      <c r="S667" s="51"/>
      <c r="W667" s="53"/>
      <c r="X667" s="53"/>
      <c r="Y667" s="58"/>
      <c r="Z667" s="58"/>
      <c r="AA667" s="60"/>
    </row>
    <row r="668" spans="11:27">
      <c r="K668" s="51"/>
      <c r="Q668" s="51"/>
      <c r="R668" s="51"/>
      <c r="S668" s="51"/>
      <c r="W668" s="53"/>
      <c r="X668" s="53"/>
      <c r="Y668" s="58"/>
      <c r="Z668" s="58"/>
      <c r="AA668" s="60"/>
    </row>
    <row r="669" spans="11:27">
      <c r="K669" s="51"/>
      <c r="Q669" s="51"/>
      <c r="R669" s="51"/>
      <c r="S669" s="51"/>
      <c r="W669" s="53"/>
      <c r="X669" s="53"/>
      <c r="Y669" s="58"/>
      <c r="Z669" s="58"/>
      <c r="AA669" s="60"/>
    </row>
    <row r="670" spans="11:27">
      <c r="K670" s="51"/>
      <c r="Q670" s="51"/>
      <c r="R670" s="51"/>
      <c r="S670" s="51"/>
      <c r="W670" s="53"/>
      <c r="X670" s="53"/>
      <c r="Y670" s="58"/>
      <c r="Z670" s="58"/>
      <c r="AA670" s="60"/>
    </row>
    <row r="671" spans="11:27">
      <c r="K671" s="51"/>
      <c r="Q671" s="51"/>
      <c r="R671" s="51"/>
      <c r="S671" s="51"/>
      <c r="W671" s="53"/>
      <c r="X671" s="53"/>
      <c r="Y671" s="58"/>
      <c r="Z671" s="58"/>
      <c r="AA671" s="60"/>
    </row>
    <row r="672" spans="11:27">
      <c r="K672" s="51"/>
      <c r="Q672" s="51"/>
      <c r="R672" s="51"/>
      <c r="S672" s="51"/>
      <c r="W672" s="53"/>
      <c r="X672" s="53"/>
      <c r="Y672" s="58"/>
      <c r="Z672" s="58"/>
      <c r="AA672" s="60"/>
    </row>
    <row r="673" spans="11:27">
      <c r="K673" s="51"/>
      <c r="Q673" s="51"/>
      <c r="R673" s="51"/>
      <c r="S673" s="51"/>
      <c r="W673" s="53"/>
      <c r="X673" s="53"/>
      <c r="Y673" s="58"/>
      <c r="Z673" s="58"/>
      <c r="AA673" s="60"/>
    </row>
    <row r="674" spans="11:27">
      <c r="K674" s="51"/>
      <c r="Q674" s="51"/>
      <c r="R674" s="51"/>
      <c r="S674" s="51"/>
      <c r="W674" s="53"/>
      <c r="X674" s="53"/>
      <c r="Y674" s="58"/>
      <c r="Z674" s="58"/>
      <c r="AA674" s="60"/>
    </row>
    <row r="675" spans="11:27">
      <c r="K675" s="51"/>
      <c r="Q675" s="51"/>
      <c r="R675" s="51"/>
      <c r="S675" s="51"/>
      <c r="W675" s="53"/>
      <c r="X675" s="53"/>
      <c r="Y675" s="58"/>
      <c r="Z675" s="58"/>
      <c r="AA675" s="60"/>
    </row>
    <row r="676" spans="11:27">
      <c r="K676" s="51"/>
      <c r="Q676" s="51"/>
      <c r="R676" s="51"/>
      <c r="S676" s="51"/>
      <c r="W676" s="53"/>
      <c r="X676" s="53"/>
      <c r="Y676" s="58"/>
      <c r="Z676" s="58"/>
      <c r="AA676" s="60"/>
    </row>
    <row r="677" spans="11:27">
      <c r="K677" s="51"/>
      <c r="Q677" s="51"/>
      <c r="R677" s="51"/>
      <c r="S677" s="51"/>
      <c r="W677" s="53"/>
      <c r="X677" s="53"/>
      <c r="Y677" s="58"/>
      <c r="Z677" s="58"/>
      <c r="AA677" s="60"/>
    </row>
    <row r="678" spans="11:27">
      <c r="K678" s="51"/>
      <c r="Q678" s="51"/>
      <c r="R678" s="51"/>
      <c r="S678" s="51"/>
      <c r="W678" s="53"/>
      <c r="X678" s="53"/>
      <c r="Y678" s="58"/>
      <c r="Z678" s="58"/>
      <c r="AA678" s="60"/>
    </row>
    <row r="679" spans="11:27">
      <c r="K679" s="51"/>
      <c r="Q679" s="51"/>
      <c r="R679" s="51"/>
      <c r="S679" s="51"/>
      <c r="W679" s="53"/>
      <c r="X679" s="53"/>
      <c r="Y679" s="58"/>
      <c r="Z679" s="58"/>
      <c r="AA679" s="60"/>
    </row>
    <row r="680" spans="11:27">
      <c r="K680" s="51"/>
      <c r="Q680" s="51"/>
      <c r="R680" s="51"/>
      <c r="S680" s="51"/>
      <c r="W680" s="53"/>
      <c r="X680" s="53"/>
      <c r="Y680" s="58"/>
      <c r="Z680" s="58"/>
      <c r="AA680" s="60"/>
    </row>
    <row r="681" spans="11:27">
      <c r="K681" s="51"/>
      <c r="Q681" s="51"/>
      <c r="R681" s="51"/>
      <c r="S681" s="51"/>
      <c r="W681" s="53"/>
      <c r="X681" s="53"/>
      <c r="Y681" s="58"/>
      <c r="Z681" s="58"/>
      <c r="AA681" s="60"/>
    </row>
    <row r="682" spans="11:27">
      <c r="K682" s="51"/>
      <c r="Q682" s="51"/>
      <c r="R682" s="51"/>
      <c r="S682" s="51"/>
      <c r="W682" s="53"/>
      <c r="X682" s="53"/>
      <c r="Y682" s="58"/>
      <c r="Z682" s="58"/>
      <c r="AA682" s="60"/>
    </row>
    <row r="683" spans="11:27">
      <c r="K683" s="51"/>
      <c r="Q683" s="51"/>
      <c r="R683" s="51"/>
      <c r="S683" s="51"/>
      <c r="W683" s="53"/>
      <c r="X683" s="53"/>
      <c r="Y683" s="58"/>
      <c r="Z683" s="58"/>
      <c r="AA683" s="60"/>
    </row>
    <row r="684" spans="11:27">
      <c r="K684" s="51"/>
      <c r="Q684" s="51"/>
      <c r="R684" s="51"/>
      <c r="S684" s="51"/>
      <c r="W684" s="53"/>
      <c r="X684" s="53"/>
      <c r="Y684" s="58"/>
      <c r="Z684" s="58"/>
      <c r="AA684" s="60"/>
    </row>
    <row r="685" spans="11:27">
      <c r="K685" s="51"/>
      <c r="Q685" s="51"/>
      <c r="R685" s="51"/>
      <c r="S685" s="51"/>
      <c r="W685" s="53"/>
      <c r="X685" s="53"/>
      <c r="Y685" s="58"/>
      <c r="Z685" s="58"/>
      <c r="AA685" s="60"/>
    </row>
    <row r="686" spans="11:27">
      <c r="K686" s="51"/>
      <c r="Q686" s="51"/>
      <c r="R686" s="51"/>
      <c r="S686" s="51"/>
      <c r="W686" s="53"/>
      <c r="X686" s="53"/>
      <c r="Y686" s="58"/>
      <c r="Z686" s="58"/>
      <c r="AA686" s="60"/>
    </row>
    <row r="687" spans="11:27">
      <c r="K687" s="51"/>
      <c r="Q687" s="51"/>
      <c r="R687" s="51"/>
      <c r="S687" s="51"/>
      <c r="W687" s="53"/>
      <c r="X687" s="53"/>
      <c r="Y687" s="58"/>
      <c r="Z687" s="58"/>
      <c r="AA687" s="60"/>
    </row>
    <row r="688" spans="11:27">
      <c r="K688" s="51"/>
      <c r="Q688" s="51"/>
      <c r="R688" s="51"/>
      <c r="S688" s="51"/>
      <c r="W688" s="53"/>
      <c r="X688" s="53"/>
      <c r="Y688" s="58"/>
      <c r="Z688" s="58"/>
      <c r="AA688" s="60"/>
    </row>
    <row r="689" spans="11:27">
      <c r="K689" s="51"/>
      <c r="Q689" s="51"/>
      <c r="R689" s="51"/>
      <c r="S689" s="51"/>
      <c r="W689" s="53"/>
      <c r="X689" s="53"/>
      <c r="Y689" s="58"/>
      <c r="Z689" s="58"/>
      <c r="AA689" s="60"/>
    </row>
    <row r="690" spans="11:27">
      <c r="K690" s="51"/>
      <c r="Q690" s="51"/>
      <c r="R690" s="51"/>
      <c r="S690" s="51"/>
      <c r="W690" s="53"/>
      <c r="X690" s="53"/>
      <c r="Y690" s="58"/>
      <c r="Z690" s="58"/>
      <c r="AA690" s="60"/>
    </row>
    <row r="691" spans="11:27">
      <c r="K691" s="51"/>
      <c r="Q691" s="51"/>
      <c r="R691" s="51"/>
      <c r="S691" s="51"/>
      <c r="W691" s="53"/>
      <c r="X691" s="53"/>
      <c r="Y691" s="58"/>
      <c r="Z691" s="58"/>
      <c r="AA691" s="60"/>
    </row>
    <row r="692" spans="11:27">
      <c r="K692" s="51"/>
      <c r="Q692" s="51"/>
      <c r="R692" s="51"/>
      <c r="S692" s="51"/>
      <c r="W692" s="53"/>
      <c r="X692" s="53"/>
      <c r="Y692" s="58"/>
      <c r="Z692" s="58"/>
      <c r="AA692" s="60"/>
    </row>
    <row r="693" spans="11:27">
      <c r="K693" s="51"/>
      <c r="Q693" s="51"/>
      <c r="R693" s="51"/>
      <c r="S693" s="51"/>
      <c r="W693" s="53"/>
      <c r="X693" s="53"/>
      <c r="Y693" s="58"/>
      <c r="Z693" s="58"/>
      <c r="AA693" s="60"/>
    </row>
    <row r="694" spans="11:27">
      <c r="K694" s="51"/>
      <c r="Q694" s="51"/>
      <c r="R694" s="51"/>
      <c r="S694" s="51"/>
      <c r="W694" s="53"/>
      <c r="X694" s="53"/>
      <c r="Y694" s="58"/>
      <c r="Z694" s="58"/>
      <c r="AA694" s="60"/>
    </row>
    <row r="695" spans="11:27">
      <c r="K695" s="51"/>
      <c r="Q695" s="51"/>
      <c r="R695" s="51"/>
      <c r="S695" s="51"/>
      <c r="W695" s="53"/>
      <c r="X695" s="53"/>
      <c r="Y695" s="58"/>
      <c r="Z695" s="58"/>
      <c r="AA695" s="60"/>
    </row>
    <row r="696" spans="11:27">
      <c r="K696" s="51"/>
      <c r="Q696" s="51"/>
      <c r="R696" s="51"/>
      <c r="S696" s="51"/>
      <c r="W696" s="53"/>
      <c r="X696" s="53"/>
      <c r="Y696" s="58"/>
      <c r="Z696" s="58"/>
      <c r="AA696" s="60"/>
    </row>
    <row r="697" spans="11:27">
      <c r="K697" s="51"/>
      <c r="Q697" s="51"/>
      <c r="R697" s="51"/>
      <c r="S697" s="51"/>
      <c r="W697" s="53"/>
      <c r="X697" s="53"/>
      <c r="Y697" s="58"/>
      <c r="Z697" s="58"/>
      <c r="AA697" s="60"/>
    </row>
    <row r="698" spans="11:27">
      <c r="K698" s="51"/>
      <c r="Q698" s="51"/>
      <c r="R698" s="51"/>
      <c r="S698" s="51"/>
      <c r="W698" s="53"/>
      <c r="X698" s="53"/>
      <c r="Y698" s="58"/>
      <c r="Z698" s="58"/>
      <c r="AA698" s="60"/>
    </row>
    <row r="699" spans="11:27">
      <c r="K699" s="51"/>
      <c r="Q699" s="51"/>
      <c r="R699" s="51"/>
      <c r="S699" s="51"/>
      <c r="W699" s="53"/>
      <c r="X699" s="53"/>
      <c r="Y699" s="58"/>
      <c r="Z699" s="58"/>
      <c r="AA699" s="60"/>
    </row>
    <row r="700" spans="11:27">
      <c r="K700" s="51"/>
      <c r="Q700" s="51"/>
      <c r="R700" s="51"/>
      <c r="S700" s="51"/>
      <c r="W700" s="53"/>
      <c r="X700" s="53"/>
      <c r="Y700" s="58"/>
      <c r="Z700" s="58"/>
      <c r="AA700" s="60"/>
    </row>
    <row r="701" spans="11:27">
      <c r="K701" s="51"/>
      <c r="Q701" s="51"/>
      <c r="R701" s="51"/>
      <c r="S701" s="51"/>
      <c r="W701" s="53"/>
      <c r="X701" s="53"/>
      <c r="Y701" s="58"/>
      <c r="Z701" s="58"/>
      <c r="AA701" s="60"/>
    </row>
    <row r="702" spans="11:27">
      <c r="K702" s="51"/>
      <c r="Q702" s="51"/>
      <c r="R702" s="51"/>
      <c r="S702" s="51"/>
      <c r="W702" s="53"/>
      <c r="X702" s="53"/>
      <c r="Y702" s="58"/>
      <c r="Z702" s="58"/>
      <c r="AA702" s="60"/>
    </row>
    <row r="703" spans="11:27">
      <c r="K703" s="51"/>
      <c r="Q703" s="51"/>
      <c r="R703" s="51"/>
      <c r="S703" s="51"/>
      <c r="W703" s="53"/>
      <c r="X703" s="53"/>
      <c r="Y703" s="58"/>
      <c r="Z703" s="58"/>
      <c r="AA703" s="60"/>
    </row>
    <row r="704" spans="11:27">
      <c r="K704" s="51"/>
      <c r="Q704" s="51"/>
      <c r="R704" s="51"/>
      <c r="S704" s="51"/>
      <c r="W704" s="53"/>
      <c r="X704" s="53"/>
      <c r="Y704" s="58"/>
      <c r="Z704" s="58"/>
      <c r="AA704" s="60"/>
    </row>
    <row r="705" spans="11:27">
      <c r="K705" s="51"/>
      <c r="Q705" s="51"/>
      <c r="R705" s="51"/>
      <c r="S705" s="51"/>
      <c r="W705" s="53"/>
      <c r="X705" s="53"/>
      <c r="Y705" s="58"/>
      <c r="Z705" s="58"/>
      <c r="AA705" s="60"/>
    </row>
    <row r="706" spans="11:27">
      <c r="K706" s="51"/>
      <c r="Q706" s="51"/>
      <c r="R706" s="51"/>
      <c r="S706" s="51"/>
      <c r="W706" s="53"/>
      <c r="X706" s="53"/>
      <c r="Y706" s="58"/>
      <c r="Z706" s="58"/>
      <c r="AA706" s="60"/>
    </row>
    <row r="707" spans="11:27">
      <c r="K707" s="51"/>
      <c r="Q707" s="51"/>
      <c r="R707" s="51"/>
      <c r="S707" s="51"/>
      <c r="W707" s="53"/>
      <c r="X707" s="53"/>
      <c r="Y707" s="58"/>
      <c r="Z707" s="58"/>
      <c r="AA707" s="60"/>
    </row>
    <row r="708" spans="11:27">
      <c r="K708" s="51"/>
      <c r="Q708" s="51"/>
      <c r="R708" s="51"/>
      <c r="S708" s="51"/>
      <c r="W708" s="53"/>
      <c r="X708" s="53"/>
      <c r="Y708" s="58"/>
      <c r="Z708" s="58"/>
      <c r="AA708" s="60"/>
    </row>
    <row r="709" spans="11:27">
      <c r="K709" s="51"/>
      <c r="Q709" s="51"/>
      <c r="R709" s="51"/>
      <c r="S709" s="51"/>
      <c r="W709" s="53"/>
      <c r="X709" s="53"/>
      <c r="Y709" s="58"/>
      <c r="Z709" s="58"/>
      <c r="AA709" s="60"/>
    </row>
    <row r="710" spans="11:27">
      <c r="K710" s="51"/>
      <c r="Q710" s="51"/>
      <c r="R710" s="51"/>
      <c r="S710" s="51"/>
      <c r="W710" s="53"/>
      <c r="X710" s="53"/>
      <c r="Y710" s="58"/>
      <c r="Z710" s="58"/>
      <c r="AA710" s="60"/>
    </row>
    <row r="711" spans="11:27">
      <c r="K711" s="51"/>
      <c r="Q711" s="51"/>
      <c r="R711" s="51"/>
      <c r="S711" s="51"/>
      <c r="W711" s="53"/>
      <c r="X711" s="53"/>
      <c r="Y711" s="58"/>
      <c r="Z711" s="58"/>
      <c r="AA711" s="60"/>
    </row>
    <row r="712" spans="11:27">
      <c r="K712" s="51"/>
      <c r="Q712" s="51"/>
      <c r="R712" s="51"/>
      <c r="S712" s="51"/>
      <c r="W712" s="53"/>
      <c r="X712" s="53"/>
      <c r="Y712" s="58"/>
      <c r="Z712" s="58"/>
      <c r="AA712" s="60"/>
    </row>
    <row r="713" spans="11:27">
      <c r="K713" s="51"/>
      <c r="Q713" s="51"/>
      <c r="R713" s="51"/>
      <c r="S713" s="51"/>
      <c r="W713" s="53"/>
      <c r="X713" s="53"/>
      <c r="Y713" s="58"/>
      <c r="Z713" s="58"/>
      <c r="AA713" s="60"/>
    </row>
    <row r="714" spans="11:27">
      <c r="K714" s="51"/>
      <c r="Q714" s="51"/>
      <c r="R714" s="51"/>
      <c r="S714" s="51"/>
      <c r="W714" s="53"/>
      <c r="X714" s="53"/>
      <c r="Y714" s="58"/>
      <c r="Z714" s="58"/>
      <c r="AA714" s="60"/>
    </row>
    <row r="715" spans="11:27">
      <c r="K715" s="51"/>
      <c r="Q715" s="51"/>
      <c r="R715" s="51"/>
      <c r="S715" s="51"/>
      <c r="W715" s="53"/>
      <c r="X715" s="53"/>
      <c r="Y715" s="58"/>
      <c r="Z715" s="58"/>
      <c r="AA715" s="60"/>
    </row>
    <row r="716" spans="11:27">
      <c r="K716" s="51"/>
      <c r="Q716" s="51"/>
      <c r="R716" s="51"/>
      <c r="S716" s="51"/>
      <c r="W716" s="53"/>
      <c r="X716" s="53"/>
      <c r="Y716" s="58"/>
      <c r="Z716" s="58"/>
      <c r="AA716" s="60"/>
    </row>
    <row r="717" spans="11:27">
      <c r="K717" s="51"/>
      <c r="Q717" s="51"/>
      <c r="R717" s="51"/>
      <c r="S717" s="51"/>
      <c r="W717" s="53"/>
      <c r="X717" s="53"/>
      <c r="Y717" s="58"/>
      <c r="Z717" s="58"/>
      <c r="AA717" s="60"/>
    </row>
    <row r="718" spans="11:27">
      <c r="K718" s="51"/>
      <c r="Q718" s="51"/>
      <c r="R718" s="51"/>
      <c r="S718" s="51"/>
      <c r="W718" s="53"/>
      <c r="X718" s="53"/>
      <c r="Y718" s="58"/>
      <c r="Z718" s="58"/>
      <c r="AA718" s="60"/>
    </row>
    <row r="719" spans="11:27">
      <c r="K719" s="51"/>
      <c r="Q719" s="51"/>
      <c r="R719" s="51"/>
      <c r="S719" s="51"/>
      <c r="W719" s="53"/>
      <c r="X719" s="53"/>
      <c r="Y719" s="58"/>
      <c r="Z719" s="58"/>
      <c r="AA719" s="60"/>
    </row>
    <row r="720" spans="11:27">
      <c r="K720" s="51"/>
      <c r="Q720" s="51"/>
      <c r="R720" s="51"/>
      <c r="S720" s="51"/>
      <c r="W720" s="53"/>
      <c r="X720" s="53"/>
      <c r="Y720" s="58"/>
      <c r="Z720" s="58"/>
      <c r="AA720" s="60"/>
    </row>
    <row r="721" spans="11:27">
      <c r="K721" s="51"/>
      <c r="Q721" s="51"/>
      <c r="R721" s="51"/>
      <c r="S721" s="51"/>
      <c r="W721" s="53"/>
      <c r="X721" s="53"/>
      <c r="Y721" s="58"/>
      <c r="Z721" s="58"/>
      <c r="AA721" s="60"/>
    </row>
    <row r="722" spans="11:27">
      <c r="K722" s="51"/>
      <c r="Q722" s="51"/>
      <c r="R722" s="51"/>
      <c r="S722" s="51"/>
      <c r="W722" s="53"/>
      <c r="X722" s="53"/>
      <c r="Y722" s="58"/>
      <c r="Z722" s="58"/>
      <c r="AA722" s="60"/>
    </row>
    <row r="723" spans="11:27">
      <c r="K723" s="51"/>
      <c r="Q723" s="51"/>
      <c r="R723" s="51"/>
      <c r="S723" s="51"/>
      <c r="W723" s="53"/>
      <c r="X723" s="53"/>
      <c r="Y723" s="58"/>
      <c r="Z723" s="58"/>
      <c r="AA723" s="60"/>
    </row>
    <row r="724" spans="11:27">
      <c r="K724" s="51"/>
      <c r="Q724" s="51"/>
      <c r="R724" s="51"/>
      <c r="S724" s="51"/>
      <c r="W724" s="53"/>
      <c r="X724" s="53"/>
      <c r="Y724" s="58"/>
      <c r="Z724" s="58"/>
      <c r="AA724" s="60"/>
    </row>
    <row r="725" spans="11:27">
      <c r="K725" s="51"/>
      <c r="Q725" s="51"/>
      <c r="R725" s="51"/>
      <c r="S725" s="51"/>
      <c r="W725" s="53"/>
      <c r="X725" s="53"/>
      <c r="Y725" s="58"/>
      <c r="Z725" s="58"/>
      <c r="AA725" s="60"/>
    </row>
    <row r="726" spans="11:27">
      <c r="K726" s="51"/>
      <c r="Q726" s="51"/>
      <c r="R726" s="51"/>
      <c r="S726" s="51"/>
      <c r="W726" s="53"/>
      <c r="X726" s="53"/>
      <c r="Y726" s="58"/>
      <c r="Z726" s="58"/>
      <c r="AA726" s="60"/>
    </row>
    <row r="727" spans="11:27">
      <c r="K727" s="51"/>
      <c r="Q727" s="51"/>
      <c r="R727" s="51"/>
      <c r="S727" s="51"/>
      <c r="W727" s="53"/>
      <c r="X727" s="53"/>
      <c r="Y727" s="58"/>
      <c r="Z727" s="58"/>
      <c r="AA727" s="60"/>
    </row>
    <row r="728" spans="11:27">
      <c r="K728" s="51"/>
      <c r="Q728" s="51"/>
      <c r="R728" s="51"/>
      <c r="S728" s="51"/>
      <c r="W728" s="53"/>
      <c r="X728" s="53"/>
      <c r="Y728" s="58"/>
      <c r="Z728" s="58"/>
      <c r="AA728" s="60"/>
    </row>
    <row r="729" spans="11:27">
      <c r="K729" s="51"/>
      <c r="Q729" s="51"/>
      <c r="R729" s="51"/>
      <c r="S729" s="51"/>
      <c r="W729" s="53"/>
      <c r="X729" s="53"/>
      <c r="Y729" s="58"/>
      <c r="Z729" s="58"/>
      <c r="AA729" s="60"/>
    </row>
    <row r="730" spans="11:27">
      <c r="K730" s="51"/>
      <c r="Q730" s="51"/>
      <c r="R730" s="51"/>
      <c r="S730" s="51"/>
      <c r="W730" s="53"/>
      <c r="X730" s="53"/>
      <c r="Y730" s="58"/>
      <c r="Z730" s="58"/>
      <c r="AA730" s="60"/>
    </row>
    <row r="731" spans="11:27">
      <c r="K731" s="51"/>
      <c r="Q731" s="51"/>
      <c r="R731" s="51"/>
      <c r="S731" s="51"/>
      <c r="W731" s="53"/>
      <c r="X731" s="53"/>
      <c r="Y731" s="58"/>
      <c r="Z731" s="58"/>
      <c r="AA731" s="60"/>
    </row>
    <row r="732" spans="11:27">
      <c r="K732" s="51"/>
      <c r="Q732" s="51"/>
      <c r="R732" s="51"/>
      <c r="S732" s="51"/>
      <c r="W732" s="53"/>
      <c r="X732" s="53"/>
      <c r="Y732" s="58"/>
      <c r="Z732" s="58"/>
      <c r="AA732" s="60"/>
    </row>
    <row r="733" spans="11:27">
      <c r="K733" s="51"/>
      <c r="Q733" s="51"/>
      <c r="R733" s="51"/>
      <c r="S733" s="51"/>
      <c r="W733" s="53"/>
      <c r="X733" s="53"/>
      <c r="Y733" s="58"/>
      <c r="Z733" s="58"/>
      <c r="AA733" s="60"/>
    </row>
    <row r="734" spans="11:27">
      <c r="K734" s="51"/>
      <c r="Q734" s="51"/>
      <c r="R734" s="51"/>
      <c r="S734" s="51"/>
      <c r="W734" s="53"/>
      <c r="X734" s="53"/>
      <c r="Y734" s="58"/>
      <c r="Z734" s="58"/>
      <c r="AA734" s="60"/>
    </row>
    <row r="735" spans="11:27">
      <c r="K735" s="51"/>
      <c r="Q735" s="51"/>
      <c r="R735" s="51"/>
      <c r="S735" s="51"/>
      <c r="W735" s="53"/>
      <c r="X735" s="53"/>
      <c r="Y735" s="58"/>
      <c r="Z735" s="58"/>
      <c r="AA735" s="60"/>
    </row>
    <row r="736" spans="11:27">
      <c r="K736" s="51"/>
      <c r="Q736" s="51"/>
      <c r="R736" s="51"/>
      <c r="S736" s="51"/>
      <c r="W736" s="53"/>
      <c r="X736" s="53"/>
      <c r="Y736" s="58"/>
      <c r="Z736" s="58"/>
      <c r="AA736" s="60"/>
    </row>
    <row r="737" spans="11:27">
      <c r="K737" s="51"/>
      <c r="Q737" s="51"/>
      <c r="R737" s="51"/>
      <c r="S737" s="51"/>
      <c r="W737" s="53"/>
      <c r="X737" s="53"/>
      <c r="Y737" s="58"/>
      <c r="Z737" s="58"/>
      <c r="AA737" s="60"/>
    </row>
    <row r="738" spans="11:27">
      <c r="K738" s="51"/>
      <c r="Q738" s="51"/>
      <c r="R738" s="51"/>
      <c r="S738" s="51"/>
      <c r="W738" s="53"/>
      <c r="X738" s="53"/>
      <c r="Y738" s="58"/>
      <c r="Z738" s="58"/>
      <c r="AA738" s="60"/>
    </row>
    <row r="739" spans="11:27">
      <c r="K739" s="51"/>
      <c r="Q739" s="51"/>
      <c r="R739" s="51"/>
      <c r="S739" s="51"/>
      <c r="W739" s="53"/>
      <c r="X739" s="53"/>
      <c r="Y739" s="58"/>
      <c r="Z739" s="58"/>
      <c r="AA739" s="60"/>
    </row>
    <row r="740" spans="11:27">
      <c r="K740" s="51"/>
      <c r="Q740" s="51"/>
      <c r="R740" s="51"/>
      <c r="S740" s="51"/>
      <c r="W740" s="53"/>
      <c r="X740" s="53"/>
      <c r="Y740" s="58"/>
      <c r="Z740" s="58"/>
      <c r="AA740" s="60"/>
    </row>
    <row r="741" spans="11:27">
      <c r="K741" s="51"/>
      <c r="Q741" s="51"/>
      <c r="R741" s="51"/>
      <c r="S741" s="51"/>
      <c r="W741" s="53"/>
      <c r="X741" s="53"/>
      <c r="Y741" s="58"/>
      <c r="Z741" s="58"/>
      <c r="AA741" s="60"/>
    </row>
    <row r="742" spans="11:27">
      <c r="K742" s="51"/>
      <c r="Q742" s="51"/>
      <c r="R742" s="51"/>
      <c r="S742" s="51"/>
      <c r="W742" s="53"/>
      <c r="X742" s="53"/>
      <c r="Y742" s="58"/>
      <c r="Z742" s="58"/>
      <c r="AA742" s="60"/>
    </row>
    <row r="743" spans="11:27">
      <c r="K743" s="51"/>
      <c r="Q743" s="51"/>
      <c r="R743" s="51"/>
      <c r="S743" s="51"/>
      <c r="W743" s="53"/>
      <c r="X743" s="53"/>
      <c r="Y743" s="58"/>
      <c r="Z743" s="58"/>
      <c r="AA743" s="60"/>
    </row>
    <row r="744" spans="11:27">
      <c r="K744" s="51"/>
      <c r="Q744" s="51"/>
      <c r="R744" s="51"/>
      <c r="S744" s="51"/>
      <c r="W744" s="53"/>
      <c r="X744" s="53"/>
      <c r="Y744" s="58"/>
      <c r="Z744" s="58"/>
      <c r="AA744" s="60"/>
    </row>
    <row r="745" spans="11:27">
      <c r="K745" s="51"/>
      <c r="Q745" s="51"/>
      <c r="R745" s="51"/>
      <c r="S745" s="51"/>
      <c r="W745" s="53"/>
      <c r="X745" s="53"/>
      <c r="Y745" s="58"/>
      <c r="Z745" s="58"/>
      <c r="AA745" s="60"/>
    </row>
    <row r="746" spans="11:27">
      <c r="K746" s="51"/>
      <c r="Q746" s="51"/>
      <c r="R746" s="51"/>
      <c r="S746" s="51"/>
      <c r="W746" s="53"/>
      <c r="X746" s="53"/>
      <c r="Y746" s="58"/>
      <c r="Z746" s="58"/>
      <c r="AA746" s="60"/>
    </row>
    <row r="747" spans="11:27">
      <c r="K747" s="51"/>
      <c r="Q747" s="51"/>
      <c r="R747" s="51"/>
      <c r="S747" s="51"/>
      <c r="W747" s="53"/>
      <c r="X747" s="53"/>
      <c r="Y747" s="58"/>
      <c r="Z747" s="58"/>
      <c r="AA747" s="60"/>
    </row>
    <row r="748" spans="11:27">
      <c r="K748" s="51"/>
      <c r="Q748" s="51"/>
      <c r="R748" s="51"/>
      <c r="S748" s="51"/>
      <c r="W748" s="53"/>
      <c r="X748" s="53"/>
      <c r="Y748" s="58"/>
      <c r="Z748" s="58"/>
      <c r="AA748" s="60"/>
    </row>
    <row r="749" spans="11:27">
      <c r="K749" s="51"/>
      <c r="Q749" s="51"/>
      <c r="R749" s="51"/>
      <c r="S749" s="51"/>
      <c r="W749" s="53"/>
      <c r="X749" s="53"/>
      <c r="Y749" s="58"/>
      <c r="Z749" s="58"/>
      <c r="AA749" s="60"/>
    </row>
    <row r="750" spans="11:27">
      <c r="K750" s="51"/>
      <c r="Q750" s="51"/>
      <c r="R750" s="51"/>
      <c r="S750" s="51"/>
      <c r="W750" s="53"/>
      <c r="X750" s="53"/>
      <c r="Y750" s="58"/>
      <c r="Z750" s="58"/>
      <c r="AA750" s="60"/>
    </row>
    <row r="751" spans="11:27">
      <c r="K751" s="51"/>
      <c r="Q751" s="51"/>
      <c r="R751" s="51"/>
      <c r="S751" s="51"/>
      <c r="W751" s="53"/>
      <c r="X751" s="53"/>
      <c r="Y751" s="58"/>
      <c r="Z751" s="58"/>
      <c r="AA751" s="60"/>
    </row>
    <row r="752" spans="11:27">
      <c r="K752" s="51"/>
      <c r="Q752" s="51"/>
      <c r="R752" s="51"/>
      <c r="S752" s="51"/>
      <c r="W752" s="53"/>
      <c r="X752" s="53"/>
      <c r="Y752" s="58"/>
      <c r="Z752" s="58"/>
      <c r="AA752" s="60"/>
    </row>
    <row r="753" spans="11:27">
      <c r="K753" s="51"/>
      <c r="Q753" s="51"/>
      <c r="R753" s="51"/>
      <c r="S753" s="51"/>
      <c r="W753" s="53"/>
      <c r="X753" s="53"/>
      <c r="Y753" s="58"/>
      <c r="Z753" s="58"/>
      <c r="AA753" s="60"/>
    </row>
    <row r="754" spans="11:27">
      <c r="K754" s="51"/>
      <c r="Q754" s="51"/>
      <c r="R754" s="51"/>
      <c r="S754" s="51"/>
      <c r="W754" s="53"/>
      <c r="X754" s="53"/>
      <c r="Y754" s="58"/>
      <c r="Z754" s="58"/>
      <c r="AA754" s="60"/>
    </row>
    <row r="755" spans="11:27">
      <c r="K755" s="51"/>
      <c r="Q755" s="51"/>
      <c r="R755" s="51"/>
      <c r="S755" s="51"/>
      <c r="W755" s="53"/>
      <c r="X755" s="53"/>
      <c r="Y755" s="58"/>
      <c r="Z755" s="58"/>
      <c r="AA755" s="60"/>
    </row>
    <row r="756" spans="11:27">
      <c r="K756" s="51"/>
      <c r="Q756" s="51"/>
      <c r="R756" s="51"/>
      <c r="S756" s="51"/>
      <c r="W756" s="53"/>
      <c r="X756" s="53"/>
      <c r="Y756" s="58"/>
      <c r="Z756" s="58"/>
      <c r="AA756" s="60"/>
    </row>
    <row r="757" spans="11:27">
      <c r="K757" s="51"/>
      <c r="Q757" s="51"/>
      <c r="R757" s="51"/>
      <c r="S757" s="51"/>
      <c r="W757" s="53"/>
      <c r="X757" s="53"/>
      <c r="Y757" s="58"/>
      <c r="Z757" s="58"/>
      <c r="AA757" s="60"/>
    </row>
    <row r="758" spans="11:27">
      <c r="K758" s="51"/>
      <c r="Q758" s="51"/>
      <c r="R758" s="51"/>
      <c r="S758" s="51"/>
      <c r="W758" s="53"/>
      <c r="X758" s="53"/>
      <c r="Y758" s="58"/>
      <c r="Z758" s="58"/>
      <c r="AA758" s="60"/>
    </row>
    <row r="759" spans="11:27">
      <c r="K759" s="51"/>
      <c r="Q759" s="51"/>
      <c r="R759" s="51"/>
      <c r="S759" s="51"/>
      <c r="W759" s="53"/>
      <c r="X759" s="53"/>
      <c r="Y759" s="58"/>
      <c r="Z759" s="58"/>
      <c r="AA759" s="60"/>
    </row>
    <row r="760" spans="11:27">
      <c r="K760" s="51"/>
      <c r="Q760" s="51"/>
      <c r="R760" s="51"/>
      <c r="S760" s="51"/>
      <c r="W760" s="53"/>
      <c r="X760" s="53"/>
      <c r="Y760" s="58"/>
      <c r="Z760" s="58"/>
      <c r="AA760" s="60"/>
    </row>
    <row r="761" spans="11:27">
      <c r="K761" s="51"/>
      <c r="Q761" s="51"/>
      <c r="R761" s="51"/>
      <c r="S761" s="51"/>
      <c r="W761" s="53"/>
      <c r="X761" s="53"/>
      <c r="Y761" s="58"/>
      <c r="Z761" s="58"/>
      <c r="AA761" s="60"/>
    </row>
    <row r="762" spans="11:27">
      <c r="K762" s="51"/>
      <c r="Q762" s="51"/>
      <c r="R762" s="51"/>
      <c r="S762" s="51"/>
      <c r="W762" s="53"/>
      <c r="X762" s="53"/>
      <c r="Y762" s="58"/>
      <c r="Z762" s="58"/>
      <c r="AA762" s="60"/>
    </row>
    <row r="763" spans="11:27">
      <c r="K763" s="51"/>
      <c r="Q763" s="51"/>
      <c r="R763" s="51"/>
      <c r="S763" s="51"/>
      <c r="W763" s="53"/>
      <c r="X763" s="53"/>
      <c r="Y763" s="58"/>
      <c r="Z763" s="58"/>
      <c r="AA763" s="60"/>
    </row>
    <row r="764" spans="11:27">
      <c r="K764" s="51"/>
      <c r="Q764" s="51"/>
      <c r="R764" s="51"/>
      <c r="S764" s="51"/>
      <c r="W764" s="53"/>
      <c r="X764" s="53"/>
      <c r="Y764" s="58"/>
      <c r="Z764" s="58"/>
      <c r="AA764" s="60"/>
    </row>
    <row r="765" spans="11:27">
      <c r="K765" s="51"/>
      <c r="Q765" s="51"/>
      <c r="R765" s="51"/>
      <c r="S765" s="51"/>
      <c r="W765" s="53"/>
      <c r="X765" s="53"/>
      <c r="Y765" s="58"/>
      <c r="Z765" s="58"/>
      <c r="AA765" s="60"/>
    </row>
    <row r="766" spans="11:27">
      <c r="K766" s="51"/>
      <c r="Q766" s="51"/>
      <c r="R766" s="51"/>
      <c r="S766" s="51"/>
      <c r="W766" s="53"/>
      <c r="X766" s="53"/>
      <c r="Y766" s="58"/>
      <c r="Z766" s="58"/>
      <c r="AA766" s="60"/>
    </row>
    <row r="767" spans="11:27">
      <c r="K767" s="51"/>
      <c r="Q767" s="51"/>
      <c r="R767" s="51"/>
      <c r="S767" s="51"/>
      <c r="W767" s="53"/>
      <c r="X767" s="53"/>
      <c r="Y767" s="58"/>
      <c r="Z767" s="58"/>
      <c r="AA767" s="60"/>
    </row>
    <row r="768" spans="11:27">
      <c r="K768" s="51"/>
      <c r="Q768" s="51"/>
      <c r="R768" s="51"/>
      <c r="S768" s="51"/>
      <c r="W768" s="53"/>
      <c r="X768" s="53"/>
      <c r="Y768" s="58"/>
      <c r="Z768" s="58"/>
      <c r="AA768" s="60"/>
    </row>
    <row r="769" spans="11:27">
      <c r="K769" s="51"/>
      <c r="Q769" s="51"/>
      <c r="R769" s="51"/>
      <c r="S769" s="51"/>
      <c r="W769" s="53"/>
      <c r="X769" s="53"/>
      <c r="Y769" s="58"/>
      <c r="Z769" s="58"/>
      <c r="AA769" s="60"/>
    </row>
    <row r="770" spans="11:27">
      <c r="K770" s="51"/>
      <c r="Q770" s="51"/>
      <c r="R770" s="51"/>
      <c r="S770" s="51"/>
      <c r="W770" s="53"/>
      <c r="X770" s="53"/>
      <c r="Y770" s="58"/>
      <c r="Z770" s="58"/>
      <c r="AA770" s="60"/>
    </row>
    <row r="771" spans="11:27">
      <c r="K771" s="51"/>
      <c r="Q771" s="51"/>
      <c r="R771" s="51"/>
      <c r="S771" s="51"/>
      <c r="W771" s="53"/>
      <c r="X771" s="53"/>
      <c r="Y771" s="58"/>
      <c r="Z771" s="58"/>
      <c r="AA771" s="60"/>
    </row>
    <row r="772" spans="11:27">
      <c r="K772" s="51"/>
      <c r="Q772" s="51"/>
      <c r="R772" s="51"/>
      <c r="S772" s="51"/>
      <c r="W772" s="53"/>
      <c r="X772" s="53"/>
      <c r="Y772" s="58"/>
      <c r="Z772" s="58"/>
      <c r="AA772" s="60"/>
    </row>
    <row r="773" spans="11:27">
      <c r="K773" s="51"/>
      <c r="Q773" s="51"/>
      <c r="R773" s="51"/>
      <c r="S773" s="51"/>
      <c r="W773" s="53"/>
      <c r="X773" s="53"/>
      <c r="Y773" s="58"/>
      <c r="Z773" s="58"/>
      <c r="AA773" s="60"/>
    </row>
    <row r="774" spans="11:27">
      <c r="K774" s="51"/>
      <c r="Q774" s="51"/>
      <c r="R774" s="51"/>
      <c r="S774" s="51"/>
      <c r="W774" s="53"/>
      <c r="X774" s="53"/>
      <c r="Y774" s="58"/>
      <c r="Z774" s="58"/>
      <c r="AA774" s="60"/>
    </row>
    <row r="775" spans="11:27">
      <c r="K775" s="51"/>
      <c r="Q775" s="51"/>
      <c r="R775" s="51"/>
      <c r="S775" s="51"/>
      <c r="W775" s="53"/>
      <c r="X775" s="53"/>
      <c r="Y775" s="58"/>
      <c r="Z775" s="58"/>
      <c r="AA775" s="60"/>
    </row>
    <row r="776" spans="11:27">
      <c r="K776" s="51"/>
      <c r="Q776" s="51"/>
      <c r="R776" s="51"/>
      <c r="S776" s="51"/>
      <c r="W776" s="53"/>
      <c r="X776" s="53"/>
      <c r="Y776" s="58"/>
      <c r="Z776" s="58"/>
      <c r="AA776" s="60"/>
    </row>
    <row r="777" spans="11:27">
      <c r="K777" s="51"/>
      <c r="Q777" s="51"/>
      <c r="R777" s="51"/>
      <c r="S777" s="51"/>
      <c r="W777" s="53"/>
      <c r="X777" s="53"/>
      <c r="Y777" s="58"/>
      <c r="Z777" s="58"/>
      <c r="AA777" s="60"/>
    </row>
    <row r="778" spans="11:27">
      <c r="K778" s="51"/>
      <c r="Q778" s="51"/>
      <c r="R778" s="51"/>
      <c r="S778" s="51"/>
      <c r="W778" s="53"/>
      <c r="X778" s="53"/>
      <c r="Y778" s="58"/>
      <c r="Z778" s="58"/>
      <c r="AA778" s="60"/>
    </row>
    <row r="779" spans="11:27">
      <c r="K779" s="51"/>
      <c r="Q779" s="51"/>
      <c r="R779" s="51"/>
      <c r="S779" s="51"/>
      <c r="W779" s="53"/>
      <c r="X779" s="53"/>
      <c r="Y779" s="58"/>
      <c r="Z779" s="58"/>
      <c r="AA779" s="60"/>
    </row>
    <row r="780" spans="11:27">
      <c r="K780" s="51"/>
      <c r="Q780" s="51"/>
      <c r="R780" s="51"/>
      <c r="S780" s="51"/>
      <c r="W780" s="53"/>
      <c r="X780" s="53"/>
      <c r="Y780" s="58"/>
      <c r="Z780" s="58"/>
      <c r="AA780" s="60"/>
    </row>
    <row r="781" spans="11:27">
      <c r="K781" s="51"/>
      <c r="Q781" s="51"/>
      <c r="R781" s="51"/>
      <c r="S781" s="51"/>
      <c r="W781" s="53"/>
      <c r="X781" s="53"/>
      <c r="Y781" s="58"/>
      <c r="Z781" s="58"/>
      <c r="AA781" s="60"/>
    </row>
    <row r="782" spans="11:27">
      <c r="K782" s="51"/>
      <c r="Q782" s="51"/>
      <c r="R782" s="51"/>
      <c r="S782" s="51"/>
      <c r="W782" s="53"/>
      <c r="X782" s="53"/>
      <c r="Y782" s="58"/>
      <c r="Z782" s="58"/>
      <c r="AA782" s="60"/>
    </row>
    <row r="783" spans="11:27">
      <c r="K783" s="51"/>
      <c r="Q783" s="51"/>
      <c r="R783" s="51"/>
      <c r="S783" s="51"/>
      <c r="W783" s="53"/>
      <c r="X783" s="53"/>
      <c r="Y783" s="58"/>
      <c r="Z783" s="58"/>
      <c r="AA783" s="60"/>
    </row>
    <row r="784" spans="11:27">
      <c r="K784" s="51"/>
      <c r="Q784" s="51"/>
      <c r="R784" s="51"/>
      <c r="S784" s="51"/>
      <c r="W784" s="53"/>
      <c r="X784" s="53"/>
      <c r="Y784" s="58"/>
      <c r="Z784" s="58"/>
      <c r="AA784" s="60"/>
    </row>
    <row r="785" spans="11:27">
      <c r="K785" s="51"/>
      <c r="Q785" s="51"/>
      <c r="R785" s="51"/>
      <c r="S785" s="51"/>
      <c r="W785" s="53"/>
      <c r="X785" s="53"/>
      <c r="Y785" s="58"/>
      <c r="Z785" s="58"/>
      <c r="AA785" s="60"/>
    </row>
    <row r="786" spans="11:27">
      <c r="K786" s="51"/>
      <c r="Q786" s="51"/>
      <c r="R786" s="51"/>
      <c r="S786" s="51"/>
      <c r="W786" s="53"/>
      <c r="X786" s="53"/>
      <c r="Y786" s="58"/>
      <c r="Z786" s="58"/>
      <c r="AA786" s="60"/>
    </row>
    <row r="787" spans="11:27">
      <c r="K787" s="51"/>
      <c r="Q787" s="51"/>
      <c r="R787" s="51"/>
      <c r="S787" s="51"/>
      <c r="W787" s="53"/>
      <c r="X787" s="53"/>
      <c r="Y787" s="58"/>
      <c r="Z787" s="58"/>
      <c r="AA787" s="60"/>
    </row>
    <row r="788" spans="11:27">
      <c r="K788" s="51"/>
      <c r="Q788" s="51"/>
      <c r="R788" s="51"/>
      <c r="S788" s="51"/>
      <c r="W788" s="53"/>
      <c r="X788" s="53"/>
      <c r="Y788" s="58"/>
      <c r="Z788" s="58"/>
      <c r="AA788" s="60"/>
    </row>
    <row r="789" spans="11:27">
      <c r="K789" s="51"/>
      <c r="Q789" s="51"/>
      <c r="R789" s="51"/>
      <c r="S789" s="51"/>
      <c r="W789" s="53"/>
      <c r="X789" s="53"/>
      <c r="Y789" s="58"/>
      <c r="Z789" s="58"/>
      <c r="AA789" s="60"/>
    </row>
    <row r="790" spans="11:27">
      <c r="K790" s="51"/>
      <c r="Q790" s="51"/>
      <c r="R790" s="51"/>
      <c r="S790" s="51"/>
      <c r="W790" s="53"/>
      <c r="X790" s="53"/>
      <c r="Y790" s="58"/>
      <c r="Z790" s="58"/>
      <c r="AA790" s="60"/>
    </row>
    <row r="791" spans="11:27">
      <c r="K791" s="51"/>
      <c r="Q791" s="51"/>
      <c r="R791" s="51"/>
      <c r="S791" s="51"/>
      <c r="W791" s="53"/>
      <c r="X791" s="53"/>
      <c r="Y791" s="58"/>
      <c r="Z791" s="58"/>
      <c r="AA791" s="60"/>
    </row>
    <row r="792" spans="11:27">
      <c r="K792" s="51"/>
      <c r="Q792" s="51"/>
      <c r="R792" s="51"/>
      <c r="S792" s="51"/>
      <c r="W792" s="53"/>
      <c r="X792" s="53"/>
      <c r="Y792" s="58"/>
      <c r="Z792" s="58"/>
      <c r="AA792" s="60"/>
    </row>
    <row r="793" spans="11:27">
      <c r="K793" s="51"/>
      <c r="Q793" s="51"/>
      <c r="R793" s="51"/>
      <c r="S793" s="51"/>
      <c r="W793" s="53"/>
      <c r="X793" s="53"/>
      <c r="Y793" s="58"/>
      <c r="Z793" s="58"/>
      <c r="AA793" s="60"/>
    </row>
    <row r="794" spans="11:27">
      <c r="K794" s="51"/>
      <c r="Q794" s="51"/>
      <c r="R794" s="51"/>
      <c r="S794" s="51"/>
      <c r="W794" s="53"/>
      <c r="X794" s="53"/>
      <c r="Y794" s="58"/>
      <c r="Z794" s="58"/>
      <c r="AA794" s="60"/>
    </row>
    <row r="795" spans="11:27">
      <c r="K795" s="51"/>
      <c r="Q795" s="51"/>
      <c r="R795" s="51"/>
      <c r="S795" s="51"/>
      <c r="W795" s="53"/>
      <c r="X795" s="53"/>
      <c r="Y795" s="58"/>
      <c r="Z795" s="58"/>
      <c r="AA795" s="60"/>
    </row>
    <row r="796" spans="11:27">
      <c r="K796" s="51"/>
      <c r="Q796" s="51"/>
      <c r="R796" s="51"/>
      <c r="S796" s="51"/>
      <c r="W796" s="53"/>
      <c r="X796" s="53"/>
      <c r="Y796" s="58"/>
      <c r="Z796" s="58"/>
      <c r="AA796" s="60"/>
    </row>
    <row r="797" spans="11:27">
      <c r="K797" s="51"/>
      <c r="Q797" s="51"/>
      <c r="R797" s="51"/>
      <c r="S797" s="51"/>
      <c r="W797" s="53"/>
      <c r="X797" s="53"/>
      <c r="Y797" s="58"/>
      <c r="Z797" s="58"/>
      <c r="AA797" s="60"/>
    </row>
    <row r="798" spans="11:27">
      <c r="K798" s="51"/>
      <c r="Q798" s="51"/>
      <c r="R798" s="51"/>
      <c r="S798" s="51"/>
      <c r="W798" s="53"/>
      <c r="X798" s="53"/>
      <c r="Y798" s="58"/>
      <c r="Z798" s="58"/>
      <c r="AA798" s="60"/>
    </row>
    <row r="799" spans="11:27">
      <c r="K799" s="51"/>
      <c r="Q799" s="51"/>
      <c r="R799" s="51"/>
      <c r="S799" s="51"/>
      <c r="W799" s="53"/>
      <c r="X799" s="53"/>
      <c r="Y799" s="58"/>
      <c r="Z799" s="58"/>
      <c r="AA799" s="60"/>
    </row>
    <row r="800" spans="11:27">
      <c r="K800" s="51"/>
      <c r="Q800" s="51"/>
      <c r="R800" s="51"/>
      <c r="S800" s="51"/>
      <c r="W800" s="53"/>
      <c r="X800" s="53"/>
      <c r="Y800" s="58"/>
      <c r="Z800" s="58"/>
      <c r="AA800" s="60"/>
    </row>
    <row r="801" spans="11:27">
      <c r="K801" s="51"/>
      <c r="Q801" s="51"/>
      <c r="R801" s="51"/>
      <c r="S801" s="51"/>
      <c r="W801" s="53"/>
      <c r="X801" s="53"/>
      <c r="Y801" s="58"/>
      <c r="Z801" s="58"/>
      <c r="AA801" s="60"/>
    </row>
    <row r="802" spans="11:27">
      <c r="K802" s="51"/>
      <c r="Q802" s="51"/>
      <c r="R802" s="51"/>
      <c r="S802" s="51"/>
      <c r="W802" s="53"/>
      <c r="X802" s="53"/>
      <c r="Y802" s="58"/>
      <c r="Z802" s="58"/>
      <c r="AA802" s="60"/>
    </row>
    <row r="803" spans="11:27">
      <c r="K803" s="51"/>
      <c r="Q803" s="51"/>
      <c r="R803" s="51"/>
      <c r="S803" s="51"/>
      <c r="W803" s="53"/>
      <c r="X803" s="53"/>
      <c r="Y803" s="58"/>
      <c r="Z803" s="58"/>
      <c r="AA803" s="60"/>
    </row>
    <row r="804" spans="11:27">
      <c r="K804" s="51"/>
      <c r="Q804" s="51"/>
      <c r="R804" s="51"/>
      <c r="S804" s="51"/>
      <c r="W804" s="53"/>
      <c r="X804" s="53"/>
      <c r="Y804" s="58"/>
      <c r="Z804" s="58"/>
      <c r="AA804" s="60"/>
    </row>
    <row r="805" spans="11:27">
      <c r="K805" s="51"/>
      <c r="Q805" s="51"/>
      <c r="R805" s="51"/>
      <c r="S805" s="51"/>
      <c r="W805" s="53"/>
      <c r="X805" s="53"/>
      <c r="Y805" s="58"/>
      <c r="Z805" s="58"/>
      <c r="AA805" s="60"/>
    </row>
    <row r="806" spans="11:27">
      <c r="K806" s="51"/>
      <c r="Q806" s="51"/>
      <c r="R806" s="51"/>
      <c r="S806" s="51"/>
      <c r="W806" s="53"/>
      <c r="X806" s="53"/>
      <c r="Y806" s="58"/>
      <c r="Z806" s="58"/>
      <c r="AA806" s="60"/>
    </row>
    <row r="807" spans="11:27">
      <c r="K807" s="51"/>
      <c r="Q807" s="51"/>
      <c r="R807" s="51"/>
      <c r="S807" s="51"/>
      <c r="W807" s="53"/>
      <c r="X807" s="53"/>
      <c r="Y807" s="58"/>
      <c r="Z807" s="58"/>
      <c r="AA807" s="60"/>
    </row>
    <row r="808" spans="11:27">
      <c r="K808" s="51"/>
      <c r="Q808" s="51"/>
      <c r="R808" s="51"/>
      <c r="S808" s="51"/>
      <c r="W808" s="53"/>
      <c r="X808" s="53"/>
      <c r="Y808" s="58"/>
      <c r="Z808" s="58"/>
      <c r="AA808" s="60"/>
    </row>
    <row r="809" spans="11:27">
      <c r="K809" s="51"/>
      <c r="Q809" s="51"/>
      <c r="R809" s="51"/>
      <c r="S809" s="51"/>
      <c r="W809" s="53"/>
      <c r="X809" s="53"/>
      <c r="Y809" s="58"/>
      <c r="Z809" s="58"/>
      <c r="AA809" s="60"/>
    </row>
    <row r="810" spans="11:27">
      <c r="K810" s="51"/>
      <c r="Q810" s="51"/>
      <c r="R810" s="51"/>
      <c r="S810" s="51"/>
      <c r="W810" s="53"/>
      <c r="X810" s="53"/>
      <c r="Y810" s="58"/>
      <c r="Z810" s="58"/>
      <c r="AA810" s="60"/>
    </row>
    <row r="811" spans="11:27">
      <c r="K811" s="51"/>
      <c r="Q811" s="51"/>
      <c r="R811" s="51"/>
      <c r="S811" s="51"/>
      <c r="W811" s="53"/>
      <c r="X811" s="53"/>
      <c r="Y811" s="58"/>
      <c r="Z811" s="58"/>
      <c r="AA811" s="60"/>
    </row>
    <row r="812" spans="11:27">
      <c r="K812" s="51"/>
      <c r="Q812" s="51"/>
      <c r="R812" s="51"/>
      <c r="S812" s="51"/>
      <c r="W812" s="53"/>
      <c r="X812" s="53"/>
      <c r="Y812" s="58"/>
      <c r="Z812" s="58"/>
      <c r="AA812" s="60"/>
    </row>
    <row r="813" spans="11:27">
      <c r="K813" s="51"/>
      <c r="Q813" s="51"/>
      <c r="R813" s="51"/>
      <c r="S813" s="51"/>
      <c r="W813" s="53"/>
      <c r="X813" s="53"/>
      <c r="Y813" s="58"/>
      <c r="Z813" s="58"/>
      <c r="AA813" s="60"/>
    </row>
    <row r="814" spans="11:27">
      <c r="K814" s="51"/>
      <c r="Q814" s="51"/>
      <c r="R814" s="51"/>
      <c r="S814" s="51"/>
      <c r="W814" s="53"/>
      <c r="X814" s="53"/>
      <c r="Y814" s="58"/>
      <c r="Z814" s="58"/>
      <c r="AA814" s="60"/>
    </row>
    <row r="815" spans="11:27">
      <c r="K815" s="51"/>
      <c r="Q815" s="51"/>
      <c r="R815" s="51"/>
      <c r="S815" s="51"/>
      <c r="W815" s="53"/>
      <c r="X815" s="53"/>
      <c r="Y815" s="58"/>
      <c r="Z815" s="58"/>
      <c r="AA815" s="60"/>
    </row>
    <row r="816" spans="11:27">
      <c r="K816" s="51"/>
      <c r="Q816" s="51"/>
      <c r="R816" s="51"/>
      <c r="S816" s="51"/>
      <c r="W816" s="53"/>
      <c r="X816" s="53"/>
      <c r="Y816" s="58"/>
      <c r="Z816" s="58"/>
      <c r="AA816" s="60"/>
    </row>
    <row r="817" spans="11:27">
      <c r="K817" s="51"/>
      <c r="Q817" s="51"/>
      <c r="R817" s="51"/>
      <c r="S817" s="51"/>
      <c r="W817" s="53"/>
      <c r="X817" s="53"/>
      <c r="Y817" s="58"/>
      <c r="Z817" s="58"/>
      <c r="AA817" s="60"/>
    </row>
    <row r="818" spans="11:27">
      <c r="K818" s="51"/>
      <c r="Q818" s="51"/>
      <c r="R818" s="51"/>
      <c r="S818" s="51"/>
      <c r="W818" s="53"/>
      <c r="X818" s="53"/>
      <c r="Y818" s="58"/>
      <c r="Z818" s="58"/>
      <c r="AA818" s="60"/>
    </row>
    <row r="819" spans="11:27">
      <c r="K819" s="51"/>
      <c r="Q819" s="51"/>
      <c r="R819" s="51"/>
      <c r="S819" s="51"/>
      <c r="W819" s="53"/>
      <c r="X819" s="53"/>
      <c r="Y819" s="58"/>
      <c r="Z819" s="58"/>
      <c r="AA819" s="60"/>
    </row>
    <row r="820" spans="11:27">
      <c r="K820" s="51"/>
      <c r="Q820" s="51"/>
      <c r="R820" s="51"/>
      <c r="S820" s="51"/>
      <c r="W820" s="53"/>
      <c r="X820" s="53"/>
      <c r="Y820" s="58"/>
      <c r="Z820" s="58"/>
      <c r="AA820" s="60"/>
    </row>
    <row r="821" spans="11:27">
      <c r="K821" s="51"/>
      <c r="Q821" s="51"/>
      <c r="R821" s="51"/>
      <c r="S821" s="51"/>
      <c r="W821" s="53"/>
      <c r="X821" s="53"/>
      <c r="Y821" s="58"/>
      <c r="Z821" s="58"/>
      <c r="AA821" s="60"/>
    </row>
    <row r="822" spans="11:27">
      <c r="K822" s="51"/>
      <c r="Q822" s="51"/>
      <c r="R822" s="51"/>
      <c r="S822" s="51"/>
      <c r="W822" s="53"/>
      <c r="X822" s="53"/>
      <c r="Y822" s="58"/>
      <c r="Z822" s="58"/>
      <c r="AA822" s="60"/>
    </row>
    <row r="823" spans="11:27">
      <c r="K823" s="51"/>
      <c r="Q823" s="51"/>
      <c r="R823" s="51"/>
      <c r="S823" s="51"/>
      <c r="W823" s="53"/>
      <c r="X823" s="53"/>
      <c r="Y823" s="58"/>
      <c r="Z823" s="58"/>
      <c r="AA823" s="60"/>
    </row>
    <row r="824" spans="11:27">
      <c r="K824" s="51"/>
      <c r="Q824" s="51"/>
      <c r="R824" s="51"/>
      <c r="S824" s="51"/>
      <c r="W824" s="53"/>
      <c r="X824" s="53"/>
      <c r="Y824" s="58"/>
      <c r="Z824" s="58"/>
      <c r="AA824" s="60"/>
    </row>
    <row r="825" spans="11:27">
      <c r="K825" s="51"/>
      <c r="Q825" s="51"/>
      <c r="R825" s="51"/>
      <c r="S825" s="51"/>
      <c r="W825" s="53"/>
      <c r="X825" s="53"/>
      <c r="Y825" s="58"/>
      <c r="Z825" s="58"/>
      <c r="AA825" s="60"/>
    </row>
    <row r="826" spans="11:27">
      <c r="K826" s="51"/>
      <c r="Q826" s="51"/>
      <c r="R826" s="51"/>
      <c r="S826" s="51"/>
      <c r="W826" s="53"/>
      <c r="X826" s="53"/>
      <c r="Y826" s="58"/>
      <c r="Z826" s="58"/>
      <c r="AA826" s="60"/>
    </row>
    <row r="827" spans="11:27">
      <c r="K827" s="51"/>
      <c r="Q827" s="51"/>
      <c r="R827" s="51"/>
      <c r="S827" s="51"/>
      <c r="W827" s="53"/>
      <c r="X827" s="53"/>
      <c r="Y827" s="58"/>
      <c r="Z827" s="58"/>
      <c r="AA827" s="60"/>
    </row>
    <row r="828" spans="11:27">
      <c r="K828" s="51"/>
      <c r="Q828" s="51"/>
      <c r="R828" s="51"/>
      <c r="S828" s="51"/>
      <c r="W828" s="53"/>
      <c r="X828" s="53"/>
      <c r="Y828" s="58"/>
      <c r="Z828" s="58"/>
      <c r="AA828" s="60"/>
    </row>
    <row r="829" spans="11:27">
      <c r="K829" s="51"/>
      <c r="Q829" s="51"/>
      <c r="R829" s="51"/>
      <c r="S829" s="51"/>
      <c r="W829" s="53"/>
      <c r="X829" s="53"/>
      <c r="Y829" s="58"/>
      <c r="Z829" s="58"/>
      <c r="AA829" s="60"/>
    </row>
    <row r="830" spans="11:27">
      <c r="K830" s="51"/>
      <c r="Q830" s="51"/>
      <c r="R830" s="51"/>
      <c r="S830" s="51"/>
      <c r="W830" s="53"/>
      <c r="X830" s="53"/>
      <c r="Y830" s="58"/>
      <c r="Z830" s="58"/>
      <c r="AA830" s="60"/>
    </row>
    <row r="831" spans="11:27">
      <c r="K831" s="51"/>
      <c r="Q831" s="51"/>
      <c r="R831" s="51"/>
      <c r="S831" s="51"/>
      <c r="W831" s="53"/>
      <c r="X831" s="53"/>
      <c r="Y831" s="58"/>
      <c r="Z831" s="58"/>
      <c r="AA831" s="60"/>
    </row>
    <row r="832" spans="11:27">
      <c r="K832" s="51"/>
      <c r="Q832" s="51"/>
      <c r="R832" s="51"/>
      <c r="S832" s="51"/>
      <c r="W832" s="53"/>
      <c r="X832" s="53"/>
      <c r="Y832" s="58"/>
      <c r="Z832" s="58"/>
      <c r="AA832" s="60"/>
    </row>
    <row r="833" spans="11:27">
      <c r="K833" s="51"/>
      <c r="Q833" s="51"/>
      <c r="R833" s="51"/>
      <c r="S833" s="51"/>
      <c r="W833" s="53"/>
      <c r="X833" s="53"/>
      <c r="Y833" s="58"/>
      <c r="Z833" s="58"/>
      <c r="AA833" s="60"/>
    </row>
    <row r="834" spans="11:27">
      <c r="K834" s="51"/>
      <c r="Q834" s="51"/>
      <c r="R834" s="51"/>
      <c r="S834" s="51"/>
      <c r="W834" s="53"/>
      <c r="X834" s="53"/>
      <c r="Y834" s="58"/>
      <c r="Z834" s="58"/>
      <c r="AA834" s="60"/>
    </row>
    <row r="835" spans="11:27">
      <c r="K835" s="51"/>
      <c r="Q835" s="51"/>
      <c r="R835" s="51"/>
      <c r="S835" s="51"/>
      <c r="W835" s="53"/>
      <c r="X835" s="53"/>
      <c r="Y835" s="58"/>
      <c r="Z835" s="58"/>
      <c r="AA835" s="60"/>
    </row>
    <row r="836" spans="11:27">
      <c r="K836" s="51"/>
      <c r="Q836" s="51"/>
      <c r="R836" s="51"/>
      <c r="S836" s="51"/>
      <c r="W836" s="53"/>
      <c r="X836" s="53"/>
      <c r="Y836" s="58"/>
      <c r="Z836" s="58"/>
      <c r="AA836" s="60"/>
    </row>
    <row r="837" spans="11:27">
      <c r="K837" s="51"/>
      <c r="Q837" s="51"/>
      <c r="R837" s="51"/>
      <c r="S837" s="51"/>
      <c r="W837" s="53"/>
      <c r="X837" s="53"/>
      <c r="Y837" s="58"/>
      <c r="Z837" s="58"/>
      <c r="AA837" s="60"/>
    </row>
    <row r="838" spans="11:27">
      <c r="K838" s="51"/>
      <c r="Q838" s="51"/>
      <c r="R838" s="51"/>
      <c r="S838" s="51"/>
      <c r="W838" s="53"/>
      <c r="X838" s="53"/>
      <c r="Y838" s="58"/>
      <c r="Z838" s="58"/>
      <c r="AA838" s="60"/>
    </row>
    <row r="839" spans="11:27">
      <c r="K839" s="51"/>
      <c r="Q839" s="51"/>
      <c r="R839" s="51"/>
      <c r="S839" s="51"/>
      <c r="W839" s="53"/>
      <c r="X839" s="53"/>
      <c r="Y839" s="58"/>
      <c r="Z839" s="58"/>
      <c r="AA839" s="60"/>
    </row>
    <row r="840" spans="11:27">
      <c r="K840" s="51"/>
      <c r="Q840" s="51"/>
      <c r="R840" s="51"/>
      <c r="S840" s="51"/>
      <c r="W840" s="53"/>
      <c r="X840" s="53"/>
      <c r="Y840" s="58"/>
      <c r="Z840" s="58"/>
      <c r="AA840" s="60"/>
    </row>
    <row r="841" spans="11:27">
      <c r="K841" s="51"/>
      <c r="Q841" s="51"/>
      <c r="R841" s="51"/>
      <c r="S841" s="51"/>
      <c r="W841" s="53"/>
      <c r="X841" s="53"/>
      <c r="Y841" s="58"/>
      <c r="Z841" s="58"/>
      <c r="AA841" s="60"/>
    </row>
    <row r="842" spans="11:27">
      <c r="K842" s="51"/>
      <c r="Q842" s="51"/>
      <c r="R842" s="51"/>
      <c r="S842" s="51"/>
      <c r="W842" s="53"/>
      <c r="X842" s="53"/>
      <c r="Y842" s="58"/>
      <c r="Z842" s="58"/>
      <c r="AA842" s="60"/>
    </row>
    <row r="843" spans="11:27">
      <c r="K843" s="51"/>
      <c r="Q843" s="51"/>
      <c r="R843" s="51"/>
      <c r="S843" s="51"/>
      <c r="W843" s="53"/>
      <c r="X843" s="53"/>
      <c r="Y843" s="58"/>
      <c r="Z843" s="58"/>
      <c r="AA843" s="60"/>
    </row>
    <row r="844" spans="11:27">
      <c r="K844" s="51"/>
      <c r="Q844" s="51"/>
      <c r="R844" s="51"/>
      <c r="S844" s="51"/>
      <c r="W844" s="53"/>
      <c r="X844" s="53"/>
      <c r="Y844" s="58"/>
      <c r="Z844" s="58"/>
      <c r="AA844" s="60"/>
    </row>
    <row r="845" spans="11:27">
      <c r="K845" s="51"/>
      <c r="Q845" s="51"/>
      <c r="R845" s="51"/>
      <c r="S845" s="51"/>
      <c r="W845" s="53"/>
      <c r="X845" s="53"/>
      <c r="Y845" s="58"/>
      <c r="Z845" s="58"/>
      <c r="AA845" s="60"/>
    </row>
    <row r="846" spans="11:27">
      <c r="K846" s="51"/>
      <c r="Q846" s="51"/>
      <c r="R846" s="51"/>
      <c r="S846" s="51"/>
      <c r="W846" s="53"/>
      <c r="X846" s="53"/>
      <c r="Y846" s="58"/>
      <c r="Z846" s="58"/>
      <c r="AA846" s="60"/>
    </row>
    <row r="847" spans="11:27">
      <c r="K847" s="51"/>
      <c r="Q847" s="51"/>
      <c r="R847" s="51"/>
      <c r="S847" s="51"/>
      <c r="W847" s="53"/>
      <c r="X847" s="53"/>
      <c r="Y847" s="58"/>
      <c r="Z847" s="58"/>
      <c r="AA847" s="60"/>
    </row>
    <row r="848" spans="11:27">
      <c r="K848" s="51"/>
      <c r="Q848" s="51"/>
      <c r="R848" s="51"/>
      <c r="S848" s="51"/>
      <c r="W848" s="53"/>
      <c r="X848" s="53"/>
      <c r="Y848" s="58"/>
      <c r="Z848" s="58"/>
      <c r="AA848" s="60"/>
    </row>
    <row r="849" spans="11:27">
      <c r="K849" s="51"/>
      <c r="Q849" s="51"/>
      <c r="R849" s="51"/>
      <c r="S849" s="51"/>
      <c r="W849" s="53"/>
      <c r="X849" s="53"/>
      <c r="Y849" s="58"/>
      <c r="Z849" s="58"/>
      <c r="AA849" s="60"/>
    </row>
    <row r="850" spans="11:27">
      <c r="K850" s="51"/>
      <c r="Q850" s="51"/>
      <c r="R850" s="51"/>
      <c r="S850" s="51"/>
      <c r="W850" s="53"/>
      <c r="X850" s="53"/>
      <c r="Y850" s="58"/>
      <c r="Z850" s="58"/>
      <c r="AA850" s="60"/>
    </row>
    <row r="851" spans="11:27">
      <c r="K851" s="51"/>
      <c r="Q851" s="51"/>
      <c r="R851" s="51"/>
      <c r="S851" s="51"/>
      <c r="W851" s="53"/>
      <c r="X851" s="53"/>
      <c r="Y851" s="58"/>
      <c r="Z851" s="58"/>
      <c r="AA851" s="60"/>
    </row>
    <row r="852" spans="11:27">
      <c r="K852" s="51"/>
      <c r="Q852" s="51"/>
      <c r="R852" s="51"/>
      <c r="S852" s="51"/>
      <c r="W852" s="53"/>
      <c r="X852" s="53"/>
      <c r="Y852" s="58"/>
      <c r="Z852" s="58"/>
      <c r="AA852" s="60"/>
    </row>
    <row r="853" spans="11:27">
      <c r="K853" s="51"/>
      <c r="Q853" s="51"/>
      <c r="R853" s="51"/>
      <c r="S853" s="51"/>
      <c r="W853" s="53"/>
      <c r="X853" s="53"/>
      <c r="Y853" s="58"/>
      <c r="Z853" s="58"/>
      <c r="AA853" s="60"/>
    </row>
    <row r="854" spans="11:27">
      <c r="K854" s="51"/>
      <c r="Q854" s="51"/>
      <c r="R854" s="51"/>
      <c r="S854" s="51"/>
      <c r="W854" s="53"/>
      <c r="X854" s="53"/>
      <c r="Y854" s="58"/>
      <c r="Z854" s="58"/>
      <c r="AA854" s="60"/>
    </row>
    <row r="855" spans="11:27">
      <c r="K855" s="51"/>
      <c r="Q855" s="51"/>
      <c r="R855" s="51"/>
      <c r="S855" s="51"/>
      <c r="W855" s="53"/>
      <c r="X855" s="53"/>
      <c r="Y855" s="58"/>
      <c r="Z855" s="58"/>
      <c r="AA855" s="60"/>
    </row>
    <row r="856" spans="11:27">
      <c r="K856" s="51"/>
      <c r="Q856" s="51"/>
      <c r="R856" s="51"/>
      <c r="S856" s="51"/>
      <c r="W856" s="53"/>
      <c r="X856" s="53"/>
      <c r="Y856" s="58"/>
      <c r="Z856" s="58"/>
      <c r="AA856" s="60"/>
    </row>
    <row r="857" spans="11:27">
      <c r="K857" s="51"/>
      <c r="Q857" s="51"/>
      <c r="R857" s="51"/>
      <c r="S857" s="51"/>
      <c r="W857" s="53"/>
      <c r="X857" s="53"/>
      <c r="Y857" s="58"/>
      <c r="Z857" s="58"/>
      <c r="AA857" s="60"/>
    </row>
    <row r="858" spans="11:27">
      <c r="K858" s="51"/>
      <c r="Q858" s="51"/>
      <c r="R858" s="51"/>
      <c r="S858" s="51"/>
      <c r="W858" s="53"/>
      <c r="X858" s="53"/>
      <c r="Y858" s="58"/>
      <c r="Z858" s="58"/>
      <c r="AA858" s="60"/>
    </row>
    <row r="859" spans="11:27">
      <c r="K859" s="51"/>
      <c r="Q859" s="51"/>
      <c r="R859" s="51"/>
      <c r="S859" s="51"/>
      <c r="W859" s="53"/>
      <c r="X859" s="53"/>
      <c r="Y859" s="58"/>
      <c r="Z859" s="58"/>
      <c r="AA859" s="60"/>
    </row>
    <row r="860" spans="11:27">
      <c r="K860" s="51"/>
      <c r="Q860" s="51"/>
      <c r="R860" s="51"/>
      <c r="S860" s="51"/>
      <c r="W860" s="53"/>
      <c r="X860" s="53"/>
      <c r="Y860" s="58"/>
      <c r="Z860" s="58"/>
      <c r="AA860" s="60"/>
    </row>
    <row r="861" spans="11:27">
      <c r="K861" s="51"/>
      <c r="Q861" s="51"/>
      <c r="R861" s="51"/>
      <c r="S861" s="51"/>
      <c r="W861" s="53"/>
      <c r="X861" s="53"/>
      <c r="Y861" s="58"/>
      <c r="Z861" s="58"/>
      <c r="AA861" s="60"/>
    </row>
    <row r="862" spans="11:27">
      <c r="K862" s="51"/>
      <c r="Q862" s="51"/>
      <c r="R862" s="51"/>
      <c r="S862" s="51"/>
      <c r="W862" s="53"/>
      <c r="X862" s="53"/>
      <c r="Y862" s="58"/>
      <c r="Z862" s="58"/>
      <c r="AA862" s="60"/>
    </row>
    <row r="863" spans="11:27">
      <c r="K863" s="51"/>
      <c r="Q863" s="51"/>
      <c r="R863" s="51"/>
      <c r="S863" s="51"/>
      <c r="W863" s="53"/>
      <c r="X863" s="53"/>
      <c r="Y863" s="58"/>
      <c r="Z863" s="58"/>
      <c r="AA863" s="60"/>
    </row>
    <row r="864" spans="11:27">
      <c r="K864" s="51"/>
      <c r="Q864" s="51"/>
      <c r="R864" s="51"/>
      <c r="S864" s="51"/>
      <c r="W864" s="53"/>
      <c r="X864" s="53"/>
      <c r="Y864" s="58"/>
      <c r="Z864" s="58"/>
      <c r="AA864" s="60"/>
    </row>
    <row r="865" spans="11:27">
      <c r="K865" s="51"/>
      <c r="Q865" s="51"/>
      <c r="R865" s="51"/>
      <c r="S865" s="51"/>
      <c r="W865" s="53"/>
      <c r="X865" s="53"/>
      <c r="Y865" s="58"/>
      <c r="Z865" s="58"/>
      <c r="AA865" s="60"/>
    </row>
    <row r="866" spans="11:27">
      <c r="K866" s="51"/>
      <c r="Q866" s="51"/>
      <c r="R866" s="51"/>
      <c r="S866" s="51"/>
      <c r="W866" s="53"/>
      <c r="X866" s="53"/>
      <c r="Y866" s="58"/>
      <c r="Z866" s="58"/>
      <c r="AA866" s="60"/>
    </row>
    <row r="867" spans="11:27">
      <c r="K867" s="51"/>
      <c r="Q867" s="51"/>
      <c r="R867" s="51"/>
      <c r="S867" s="51"/>
      <c r="W867" s="53"/>
      <c r="X867" s="53"/>
      <c r="Y867" s="58"/>
      <c r="Z867" s="58"/>
      <c r="AA867" s="60"/>
    </row>
    <row r="868" spans="11:27">
      <c r="K868" s="51"/>
      <c r="Q868" s="51"/>
      <c r="R868" s="51"/>
      <c r="S868" s="51"/>
      <c r="W868" s="53"/>
      <c r="X868" s="53"/>
      <c r="Y868" s="58"/>
      <c r="Z868" s="58"/>
      <c r="AA868" s="60"/>
    </row>
    <row r="869" spans="11:27">
      <c r="K869" s="51"/>
      <c r="Q869" s="51"/>
      <c r="R869" s="51"/>
      <c r="S869" s="51"/>
      <c r="W869" s="53"/>
      <c r="X869" s="53"/>
      <c r="Y869" s="58"/>
      <c r="Z869" s="58"/>
      <c r="AA869" s="60"/>
    </row>
    <row r="870" spans="11:27">
      <c r="K870" s="51"/>
      <c r="Q870" s="51"/>
      <c r="R870" s="51"/>
      <c r="S870" s="51"/>
      <c r="W870" s="53"/>
      <c r="X870" s="53"/>
      <c r="Y870" s="58"/>
      <c r="Z870" s="58"/>
      <c r="AA870" s="60"/>
    </row>
    <row r="871" spans="11:27">
      <c r="K871" s="51"/>
      <c r="Q871" s="51"/>
      <c r="R871" s="51"/>
      <c r="S871" s="51"/>
      <c r="W871" s="53"/>
      <c r="X871" s="53"/>
      <c r="Y871" s="58"/>
      <c r="Z871" s="58"/>
      <c r="AA871" s="60"/>
    </row>
    <row r="872" spans="11:27">
      <c r="K872" s="51"/>
      <c r="Q872" s="51"/>
      <c r="R872" s="51"/>
      <c r="S872" s="51"/>
      <c r="W872" s="53"/>
      <c r="X872" s="53"/>
      <c r="Y872" s="58"/>
      <c r="Z872" s="58"/>
      <c r="AA872" s="60"/>
    </row>
    <row r="873" spans="11:27">
      <c r="K873" s="51"/>
      <c r="Q873" s="51"/>
      <c r="R873" s="51"/>
      <c r="S873" s="51"/>
      <c r="W873" s="53"/>
      <c r="X873" s="53"/>
      <c r="Y873" s="58"/>
      <c r="Z873" s="58"/>
      <c r="AA873" s="60"/>
    </row>
    <row r="874" spans="11:27">
      <c r="K874" s="51"/>
      <c r="Q874" s="51"/>
      <c r="R874" s="51"/>
      <c r="S874" s="51"/>
      <c r="W874" s="53"/>
      <c r="X874" s="53"/>
      <c r="Y874" s="58"/>
      <c r="Z874" s="58"/>
      <c r="AA874" s="60"/>
    </row>
    <row r="875" spans="11:27">
      <c r="K875" s="51"/>
      <c r="Q875" s="51"/>
      <c r="R875" s="51"/>
      <c r="S875" s="51"/>
      <c r="W875" s="53"/>
      <c r="X875" s="53"/>
      <c r="Y875" s="58"/>
      <c r="Z875" s="58"/>
      <c r="AA875" s="60"/>
    </row>
    <row r="876" spans="11:27">
      <c r="K876" s="51"/>
      <c r="Q876" s="51"/>
      <c r="R876" s="51"/>
      <c r="S876" s="51"/>
      <c r="W876" s="53"/>
      <c r="X876" s="53"/>
      <c r="Y876" s="58"/>
      <c r="Z876" s="58"/>
      <c r="AA876" s="60"/>
    </row>
    <row r="877" spans="11:27">
      <c r="K877" s="51"/>
      <c r="Q877" s="51"/>
      <c r="R877" s="51"/>
      <c r="S877" s="51"/>
      <c r="W877" s="53"/>
      <c r="X877" s="53"/>
      <c r="Y877" s="58"/>
      <c r="Z877" s="58"/>
      <c r="AA877" s="60"/>
    </row>
    <row r="878" spans="11:27">
      <c r="K878" s="51"/>
      <c r="Q878" s="51"/>
      <c r="R878" s="51"/>
      <c r="S878" s="51"/>
      <c r="W878" s="53"/>
      <c r="X878" s="53"/>
      <c r="Y878" s="58"/>
      <c r="Z878" s="58"/>
      <c r="AA878" s="60"/>
    </row>
    <row r="879" spans="11:27">
      <c r="K879" s="51"/>
      <c r="Q879" s="51"/>
      <c r="R879" s="51"/>
      <c r="S879" s="51"/>
      <c r="W879" s="53"/>
      <c r="X879" s="53"/>
      <c r="Y879" s="58"/>
      <c r="Z879" s="58"/>
      <c r="AA879" s="60"/>
    </row>
    <row r="880" spans="11:27">
      <c r="K880" s="51"/>
      <c r="Q880" s="51"/>
      <c r="R880" s="51"/>
      <c r="S880" s="51"/>
      <c r="W880" s="53"/>
      <c r="X880" s="53"/>
      <c r="Y880" s="58"/>
      <c r="Z880" s="58"/>
      <c r="AA880" s="60"/>
    </row>
    <row r="881" spans="11:27">
      <c r="K881" s="51"/>
      <c r="Q881" s="51"/>
      <c r="R881" s="51"/>
      <c r="S881" s="51"/>
      <c r="W881" s="53"/>
      <c r="X881" s="53"/>
      <c r="Y881" s="58"/>
      <c r="Z881" s="58"/>
      <c r="AA881" s="60"/>
    </row>
    <row r="882" spans="11:27">
      <c r="K882" s="51"/>
      <c r="Q882" s="51"/>
      <c r="R882" s="51"/>
      <c r="S882" s="51"/>
      <c r="W882" s="53"/>
      <c r="X882" s="53"/>
      <c r="Y882" s="58"/>
      <c r="Z882" s="58"/>
      <c r="AA882" s="60"/>
    </row>
    <row r="883" spans="11:27">
      <c r="K883" s="51"/>
      <c r="Q883" s="51"/>
      <c r="R883" s="51"/>
      <c r="S883" s="51"/>
      <c r="W883" s="53"/>
      <c r="X883" s="53"/>
      <c r="Y883" s="58"/>
      <c r="Z883" s="58"/>
      <c r="AA883" s="60"/>
    </row>
    <row r="884" spans="11:27">
      <c r="K884" s="51"/>
      <c r="Q884" s="51"/>
      <c r="R884" s="51"/>
      <c r="S884" s="51"/>
      <c r="W884" s="53"/>
      <c r="X884" s="53"/>
      <c r="Y884" s="58"/>
      <c r="Z884" s="58"/>
      <c r="AA884" s="60"/>
    </row>
    <row r="885" spans="11:27">
      <c r="K885" s="51"/>
      <c r="Q885" s="51"/>
      <c r="R885" s="51"/>
      <c r="S885" s="51"/>
      <c r="W885" s="53"/>
      <c r="X885" s="53"/>
      <c r="Y885" s="58"/>
      <c r="Z885" s="58"/>
      <c r="AA885" s="60"/>
    </row>
    <row r="886" spans="11:27">
      <c r="K886" s="51"/>
      <c r="Q886" s="51"/>
      <c r="R886" s="51"/>
      <c r="S886" s="51"/>
      <c r="W886" s="53"/>
      <c r="X886" s="53"/>
      <c r="Y886" s="58"/>
      <c r="Z886" s="58"/>
      <c r="AA886" s="60"/>
    </row>
    <row r="887" spans="11:27">
      <c r="K887" s="51"/>
      <c r="Q887" s="51"/>
      <c r="R887" s="51"/>
      <c r="S887" s="51"/>
      <c r="W887" s="53"/>
      <c r="X887" s="53"/>
      <c r="Y887" s="58"/>
      <c r="Z887" s="58"/>
      <c r="AA887" s="60"/>
    </row>
    <row r="888" spans="11:27">
      <c r="K888" s="51"/>
      <c r="Q888" s="51"/>
      <c r="R888" s="51"/>
      <c r="S888" s="51"/>
      <c r="W888" s="53"/>
      <c r="X888" s="53"/>
      <c r="Y888" s="58"/>
      <c r="Z888" s="58"/>
      <c r="AA888" s="60"/>
    </row>
    <row r="889" spans="11:27">
      <c r="K889" s="51"/>
      <c r="Q889" s="51"/>
      <c r="R889" s="51"/>
      <c r="S889" s="51"/>
      <c r="W889" s="53"/>
      <c r="X889" s="53"/>
      <c r="Y889" s="58"/>
      <c r="Z889" s="58"/>
      <c r="AA889" s="60"/>
    </row>
    <row r="890" spans="11:27">
      <c r="K890" s="51"/>
      <c r="Q890" s="51"/>
      <c r="R890" s="51"/>
      <c r="S890" s="51"/>
      <c r="W890" s="53"/>
      <c r="X890" s="53"/>
      <c r="Y890" s="58"/>
      <c r="Z890" s="58"/>
      <c r="AA890" s="60"/>
    </row>
    <row r="891" spans="11:27">
      <c r="K891" s="51"/>
      <c r="Q891" s="51"/>
      <c r="R891" s="51"/>
      <c r="S891" s="51"/>
      <c r="W891" s="53"/>
      <c r="X891" s="53"/>
      <c r="Y891" s="58"/>
      <c r="Z891" s="58"/>
      <c r="AA891" s="60"/>
    </row>
    <row r="892" spans="11:27">
      <c r="K892" s="51"/>
      <c r="Q892" s="51"/>
      <c r="R892" s="51"/>
      <c r="S892" s="51"/>
      <c r="W892" s="53"/>
      <c r="X892" s="53"/>
      <c r="Y892" s="58"/>
      <c r="Z892" s="58"/>
      <c r="AA892" s="60"/>
    </row>
    <row r="893" spans="11:27">
      <c r="K893" s="51"/>
      <c r="Q893" s="51"/>
      <c r="R893" s="51"/>
      <c r="S893" s="51"/>
      <c r="W893" s="53"/>
      <c r="X893" s="53"/>
      <c r="Y893" s="58"/>
      <c r="Z893" s="58"/>
      <c r="AA893" s="60"/>
    </row>
    <row r="894" spans="11:27">
      <c r="K894" s="51"/>
      <c r="Q894" s="51"/>
      <c r="R894" s="51"/>
      <c r="S894" s="51"/>
      <c r="W894" s="53"/>
      <c r="X894" s="53"/>
      <c r="Y894" s="58"/>
      <c r="Z894" s="58"/>
      <c r="AA894" s="60"/>
    </row>
    <row r="895" spans="11:27">
      <c r="K895" s="51"/>
      <c r="Q895" s="51"/>
      <c r="R895" s="51"/>
      <c r="S895" s="51"/>
      <c r="W895" s="53"/>
      <c r="X895" s="53"/>
      <c r="Y895" s="58"/>
      <c r="Z895" s="58"/>
      <c r="AA895" s="60"/>
    </row>
    <row r="896" spans="11:27">
      <c r="K896" s="51"/>
      <c r="Q896" s="51"/>
      <c r="R896" s="51"/>
      <c r="S896" s="51"/>
      <c r="W896" s="53"/>
      <c r="X896" s="53"/>
      <c r="Y896" s="58"/>
      <c r="Z896" s="58"/>
      <c r="AA896" s="60"/>
    </row>
    <row r="897" spans="11:27">
      <c r="K897" s="51"/>
      <c r="Q897" s="51"/>
      <c r="R897" s="51"/>
      <c r="S897" s="51"/>
      <c r="W897" s="53"/>
      <c r="X897" s="53"/>
      <c r="Y897" s="58"/>
      <c r="Z897" s="58"/>
      <c r="AA897" s="60"/>
    </row>
    <row r="898" spans="11:27">
      <c r="K898" s="51"/>
      <c r="Q898" s="51"/>
      <c r="R898" s="51"/>
      <c r="S898" s="51"/>
      <c r="W898" s="53"/>
      <c r="X898" s="53"/>
      <c r="Y898" s="58"/>
      <c r="Z898" s="58"/>
      <c r="AA898" s="60"/>
    </row>
    <row r="899" spans="11:27">
      <c r="K899" s="51"/>
      <c r="Q899" s="51"/>
      <c r="R899" s="51"/>
      <c r="S899" s="51"/>
      <c r="W899" s="53"/>
      <c r="X899" s="53"/>
      <c r="Y899" s="58"/>
      <c r="Z899" s="58"/>
      <c r="AA899" s="60"/>
    </row>
    <row r="900" spans="11:27">
      <c r="K900" s="51"/>
      <c r="Q900" s="51"/>
      <c r="R900" s="51"/>
      <c r="S900" s="51"/>
      <c r="W900" s="53"/>
      <c r="X900" s="53"/>
      <c r="Y900" s="58"/>
      <c r="Z900" s="58"/>
      <c r="AA900" s="60"/>
    </row>
    <row r="901" spans="11:27">
      <c r="K901" s="51"/>
      <c r="Q901" s="51"/>
      <c r="R901" s="51"/>
      <c r="S901" s="51"/>
      <c r="W901" s="53"/>
      <c r="X901" s="53"/>
      <c r="Y901" s="58"/>
      <c r="Z901" s="58"/>
      <c r="AA901" s="60"/>
    </row>
    <row r="902" spans="11:27">
      <c r="K902" s="51"/>
      <c r="Q902" s="51"/>
      <c r="R902" s="51"/>
      <c r="S902" s="51"/>
      <c r="W902" s="53"/>
      <c r="X902" s="53"/>
      <c r="Y902" s="58"/>
      <c r="Z902" s="58"/>
      <c r="AA902" s="60"/>
    </row>
    <row r="903" spans="11:27">
      <c r="K903" s="51"/>
      <c r="Q903" s="51"/>
      <c r="R903" s="51"/>
      <c r="S903" s="51"/>
      <c r="W903" s="53"/>
      <c r="X903" s="53"/>
      <c r="Y903" s="58"/>
      <c r="Z903" s="58"/>
      <c r="AA903" s="60"/>
    </row>
    <row r="904" spans="11:27">
      <c r="K904" s="51"/>
      <c r="Q904" s="51"/>
      <c r="R904" s="51"/>
      <c r="S904" s="51"/>
      <c r="W904" s="53"/>
      <c r="X904" s="53"/>
      <c r="Y904" s="58"/>
      <c r="Z904" s="58"/>
      <c r="AA904" s="60"/>
    </row>
    <row r="905" spans="11:27">
      <c r="K905" s="51"/>
      <c r="Q905" s="51"/>
      <c r="R905" s="51"/>
      <c r="S905" s="51"/>
      <c r="W905" s="53"/>
      <c r="X905" s="53"/>
      <c r="Y905" s="58"/>
      <c r="Z905" s="58"/>
      <c r="AA905" s="60"/>
    </row>
    <row r="906" spans="11:27">
      <c r="K906" s="51"/>
      <c r="Q906" s="51"/>
      <c r="R906" s="51"/>
      <c r="S906" s="51"/>
      <c r="W906" s="53"/>
      <c r="X906" s="53"/>
      <c r="Y906" s="58"/>
      <c r="Z906" s="58"/>
      <c r="AA906" s="60"/>
    </row>
    <row r="907" spans="11:27">
      <c r="K907" s="51"/>
      <c r="Q907" s="51"/>
      <c r="R907" s="51"/>
      <c r="S907" s="51"/>
      <c r="W907" s="53"/>
      <c r="X907" s="53"/>
      <c r="Y907" s="58"/>
      <c r="Z907" s="58"/>
      <c r="AA907" s="60"/>
    </row>
    <row r="908" spans="11:27">
      <c r="K908" s="51"/>
      <c r="Q908" s="51"/>
      <c r="R908" s="51"/>
      <c r="S908" s="51"/>
      <c r="W908" s="53"/>
      <c r="X908" s="53"/>
      <c r="Y908" s="58"/>
      <c r="Z908" s="58"/>
      <c r="AA908" s="60"/>
    </row>
    <row r="909" spans="11:27">
      <c r="K909" s="51"/>
      <c r="Q909" s="51"/>
      <c r="R909" s="51"/>
      <c r="S909" s="51"/>
      <c r="W909" s="53"/>
      <c r="X909" s="53"/>
      <c r="Y909" s="58"/>
      <c r="Z909" s="58"/>
      <c r="AA909" s="60"/>
    </row>
    <row r="910" spans="11:27">
      <c r="K910" s="51"/>
      <c r="Q910" s="51"/>
      <c r="R910" s="51"/>
      <c r="S910" s="51"/>
      <c r="W910" s="53"/>
      <c r="X910" s="53"/>
      <c r="Y910" s="58"/>
      <c r="Z910" s="58"/>
      <c r="AA910" s="60"/>
    </row>
    <row r="911" spans="11:27">
      <c r="K911" s="51"/>
      <c r="Q911" s="51"/>
      <c r="R911" s="51"/>
      <c r="S911" s="51"/>
      <c r="W911" s="53"/>
      <c r="X911" s="53"/>
      <c r="Y911" s="58"/>
      <c r="Z911" s="58"/>
      <c r="AA911" s="60"/>
    </row>
    <row r="912" spans="11:27">
      <c r="K912" s="51"/>
      <c r="Q912" s="51"/>
      <c r="R912" s="51"/>
      <c r="S912" s="51"/>
      <c r="W912" s="53"/>
      <c r="X912" s="53"/>
      <c r="Y912" s="58"/>
      <c r="Z912" s="58"/>
      <c r="AA912" s="60"/>
    </row>
    <row r="913" spans="11:27">
      <c r="K913" s="51"/>
      <c r="Q913" s="51"/>
      <c r="R913" s="51"/>
      <c r="S913" s="51"/>
      <c r="W913" s="53"/>
      <c r="X913" s="53"/>
      <c r="Y913" s="58"/>
      <c r="Z913" s="58"/>
      <c r="AA913" s="60"/>
    </row>
    <row r="914" spans="11:27">
      <c r="K914" s="51"/>
      <c r="Q914" s="51"/>
      <c r="R914" s="51"/>
      <c r="S914" s="51"/>
      <c r="W914" s="53"/>
      <c r="X914" s="53"/>
      <c r="Y914" s="58"/>
      <c r="Z914" s="58"/>
      <c r="AA914" s="60"/>
    </row>
    <row r="915" spans="11:27">
      <c r="K915" s="51"/>
      <c r="Q915" s="51"/>
      <c r="R915" s="51"/>
      <c r="S915" s="51"/>
      <c r="W915" s="53"/>
      <c r="X915" s="53"/>
      <c r="Y915" s="58"/>
      <c r="Z915" s="58"/>
      <c r="AA915" s="60"/>
    </row>
    <row r="916" spans="11:27">
      <c r="K916" s="51"/>
      <c r="Q916" s="51"/>
      <c r="R916" s="51"/>
      <c r="S916" s="51"/>
      <c r="W916" s="53"/>
      <c r="X916" s="53"/>
      <c r="Y916" s="58"/>
      <c r="Z916" s="58"/>
      <c r="AA916" s="60"/>
    </row>
    <row r="917" spans="11:27">
      <c r="K917" s="51"/>
      <c r="Q917" s="51"/>
      <c r="R917" s="51"/>
      <c r="S917" s="51"/>
      <c r="W917" s="53"/>
      <c r="X917" s="53"/>
      <c r="Y917" s="58"/>
      <c r="Z917" s="58"/>
      <c r="AA917" s="60"/>
    </row>
    <row r="918" spans="11:27">
      <c r="K918" s="51"/>
      <c r="Q918" s="51"/>
      <c r="R918" s="51"/>
      <c r="S918" s="51"/>
      <c r="W918" s="53"/>
      <c r="X918" s="53"/>
      <c r="Y918" s="58"/>
      <c r="Z918" s="58"/>
      <c r="AA918" s="60"/>
    </row>
    <row r="919" spans="11:27">
      <c r="K919" s="51"/>
      <c r="Q919" s="51"/>
      <c r="R919" s="51"/>
      <c r="S919" s="51"/>
      <c r="W919" s="53"/>
      <c r="X919" s="53"/>
      <c r="Y919" s="58"/>
      <c r="Z919" s="58"/>
      <c r="AA919" s="60"/>
    </row>
    <row r="920" spans="11:27">
      <c r="K920" s="51"/>
      <c r="Q920" s="51"/>
      <c r="R920" s="51"/>
      <c r="S920" s="51"/>
      <c r="W920" s="53"/>
      <c r="X920" s="53"/>
      <c r="Y920" s="58"/>
      <c r="Z920" s="58"/>
      <c r="AA920" s="60"/>
    </row>
    <row r="921" spans="11:27">
      <c r="K921" s="51"/>
      <c r="Q921" s="51"/>
      <c r="R921" s="51"/>
      <c r="S921" s="51"/>
      <c r="W921" s="53"/>
      <c r="X921" s="53"/>
      <c r="Y921" s="58"/>
      <c r="Z921" s="58"/>
      <c r="AA921" s="60"/>
    </row>
    <row r="922" spans="11:27">
      <c r="K922" s="51"/>
      <c r="Q922" s="51"/>
      <c r="R922" s="51"/>
      <c r="S922" s="51"/>
      <c r="W922" s="53"/>
      <c r="X922" s="53"/>
      <c r="Y922" s="58"/>
      <c r="Z922" s="58"/>
      <c r="AA922" s="60"/>
    </row>
    <row r="923" spans="11:27">
      <c r="K923" s="51"/>
      <c r="Q923" s="51"/>
      <c r="R923" s="51"/>
      <c r="S923" s="51"/>
      <c r="W923" s="53"/>
      <c r="X923" s="53"/>
      <c r="Y923" s="58"/>
      <c r="Z923" s="58"/>
      <c r="AA923" s="60"/>
    </row>
    <row r="924" spans="11:27">
      <c r="K924" s="51"/>
      <c r="Q924" s="51"/>
      <c r="R924" s="51"/>
      <c r="S924" s="51"/>
      <c r="W924" s="53"/>
      <c r="X924" s="53"/>
      <c r="Y924" s="58"/>
      <c r="Z924" s="58"/>
      <c r="AA924" s="60"/>
    </row>
    <row r="925" spans="11:27">
      <c r="K925" s="51"/>
      <c r="Q925" s="51"/>
      <c r="R925" s="51"/>
      <c r="S925" s="51"/>
      <c r="W925" s="53"/>
      <c r="X925" s="53"/>
      <c r="Y925" s="58"/>
      <c r="Z925" s="58"/>
      <c r="AA925" s="60"/>
    </row>
    <row r="926" spans="11:27">
      <c r="K926" s="51"/>
      <c r="Q926" s="51"/>
      <c r="R926" s="51"/>
      <c r="S926" s="51"/>
      <c r="W926" s="53"/>
      <c r="X926" s="53"/>
      <c r="Y926" s="58"/>
      <c r="Z926" s="58"/>
      <c r="AA926" s="60"/>
    </row>
    <row r="927" spans="11:27">
      <c r="K927" s="51"/>
      <c r="Q927" s="51"/>
      <c r="R927" s="51"/>
      <c r="S927" s="51"/>
      <c r="W927" s="53"/>
      <c r="X927" s="53"/>
      <c r="Y927" s="58"/>
      <c r="Z927" s="58"/>
      <c r="AA927" s="60"/>
    </row>
    <row r="928" spans="11:27">
      <c r="K928" s="51"/>
      <c r="Q928" s="51"/>
      <c r="R928" s="51"/>
      <c r="S928" s="51"/>
      <c r="W928" s="53"/>
      <c r="X928" s="53"/>
      <c r="Y928" s="58"/>
      <c r="Z928" s="58"/>
      <c r="AA928" s="60"/>
    </row>
    <row r="929" spans="11:27">
      <c r="K929" s="51"/>
      <c r="Q929" s="51"/>
      <c r="R929" s="51"/>
      <c r="S929" s="51"/>
      <c r="W929" s="53"/>
      <c r="X929" s="53"/>
      <c r="Y929" s="58"/>
      <c r="Z929" s="58"/>
      <c r="AA929" s="60"/>
    </row>
    <row r="930" spans="11:27">
      <c r="K930" s="51"/>
      <c r="Q930" s="51"/>
      <c r="R930" s="51"/>
      <c r="S930" s="51"/>
      <c r="W930" s="53"/>
      <c r="X930" s="53"/>
      <c r="Y930" s="58"/>
      <c r="Z930" s="58"/>
      <c r="AA930" s="60"/>
    </row>
    <row r="931" spans="11:27">
      <c r="K931" s="51"/>
      <c r="Q931" s="51"/>
      <c r="R931" s="51"/>
      <c r="S931" s="51"/>
      <c r="W931" s="53"/>
      <c r="X931" s="53"/>
      <c r="Y931" s="58"/>
      <c r="Z931" s="58"/>
      <c r="AA931" s="60"/>
    </row>
    <row r="932" spans="11:27">
      <c r="K932" s="51"/>
      <c r="Q932" s="51"/>
      <c r="R932" s="51"/>
      <c r="S932" s="51"/>
      <c r="W932" s="53"/>
      <c r="X932" s="53"/>
      <c r="Y932" s="58"/>
      <c r="Z932" s="58"/>
      <c r="AA932" s="60"/>
    </row>
    <row r="933" spans="11:27">
      <c r="K933" s="51"/>
      <c r="Q933" s="51"/>
      <c r="R933" s="51"/>
      <c r="S933" s="51"/>
      <c r="W933" s="53"/>
      <c r="X933" s="53"/>
      <c r="Y933" s="58"/>
      <c r="Z933" s="58"/>
      <c r="AA933" s="60"/>
    </row>
    <row r="934" spans="11:27">
      <c r="K934" s="51"/>
      <c r="Q934" s="51"/>
      <c r="R934" s="51"/>
      <c r="S934" s="51"/>
      <c r="W934" s="53"/>
      <c r="X934" s="53"/>
      <c r="Y934" s="58"/>
      <c r="Z934" s="58"/>
      <c r="AA934" s="60"/>
    </row>
    <row r="935" spans="11:27">
      <c r="K935" s="51"/>
      <c r="Q935" s="51"/>
      <c r="R935" s="51"/>
      <c r="S935" s="51"/>
      <c r="W935" s="53"/>
      <c r="X935" s="53"/>
      <c r="Y935" s="58"/>
      <c r="Z935" s="58"/>
      <c r="AA935" s="60"/>
    </row>
    <row r="936" spans="11:27">
      <c r="K936" s="51"/>
      <c r="Q936" s="51"/>
      <c r="R936" s="51"/>
      <c r="S936" s="51"/>
      <c r="W936" s="53"/>
      <c r="X936" s="53"/>
      <c r="Y936" s="58"/>
      <c r="Z936" s="58"/>
      <c r="AA936" s="60"/>
    </row>
    <row r="937" spans="11:27">
      <c r="K937" s="51"/>
      <c r="Q937" s="51"/>
      <c r="R937" s="51"/>
      <c r="S937" s="51"/>
      <c r="W937" s="53"/>
      <c r="X937" s="53"/>
      <c r="Y937" s="58"/>
      <c r="Z937" s="58"/>
      <c r="AA937" s="60"/>
    </row>
    <row r="938" spans="11:27">
      <c r="K938" s="51"/>
      <c r="Q938" s="51"/>
      <c r="R938" s="51"/>
      <c r="S938" s="51"/>
      <c r="W938" s="53"/>
      <c r="X938" s="53"/>
      <c r="Y938" s="58"/>
      <c r="Z938" s="58"/>
      <c r="AA938" s="60"/>
    </row>
    <row r="939" spans="11:27">
      <c r="K939" s="51"/>
      <c r="Q939" s="51"/>
      <c r="R939" s="51"/>
      <c r="S939" s="51"/>
      <c r="W939" s="53"/>
      <c r="X939" s="53"/>
      <c r="Y939" s="58"/>
      <c r="Z939" s="58"/>
      <c r="AA939" s="60"/>
    </row>
    <row r="940" spans="11:27">
      <c r="K940" s="51"/>
      <c r="Q940" s="51"/>
      <c r="R940" s="51"/>
      <c r="S940" s="51"/>
      <c r="W940" s="53"/>
      <c r="X940" s="53"/>
      <c r="Y940" s="58"/>
      <c r="Z940" s="58"/>
      <c r="AA940" s="60"/>
    </row>
    <row r="941" spans="11:27">
      <c r="K941" s="51"/>
      <c r="Q941" s="51"/>
      <c r="R941" s="51"/>
      <c r="S941" s="51"/>
      <c r="W941" s="53"/>
      <c r="X941" s="53"/>
      <c r="Y941" s="58"/>
      <c r="Z941" s="58"/>
      <c r="AA941" s="60"/>
    </row>
    <row r="942" spans="11:27">
      <c r="K942" s="51"/>
      <c r="Q942" s="51"/>
      <c r="R942" s="51"/>
      <c r="S942" s="51"/>
      <c r="W942" s="53"/>
      <c r="X942" s="53"/>
      <c r="Y942" s="58"/>
      <c r="Z942" s="58"/>
      <c r="AA942" s="60"/>
    </row>
    <row r="943" spans="11:27">
      <c r="K943" s="51"/>
      <c r="Q943" s="51"/>
      <c r="R943" s="51"/>
      <c r="S943" s="51"/>
      <c r="W943" s="53"/>
      <c r="X943" s="53"/>
      <c r="Y943" s="58"/>
      <c r="Z943" s="58"/>
      <c r="AA943" s="60"/>
    </row>
    <row r="944" spans="11:27">
      <c r="K944" s="51"/>
      <c r="Q944" s="51"/>
      <c r="R944" s="51"/>
      <c r="S944" s="51"/>
      <c r="W944" s="53"/>
      <c r="X944" s="53"/>
      <c r="Y944" s="58"/>
      <c r="Z944" s="58"/>
      <c r="AA944" s="60"/>
    </row>
    <row r="945" spans="11:27">
      <c r="K945" s="51"/>
      <c r="Q945" s="51"/>
      <c r="R945" s="51"/>
      <c r="S945" s="51"/>
      <c r="W945" s="53"/>
      <c r="X945" s="53"/>
      <c r="Y945" s="58"/>
      <c r="Z945" s="58"/>
      <c r="AA945" s="60"/>
    </row>
    <row r="946" spans="11:27">
      <c r="K946" s="51"/>
      <c r="Q946" s="51"/>
      <c r="R946" s="51"/>
      <c r="S946" s="51"/>
      <c r="W946" s="53"/>
      <c r="X946" s="53"/>
      <c r="Y946" s="58"/>
      <c r="Z946" s="58"/>
      <c r="AA946" s="60"/>
    </row>
    <row r="947" spans="11:27">
      <c r="K947" s="51"/>
      <c r="Q947" s="51"/>
      <c r="R947" s="51"/>
      <c r="S947" s="51"/>
      <c r="W947" s="53"/>
      <c r="X947" s="53"/>
      <c r="Y947" s="58"/>
      <c r="Z947" s="58"/>
      <c r="AA947" s="60"/>
    </row>
    <row r="948" spans="11:27">
      <c r="K948" s="51"/>
      <c r="Q948" s="51"/>
      <c r="R948" s="51"/>
      <c r="S948" s="51"/>
      <c r="W948" s="53"/>
      <c r="X948" s="53"/>
      <c r="Y948" s="58"/>
      <c r="Z948" s="58"/>
      <c r="AA948" s="60"/>
    </row>
    <row r="949" spans="11:27">
      <c r="K949" s="51"/>
      <c r="Q949" s="51"/>
      <c r="R949" s="51"/>
      <c r="S949" s="51"/>
      <c r="W949" s="53"/>
      <c r="X949" s="53"/>
      <c r="Y949" s="58"/>
      <c r="Z949" s="58"/>
      <c r="AA949" s="60"/>
    </row>
    <row r="950" spans="11:27">
      <c r="K950" s="51"/>
      <c r="Q950" s="51"/>
      <c r="R950" s="51"/>
      <c r="S950" s="51"/>
      <c r="W950" s="53"/>
      <c r="X950" s="53"/>
      <c r="Y950" s="58"/>
      <c r="Z950" s="58"/>
      <c r="AA950" s="60"/>
    </row>
    <row r="951" spans="11:27">
      <c r="K951" s="51"/>
      <c r="Q951" s="51"/>
      <c r="R951" s="51"/>
      <c r="S951" s="51"/>
      <c r="W951" s="53"/>
      <c r="X951" s="53"/>
      <c r="Y951" s="58"/>
      <c r="Z951" s="58"/>
      <c r="AA951" s="60"/>
    </row>
    <row r="952" spans="11:27">
      <c r="K952" s="51"/>
      <c r="Q952" s="51"/>
      <c r="R952" s="51"/>
      <c r="S952" s="51"/>
      <c r="W952" s="53"/>
      <c r="X952" s="53"/>
      <c r="Y952" s="58"/>
      <c r="Z952" s="58"/>
      <c r="AA952" s="60"/>
    </row>
    <row r="953" spans="11:27">
      <c r="K953" s="51"/>
      <c r="Q953" s="51"/>
      <c r="R953" s="51"/>
      <c r="S953" s="51"/>
      <c r="W953" s="53"/>
      <c r="X953" s="53"/>
      <c r="Y953" s="58"/>
      <c r="Z953" s="58"/>
      <c r="AA953" s="60"/>
    </row>
    <row r="954" spans="11:27">
      <c r="K954" s="51"/>
      <c r="Q954" s="51"/>
      <c r="R954" s="51"/>
      <c r="S954" s="51"/>
      <c r="W954" s="53"/>
      <c r="X954" s="53"/>
      <c r="Y954" s="58"/>
      <c r="Z954" s="58"/>
      <c r="AA954" s="60"/>
    </row>
    <row r="955" spans="11:27">
      <c r="K955" s="51"/>
      <c r="Q955" s="51"/>
      <c r="R955" s="51"/>
      <c r="S955" s="51"/>
      <c r="W955" s="53"/>
      <c r="X955" s="53"/>
      <c r="Y955" s="58"/>
      <c r="Z955" s="58"/>
      <c r="AA955" s="60"/>
    </row>
    <row r="956" spans="11:27">
      <c r="K956" s="51"/>
      <c r="Q956" s="51"/>
      <c r="R956" s="51"/>
      <c r="S956" s="51"/>
      <c r="W956" s="53"/>
      <c r="X956" s="53"/>
      <c r="Y956" s="58"/>
      <c r="Z956" s="58"/>
      <c r="AA956" s="60"/>
    </row>
    <row r="957" spans="11:27">
      <c r="K957" s="51"/>
      <c r="Q957" s="51"/>
      <c r="R957" s="51"/>
      <c r="S957" s="51"/>
      <c r="W957" s="53"/>
      <c r="X957" s="53"/>
      <c r="Y957" s="58"/>
      <c r="Z957" s="58"/>
      <c r="AA957" s="60"/>
    </row>
    <row r="958" spans="11:27">
      <c r="K958" s="51"/>
      <c r="Q958" s="51"/>
      <c r="R958" s="51"/>
      <c r="S958" s="51"/>
      <c r="W958" s="53"/>
      <c r="X958" s="53"/>
      <c r="Y958" s="58"/>
      <c r="Z958" s="58"/>
      <c r="AA958" s="60"/>
    </row>
    <row r="959" spans="11:27">
      <c r="K959" s="51"/>
      <c r="Q959" s="51"/>
      <c r="R959" s="51"/>
      <c r="S959" s="51"/>
      <c r="W959" s="53"/>
      <c r="X959" s="53"/>
      <c r="Y959" s="58"/>
      <c r="Z959" s="58"/>
      <c r="AA959" s="60"/>
    </row>
    <row r="960" spans="11:27">
      <c r="K960" s="51"/>
      <c r="Q960" s="51"/>
      <c r="R960" s="51"/>
      <c r="S960" s="51"/>
      <c r="W960" s="53"/>
      <c r="X960" s="53"/>
      <c r="Y960" s="58"/>
      <c r="Z960" s="58"/>
      <c r="AA960" s="60"/>
    </row>
    <row r="961" spans="11:27">
      <c r="K961" s="51"/>
      <c r="Q961" s="51"/>
      <c r="R961" s="51"/>
      <c r="S961" s="51"/>
      <c r="W961" s="53"/>
      <c r="X961" s="53"/>
      <c r="Y961" s="58"/>
      <c r="Z961" s="58"/>
      <c r="AA961" s="60"/>
    </row>
    <row r="962" spans="11:27">
      <c r="K962" s="51"/>
      <c r="Q962" s="51"/>
      <c r="R962" s="51"/>
      <c r="S962" s="51"/>
      <c r="W962" s="53"/>
      <c r="X962" s="53"/>
      <c r="Y962" s="58"/>
      <c r="Z962" s="58"/>
      <c r="AA962" s="60"/>
    </row>
    <row r="963" spans="11:27">
      <c r="K963" s="51"/>
      <c r="Q963" s="51"/>
      <c r="R963" s="51"/>
      <c r="S963" s="51"/>
      <c r="W963" s="53"/>
      <c r="X963" s="53"/>
      <c r="Y963" s="58"/>
      <c r="Z963" s="58"/>
      <c r="AA963" s="60"/>
    </row>
    <row r="964" spans="11:27">
      <c r="K964" s="51"/>
      <c r="Q964" s="51"/>
      <c r="R964" s="51"/>
      <c r="S964" s="51"/>
      <c r="W964" s="53"/>
      <c r="X964" s="53"/>
      <c r="Y964" s="58"/>
      <c r="Z964" s="58"/>
      <c r="AA964" s="60"/>
    </row>
    <row r="965" spans="11:27">
      <c r="K965" s="51"/>
      <c r="Q965" s="51"/>
      <c r="R965" s="51"/>
      <c r="S965" s="51"/>
      <c r="W965" s="53"/>
      <c r="X965" s="53"/>
      <c r="Y965" s="58"/>
      <c r="Z965" s="58"/>
      <c r="AA965" s="60"/>
    </row>
    <row r="966" spans="11:27">
      <c r="K966" s="51"/>
      <c r="Q966" s="51"/>
      <c r="R966" s="51"/>
      <c r="S966" s="51"/>
      <c r="W966" s="53"/>
      <c r="X966" s="53"/>
      <c r="Y966" s="58"/>
      <c r="Z966" s="58"/>
      <c r="AA966" s="60"/>
    </row>
    <row r="967" spans="11:27">
      <c r="K967" s="51"/>
      <c r="Q967" s="51"/>
      <c r="R967" s="51"/>
      <c r="S967" s="51"/>
      <c r="W967" s="53"/>
      <c r="X967" s="53"/>
      <c r="Y967" s="58"/>
      <c r="Z967" s="58"/>
      <c r="AA967" s="60"/>
    </row>
    <row r="968" spans="11:27">
      <c r="K968" s="51"/>
      <c r="Q968" s="51"/>
      <c r="R968" s="51"/>
      <c r="S968" s="51"/>
      <c r="W968" s="53"/>
      <c r="X968" s="53"/>
      <c r="Y968" s="58"/>
      <c r="Z968" s="58"/>
      <c r="AA968" s="60"/>
    </row>
    <row r="969" spans="11:27">
      <c r="K969" s="51"/>
      <c r="Q969" s="51"/>
      <c r="R969" s="51"/>
      <c r="S969" s="51"/>
      <c r="W969" s="53"/>
      <c r="X969" s="53"/>
      <c r="Y969" s="58"/>
      <c r="Z969" s="58"/>
      <c r="AA969" s="60"/>
    </row>
    <row r="970" spans="11:27">
      <c r="K970" s="51"/>
      <c r="Q970" s="51"/>
      <c r="R970" s="51"/>
      <c r="S970" s="51"/>
      <c r="W970" s="53"/>
      <c r="X970" s="53"/>
      <c r="Y970" s="58"/>
      <c r="Z970" s="58"/>
      <c r="AA970" s="60"/>
    </row>
    <row r="971" spans="11:27">
      <c r="K971" s="51"/>
      <c r="Q971" s="51"/>
      <c r="R971" s="51"/>
      <c r="S971" s="51"/>
      <c r="W971" s="53"/>
      <c r="X971" s="53"/>
      <c r="Y971" s="58"/>
      <c r="Z971" s="58"/>
      <c r="AA971" s="60"/>
    </row>
    <row r="972" spans="11:27">
      <c r="K972" s="51"/>
      <c r="Q972" s="51"/>
      <c r="R972" s="51"/>
      <c r="S972" s="51"/>
      <c r="W972" s="53"/>
      <c r="X972" s="53"/>
      <c r="Y972" s="58"/>
      <c r="Z972" s="58"/>
      <c r="AA972" s="60"/>
    </row>
    <row r="973" spans="11:27">
      <c r="K973" s="51"/>
      <c r="Q973" s="51"/>
      <c r="R973" s="51"/>
      <c r="S973" s="51"/>
      <c r="W973" s="53"/>
      <c r="X973" s="53"/>
      <c r="Y973" s="58"/>
      <c r="Z973" s="58"/>
      <c r="AA973" s="60"/>
    </row>
    <row r="974" spans="11:27">
      <c r="K974" s="51"/>
      <c r="Q974" s="51"/>
      <c r="R974" s="51"/>
      <c r="S974" s="51"/>
      <c r="W974" s="53"/>
      <c r="X974" s="53"/>
      <c r="Y974" s="58"/>
      <c r="Z974" s="58"/>
      <c r="AA974" s="60"/>
    </row>
    <row r="975" spans="11:27">
      <c r="K975" s="51"/>
      <c r="Q975" s="51"/>
      <c r="R975" s="51"/>
      <c r="S975" s="51"/>
      <c r="W975" s="53"/>
      <c r="X975" s="53"/>
      <c r="Y975" s="58"/>
      <c r="Z975" s="58"/>
      <c r="AA975" s="60"/>
    </row>
    <row r="976" spans="11:27">
      <c r="K976" s="51"/>
      <c r="Q976" s="51"/>
      <c r="R976" s="51"/>
      <c r="S976" s="51"/>
      <c r="W976" s="53"/>
      <c r="X976" s="53"/>
      <c r="Y976" s="58"/>
      <c r="Z976" s="58"/>
      <c r="AA976" s="60"/>
    </row>
    <row r="977" spans="11:27">
      <c r="K977" s="51"/>
      <c r="Q977" s="51"/>
      <c r="R977" s="51"/>
      <c r="S977" s="51"/>
      <c r="W977" s="53"/>
      <c r="X977" s="53"/>
      <c r="Y977" s="58"/>
      <c r="Z977" s="58"/>
      <c r="AA977" s="60"/>
    </row>
    <row r="978" spans="11:27">
      <c r="K978" s="51"/>
      <c r="Q978" s="51"/>
      <c r="R978" s="51"/>
      <c r="S978" s="51"/>
      <c r="W978" s="53"/>
      <c r="X978" s="53"/>
      <c r="Y978" s="58"/>
      <c r="Z978" s="58"/>
      <c r="AA978" s="60"/>
    </row>
    <row r="979" spans="11:27">
      <c r="K979" s="51"/>
      <c r="Q979" s="51"/>
      <c r="R979" s="51"/>
      <c r="S979" s="51"/>
      <c r="W979" s="53"/>
      <c r="X979" s="53"/>
      <c r="Y979" s="58"/>
      <c r="Z979" s="58"/>
      <c r="AA979" s="60"/>
    </row>
    <row r="980" spans="11:27">
      <c r="K980" s="51"/>
      <c r="Q980" s="51"/>
      <c r="R980" s="51"/>
      <c r="S980" s="51"/>
      <c r="W980" s="53"/>
      <c r="X980" s="53"/>
      <c r="Y980" s="58"/>
      <c r="Z980" s="58"/>
      <c r="AA980" s="60"/>
    </row>
    <row r="981" spans="11:27">
      <c r="K981" s="51"/>
      <c r="Q981" s="51"/>
      <c r="R981" s="51"/>
      <c r="S981" s="51"/>
      <c r="W981" s="53"/>
      <c r="X981" s="53"/>
      <c r="Y981" s="58"/>
      <c r="Z981" s="58"/>
      <c r="AA981" s="60"/>
    </row>
    <row r="982" spans="11:27">
      <c r="K982" s="51"/>
      <c r="Q982" s="51"/>
      <c r="R982" s="51"/>
      <c r="S982" s="51"/>
      <c r="W982" s="53"/>
      <c r="X982" s="53"/>
      <c r="Y982" s="58"/>
      <c r="Z982" s="58"/>
      <c r="AA982" s="60"/>
    </row>
    <row r="983" spans="11:27">
      <c r="K983" s="51"/>
      <c r="Q983" s="51"/>
      <c r="R983" s="51"/>
      <c r="S983" s="51"/>
      <c r="W983" s="53"/>
      <c r="X983" s="53"/>
      <c r="Y983" s="58"/>
      <c r="Z983" s="58"/>
      <c r="AA983" s="60"/>
    </row>
    <row r="984" spans="11:27">
      <c r="K984" s="51"/>
      <c r="Q984" s="51"/>
      <c r="R984" s="51"/>
      <c r="S984" s="51"/>
      <c r="W984" s="53"/>
      <c r="X984" s="53"/>
      <c r="Y984" s="58"/>
      <c r="Z984" s="58"/>
      <c r="AA984" s="60"/>
    </row>
    <row r="985" spans="11:27">
      <c r="K985" s="51"/>
      <c r="Q985" s="51"/>
      <c r="R985" s="51"/>
      <c r="S985" s="51"/>
      <c r="W985" s="53"/>
      <c r="X985" s="53"/>
      <c r="Y985" s="58"/>
      <c r="Z985" s="58"/>
      <c r="AA985" s="60"/>
    </row>
    <row r="986" spans="11:27">
      <c r="K986" s="51"/>
      <c r="Q986" s="51"/>
      <c r="R986" s="51"/>
      <c r="S986" s="51"/>
      <c r="W986" s="53"/>
      <c r="X986" s="53"/>
      <c r="Y986" s="58"/>
      <c r="Z986" s="58"/>
      <c r="AA986" s="60"/>
    </row>
    <row r="987" spans="11:27">
      <c r="K987" s="51"/>
      <c r="Q987" s="51"/>
      <c r="R987" s="51"/>
      <c r="S987" s="51"/>
      <c r="W987" s="53"/>
      <c r="X987" s="53"/>
      <c r="Y987" s="58"/>
      <c r="Z987" s="58"/>
      <c r="AA987" s="60"/>
    </row>
    <row r="988" spans="11:27">
      <c r="K988" s="51"/>
      <c r="Q988" s="51"/>
      <c r="R988" s="51"/>
      <c r="S988" s="51"/>
      <c r="W988" s="53"/>
      <c r="X988" s="53"/>
      <c r="Y988" s="58"/>
      <c r="Z988" s="58"/>
      <c r="AA988" s="60"/>
    </row>
    <row r="989" spans="11:27">
      <c r="K989" s="51"/>
      <c r="Q989" s="51"/>
      <c r="R989" s="51"/>
      <c r="S989" s="51"/>
      <c r="W989" s="53"/>
      <c r="X989" s="53"/>
      <c r="Y989" s="58"/>
      <c r="Z989" s="58"/>
      <c r="AA989" s="60"/>
    </row>
    <row r="990" spans="11:27">
      <c r="K990" s="51"/>
      <c r="Q990" s="51"/>
      <c r="R990" s="51"/>
      <c r="S990" s="51"/>
      <c r="W990" s="53"/>
      <c r="X990" s="53"/>
      <c r="Y990" s="58"/>
      <c r="Z990" s="58"/>
      <c r="AA990" s="60"/>
    </row>
    <row r="991" spans="11:27">
      <c r="K991" s="51"/>
      <c r="Q991" s="51"/>
      <c r="R991" s="51"/>
      <c r="S991" s="51"/>
      <c r="W991" s="53"/>
      <c r="X991" s="53"/>
      <c r="Y991" s="58"/>
      <c r="Z991" s="58"/>
      <c r="AA991" s="60"/>
    </row>
    <row r="992" spans="11:27">
      <c r="K992" s="51"/>
      <c r="Q992" s="51"/>
      <c r="R992" s="51"/>
      <c r="S992" s="51"/>
      <c r="W992" s="53"/>
      <c r="X992" s="53"/>
      <c r="Y992" s="58"/>
      <c r="Z992" s="58"/>
      <c r="AA992" s="60"/>
    </row>
    <row r="993" spans="11:27">
      <c r="K993" s="51"/>
      <c r="Q993" s="51"/>
      <c r="R993" s="51"/>
      <c r="S993" s="51"/>
      <c r="W993" s="53"/>
      <c r="X993" s="53"/>
      <c r="Y993" s="58"/>
      <c r="Z993" s="58"/>
      <c r="AA993" s="60"/>
    </row>
    <row r="994" spans="11:27">
      <c r="K994" s="51"/>
      <c r="Q994" s="51"/>
      <c r="R994" s="51"/>
      <c r="S994" s="51"/>
      <c r="W994" s="53"/>
      <c r="X994" s="53"/>
      <c r="Y994" s="58"/>
      <c r="Z994" s="58"/>
      <c r="AA994" s="60"/>
    </row>
    <row r="995" spans="11:27">
      <c r="K995" s="51"/>
      <c r="Q995" s="51"/>
      <c r="R995" s="51"/>
      <c r="S995" s="51"/>
      <c r="W995" s="53"/>
      <c r="X995" s="53"/>
      <c r="Y995" s="58"/>
      <c r="Z995" s="58"/>
      <c r="AA995" s="60"/>
    </row>
    <row r="996" spans="11:27">
      <c r="K996" s="51"/>
      <c r="Q996" s="51"/>
      <c r="R996" s="51"/>
      <c r="S996" s="51"/>
      <c r="W996" s="53"/>
      <c r="X996" s="53"/>
      <c r="Y996" s="58"/>
      <c r="Z996" s="58"/>
      <c r="AA996" s="60"/>
    </row>
    <row r="997" spans="11:27">
      <c r="K997" s="51"/>
      <c r="Q997" s="51"/>
      <c r="R997" s="51"/>
      <c r="S997" s="51"/>
      <c r="W997" s="53"/>
      <c r="X997" s="53"/>
      <c r="Y997" s="58"/>
      <c r="Z997" s="58"/>
      <c r="AA997" s="60"/>
    </row>
    <row r="998" spans="11:27">
      <c r="K998" s="51"/>
      <c r="Q998" s="51"/>
      <c r="R998" s="51"/>
      <c r="S998" s="51"/>
      <c r="W998" s="53"/>
      <c r="X998" s="53"/>
      <c r="Y998" s="58"/>
      <c r="Z998" s="58"/>
      <c r="AA998" s="60"/>
    </row>
    <row r="999" spans="11:27">
      <c r="K999" s="51"/>
      <c r="Q999" s="51"/>
      <c r="R999" s="51"/>
      <c r="S999" s="51"/>
      <c r="W999" s="53"/>
      <c r="X999" s="53"/>
      <c r="Y999" s="58"/>
      <c r="Z999" s="58"/>
      <c r="AA99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tabSelected="1" workbookViewId="0">
      <pane xSplit="2" ySplit="1" topLeftCell="T47" activePane="bottomRight" state="frozen"/>
      <selection pane="topRight" activeCell="C1" sqref="C1"/>
      <selection pane="bottomLeft" activeCell="A2" sqref="A2"/>
      <selection pane="bottomRight" activeCell="AC54" sqref="AC54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08984375" customWidth="1"/>
    <col min="5" max="5" width="23.08984375" customWidth="1"/>
    <col min="6" max="6" width="24" customWidth="1"/>
    <col min="7" max="7" width="24.26953125" customWidth="1"/>
    <col min="8" max="9" width="23.08984375" customWidth="1"/>
    <col min="10" max="10" width="23.81640625" customWidth="1"/>
    <col min="11" max="11" width="25.7265625" customWidth="1"/>
    <col min="12" max="13" width="23.08984375" customWidth="1"/>
    <col min="14" max="14" width="19.08984375" customWidth="1"/>
    <col min="15" max="15" width="23.81640625" customWidth="1"/>
    <col min="16" max="16" width="22.81640625" customWidth="1"/>
    <col min="21" max="21" width="16.54296875" style="86" customWidth="1"/>
    <col min="22" max="24" width="14.453125" style="86"/>
  </cols>
  <sheetData>
    <row r="1" spans="1:28">
      <c r="A1" s="54" t="s">
        <v>1</v>
      </c>
      <c r="B1" s="54" t="s">
        <v>2</v>
      </c>
      <c r="C1" s="54" t="s">
        <v>3</v>
      </c>
      <c r="D1" s="54" t="s">
        <v>477</v>
      </c>
      <c r="E1" s="54" t="s">
        <v>8</v>
      </c>
      <c r="F1" s="54" t="s">
        <v>9</v>
      </c>
      <c r="G1" s="54" t="s">
        <v>478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56" t="s">
        <v>469</v>
      </c>
      <c r="V1" s="56" t="s">
        <v>470</v>
      </c>
      <c r="W1" s="56" t="s">
        <v>471</v>
      </c>
      <c r="X1" s="56" t="s">
        <v>472</v>
      </c>
      <c r="Y1" s="56" t="s">
        <v>473</v>
      </c>
      <c r="Z1" s="56" t="s">
        <v>474</v>
      </c>
      <c r="AA1" s="56" t="s">
        <v>475</v>
      </c>
      <c r="AB1" s="56" t="s">
        <v>507</v>
      </c>
    </row>
    <row r="2" spans="1:28">
      <c r="A2" s="6">
        <v>2018</v>
      </c>
      <c r="B2" s="6" t="s">
        <v>194</v>
      </c>
      <c r="C2" s="7" t="s">
        <v>195</v>
      </c>
      <c r="D2" s="61">
        <v>364138000000</v>
      </c>
      <c r="E2" s="10">
        <v>447249000000</v>
      </c>
      <c r="F2" s="10">
        <v>881275000000</v>
      </c>
      <c r="G2" s="10">
        <f t="shared" ref="G2:G19" si="0">I2-H2</f>
        <v>262397000000</v>
      </c>
      <c r="H2" s="10">
        <v>136964000000</v>
      </c>
      <c r="I2" s="10">
        <v>399361000000</v>
      </c>
      <c r="J2" s="10">
        <v>481914000000</v>
      </c>
      <c r="K2" s="8">
        <v>2359587200</v>
      </c>
      <c r="L2" s="10">
        <v>804302000000</v>
      </c>
      <c r="M2" s="10">
        <v>415212000000</v>
      </c>
      <c r="N2" s="10">
        <v>201877000000</v>
      </c>
      <c r="O2" s="10">
        <v>58903000000</v>
      </c>
      <c r="P2" s="61">
        <v>0</v>
      </c>
      <c r="Q2" s="51">
        <v>895</v>
      </c>
      <c r="R2" s="51">
        <f t="shared" ref="R2:R121" si="1">D2/G2</f>
        <v>1.3877369024798303</v>
      </c>
      <c r="S2" s="51">
        <f t="shared" ref="S2:S121" si="2">H2/J2</f>
        <v>0.28420838572857399</v>
      </c>
      <c r="T2" s="51">
        <f t="shared" ref="T2:T121" si="3">O2/F2</f>
        <v>6.6838387563473378E-2</v>
      </c>
      <c r="U2" s="58">
        <f t="shared" ref="U2:U121" si="4">O2/J2</f>
        <v>0.12222720236390726</v>
      </c>
      <c r="V2" s="58">
        <f t="shared" ref="V2:V121" si="5">O2/L2</f>
        <v>7.3234929168396939E-2</v>
      </c>
      <c r="W2" s="58">
        <f t="shared" ref="W2:W121" si="6">(P2/K2)/Q2</f>
        <v>0</v>
      </c>
      <c r="X2" s="58">
        <f t="shared" ref="X2:X121" si="7">P2/O2</f>
        <v>0</v>
      </c>
      <c r="Y2" s="51">
        <f t="shared" ref="Y2:Y121" si="8">Q2/(O2/K2)</f>
        <v>35.852682274247492</v>
      </c>
      <c r="Z2" s="51">
        <f t="shared" ref="Z2:Z121" si="9">Q2/(J2/K2)</f>
        <v>4.3821730516233188</v>
      </c>
      <c r="AA2" s="52">
        <v>3</v>
      </c>
      <c r="AB2">
        <v>0</v>
      </c>
    </row>
    <row r="3" spans="1:28">
      <c r="A3" s="6">
        <v>2019</v>
      </c>
      <c r="B3" s="6" t="s">
        <v>194</v>
      </c>
      <c r="C3" s="7" t="s">
        <v>195</v>
      </c>
      <c r="D3" s="61">
        <v>351120000000</v>
      </c>
      <c r="E3" s="10">
        <v>405448000000</v>
      </c>
      <c r="F3" s="10">
        <v>822375000000</v>
      </c>
      <c r="G3" s="10">
        <f t="shared" si="0"/>
        <v>175191000000</v>
      </c>
      <c r="H3" s="10">
        <v>79247000000</v>
      </c>
      <c r="I3" s="10">
        <v>254438000000</v>
      </c>
      <c r="J3" s="10">
        <v>567937000000</v>
      </c>
      <c r="K3" s="8">
        <v>2359587200</v>
      </c>
      <c r="L3" s="10">
        <v>834330000000</v>
      </c>
      <c r="M3" s="10">
        <v>417281000000</v>
      </c>
      <c r="N3" s="10">
        <v>182396000000</v>
      </c>
      <c r="O3" s="10">
        <v>86023000000</v>
      </c>
      <c r="P3" s="61">
        <v>0</v>
      </c>
      <c r="Q3" s="51">
        <v>1045</v>
      </c>
      <c r="R3" s="51">
        <f t="shared" si="1"/>
        <v>2.0042125451649913</v>
      </c>
      <c r="S3" s="51">
        <f t="shared" si="2"/>
        <v>0.13953484277305406</v>
      </c>
      <c r="T3" s="51">
        <f t="shared" si="3"/>
        <v>0.1046031311749506</v>
      </c>
      <c r="U3" s="58">
        <f t="shared" si="4"/>
        <v>0.15146574355958495</v>
      </c>
      <c r="V3" s="58">
        <f t="shared" si="5"/>
        <v>0.10310428727242218</v>
      </c>
      <c r="W3" s="58">
        <f t="shared" si="6"/>
        <v>0</v>
      </c>
      <c r="X3" s="58">
        <f t="shared" si="7"/>
        <v>0</v>
      </c>
      <c r="Y3" s="51">
        <f t="shared" si="8"/>
        <v>28.664062215918999</v>
      </c>
      <c r="Z3" s="51">
        <f t="shared" si="9"/>
        <v>4.3416234969723755</v>
      </c>
      <c r="AA3" s="52">
        <v>3</v>
      </c>
      <c r="AB3">
        <v>0</v>
      </c>
    </row>
    <row r="4" spans="1:28">
      <c r="A4" s="6">
        <v>2020</v>
      </c>
      <c r="B4" s="6" t="s">
        <v>194</v>
      </c>
      <c r="C4" s="7" t="s">
        <v>195</v>
      </c>
      <c r="D4" s="61">
        <v>545239000000</v>
      </c>
      <c r="E4" s="10">
        <v>351626000000</v>
      </c>
      <c r="F4" s="10">
        <v>958791000000</v>
      </c>
      <c r="G4" s="10">
        <f t="shared" si="0"/>
        <v>183559000000</v>
      </c>
      <c r="H4" s="10">
        <v>74724000000</v>
      </c>
      <c r="I4" s="10">
        <v>258283000000</v>
      </c>
      <c r="J4" s="10">
        <v>700508000000</v>
      </c>
      <c r="K4" s="8">
        <v>2359587200</v>
      </c>
      <c r="L4" s="10">
        <v>673364000000</v>
      </c>
      <c r="M4" s="10">
        <v>330799000000</v>
      </c>
      <c r="N4" s="10">
        <v>96707000000</v>
      </c>
      <c r="O4" s="10">
        <v>135765000000</v>
      </c>
      <c r="P4" s="61">
        <v>0</v>
      </c>
      <c r="Q4" s="51">
        <v>1460</v>
      </c>
      <c r="R4" s="51">
        <f t="shared" si="1"/>
        <v>2.9703746479333621</v>
      </c>
      <c r="S4" s="51">
        <f t="shared" si="2"/>
        <v>0.10667115864486915</v>
      </c>
      <c r="T4" s="51">
        <f t="shared" si="3"/>
        <v>0.14160020275534502</v>
      </c>
      <c r="U4" s="58">
        <f t="shared" si="4"/>
        <v>0.19380934978615519</v>
      </c>
      <c r="V4" s="58">
        <f t="shared" si="5"/>
        <v>0.20162200533441052</v>
      </c>
      <c r="W4" s="58">
        <f t="shared" si="6"/>
        <v>0</v>
      </c>
      <c r="X4" s="58">
        <f t="shared" si="7"/>
        <v>0</v>
      </c>
      <c r="Y4" s="51">
        <f t="shared" si="8"/>
        <v>25.374708592052443</v>
      </c>
      <c r="Z4" s="51">
        <f t="shared" si="9"/>
        <v>4.9178557732388501</v>
      </c>
      <c r="AA4" s="52">
        <v>3</v>
      </c>
      <c r="AB4">
        <v>0</v>
      </c>
    </row>
    <row r="5" spans="1:28">
      <c r="A5" s="6">
        <v>2018</v>
      </c>
      <c r="B5" s="6" t="s">
        <v>198</v>
      </c>
      <c r="C5" s="7" t="s">
        <v>199</v>
      </c>
      <c r="D5" s="61">
        <v>1333428311186</v>
      </c>
      <c r="E5" s="10">
        <v>998708967039</v>
      </c>
      <c r="F5" s="10">
        <v>2445143511801</v>
      </c>
      <c r="G5" s="10">
        <f t="shared" si="0"/>
        <v>231533842787</v>
      </c>
      <c r="H5" s="10">
        <v>241146503875</v>
      </c>
      <c r="I5" s="10">
        <v>472680346662</v>
      </c>
      <c r="J5" s="10">
        <v>1972463165139</v>
      </c>
      <c r="K5" s="8">
        <v>804266668</v>
      </c>
      <c r="L5" s="10">
        <v>2648754344347</v>
      </c>
      <c r="M5" s="10">
        <v>1685791739001</v>
      </c>
      <c r="N5" s="10">
        <v>722004701096</v>
      </c>
      <c r="O5" s="10">
        <v>173049442756</v>
      </c>
      <c r="P5" s="61">
        <v>82362154537</v>
      </c>
      <c r="Q5" s="51">
        <v>17200</v>
      </c>
      <c r="R5" s="51">
        <f t="shared" si="1"/>
        <v>5.75910758935008</v>
      </c>
      <c r="S5" s="51">
        <f t="shared" si="2"/>
        <v>0.12225653088837597</v>
      </c>
      <c r="T5" s="51">
        <f t="shared" si="3"/>
        <v>7.077271412529007E-2</v>
      </c>
      <c r="U5" s="58">
        <f t="shared" si="4"/>
        <v>8.7732661280802759E-2</v>
      </c>
      <c r="V5" s="58">
        <f t="shared" si="5"/>
        <v>6.5332386570813555E-2</v>
      </c>
      <c r="W5" s="58">
        <f t="shared" si="6"/>
        <v>5.9538677248804324E-3</v>
      </c>
      <c r="X5" s="58">
        <f t="shared" si="7"/>
        <v>0.47594579459658115</v>
      </c>
      <c r="Y5" s="51">
        <f t="shared" si="8"/>
        <v>79.938926524629707</v>
      </c>
      <c r="Z5" s="51">
        <f t="shared" si="9"/>
        <v>7.0132547639363185</v>
      </c>
      <c r="AA5" s="52">
        <v>3</v>
      </c>
      <c r="AB5">
        <v>0</v>
      </c>
    </row>
    <row r="6" spans="1:28">
      <c r="A6" s="6">
        <v>2019</v>
      </c>
      <c r="B6" s="6" t="s">
        <v>198</v>
      </c>
      <c r="C6" s="7" t="s">
        <v>199</v>
      </c>
      <c r="D6" s="61">
        <v>1428191709308</v>
      </c>
      <c r="E6" s="10">
        <v>938300134590</v>
      </c>
      <c r="F6" s="10">
        <v>2551192620939</v>
      </c>
      <c r="G6" s="10">
        <f t="shared" si="0"/>
        <v>260244280265</v>
      </c>
      <c r="H6" s="10">
        <v>271804523512</v>
      </c>
      <c r="I6" s="10">
        <v>532048803777</v>
      </c>
      <c r="J6" s="10">
        <v>2019143817162</v>
      </c>
      <c r="K6" s="8">
        <v>804266668</v>
      </c>
      <c r="L6" s="10">
        <v>2804151670769</v>
      </c>
      <c r="M6" s="10">
        <v>1873937759675</v>
      </c>
      <c r="N6" s="10">
        <f>739420214230+1218605208</f>
        <v>740638819438</v>
      </c>
      <c r="O6" s="10">
        <v>145149344561</v>
      </c>
      <c r="P6" s="61">
        <v>84653428243</v>
      </c>
      <c r="Q6" s="51">
        <v>11000</v>
      </c>
      <c r="R6" s="51">
        <f t="shared" si="1"/>
        <v>5.487888947467777</v>
      </c>
      <c r="S6" s="51">
        <f t="shared" si="2"/>
        <v>0.13461375123542899</v>
      </c>
      <c r="T6" s="51">
        <f t="shared" si="3"/>
        <v>5.6894702254028894E-2</v>
      </c>
      <c r="U6" s="58">
        <f t="shared" si="4"/>
        <v>7.1886580503717712E-2</v>
      </c>
      <c r="V6" s="58">
        <f t="shared" si="5"/>
        <v>5.1762301616586522E-2</v>
      </c>
      <c r="W6" s="58">
        <f t="shared" si="6"/>
        <v>9.5686748066365103E-3</v>
      </c>
      <c r="X6" s="58">
        <f t="shared" si="7"/>
        <v>0.58321605584256575</v>
      </c>
      <c r="Y6" s="51">
        <f t="shared" si="8"/>
        <v>60.95055664741232</v>
      </c>
      <c r="Z6" s="51">
        <f t="shared" si="9"/>
        <v>4.3815270971806131</v>
      </c>
      <c r="AA6" s="52">
        <v>3</v>
      </c>
      <c r="AB6">
        <v>0</v>
      </c>
    </row>
    <row r="7" spans="1:28">
      <c r="A7" s="6">
        <v>2020</v>
      </c>
      <c r="B7" s="6" t="s">
        <v>198</v>
      </c>
      <c r="C7" s="7" t="s">
        <v>199</v>
      </c>
      <c r="D7" s="61">
        <v>1343961709769</v>
      </c>
      <c r="E7" s="10">
        <v>822015923646</v>
      </c>
      <c r="F7" s="10">
        <v>2314790056002</v>
      </c>
      <c r="G7" s="10">
        <f t="shared" si="0"/>
        <v>131087175475</v>
      </c>
      <c r="H7" s="10">
        <v>317715961088</v>
      </c>
      <c r="I7" s="10">
        <v>448803136563</v>
      </c>
      <c r="J7" s="10">
        <v>1865986919439</v>
      </c>
      <c r="K7" s="8">
        <v>804266668</v>
      </c>
      <c r="L7" s="10">
        <v>1989005993587</v>
      </c>
      <c r="M7" s="10">
        <v>1534276464935</v>
      </c>
      <c r="N7" s="10">
        <v>523339628164</v>
      </c>
      <c r="O7" s="10">
        <v>-54776587213</v>
      </c>
      <c r="P7" s="61">
        <v>84393872136</v>
      </c>
      <c r="Q7" s="51">
        <v>6475</v>
      </c>
      <c r="R7" s="51">
        <f t="shared" si="1"/>
        <v>10.252427095931369</v>
      </c>
      <c r="S7" s="51">
        <f t="shared" si="2"/>
        <v>0.17026698192692571</v>
      </c>
      <c r="T7" s="51">
        <f t="shared" si="3"/>
        <v>-2.3663738778802096E-2</v>
      </c>
      <c r="U7" s="58">
        <f t="shared" si="4"/>
        <v>-2.9355290030365442E-2</v>
      </c>
      <c r="V7" s="58">
        <f t="shared" si="5"/>
        <v>-2.7539679311983957E-2</v>
      </c>
      <c r="W7" s="58">
        <f t="shared" si="6"/>
        <v>1.6205822229209289E-2</v>
      </c>
      <c r="X7" s="58">
        <f t="shared" si="7"/>
        <v>-1.5406924094747363</v>
      </c>
      <c r="Y7" s="51">
        <f t="shared" si="8"/>
        <v>-95.070301752280159</v>
      </c>
      <c r="Z7" s="51">
        <f t="shared" si="9"/>
        <v>2.7908162812125434</v>
      </c>
      <c r="AA7" s="52">
        <v>3</v>
      </c>
      <c r="AB7">
        <v>0</v>
      </c>
    </row>
    <row r="8" spans="1:28">
      <c r="A8" s="6">
        <v>2018</v>
      </c>
      <c r="B8" s="6" t="s">
        <v>200</v>
      </c>
      <c r="C8" s="7" t="s">
        <v>201</v>
      </c>
      <c r="D8" s="61">
        <v>8257910000000</v>
      </c>
      <c r="E8" s="10">
        <v>10627387000000</v>
      </c>
      <c r="F8" s="10">
        <v>19522970000000</v>
      </c>
      <c r="G8" s="10">
        <f t="shared" si="0"/>
        <v>11134786000000</v>
      </c>
      <c r="H8" s="10">
        <v>810051000000</v>
      </c>
      <c r="I8" s="10">
        <v>11944837000000</v>
      </c>
      <c r="J8" s="10">
        <v>7578133000000</v>
      </c>
      <c r="K8" s="8">
        <v>7630000000</v>
      </c>
      <c r="L8" s="10">
        <v>41802073000000</v>
      </c>
      <c r="M8" s="10">
        <v>20709800000000</v>
      </c>
      <c r="N8" s="10">
        <f>7678122000000+3925110000000</f>
        <v>11603232000000</v>
      </c>
      <c r="O8" s="10">
        <v>9081187000000</v>
      </c>
      <c r="P8" s="61">
        <v>6926201000000</v>
      </c>
      <c r="Q8" s="51">
        <v>44500</v>
      </c>
      <c r="R8" s="51">
        <f t="shared" si="1"/>
        <v>0.74163167572326938</v>
      </c>
      <c r="S8" s="51">
        <f t="shared" si="2"/>
        <v>0.10689321499108026</v>
      </c>
      <c r="T8" s="51">
        <f t="shared" si="3"/>
        <v>0.4651539699133892</v>
      </c>
      <c r="U8" s="58">
        <f t="shared" si="4"/>
        <v>1.1983409370091551</v>
      </c>
      <c r="V8" s="58">
        <f t="shared" si="5"/>
        <v>0.21724250373898921</v>
      </c>
      <c r="W8" s="58">
        <f t="shared" si="6"/>
        <v>2.0399078151000633E-2</v>
      </c>
      <c r="X8" s="58">
        <f t="shared" si="7"/>
        <v>0.76269776186747396</v>
      </c>
      <c r="Y8" s="51">
        <f t="shared" si="8"/>
        <v>37.388834741537643</v>
      </c>
      <c r="Z8" s="51">
        <f t="shared" si="9"/>
        <v>44.804571257854668</v>
      </c>
      <c r="AA8" s="52">
        <v>3</v>
      </c>
      <c r="AB8">
        <v>1</v>
      </c>
    </row>
    <row r="9" spans="1:28">
      <c r="A9" s="6">
        <v>2019</v>
      </c>
      <c r="B9" s="6" t="s">
        <v>200</v>
      </c>
      <c r="C9" s="7" t="s">
        <v>201</v>
      </c>
      <c r="D9" s="61">
        <v>8530334000000</v>
      </c>
      <c r="E9" s="10">
        <v>10715376000000</v>
      </c>
      <c r="F9" s="10">
        <v>20649371000000</v>
      </c>
      <c r="G9" s="10">
        <f t="shared" si="0"/>
        <v>13065308000000</v>
      </c>
      <c r="H9" s="10">
        <v>2302201000000</v>
      </c>
      <c r="I9" s="10">
        <v>15367509000000</v>
      </c>
      <c r="J9" s="10">
        <v>5281862000000</v>
      </c>
      <c r="K9" s="8">
        <v>7630000000</v>
      </c>
      <c r="L9" s="10">
        <v>42922563000000</v>
      </c>
      <c r="M9" s="10">
        <v>20893870000000</v>
      </c>
      <c r="N9" s="10">
        <f>8049388000000+3861481000000</f>
        <v>11910869000000</v>
      </c>
      <c r="O9" s="10">
        <v>7392837000000</v>
      </c>
      <c r="P9" s="61">
        <v>9176417000000</v>
      </c>
      <c r="Q9" s="51">
        <v>42000</v>
      </c>
      <c r="R9" s="51">
        <f t="shared" si="1"/>
        <v>0.65289957190446635</v>
      </c>
      <c r="S9" s="51">
        <f t="shared" si="2"/>
        <v>0.43586920673050528</v>
      </c>
      <c r="T9" s="51">
        <f t="shared" si="3"/>
        <v>0.35801753961416066</v>
      </c>
      <c r="U9" s="58">
        <f t="shared" si="4"/>
        <v>1.3996649287694378</v>
      </c>
      <c r="V9" s="58">
        <f t="shared" si="5"/>
        <v>0.17223661597281598</v>
      </c>
      <c r="W9" s="58">
        <f t="shared" si="6"/>
        <v>2.8635140111090307E-2</v>
      </c>
      <c r="X9" s="58">
        <f t="shared" si="7"/>
        <v>1.2412578554078766</v>
      </c>
      <c r="Y9" s="51">
        <f t="shared" si="8"/>
        <v>43.347364482674244</v>
      </c>
      <c r="Z9" s="51">
        <f t="shared" si="9"/>
        <v>60.6717858209851</v>
      </c>
      <c r="AA9" s="52">
        <v>3</v>
      </c>
      <c r="AB9">
        <v>1</v>
      </c>
    </row>
    <row r="10" spans="1:28">
      <c r="A10" s="6">
        <v>2020</v>
      </c>
      <c r="B10" s="6" t="s">
        <v>200</v>
      </c>
      <c r="C10" s="7" t="s">
        <v>201</v>
      </c>
      <c r="D10" s="61">
        <v>8828360000000</v>
      </c>
      <c r="E10" s="10">
        <v>10419902000000</v>
      </c>
      <c r="F10" s="10">
        <v>20534632000000</v>
      </c>
      <c r="G10" s="10">
        <f t="shared" si="0"/>
        <v>13357536000000</v>
      </c>
      <c r="H10" s="10">
        <v>2239728000000</v>
      </c>
      <c r="I10" s="10">
        <v>15597264000000</v>
      </c>
      <c r="J10" s="10">
        <v>4937368000000</v>
      </c>
      <c r="K10" s="8">
        <v>7630000000</v>
      </c>
      <c r="L10" s="10">
        <v>42972474000000</v>
      </c>
      <c r="M10" s="10">
        <v>20515484000000</v>
      </c>
      <c r="N10" s="10">
        <f>8628647000000+4357209000000+20122000000</f>
        <v>13005978000000</v>
      </c>
      <c r="O10" s="10">
        <v>7163536000000</v>
      </c>
      <c r="P10" s="61">
        <v>7371069000000</v>
      </c>
      <c r="Q10" s="51">
        <v>7350</v>
      </c>
      <c r="R10" s="51">
        <f t="shared" si="1"/>
        <v>0.6609272847926444</v>
      </c>
      <c r="S10" s="51">
        <f t="shared" si="2"/>
        <v>0.45362792483768682</v>
      </c>
      <c r="T10" s="51">
        <f t="shared" si="3"/>
        <v>0.34885144277238567</v>
      </c>
      <c r="U10" s="58">
        <f t="shared" si="4"/>
        <v>1.4508815223009506</v>
      </c>
      <c r="V10" s="58">
        <f t="shared" si="5"/>
        <v>0.16670057209179998</v>
      </c>
      <c r="W10" s="58">
        <f t="shared" si="6"/>
        <v>0.13143729103699148</v>
      </c>
      <c r="X10" s="58">
        <f t="shared" si="7"/>
        <v>1.0289707485241926</v>
      </c>
      <c r="Y10" s="51">
        <f t="shared" si="8"/>
        <v>7.8286058728538528</v>
      </c>
      <c r="Z10" s="51">
        <f t="shared" si="9"/>
        <v>11.35837960630036</v>
      </c>
      <c r="AA10" s="52">
        <v>3</v>
      </c>
      <c r="AB10">
        <v>1</v>
      </c>
    </row>
    <row r="11" spans="1:28">
      <c r="A11" s="6">
        <v>2018</v>
      </c>
      <c r="B11" s="6" t="s">
        <v>261</v>
      </c>
      <c r="C11" s="7" t="s">
        <v>262</v>
      </c>
      <c r="D11" s="61">
        <v>13334804000000</v>
      </c>
      <c r="E11" s="10">
        <v>8647396000000</v>
      </c>
      <c r="F11" s="10">
        <v>24827355000000</v>
      </c>
      <c r="G11" s="10">
        <f t="shared" si="0"/>
        <v>7689521000000</v>
      </c>
      <c r="H11" s="10">
        <v>6372157000000</v>
      </c>
      <c r="I11" s="10">
        <v>14061678000000</v>
      </c>
      <c r="J11" s="10">
        <v>10765677000000</v>
      </c>
      <c r="K11" s="8">
        <v>100000000000</v>
      </c>
      <c r="L11" s="10">
        <v>36228261000000</v>
      </c>
      <c r="M11" s="10">
        <v>28342636000000</v>
      </c>
      <c r="N11" s="10">
        <f>836629000000+2647489000000+164095000000</f>
        <v>3648213000000</v>
      </c>
      <c r="O11" s="10">
        <v>2253201000000</v>
      </c>
      <c r="P11" s="61">
        <v>1205915000000</v>
      </c>
      <c r="Q11" s="51">
        <v>2000</v>
      </c>
      <c r="R11" s="51">
        <f t="shared" si="1"/>
        <v>1.7341527515172921</v>
      </c>
      <c r="S11" s="51">
        <f t="shared" si="2"/>
        <v>0.5918956141819971</v>
      </c>
      <c r="T11" s="51">
        <f t="shared" si="3"/>
        <v>9.0754774320502524E-2</v>
      </c>
      <c r="U11" s="58">
        <f t="shared" si="4"/>
        <v>0.20929487295596924</v>
      </c>
      <c r="V11" s="58">
        <f t="shared" si="5"/>
        <v>6.2194566832782835E-2</v>
      </c>
      <c r="W11" s="58">
        <f t="shared" si="6"/>
        <v>6.0295750000000006E-3</v>
      </c>
      <c r="X11" s="58">
        <f t="shared" si="7"/>
        <v>0.53520080987004715</v>
      </c>
      <c r="Y11" s="51">
        <f t="shared" si="8"/>
        <v>88.762609283415017</v>
      </c>
      <c r="Z11" s="51">
        <f t="shared" si="9"/>
        <v>18.577559033212683</v>
      </c>
      <c r="AA11" s="52">
        <v>3</v>
      </c>
      <c r="AB11">
        <v>0</v>
      </c>
    </row>
    <row r="12" spans="1:28">
      <c r="A12" s="6">
        <v>2019</v>
      </c>
      <c r="B12" s="6" t="s">
        <v>261</v>
      </c>
      <c r="C12" s="7" t="s">
        <v>262</v>
      </c>
      <c r="D12" s="61">
        <v>12873148000000</v>
      </c>
      <c r="E12" s="10">
        <v>10707724000000</v>
      </c>
      <c r="F12" s="10">
        <v>26650895000000</v>
      </c>
      <c r="G12" s="10">
        <f t="shared" si="0"/>
        <v>7741958000000</v>
      </c>
      <c r="H12" s="10">
        <v>7012123000000</v>
      </c>
      <c r="I12" s="10">
        <v>14754081000000</v>
      </c>
      <c r="J12" s="10">
        <v>11896814000000</v>
      </c>
      <c r="K12" s="8">
        <v>100000000000</v>
      </c>
      <c r="L12" s="10">
        <v>38872084000000</v>
      </c>
      <c r="M12" s="10">
        <v>31000234000000</v>
      </c>
      <c r="N12" s="10">
        <f>1048302000000+2895713000000+160828000000</f>
        <v>4104843000000</v>
      </c>
      <c r="O12" s="10">
        <v>1883857000000</v>
      </c>
      <c r="P12" s="61">
        <v>638281000000</v>
      </c>
      <c r="Q12" s="51">
        <v>1535</v>
      </c>
      <c r="R12" s="51">
        <f t="shared" si="1"/>
        <v>1.6627767807575293</v>
      </c>
      <c r="S12" s="51">
        <f t="shared" si="2"/>
        <v>0.58941183748859149</v>
      </c>
      <c r="T12" s="51">
        <f t="shared" si="3"/>
        <v>7.0686444113790547E-2</v>
      </c>
      <c r="U12" s="58">
        <f t="shared" si="4"/>
        <v>0.15834970606416138</v>
      </c>
      <c r="V12" s="58">
        <f t="shared" si="5"/>
        <v>4.8462979242378669E-2</v>
      </c>
      <c r="W12" s="58">
        <f t="shared" si="6"/>
        <v>4.1581824104234529E-3</v>
      </c>
      <c r="X12" s="58">
        <f t="shared" si="7"/>
        <v>0.33881605663274866</v>
      </c>
      <c r="Y12" s="51">
        <f t="shared" si="8"/>
        <v>81.481768520646739</v>
      </c>
      <c r="Z12" s="51">
        <f t="shared" si="9"/>
        <v>12.902614094832447</v>
      </c>
      <c r="AA12" s="52">
        <v>3</v>
      </c>
      <c r="AB12">
        <v>0</v>
      </c>
    </row>
    <row r="13" spans="1:28">
      <c r="A13" s="6">
        <v>2020</v>
      </c>
      <c r="B13" s="6" t="s">
        <v>261</v>
      </c>
      <c r="C13" s="7" t="s">
        <v>262</v>
      </c>
      <c r="D13" s="61">
        <v>11745138000000</v>
      </c>
      <c r="E13" s="10">
        <v>11143803000000</v>
      </c>
      <c r="F13" s="10">
        <v>25951760000000</v>
      </c>
      <c r="G13" s="10">
        <f t="shared" si="0"/>
        <v>6007679000000</v>
      </c>
      <c r="H13" s="10">
        <v>8532111000000</v>
      </c>
      <c r="I13" s="10">
        <v>14539790000000</v>
      </c>
      <c r="J13" s="10">
        <v>11411970000000</v>
      </c>
      <c r="K13" s="8">
        <v>100000000000</v>
      </c>
      <c r="L13" s="10">
        <v>36964948000000</v>
      </c>
      <c r="M13" s="10">
        <v>29535739000000</v>
      </c>
      <c r="N13" s="10">
        <f>1549972000000+3244208000000+236681000000</f>
        <v>5030861000000</v>
      </c>
      <c r="O13" s="10">
        <v>1002376000000</v>
      </c>
      <c r="P13" s="61">
        <v>258375000000</v>
      </c>
      <c r="Q13" s="51">
        <v>1465</v>
      </c>
      <c r="R13" s="51">
        <f t="shared" si="1"/>
        <v>1.9550208990859865</v>
      </c>
      <c r="S13" s="51">
        <f t="shared" si="2"/>
        <v>0.74764576142418881</v>
      </c>
      <c r="T13" s="51">
        <f t="shared" si="3"/>
        <v>3.8624586540566032E-2</v>
      </c>
      <c r="U13" s="58">
        <f t="shared" si="4"/>
        <v>8.7835492031612422E-2</v>
      </c>
      <c r="V13" s="58">
        <f t="shared" si="5"/>
        <v>2.7116932505897209E-2</v>
      </c>
      <c r="W13" s="58">
        <f t="shared" si="6"/>
        <v>1.7636518771331059E-3</v>
      </c>
      <c r="X13" s="58">
        <f t="shared" si="7"/>
        <v>0.25776255616654831</v>
      </c>
      <c r="Y13" s="51">
        <f t="shared" si="8"/>
        <v>146.15274108717688</v>
      </c>
      <c r="Z13" s="51">
        <f t="shared" si="9"/>
        <v>12.837397925161037</v>
      </c>
      <c r="AA13" s="52">
        <v>3</v>
      </c>
      <c r="AB13">
        <v>0</v>
      </c>
    </row>
    <row r="14" spans="1:28">
      <c r="A14" s="6">
        <v>2018</v>
      </c>
      <c r="B14" s="6" t="s">
        <v>265</v>
      </c>
      <c r="C14" s="7" t="s">
        <v>266</v>
      </c>
      <c r="D14" s="61">
        <v>219577845340</v>
      </c>
      <c r="E14" s="10">
        <v>256898006885</v>
      </c>
      <c r="F14" s="10">
        <v>491382035136</v>
      </c>
      <c r="G14" s="10">
        <f t="shared" si="0"/>
        <v>81075913501</v>
      </c>
      <c r="H14" s="10">
        <v>21627543807</v>
      </c>
      <c r="I14" s="10">
        <v>102703457308</v>
      </c>
      <c r="J14" s="10">
        <v>388678577828</v>
      </c>
      <c r="K14" s="8">
        <v>2000000000</v>
      </c>
      <c r="L14" s="10">
        <v>370390736433</v>
      </c>
      <c r="M14" s="10">
        <v>256947701878</v>
      </c>
      <c r="N14" s="10">
        <f>58584770961+3331144467+33706922995</f>
        <v>95622838423</v>
      </c>
      <c r="O14" s="10">
        <v>13554152161</v>
      </c>
      <c r="P14" s="61">
        <v>8000000000</v>
      </c>
      <c r="Q14" s="51">
        <v>284</v>
      </c>
      <c r="R14" s="51">
        <f t="shared" si="1"/>
        <v>2.708299368557737</v>
      </c>
      <c r="S14" s="51">
        <f t="shared" si="2"/>
        <v>5.5643776222137793E-2</v>
      </c>
      <c r="T14" s="51">
        <f t="shared" si="3"/>
        <v>2.7583735651321911E-2</v>
      </c>
      <c r="U14" s="58">
        <f t="shared" si="4"/>
        <v>3.4872393113978231E-2</v>
      </c>
      <c r="V14" s="58">
        <f t="shared" si="5"/>
        <v>3.6594198579401598E-2</v>
      </c>
      <c r="W14" s="58">
        <f t="shared" si="6"/>
        <v>1.4084507042253521E-2</v>
      </c>
      <c r="X14" s="58">
        <f t="shared" si="7"/>
        <v>0.59022503989727781</v>
      </c>
      <c r="Y14" s="51">
        <f t="shared" si="8"/>
        <v>41.905977832706732</v>
      </c>
      <c r="Z14" s="51">
        <f t="shared" si="9"/>
        <v>1.4613617328078066</v>
      </c>
      <c r="AA14" s="52">
        <v>3</v>
      </c>
      <c r="AB14">
        <v>0</v>
      </c>
    </row>
    <row r="15" spans="1:28">
      <c r="A15" s="6">
        <v>2019</v>
      </c>
      <c r="B15" s="6" t="s">
        <v>265</v>
      </c>
      <c r="C15" s="7" t="s">
        <v>266</v>
      </c>
      <c r="D15" s="61">
        <v>250724734274</v>
      </c>
      <c r="E15" s="10">
        <v>249614390323</v>
      </c>
      <c r="F15" s="10">
        <v>521493784876</v>
      </c>
      <c r="G15" s="10">
        <f t="shared" si="0"/>
        <v>105476752401</v>
      </c>
      <c r="H15" s="10">
        <v>26345627806</v>
      </c>
      <c r="I15" s="10">
        <v>131822380207</v>
      </c>
      <c r="J15" s="10">
        <v>389671404669</v>
      </c>
      <c r="K15" s="8">
        <v>2000000000</v>
      </c>
      <c r="L15" s="10">
        <v>407452029013</v>
      </c>
      <c r="M15" s="10">
        <v>292192033789</v>
      </c>
      <c r="N15" s="10">
        <f>60822934424+4618458062+38111785637</f>
        <v>103553178123</v>
      </c>
      <c r="O15" s="10">
        <v>7221065916</v>
      </c>
      <c r="P15" s="61">
        <v>3300000000</v>
      </c>
      <c r="Q15" s="51">
        <v>302</v>
      </c>
      <c r="R15" s="51">
        <f t="shared" si="1"/>
        <v>2.3770615663326295</v>
      </c>
      <c r="S15" s="51">
        <f t="shared" si="2"/>
        <v>6.7609856639028632E-2</v>
      </c>
      <c r="T15" s="51">
        <f t="shared" si="3"/>
        <v>1.3846887777803553E-2</v>
      </c>
      <c r="U15" s="58">
        <f t="shared" si="4"/>
        <v>1.8531167105099274E-2</v>
      </c>
      <c r="V15" s="58">
        <f t="shared" si="5"/>
        <v>1.7722493451541033E-2</v>
      </c>
      <c r="W15" s="58">
        <f t="shared" si="6"/>
        <v>5.4635761589403968E-3</v>
      </c>
      <c r="X15" s="58">
        <f t="shared" si="7"/>
        <v>0.45699624382157489</v>
      </c>
      <c r="Y15" s="51">
        <f t="shared" si="8"/>
        <v>83.644160990373109</v>
      </c>
      <c r="Z15" s="51">
        <f t="shared" si="9"/>
        <v>1.5500239246784298</v>
      </c>
      <c r="AA15" s="52">
        <v>3</v>
      </c>
      <c r="AB15">
        <v>0</v>
      </c>
    </row>
    <row r="16" spans="1:28">
      <c r="A16" s="6">
        <v>2020</v>
      </c>
      <c r="B16" s="6" t="s">
        <v>265</v>
      </c>
      <c r="C16" s="7" t="s">
        <v>266</v>
      </c>
      <c r="D16" s="61">
        <v>235891593162</v>
      </c>
      <c r="E16" s="10">
        <v>239840874085</v>
      </c>
      <c r="F16" s="10">
        <v>498020612974</v>
      </c>
      <c r="G16" s="10">
        <f t="shared" si="0"/>
        <v>94587795350</v>
      </c>
      <c r="H16" s="10">
        <v>18075450551</v>
      </c>
      <c r="I16" s="10">
        <v>112663245901</v>
      </c>
      <c r="J16" s="10">
        <v>385357367073</v>
      </c>
      <c r="K16" s="8">
        <v>2000000000</v>
      </c>
      <c r="L16" s="10">
        <v>330675687019</v>
      </c>
      <c r="M16" s="10">
        <v>233761111651</v>
      </c>
      <c r="N16" s="10">
        <f>30572099655+56246224164+6860466956</f>
        <v>93678790775</v>
      </c>
      <c r="O16" s="10">
        <v>249076655</v>
      </c>
      <c r="P16" s="61">
        <v>2000000000</v>
      </c>
      <c r="Q16" s="51">
        <v>240</v>
      </c>
      <c r="R16" s="51">
        <f t="shared" si="1"/>
        <v>2.4938903828885994</v>
      </c>
      <c r="S16" s="51">
        <f t="shared" si="2"/>
        <v>4.6905683128086885E-2</v>
      </c>
      <c r="T16" s="51">
        <f t="shared" si="3"/>
        <v>5.0013322443142217E-4</v>
      </c>
      <c r="U16" s="58">
        <f t="shared" si="4"/>
        <v>6.4635238945053377E-4</v>
      </c>
      <c r="V16" s="58">
        <f t="shared" si="5"/>
        <v>7.5323546537513816E-4</v>
      </c>
      <c r="W16" s="58">
        <f t="shared" si="6"/>
        <v>4.1666666666666666E-3</v>
      </c>
      <c r="X16" s="58">
        <f t="shared" si="7"/>
        <v>8.0296565729935629</v>
      </c>
      <c r="Y16" s="51">
        <f t="shared" si="8"/>
        <v>1927.1175775184552</v>
      </c>
      <c r="Z16" s="51">
        <f t="shared" si="9"/>
        <v>1.2455970509811778</v>
      </c>
      <c r="AA16" s="52">
        <v>3</v>
      </c>
      <c r="AB16">
        <v>1</v>
      </c>
    </row>
    <row r="17" spans="1:28">
      <c r="A17" s="6">
        <v>2018</v>
      </c>
      <c r="B17" s="6" t="s">
        <v>268</v>
      </c>
      <c r="C17" s="7" t="s">
        <v>269</v>
      </c>
      <c r="D17" s="62">
        <v>6960395955329</v>
      </c>
      <c r="E17" s="10">
        <v>1215546692942</v>
      </c>
      <c r="F17" s="10">
        <v>8322960974230</v>
      </c>
      <c r="G17" s="10">
        <f t="shared" si="0"/>
        <v>2442855705213</v>
      </c>
      <c r="H17" s="10">
        <v>92250390844</v>
      </c>
      <c r="I17" s="10">
        <v>2535106096057</v>
      </c>
      <c r="J17" s="10">
        <v>5787854878173</v>
      </c>
      <c r="K17" s="8">
        <v>9120000000</v>
      </c>
      <c r="L17" s="10">
        <v>20604487293751</v>
      </c>
      <c r="M17" s="10">
        <v>18207487072775</v>
      </c>
      <c r="N17" s="10">
        <f>1362204479737+206695250349+22161406875+5391026594</f>
        <v>1596452163555</v>
      </c>
      <c r="O17" s="10">
        <v>653250886056</v>
      </c>
      <c r="P17" s="61">
        <v>13543200000</v>
      </c>
      <c r="Q17" s="51">
        <v>2100</v>
      </c>
      <c r="R17" s="51">
        <f t="shared" si="1"/>
        <v>2.8492865708259676</v>
      </c>
      <c r="S17" s="51">
        <f t="shared" si="2"/>
        <v>1.5938615045773201E-2</v>
      </c>
      <c r="T17" s="51">
        <f t="shared" si="3"/>
        <v>7.8487798762799751E-2</v>
      </c>
      <c r="U17" s="58">
        <f t="shared" si="4"/>
        <v>0.11286580258249423</v>
      </c>
      <c r="V17" s="58">
        <f t="shared" si="5"/>
        <v>3.170430191942316E-2</v>
      </c>
      <c r="W17" s="58">
        <f t="shared" si="6"/>
        <v>7.0714285714285714E-4</v>
      </c>
      <c r="X17" s="58">
        <f t="shared" si="7"/>
        <v>2.0732004026457619E-2</v>
      </c>
      <c r="Y17" s="51">
        <f t="shared" si="8"/>
        <v>29.317985491960272</v>
      </c>
      <c r="Z17" s="51">
        <f t="shared" si="9"/>
        <v>3.3089979626520178</v>
      </c>
      <c r="AA17" s="52">
        <v>3</v>
      </c>
      <c r="AB17">
        <v>0</v>
      </c>
    </row>
    <row r="18" spans="1:28">
      <c r="A18" s="6">
        <v>2019</v>
      </c>
      <c r="B18" s="6" t="s">
        <v>268</v>
      </c>
      <c r="C18" s="7" t="s">
        <v>269</v>
      </c>
      <c r="D18" s="61">
        <v>7120602478197</v>
      </c>
      <c r="E18" s="10">
        <v>1433166129304</v>
      </c>
      <c r="F18" s="10">
        <v>8704958834283</v>
      </c>
      <c r="G18" s="10">
        <f t="shared" si="0"/>
        <v>2463953517223</v>
      </c>
      <c r="H18" s="10">
        <v>111696870012</v>
      </c>
      <c r="I18" s="10">
        <v>2575650387235</v>
      </c>
      <c r="J18" s="10">
        <v>6129308447048</v>
      </c>
      <c r="K18" s="8">
        <v>9120000000</v>
      </c>
      <c r="L18" s="10">
        <v>22226912485948</v>
      </c>
      <c r="M18" s="10">
        <v>19771990916170</v>
      </c>
      <c r="N18" s="10">
        <f>1504815891702+222490672344+6161028189+2683149488</f>
        <v>1736150741723</v>
      </c>
      <c r="O18" s="10">
        <v>580814677453</v>
      </c>
      <c r="P18" s="61">
        <v>243777600000</v>
      </c>
      <c r="Q18" s="51">
        <v>2050</v>
      </c>
      <c r="R18" s="51">
        <f t="shared" si="1"/>
        <v>2.8899094193230881</v>
      </c>
      <c r="S18" s="51">
        <f t="shared" si="2"/>
        <v>1.8223404969249915E-2</v>
      </c>
      <c r="T18" s="51">
        <f t="shared" si="3"/>
        <v>6.6722277326063867E-2</v>
      </c>
      <c r="U18" s="58">
        <f t="shared" si="4"/>
        <v>9.4760229880865632E-2</v>
      </c>
      <c r="V18" s="58">
        <f t="shared" si="5"/>
        <v>2.6131145197075611E-2</v>
      </c>
      <c r="W18" s="58">
        <f t="shared" si="6"/>
        <v>1.3039024390243903E-2</v>
      </c>
      <c r="X18" s="58">
        <f t="shared" si="7"/>
        <v>0.41971666602679247</v>
      </c>
      <c r="Y18" s="51">
        <f t="shared" si="8"/>
        <v>32.189269186491757</v>
      </c>
      <c r="Z18" s="51">
        <f t="shared" si="9"/>
        <v>3.0502625478090231</v>
      </c>
      <c r="AA18" s="52">
        <v>3</v>
      </c>
      <c r="AB18">
        <v>0</v>
      </c>
    </row>
    <row r="19" spans="1:28">
      <c r="A19" s="6">
        <v>2020</v>
      </c>
      <c r="B19" s="6" t="s">
        <v>268</v>
      </c>
      <c r="C19" s="7" t="s">
        <v>269</v>
      </c>
      <c r="D19" s="61">
        <v>7540695065075</v>
      </c>
      <c r="E19" s="10">
        <v>1531423663540</v>
      </c>
      <c r="F19" s="10">
        <v>9211731059218</v>
      </c>
      <c r="G19" s="10">
        <f t="shared" si="0"/>
        <v>2533986369290</v>
      </c>
      <c r="H19" s="10">
        <v>118288329421</v>
      </c>
      <c r="I19" s="10">
        <v>2652274698711</v>
      </c>
      <c r="J19" s="10">
        <v>6559456360507</v>
      </c>
      <c r="K19" s="8">
        <v>9120000000</v>
      </c>
      <c r="L19" s="10">
        <v>22545419368639</v>
      </c>
      <c r="M19" s="10">
        <v>20086788571564</v>
      </c>
      <c r="N19" s="10">
        <f>1478722246303+231348697736+10852235264+12082117088</f>
        <v>1733005296391</v>
      </c>
      <c r="O19" s="10">
        <v>679870547997</v>
      </c>
      <c r="P19" s="61">
        <v>243777600000</v>
      </c>
      <c r="Q19" s="51">
        <v>2110</v>
      </c>
      <c r="R19" s="51">
        <f t="shared" si="1"/>
        <v>2.9758230574807056</v>
      </c>
      <c r="S19" s="51">
        <f t="shared" si="2"/>
        <v>1.8033251983073966E-2</v>
      </c>
      <c r="T19" s="51">
        <f t="shared" si="3"/>
        <v>7.3804862910827898E-2</v>
      </c>
      <c r="U19" s="58">
        <f t="shared" si="4"/>
        <v>0.10364739250196807</v>
      </c>
      <c r="V19" s="58">
        <f t="shared" si="5"/>
        <v>3.0155595550496152E-2</v>
      </c>
      <c r="W19" s="58">
        <f t="shared" si="6"/>
        <v>1.2668246445497631E-2</v>
      </c>
      <c r="X19" s="58">
        <f t="shared" si="7"/>
        <v>0.35856473076853401</v>
      </c>
      <c r="Y19" s="51">
        <f t="shared" si="8"/>
        <v>28.304211818990154</v>
      </c>
      <c r="Z19" s="51">
        <f t="shared" si="9"/>
        <v>2.9336577518617162</v>
      </c>
      <c r="AA19" s="52">
        <v>3</v>
      </c>
      <c r="AB19">
        <v>0</v>
      </c>
    </row>
    <row r="20" spans="1:28">
      <c r="A20" s="6">
        <v>2018</v>
      </c>
      <c r="B20" s="6" t="s">
        <v>272</v>
      </c>
      <c r="C20" s="7" t="s">
        <v>273</v>
      </c>
      <c r="D20" s="63">
        <f>303730658*14481</f>
        <v>4398323658498</v>
      </c>
      <c r="E20" s="10">
        <f>33931351*14481</f>
        <v>491359893831</v>
      </c>
      <c r="F20" s="10">
        <f>283350512*14481</f>
        <v>4103198764272</v>
      </c>
      <c r="G20" s="10">
        <f>(I20-H20)*14481</f>
        <v>2.5826130835108288E+16</v>
      </c>
      <c r="H20" s="10">
        <f>9889254*14481</f>
        <v>143206287174</v>
      </c>
      <c r="I20" s="10">
        <f>133047144*14481</f>
        <v>1926655692264</v>
      </c>
      <c r="J20" s="10">
        <f>150303368*14481</f>
        <v>2176543072008</v>
      </c>
      <c r="K20" s="8">
        <f>1680000000*14481</f>
        <v>24328080000000</v>
      </c>
      <c r="L20" s="10">
        <f>343228140*14481</f>
        <v>4970286695340</v>
      </c>
      <c r="M20" s="10">
        <f>272719324*14481</f>
        <v>3949248530844</v>
      </c>
      <c r="N20" s="10">
        <f>(24818529+14936978+1642242)*14481</f>
        <v>599480803269</v>
      </c>
      <c r="O20" s="10">
        <f>22549481*14481</f>
        <v>326539034361</v>
      </c>
      <c r="P20" s="10">
        <f>17932883*14481</f>
        <v>259686078723</v>
      </c>
      <c r="Q20" s="51">
        <v>2850</v>
      </c>
      <c r="R20" s="51">
        <f t="shared" si="1"/>
        <v>1.7030517217541844E-4</v>
      </c>
      <c r="S20" s="51">
        <f t="shared" si="2"/>
        <v>6.579529209219051E-2</v>
      </c>
      <c r="T20" s="51">
        <f t="shared" si="3"/>
        <v>7.9581578451497562E-2</v>
      </c>
      <c r="U20" s="58">
        <f t="shared" si="4"/>
        <v>0.15002645183572999</v>
      </c>
      <c r="V20" s="58">
        <f t="shared" si="5"/>
        <v>6.5698229172002034E-2</v>
      </c>
      <c r="W20" s="58">
        <f t="shared" si="6"/>
        <v>3.7453807435254805E-6</v>
      </c>
      <c r="X20" s="58">
        <f t="shared" si="7"/>
        <v>0.79526810395325731</v>
      </c>
      <c r="Y20" s="51">
        <f t="shared" si="8"/>
        <v>212333.0466009395</v>
      </c>
      <c r="Z20" s="51">
        <f t="shared" si="9"/>
        <v>31855.573589009662</v>
      </c>
      <c r="AA20" s="52">
        <v>3</v>
      </c>
      <c r="AB20">
        <v>0</v>
      </c>
    </row>
    <row r="21" spans="1:28">
      <c r="A21" s="6">
        <v>2019</v>
      </c>
      <c r="B21" s="6" t="s">
        <v>272</v>
      </c>
      <c r="C21" s="7" t="s">
        <v>273</v>
      </c>
      <c r="D21" s="10">
        <f>224442718*13901</f>
        <v>3119978222918</v>
      </c>
      <c r="E21" s="10">
        <f>32395945*13901</f>
        <v>450336031445</v>
      </c>
      <c r="F21" s="10">
        <f>346312450*13901</f>
        <v>4814089367450</v>
      </c>
      <c r="G21" s="10">
        <f>(I21-H21)*13901</f>
        <v>3.205303792044774E+16</v>
      </c>
      <c r="H21" s="10">
        <f>11149711*13901</f>
        <v>154992132611</v>
      </c>
      <c r="I21" s="10">
        <f>177023250*13901</f>
        <v>2460800198250</v>
      </c>
      <c r="J21" s="10">
        <f>169289200*13901</f>
        <v>2353289169200</v>
      </c>
      <c r="K21" s="8">
        <f>1680000000*13901</f>
        <v>23353680000000</v>
      </c>
      <c r="L21" s="10">
        <f>461333111*13901</f>
        <v>6412991576011</v>
      </c>
      <c r="M21" s="10">
        <f>364810934*13901</f>
        <v>5071236793534</v>
      </c>
      <c r="N21" s="10">
        <f>(28314962+15621674+3812225)*13901</f>
        <v>663756916761</v>
      </c>
      <c r="O21" s="10">
        <f>37600177*13901</f>
        <v>522680060477</v>
      </c>
      <c r="P21" s="61">
        <f>30165579*13901</f>
        <v>419331713679</v>
      </c>
      <c r="Q21" s="51">
        <v>3470</v>
      </c>
      <c r="R21" s="51">
        <f t="shared" si="1"/>
        <v>9.733798807655789E-5</v>
      </c>
      <c r="S21" s="51">
        <f t="shared" si="2"/>
        <v>6.5861915585873163E-2</v>
      </c>
      <c r="T21" s="51">
        <f t="shared" si="3"/>
        <v>0.10857298661945304</v>
      </c>
      <c r="U21" s="58">
        <f t="shared" si="4"/>
        <v>0.22210617688547171</v>
      </c>
      <c r="V21" s="58">
        <f t="shared" si="5"/>
        <v>8.1503313123345272E-2</v>
      </c>
      <c r="W21" s="58">
        <f t="shared" si="6"/>
        <v>5.1745538287361057E-6</v>
      </c>
      <c r="X21" s="58">
        <f t="shared" si="7"/>
        <v>0.80227226058004997</v>
      </c>
      <c r="Y21" s="51">
        <f t="shared" si="8"/>
        <v>155041.82334035289</v>
      </c>
      <c r="Z21" s="51">
        <f t="shared" si="9"/>
        <v>34435.746639478479</v>
      </c>
      <c r="AA21" s="52">
        <v>3</v>
      </c>
      <c r="AB21">
        <v>0</v>
      </c>
    </row>
    <row r="22" spans="1:28">
      <c r="A22" s="6">
        <v>2020</v>
      </c>
      <c r="B22" s="6" t="s">
        <v>272</v>
      </c>
      <c r="C22" s="7" t="s">
        <v>273</v>
      </c>
      <c r="D22" s="9">
        <f>214359738*14105</f>
        <v>3023544104490</v>
      </c>
      <c r="E22" s="10">
        <f>32253909*14105</f>
        <v>454941386445</v>
      </c>
      <c r="F22" s="10">
        <f>266022591*14105</f>
        <v>3752248646055</v>
      </c>
      <c r="G22" s="10">
        <f>(I22-H22)*14105</f>
        <v>1.5449805854385176E+16</v>
      </c>
      <c r="H22" s="10">
        <f>10039504*14105</f>
        <v>141607203920</v>
      </c>
      <c r="I22" s="10">
        <f>87695831*14105</f>
        <v>1236949696255</v>
      </c>
      <c r="J22" s="10">
        <f>178326760*14105</f>
        <v>2515298949800</v>
      </c>
      <c r="K22" s="13">
        <f>1680000000*14105</f>
        <v>23696400000000</v>
      </c>
      <c r="L22" s="10">
        <f>424431271*14105</f>
        <v>5986603077455</v>
      </c>
      <c r="M22" s="10">
        <f>316530893*14105</f>
        <v>4464668245765</v>
      </c>
      <c r="N22" s="10">
        <f>(28766111+19868641+9990238)*14105</f>
        <v>826905483950</v>
      </c>
      <c r="O22" s="9">
        <f>38436806*14105</f>
        <v>542151148630</v>
      </c>
      <c r="P22" s="64">
        <f>30851443*14105</f>
        <v>435159603515</v>
      </c>
      <c r="Q22" s="51">
        <v>3290</v>
      </c>
      <c r="R22" s="51">
        <f t="shared" si="1"/>
        <v>1.9570110673150084E-4</v>
      </c>
      <c r="S22" s="51">
        <f t="shared" si="2"/>
        <v>5.6298359259148764E-2</v>
      </c>
      <c r="T22" s="51">
        <f t="shared" si="3"/>
        <v>0.14448699960222552</v>
      </c>
      <c r="U22" s="58">
        <f t="shared" si="4"/>
        <v>0.21554143640584283</v>
      </c>
      <c r="V22" s="58">
        <f t="shared" si="5"/>
        <v>9.056073062062385E-2</v>
      </c>
      <c r="W22" s="58">
        <f t="shared" si="6"/>
        <v>5.5817489868287742E-6</v>
      </c>
      <c r="X22" s="58">
        <f t="shared" si="7"/>
        <v>0.80265365961989665</v>
      </c>
      <c r="Y22" s="51">
        <f t="shared" si="8"/>
        <v>143799.6695146834</v>
      </c>
      <c r="Z22" s="51">
        <f t="shared" si="9"/>
        <v>30994.787321880351</v>
      </c>
      <c r="AA22" s="52">
        <v>3</v>
      </c>
      <c r="AB22">
        <v>0</v>
      </c>
    </row>
    <row r="23" spans="1:28">
      <c r="A23" s="6">
        <v>2018</v>
      </c>
      <c r="B23" s="6" t="s">
        <v>274</v>
      </c>
      <c r="C23" s="7" t="s">
        <v>275</v>
      </c>
      <c r="D23" s="9">
        <v>2842640000000</v>
      </c>
      <c r="E23" s="10">
        <v>1901953000000</v>
      </c>
      <c r="F23" s="10">
        <v>6318441000000</v>
      </c>
      <c r="G23" s="10">
        <f t="shared" ref="G23:G121" si="10">I23-H23</f>
        <v>2987480000000</v>
      </c>
      <c r="H23" s="10">
        <v>1205919000000</v>
      </c>
      <c r="I23" s="10">
        <v>4193399000000</v>
      </c>
      <c r="J23" s="10">
        <v>2125042000000</v>
      </c>
      <c r="K23" s="8">
        <v>4800000000</v>
      </c>
      <c r="L23" s="10">
        <v>7076493000000</v>
      </c>
      <c r="M23" s="10">
        <v>5787390000000</v>
      </c>
      <c r="N23" s="10">
        <f>838800000000+57067000000</f>
        <v>895867000000</v>
      </c>
      <c r="O23" s="9">
        <v>233141000000</v>
      </c>
      <c r="P23" s="64">
        <v>45380000000</v>
      </c>
      <c r="Q23" s="51">
        <v>615</v>
      </c>
      <c r="R23" s="51">
        <f t="shared" si="1"/>
        <v>0.95151766706387997</v>
      </c>
      <c r="S23" s="51">
        <f t="shared" si="2"/>
        <v>0.56748007804081047</v>
      </c>
      <c r="T23" s="51">
        <f t="shared" si="3"/>
        <v>3.689850075358779E-2</v>
      </c>
      <c r="U23" s="58">
        <f t="shared" si="4"/>
        <v>0.10971124335424901</v>
      </c>
      <c r="V23" s="58">
        <f t="shared" si="5"/>
        <v>3.2945839132462927E-2</v>
      </c>
      <c r="W23" s="58">
        <f t="shared" si="6"/>
        <v>1.5372628726287264E-2</v>
      </c>
      <c r="X23" s="58">
        <f t="shared" si="7"/>
        <v>0.19464615833336907</v>
      </c>
      <c r="Y23" s="51">
        <f t="shared" si="8"/>
        <v>12.661865566331105</v>
      </c>
      <c r="Z23" s="51">
        <f t="shared" si="9"/>
        <v>1.3891490144665375</v>
      </c>
      <c r="AA23" s="52">
        <v>3</v>
      </c>
      <c r="AB23">
        <v>0</v>
      </c>
    </row>
    <row r="24" spans="1:28">
      <c r="A24" s="6">
        <v>2019</v>
      </c>
      <c r="B24" s="6" t="s">
        <v>274</v>
      </c>
      <c r="C24" s="7" t="s">
        <v>275</v>
      </c>
      <c r="D24" s="9">
        <v>2508089000000</v>
      </c>
      <c r="E24" s="10">
        <v>1880861000000</v>
      </c>
      <c r="F24" s="10">
        <v>5863204000000</v>
      </c>
      <c r="G24" s="10">
        <f t="shared" si="10"/>
        <v>2971594000000</v>
      </c>
      <c r="H24" s="10">
        <v>731430000000</v>
      </c>
      <c r="I24" s="10">
        <v>3703024000000</v>
      </c>
      <c r="J24" s="10">
        <v>2160180000000</v>
      </c>
      <c r="K24" s="8">
        <v>4800000000</v>
      </c>
      <c r="L24" s="10">
        <v>6534734000000</v>
      </c>
      <c r="M24" s="10">
        <v>5253452000000</v>
      </c>
      <c r="N24" s="10">
        <f>873976000000+5811000000</f>
        <v>879787000000</v>
      </c>
      <c r="O24" s="10">
        <v>225747000000</v>
      </c>
      <c r="P24" s="64">
        <v>61647000000</v>
      </c>
      <c r="Q24" s="51">
        <v>610</v>
      </c>
      <c r="R24" s="51">
        <f t="shared" si="1"/>
        <v>0.84402142419186466</v>
      </c>
      <c r="S24" s="51">
        <f t="shared" si="2"/>
        <v>0.33859678360136658</v>
      </c>
      <c r="T24" s="51">
        <f t="shared" si="3"/>
        <v>3.8502327396420115E-2</v>
      </c>
      <c r="U24" s="58">
        <f t="shared" si="4"/>
        <v>0.10450379135072077</v>
      </c>
      <c r="V24" s="58">
        <f t="shared" si="5"/>
        <v>3.4545706068525514E-2</v>
      </c>
      <c r="W24" s="58">
        <f t="shared" si="6"/>
        <v>2.1054303278688527E-2</v>
      </c>
      <c r="X24" s="58">
        <f t="shared" si="7"/>
        <v>0.27308004093077648</v>
      </c>
      <c r="Y24" s="51">
        <f t="shared" si="8"/>
        <v>12.970272030193092</v>
      </c>
      <c r="Z24" s="51">
        <f t="shared" si="9"/>
        <v>1.3554426020053885</v>
      </c>
      <c r="AA24" s="52">
        <v>3</v>
      </c>
      <c r="AB24">
        <v>0</v>
      </c>
    </row>
    <row r="25" spans="1:28">
      <c r="A25" s="6">
        <v>2020</v>
      </c>
      <c r="B25" s="6" t="s">
        <v>274</v>
      </c>
      <c r="C25" s="7" t="s">
        <v>275</v>
      </c>
      <c r="D25" s="9">
        <v>2138024000000</v>
      </c>
      <c r="E25" s="10">
        <v>1828809000000</v>
      </c>
      <c r="F25" s="10">
        <v>5524302000000</v>
      </c>
      <c r="G25" s="10">
        <f t="shared" si="10"/>
        <v>2189930000000</v>
      </c>
      <c r="H25" s="9">
        <v>1091250000000</v>
      </c>
      <c r="I25" s="10">
        <v>3281180000000</v>
      </c>
      <c r="J25" s="10">
        <v>2243122000000</v>
      </c>
      <c r="K25" s="8">
        <v>4800000000</v>
      </c>
      <c r="L25" s="10">
        <v>5592338000000</v>
      </c>
      <c r="M25" s="10">
        <v>4417520000000</v>
      </c>
      <c r="N25" s="10">
        <f>775644000000+87519000000</f>
        <v>863163000000</v>
      </c>
      <c r="O25" s="10">
        <v>118196000000</v>
      </c>
      <c r="P25" s="64">
        <v>53603000000</v>
      </c>
      <c r="Q25" s="51">
        <v>490</v>
      </c>
      <c r="R25" s="51">
        <f t="shared" si="1"/>
        <v>0.97629787253473854</v>
      </c>
      <c r="S25" s="51">
        <f t="shared" si="2"/>
        <v>0.48648713712406189</v>
      </c>
      <c r="T25" s="51">
        <f t="shared" si="3"/>
        <v>2.1395644191791109E-2</v>
      </c>
      <c r="U25" s="58">
        <f t="shared" si="4"/>
        <v>5.2692631074012022E-2</v>
      </c>
      <c r="V25" s="58">
        <f t="shared" si="5"/>
        <v>2.1135346254106957E-2</v>
      </c>
      <c r="W25" s="58">
        <f t="shared" si="6"/>
        <v>2.2790391156462586E-2</v>
      </c>
      <c r="X25" s="58">
        <f t="shared" si="7"/>
        <v>0.45350942502284342</v>
      </c>
      <c r="Y25" s="51">
        <f t="shared" si="8"/>
        <v>19.899150563470844</v>
      </c>
      <c r="Z25" s="51">
        <f t="shared" si="9"/>
        <v>1.0485385993271876</v>
      </c>
      <c r="AA25" s="52">
        <v>3</v>
      </c>
      <c r="AB25">
        <v>0</v>
      </c>
    </row>
    <row r="26" spans="1:28">
      <c r="A26" s="6">
        <v>2018</v>
      </c>
      <c r="B26" s="6" t="s">
        <v>276</v>
      </c>
      <c r="C26" s="7" t="s">
        <v>277</v>
      </c>
      <c r="D26" s="9">
        <v>426630096664</v>
      </c>
      <c r="E26" s="10">
        <v>396613573360</v>
      </c>
      <c r="F26" s="10">
        <v>928832007829</v>
      </c>
      <c r="G26" s="10">
        <f t="shared" si="10"/>
        <v>218195329431</v>
      </c>
      <c r="H26" s="10">
        <v>72924681977</v>
      </c>
      <c r="I26" s="10">
        <v>291120011408</v>
      </c>
      <c r="J26" s="10">
        <v>637711996421</v>
      </c>
      <c r="K26" s="8">
        <v>2000000000</v>
      </c>
      <c r="L26" s="10">
        <v>28935125276</v>
      </c>
      <c r="M26" s="10">
        <v>23917401115</v>
      </c>
      <c r="N26" s="10">
        <f>314144918983+1364477909</f>
        <v>315509396892</v>
      </c>
      <c r="O26" s="10">
        <v>32997196204</v>
      </c>
      <c r="P26" s="64">
        <v>5954230000</v>
      </c>
      <c r="Q26" s="51">
        <v>370</v>
      </c>
      <c r="R26" s="51">
        <f t="shared" si="1"/>
        <v>1.9552668600952496</v>
      </c>
      <c r="S26" s="51">
        <f t="shared" si="2"/>
        <v>0.11435363045743477</v>
      </c>
      <c r="T26" s="51">
        <f t="shared" si="3"/>
        <v>3.5525472772117102E-2</v>
      </c>
      <c r="U26" s="58">
        <f t="shared" si="4"/>
        <v>5.1743100943981858E-2</v>
      </c>
      <c r="V26" s="58">
        <f t="shared" si="5"/>
        <v>1.1403854619343656</v>
      </c>
      <c r="W26" s="58">
        <f t="shared" si="6"/>
        <v>8.0462567567567561E-3</v>
      </c>
      <c r="X26" s="58">
        <f t="shared" si="7"/>
        <v>0.18044654349384429</v>
      </c>
      <c r="Y26" s="51">
        <f t="shared" si="8"/>
        <v>22.426147828593251</v>
      </c>
      <c r="Z26" s="51">
        <f t="shared" si="9"/>
        <v>1.1603984308795601</v>
      </c>
      <c r="AA26" s="52">
        <v>3</v>
      </c>
      <c r="AB26">
        <v>0</v>
      </c>
    </row>
    <row r="27" spans="1:28">
      <c r="A27" s="6">
        <v>2019</v>
      </c>
      <c r="B27" s="6" t="s">
        <v>276</v>
      </c>
      <c r="C27" s="7" t="s">
        <v>277</v>
      </c>
      <c r="D27" s="9">
        <v>471241593838</v>
      </c>
      <c r="E27" s="10">
        <v>441663263719</v>
      </c>
      <c r="F27" s="10">
        <v>1044252437786</v>
      </c>
      <c r="G27" s="10">
        <f t="shared" si="10"/>
        <v>303796823069</v>
      </c>
      <c r="H27" s="10">
        <v>61600581292</v>
      </c>
      <c r="I27" s="10">
        <v>365397404361</v>
      </c>
      <c r="J27" s="10">
        <v>678855033425</v>
      </c>
      <c r="K27" s="8">
        <v>2000000000</v>
      </c>
      <c r="L27" s="10">
        <v>704897521423</v>
      </c>
      <c r="M27" s="10">
        <v>325702387052</v>
      </c>
      <c r="N27" s="10">
        <f>359462091901+4452173918</f>
        <v>363914265819</v>
      </c>
      <c r="O27" s="10">
        <v>34333566183</v>
      </c>
      <c r="P27" s="64">
        <v>5954230000</v>
      </c>
      <c r="Q27" s="51">
        <v>346</v>
      </c>
      <c r="R27" s="51">
        <f t="shared" si="1"/>
        <v>1.5511735411761334</v>
      </c>
      <c r="S27" s="51">
        <f t="shared" si="2"/>
        <v>9.074187898586987E-2</v>
      </c>
      <c r="T27" s="51">
        <f t="shared" si="3"/>
        <v>3.287860764375445E-2</v>
      </c>
      <c r="U27" s="58">
        <f t="shared" si="4"/>
        <v>5.0575696566287853E-2</v>
      </c>
      <c r="V27" s="58">
        <f t="shared" si="5"/>
        <v>4.8707173935992415E-2</v>
      </c>
      <c r="W27" s="58">
        <f t="shared" si="6"/>
        <v>8.6043786127167621E-3</v>
      </c>
      <c r="X27" s="58">
        <f t="shared" si="7"/>
        <v>0.17342299859745391</v>
      </c>
      <c r="Y27" s="51">
        <f t="shared" si="8"/>
        <v>20.155203112650685</v>
      </c>
      <c r="Z27" s="51">
        <f t="shared" si="9"/>
        <v>1.0193634368573217</v>
      </c>
      <c r="AA27" s="52">
        <v>3</v>
      </c>
      <c r="AB27">
        <v>0</v>
      </c>
    </row>
    <row r="28" spans="1:28">
      <c r="A28" s="6">
        <v>2020</v>
      </c>
      <c r="B28" s="6" t="s">
        <v>276</v>
      </c>
      <c r="C28" s="7" t="s">
        <v>277</v>
      </c>
      <c r="D28" s="9">
        <v>451410867230</v>
      </c>
      <c r="E28" s="10">
        <v>425497809009</v>
      </c>
      <c r="F28" s="10">
        <v>1000283894657</v>
      </c>
      <c r="G28" s="10">
        <f t="shared" si="10"/>
        <v>265301685348</v>
      </c>
      <c r="H28" s="10">
        <v>54270499572</v>
      </c>
      <c r="I28" s="10">
        <v>319572184920</v>
      </c>
      <c r="J28" s="10">
        <v>680711709737</v>
      </c>
      <c r="K28" s="8">
        <v>2000000000</v>
      </c>
      <c r="L28" s="10">
        <v>654285313569</v>
      </c>
      <c r="M28" s="10">
        <v>282419815086</v>
      </c>
      <c r="N28" s="10">
        <f>339163629799+26439740478</f>
        <v>365603370277</v>
      </c>
      <c r="O28" s="10">
        <v>2701416962</v>
      </c>
      <c r="P28" s="64">
        <v>2959520000</v>
      </c>
      <c r="Q28" s="51">
        <v>298</v>
      </c>
      <c r="R28" s="51">
        <f t="shared" si="1"/>
        <v>1.7015001869960906</v>
      </c>
      <c r="S28" s="51">
        <f t="shared" si="2"/>
        <v>7.9726114294358136E-2</v>
      </c>
      <c r="T28" s="51">
        <f t="shared" si="3"/>
        <v>2.7006502618202436E-3</v>
      </c>
      <c r="U28" s="58">
        <f t="shared" si="4"/>
        <v>3.9685184246995254E-3</v>
      </c>
      <c r="V28" s="58">
        <f t="shared" si="5"/>
        <v>4.128805745714041E-3</v>
      </c>
      <c r="W28" s="58">
        <f t="shared" si="6"/>
        <v>4.9656375838926176E-3</v>
      </c>
      <c r="X28" s="58">
        <f t="shared" si="7"/>
        <v>1.0955435764380901</v>
      </c>
      <c r="Y28" s="51">
        <f t="shared" si="8"/>
        <v>220.62495660009111</v>
      </c>
      <c r="Z28" s="51">
        <f t="shared" si="9"/>
        <v>0.87555420521599481</v>
      </c>
      <c r="AA28" s="52">
        <v>3</v>
      </c>
      <c r="AB28">
        <v>0</v>
      </c>
    </row>
    <row r="29" spans="1:28">
      <c r="A29" s="6">
        <v>2018</v>
      </c>
      <c r="B29" s="6" t="s">
        <v>278</v>
      </c>
      <c r="C29" s="7" t="s">
        <v>279</v>
      </c>
      <c r="D29" s="9">
        <v>1093923908933</v>
      </c>
      <c r="E29" s="10">
        <v>19895955091</v>
      </c>
      <c r="F29" s="10">
        <v>1192891220453</v>
      </c>
      <c r="G29" s="10">
        <f t="shared" si="10"/>
        <v>935926818869</v>
      </c>
      <c r="H29" s="10">
        <v>24856461000</v>
      </c>
      <c r="I29" s="10">
        <v>960783279869</v>
      </c>
      <c r="J29" s="10">
        <v>232107940584</v>
      </c>
      <c r="K29" s="8">
        <v>2184000000</v>
      </c>
      <c r="L29" s="9">
        <v>2376182739151</v>
      </c>
      <c r="M29" s="10">
        <v>2166026999864</v>
      </c>
      <c r="N29" s="10">
        <f>42305260589+102159744732+2830832908</f>
        <v>147295838229</v>
      </c>
      <c r="O29" s="10">
        <v>19444262069</v>
      </c>
      <c r="P29" s="64">
        <v>2548000000</v>
      </c>
      <c r="Q29" s="51">
        <v>95</v>
      </c>
      <c r="R29" s="51">
        <f t="shared" si="1"/>
        <v>1.1688135085763736</v>
      </c>
      <c r="S29" s="51">
        <f t="shared" si="2"/>
        <v>0.10709009324480406</v>
      </c>
      <c r="T29" s="51">
        <f t="shared" si="3"/>
        <v>1.6300113317638511E-2</v>
      </c>
      <c r="U29" s="58">
        <f t="shared" si="4"/>
        <v>8.3772498347436372E-2</v>
      </c>
      <c r="V29" s="58">
        <f t="shared" si="5"/>
        <v>8.1829826252956261E-3</v>
      </c>
      <c r="W29" s="58">
        <f t="shared" si="6"/>
        <v>1.2280701754385965E-2</v>
      </c>
      <c r="X29" s="58">
        <f t="shared" si="7"/>
        <v>0.13104122907612309</v>
      </c>
      <c r="Y29" s="51">
        <f t="shared" si="8"/>
        <v>10.670500081912879</v>
      </c>
      <c r="Z29" s="51">
        <f t="shared" si="9"/>
        <v>0.89389445047836646</v>
      </c>
      <c r="AA29" s="52">
        <v>3</v>
      </c>
      <c r="AB29">
        <v>0</v>
      </c>
    </row>
    <row r="30" spans="1:28">
      <c r="A30" s="6">
        <v>2019</v>
      </c>
      <c r="B30" s="6" t="s">
        <v>278</v>
      </c>
      <c r="C30" s="7" t="s">
        <v>279</v>
      </c>
      <c r="D30" s="9">
        <v>1110540241160</v>
      </c>
      <c r="E30" s="10">
        <v>24821572603</v>
      </c>
      <c r="F30" s="10">
        <v>1230844175984</v>
      </c>
      <c r="G30" s="10">
        <f t="shared" si="10"/>
        <v>966343568608</v>
      </c>
      <c r="H30" s="10">
        <v>29062791000</v>
      </c>
      <c r="I30" s="10">
        <v>995406359608</v>
      </c>
      <c r="J30" s="10">
        <v>235437816376</v>
      </c>
      <c r="K30" s="8">
        <v>2184000000</v>
      </c>
      <c r="L30" s="10">
        <v>2726755413484</v>
      </c>
      <c r="M30" s="10">
        <v>2497998546107</v>
      </c>
      <c r="N30" s="10">
        <f>50968036953+113057481128+1343858926</f>
        <v>165369377007</v>
      </c>
      <c r="O30" s="10">
        <v>7880007292</v>
      </c>
      <c r="P30" s="64">
        <v>3822000000</v>
      </c>
      <c r="Q30" s="51">
        <v>95</v>
      </c>
      <c r="R30" s="51">
        <f t="shared" si="1"/>
        <v>1.1492188464188908</v>
      </c>
      <c r="S30" s="51">
        <f t="shared" si="2"/>
        <v>0.12344147362285253</v>
      </c>
      <c r="T30" s="51">
        <f t="shared" si="3"/>
        <v>6.4021160807787207E-3</v>
      </c>
      <c r="U30" s="58">
        <f t="shared" si="4"/>
        <v>3.3469590456171386E-2</v>
      </c>
      <c r="V30" s="58">
        <f t="shared" si="5"/>
        <v>2.8898841652730575E-3</v>
      </c>
      <c r="W30" s="58">
        <f t="shared" si="6"/>
        <v>1.8421052631578946E-2</v>
      </c>
      <c r="X30" s="58">
        <f t="shared" si="7"/>
        <v>0.48502493187794377</v>
      </c>
      <c r="Y30" s="51">
        <f t="shared" si="8"/>
        <v>26.32992487337409</v>
      </c>
      <c r="Z30" s="51">
        <f t="shared" si="9"/>
        <v>0.8812518022535909</v>
      </c>
      <c r="AA30" s="52">
        <v>3</v>
      </c>
      <c r="AB30">
        <v>0</v>
      </c>
    </row>
    <row r="31" spans="1:28">
      <c r="A31" s="6">
        <v>2020</v>
      </c>
      <c r="B31" s="6" t="s">
        <v>278</v>
      </c>
      <c r="C31" s="7" t="s">
        <v>279</v>
      </c>
      <c r="D31" s="9">
        <v>1028893089973</v>
      </c>
      <c r="E31" s="10">
        <v>21788531959</v>
      </c>
      <c r="F31" s="10">
        <v>1164826486522</v>
      </c>
      <c r="G31" s="10">
        <f t="shared" si="10"/>
        <v>903258283864</v>
      </c>
      <c r="H31" s="10">
        <v>32371714072</v>
      </c>
      <c r="I31" s="10">
        <v>935629997936</v>
      </c>
      <c r="J31" s="10">
        <v>229196488586</v>
      </c>
      <c r="K31" s="8">
        <v>2184000000</v>
      </c>
      <c r="L31" s="10">
        <v>2643626505412</v>
      </c>
      <c r="M31" s="10">
        <v>2421934897535</v>
      </c>
      <c r="N31" s="10">
        <f>50801392553+113456884154+4661838637</f>
        <v>168920115344</v>
      </c>
      <c r="O31" s="9">
        <v>2804331066</v>
      </c>
      <c r="P31" s="64">
        <v>1274000000</v>
      </c>
      <c r="Q31" s="51">
        <v>104</v>
      </c>
      <c r="R31" s="51">
        <f t="shared" si="1"/>
        <v>1.139090676889841</v>
      </c>
      <c r="S31" s="51">
        <f t="shared" si="2"/>
        <v>0.14124000883134541</v>
      </c>
      <c r="T31" s="51">
        <f t="shared" si="3"/>
        <v>2.4075097007566497E-3</v>
      </c>
      <c r="U31" s="58">
        <f t="shared" si="4"/>
        <v>1.2235488786503585E-2</v>
      </c>
      <c r="V31" s="58">
        <f t="shared" si="5"/>
        <v>1.060789434611511E-3</v>
      </c>
      <c r="W31" s="58">
        <f t="shared" si="6"/>
        <v>5.608974358974359E-3</v>
      </c>
      <c r="X31" s="58">
        <f t="shared" si="7"/>
        <v>0.45429728873530939</v>
      </c>
      <c r="Y31" s="51">
        <f t="shared" si="8"/>
        <v>80.994716620238023</v>
      </c>
      <c r="Z31" s="51">
        <f t="shared" si="9"/>
        <v>0.99100994697295797</v>
      </c>
      <c r="AA31" s="52">
        <v>3</v>
      </c>
      <c r="AB31">
        <v>0</v>
      </c>
    </row>
    <row r="32" spans="1:28">
      <c r="A32" s="6">
        <v>2018</v>
      </c>
      <c r="B32" s="6" t="s">
        <v>280</v>
      </c>
      <c r="C32" s="7" t="s">
        <v>281</v>
      </c>
      <c r="D32" s="9">
        <v>3293438978537</v>
      </c>
      <c r="E32" s="10">
        <v>94064002067</v>
      </c>
      <c r="F32" s="10">
        <v>3485510411961</v>
      </c>
      <c r="G32" s="10">
        <f t="shared" si="10"/>
        <v>1928698918596</v>
      </c>
      <c r="H32" s="9">
        <v>308958990481</v>
      </c>
      <c r="I32" s="10">
        <v>2237657909077</v>
      </c>
      <c r="J32" s="10">
        <v>1247852502884</v>
      </c>
      <c r="K32" s="8">
        <v>2000000000</v>
      </c>
      <c r="L32" s="10">
        <v>12940108219350</v>
      </c>
      <c r="M32" s="10">
        <v>11524839503101</v>
      </c>
      <c r="N32" s="10">
        <f>791086675772+190832440112</f>
        <v>981919115884</v>
      </c>
      <c r="O32" s="10">
        <v>318607055495</v>
      </c>
      <c r="P32" s="64">
        <v>146958840000</v>
      </c>
      <c r="Q32" s="51">
        <v>3350</v>
      </c>
      <c r="R32" s="51">
        <f t="shared" si="1"/>
        <v>1.7075962177313113</v>
      </c>
      <c r="S32" s="51">
        <f t="shared" si="2"/>
        <v>0.24759255582446088</v>
      </c>
      <c r="T32" s="51">
        <f t="shared" si="3"/>
        <v>9.140900982583694E-2</v>
      </c>
      <c r="U32" s="58">
        <f t="shared" si="4"/>
        <v>0.25532429093874859</v>
      </c>
      <c r="V32" s="58">
        <f t="shared" si="5"/>
        <v>2.4621668543588431E-2</v>
      </c>
      <c r="W32" s="58">
        <f t="shared" si="6"/>
        <v>2.1934155223880598E-2</v>
      </c>
      <c r="X32" s="58">
        <f t="shared" si="7"/>
        <v>0.46125419216369573</v>
      </c>
      <c r="Y32" s="51">
        <f t="shared" si="8"/>
        <v>21.029038385828041</v>
      </c>
      <c r="Z32" s="51">
        <f t="shared" si="9"/>
        <v>5.3692243149852708</v>
      </c>
      <c r="AA32" s="52">
        <v>3</v>
      </c>
      <c r="AB32">
        <v>0</v>
      </c>
    </row>
    <row r="33" spans="1:28">
      <c r="A33" s="6">
        <v>2019</v>
      </c>
      <c r="B33" s="6" t="s">
        <v>280</v>
      </c>
      <c r="C33" s="7" t="s">
        <v>281</v>
      </c>
      <c r="D33" s="9">
        <v>2761095717618</v>
      </c>
      <c r="E33" s="10">
        <v>86888676915</v>
      </c>
      <c r="F33" s="10">
        <v>2995872438975</v>
      </c>
      <c r="G33" s="10">
        <f t="shared" si="10"/>
        <v>1281093781950</v>
      </c>
      <c r="H33" s="9">
        <v>322779610313</v>
      </c>
      <c r="I33" s="10">
        <v>1603873392263</v>
      </c>
      <c r="J33" s="10">
        <v>1391999046712</v>
      </c>
      <c r="K33" s="8">
        <v>2000000000</v>
      </c>
      <c r="L33" s="10">
        <v>13372043554341</v>
      </c>
      <c r="M33" s="10">
        <v>11691107341759</v>
      </c>
      <c r="N33" s="10">
        <f>927876755512+212932735867</f>
        <v>1140809491379</v>
      </c>
      <c r="O33" s="10">
        <v>428418484105</v>
      </c>
      <c r="P33" s="64">
        <v>219519767250</v>
      </c>
      <c r="Q33" s="51">
        <v>4850</v>
      </c>
      <c r="R33" s="51">
        <f t="shared" si="1"/>
        <v>2.1552643190690026</v>
      </c>
      <c r="S33" s="51">
        <f t="shared" si="2"/>
        <v>0.2318820627610545</v>
      </c>
      <c r="T33" s="51">
        <f t="shared" si="3"/>
        <v>0.14300291245096469</v>
      </c>
      <c r="U33" s="58">
        <f t="shared" si="4"/>
        <v>0.30777211027331858</v>
      </c>
      <c r="V33" s="58">
        <f t="shared" si="5"/>
        <v>3.2038370378020598E-2</v>
      </c>
      <c r="W33" s="58">
        <f t="shared" si="6"/>
        <v>2.2630903840206187E-2</v>
      </c>
      <c r="X33" s="58">
        <f t="shared" si="7"/>
        <v>0.51239564910135493</v>
      </c>
      <c r="Y33" s="51">
        <f t="shared" si="8"/>
        <v>22.641413384074838</v>
      </c>
      <c r="Z33" s="51">
        <f t="shared" si="9"/>
        <v>6.9683955767872714</v>
      </c>
      <c r="AA33" s="52">
        <v>3</v>
      </c>
      <c r="AB33">
        <v>0</v>
      </c>
    </row>
    <row r="34" spans="1:28">
      <c r="A34" s="6">
        <v>2020</v>
      </c>
      <c r="B34" s="6" t="s">
        <v>280</v>
      </c>
      <c r="C34" s="7" t="s">
        <v>281</v>
      </c>
      <c r="D34" s="9">
        <v>3067116650845</v>
      </c>
      <c r="E34" s="10">
        <v>75635303975</v>
      </c>
      <c r="F34" s="10">
        <v>3361956197960</v>
      </c>
      <c r="G34" s="10">
        <f t="shared" si="10"/>
        <v>1406291340510</v>
      </c>
      <c r="H34" s="10">
        <v>356992629183</v>
      </c>
      <c r="I34" s="10">
        <v>1763283969693</v>
      </c>
      <c r="J34" s="10">
        <v>1598672228267</v>
      </c>
      <c r="K34" s="8">
        <v>2000000000</v>
      </c>
      <c r="L34" s="10">
        <v>12488883541697</v>
      </c>
      <c r="M34" s="10">
        <v>10806684751704</v>
      </c>
      <c r="N34" s="10">
        <f>782823289521+242980385483</f>
        <v>1025803675004</v>
      </c>
      <c r="O34" s="10">
        <v>478561152411</v>
      </c>
      <c r="P34" s="64">
        <v>261770433750</v>
      </c>
      <c r="Q34" s="51">
        <v>7275</v>
      </c>
      <c r="R34" s="51">
        <f t="shared" si="1"/>
        <v>2.1809966132143654</v>
      </c>
      <c r="S34" s="51">
        <f t="shared" si="2"/>
        <v>0.22330570511629441</v>
      </c>
      <c r="T34" s="51">
        <f t="shared" si="3"/>
        <v>0.1423460402908836</v>
      </c>
      <c r="U34" s="58">
        <f t="shared" si="4"/>
        <v>0.29934913733365598</v>
      </c>
      <c r="V34" s="58">
        <f t="shared" si="5"/>
        <v>3.8318969891360896E-2</v>
      </c>
      <c r="W34" s="58">
        <f t="shared" si="6"/>
        <v>1.7991095103092783E-2</v>
      </c>
      <c r="X34" s="58">
        <f t="shared" si="7"/>
        <v>0.54699474128059844</v>
      </c>
      <c r="Y34" s="51">
        <f t="shared" si="8"/>
        <v>30.403637918992857</v>
      </c>
      <c r="Z34" s="51">
        <f t="shared" si="9"/>
        <v>9.1013027828553437</v>
      </c>
      <c r="AA34" s="52">
        <v>3</v>
      </c>
      <c r="AB34">
        <v>0</v>
      </c>
    </row>
    <row r="35" spans="1:28">
      <c r="A35" s="6">
        <v>2018</v>
      </c>
      <c r="B35" s="6" t="s">
        <v>282</v>
      </c>
      <c r="C35" s="7" t="s">
        <v>283</v>
      </c>
      <c r="D35" s="10">
        <v>333578357832</v>
      </c>
      <c r="E35" s="10">
        <v>48379981073</v>
      </c>
      <c r="F35" s="10">
        <v>386108236920</v>
      </c>
      <c r="G35" s="10">
        <f t="shared" si="10"/>
        <v>82000239837</v>
      </c>
      <c r="H35" s="9">
        <v>26423708521</v>
      </c>
      <c r="I35" s="10">
        <v>108423948358</v>
      </c>
      <c r="J35" s="10">
        <v>277684288562</v>
      </c>
      <c r="K35" s="8">
        <v>1800000000</v>
      </c>
      <c r="L35" s="10">
        <v>972305391346</v>
      </c>
      <c r="M35" s="10">
        <v>872653118697</v>
      </c>
      <c r="N35" s="10">
        <f>35555045193+98161336450</f>
        <v>133716381643</v>
      </c>
      <c r="O35" s="10">
        <v>-21172048346</v>
      </c>
      <c r="P35" s="64">
        <v>0</v>
      </c>
      <c r="Q35" s="51">
        <v>600</v>
      </c>
      <c r="R35" s="51">
        <f t="shared" si="1"/>
        <v>4.068016855744407</v>
      </c>
      <c r="S35" s="51">
        <f t="shared" si="2"/>
        <v>9.5157376954368961E-2</v>
      </c>
      <c r="T35" s="51">
        <f t="shared" si="3"/>
        <v>-5.4834490232299186E-2</v>
      </c>
      <c r="U35" s="58">
        <f t="shared" si="4"/>
        <v>-7.624503516436007E-2</v>
      </c>
      <c r="V35" s="58">
        <f t="shared" si="5"/>
        <v>-2.1775101253620237E-2</v>
      </c>
      <c r="W35" s="58">
        <f t="shared" si="6"/>
        <v>0</v>
      </c>
      <c r="X35" s="58">
        <f t="shared" si="7"/>
        <v>0</v>
      </c>
      <c r="Y35" s="51">
        <f t="shared" si="8"/>
        <v>-51.010652457915938</v>
      </c>
      <c r="Z35" s="51">
        <f t="shared" si="9"/>
        <v>3.8893089904107518</v>
      </c>
      <c r="AA35" s="52">
        <v>3</v>
      </c>
      <c r="AB35">
        <v>0</v>
      </c>
    </row>
    <row r="36" spans="1:28">
      <c r="A36" s="6">
        <v>2019</v>
      </c>
      <c r="B36" s="6" t="s">
        <v>282</v>
      </c>
      <c r="C36" s="7" t="s">
        <v>283</v>
      </c>
      <c r="D36" s="10">
        <v>643568004520</v>
      </c>
      <c r="E36" s="10">
        <v>47881444521</v>
      </c>
      <c r="F36" s="10">
        <v>695853450844</v>
      </c>
      <c r="G36" s="10">
        <f t="shared" si="10"/>
        <v>421129759476</v>
      </c>
      <c r="H36" s="9">
        <v>27188829231</v>
      </c>
      <c r="I36" s="9">
        <v>448318588707</v>
      </c>
      <c r="J36" s="10">
        <v>247534862137</v>
      </c>
      <c r="K36" s="8">
        <v>1800000000</v>
      </c>
      <c r="L36" s="10">
        <v>1855354419901</v>
      </c>
      <c r="M36" s="10">
        <v>1693554680390</v>
      </c>
      <c r="N36" s="10">
        <f>49620223178+151316722585</f>
        <v>200936945763</v>
      </c>
      <c r="O36" s="10">
        <v>-27568919425</v>
      </c>
      <c r="P36" s="64">
        <v>0</v>
      </c>
      <c r="Q36" s="51">
        <v>535</v>
      </c>
      <c r="R36" s="51">
        <f t="shared" si="1"/>
        <v>1.5281940780456211</v>
      </c>
      <c r="S36" s="51">
        <f t="shared" si="2"/>
        <v>0.10983838396044651</v>
      </c>
      <c r="T36" s="51">
        <f t="shared" si="3"/>
        <v>-3.9618858527699592E-2</v>
      </c>
      <c r="U36" s="58">
        <f t="shared" si="4"/>
        <v>-0.11137388562966043</v>
      </c>
      <c r="V36" s="58">
        <f t="shared" si="5"/>
        <v>-1.4859112161692025E-2</v>
      </c>
      <c r="W36" s="58">
        <f t="shared" si="6"/>
        <v>0</v>
      </c>
      <c r="X36" s="58">
        <f t="shared" si="7"/>
        <v>0</v>
      </c>
      <c r="Y36" s="51">
        <f t="shared" si="8"/>
        <v>-34.930640013650084</v>
      </c>
      <c r="Z36" s="51">
        <f t="shared" si="9"/>
        <v>3.8903611058511043</v>
      </c>
      <c r="AA36" s="52">
        <v>3</v>
      </c>
      <c r="AB36">
        <v>0</v>
      </c>
    </row>
    <row r="37" spans="1:28">
      <c r="A37" s="6">
        <v>2020</v>
      </c>
      <c r="B37" s="6" t="s">
        <v>282</v>
      </c>
      <c r="C37" s="7" t="s">
        <v>283</v>
      </c>
      <c r="D37" s="10">
        <v>594790929582</v>
      </c>
      <c r="E37" s="10">
        <v>61258028492</v>
      </c>
      <c r="F37" s="9">
        <v>677619067915</v>
      </c>
      <c r="G37" s="10">
        <f t="shared" si="10"/>
        <v>446454025409</v>
      </c>
      <c r="H37" s="9">
        <v>22494563659</v>
      </c>
      <c r="I37" s="10">
        <v>468948589068</v>
      </c>
      <c r="J37" s="9">
        <v>208670478847</v>
      </c>
      <c r="K37" s="8">
        <v>1800000000</v>
      </c>
      <c r="L37" s="10">
        <v>3097194461934</v>
      </c>
      <c r="M37" s="10">
        <v>2842951459588</v>
      </c>
      <c r="N37" s="10">
        <f>85221384316+226404617260</f>
        <v>311626001576</v>
      </c>
      <c r="O37" s="10">
        <v>-41008773290</v>
      </c>
      <c r="P37" s="64">
        <v>0</v>
      </c>
      <c r="Q37" s="51">
        <v>446</v>
      </c>
      <c r="R37" s="51">
        <f t="shared" si="1"/>
        <v>1.3322557211509234</v>
      </c>
      <c r="S37" s="51">
        <f t="shared" si="2"/>
        <v>0.10779945387240576</v>
      </c>
      <c r="T37" s="51">
        <f t="shared" si="3"/>
        <v>-6.0518918713698459E-2</v>
      </c>
      <c r="U37" s="58">
        <f t="shared" si="4"/>
        <v>-0.19652407717944703</v>
      </c>
      <c r="V37" s="58">
        <f t="shared" si="5"/>
        <v>-1.3240619468366426E-2</v>
      </c>
      <c r="W37" s="58">
        <f t="shared" si="6"/>
        <v>0</v>
      </c>
      <c r="X37" s="58">
        <f t="shared" si="7"/>
        <v>0</v>
      </c>
      <c r="Y37" s="51">
        <f t="shared" si="8"/>
        <v>-19.57629881593564</v>
      </c>
      <c r="Z37" s="51">
        <f t="shared" si="9"/>
        <v>3.8472140593908533</v>
      </c>
      <c r="AA37" s="52">
        <v>3</v>
      </c>
      <c r="AB37">
        <v>0</v>
      </c>
    </row>
    <row r="38" spans="1:28">
      <c r="A38" s="6">
        <v>2018</v>
      </c>
      <c r="B38" s="6" t="s">
        <v>284</v>
      </c>
      <c r="C38" s="20" t="s">
        <v>285</v>
      </c>
      <c r="D38" s="10">
        <v>3906136917474</v>
      </c>
      <c r="E38" s="10">
        <v>413836506054</v>
      </c>
      <c r="F38" s="10">
        <v>5857570698119</v>
      </c>
      <c r="G38" s="10">
        <f t="shared" si="10"/>
        <v>778853385563</v>
      </c>
      <c r="H38" s="10">
        <v>896465230114</v>
      </c>
      <c r="I38" s="10">
        <v>1675318615677</v>
      </c>
      <c r="J38" s="10">
        <v>4182252082442</v>
      </c>
      <c r="K38" s="8">
        <v>48000000000</v>
      </c>
      <c r="L38" s="10">
        <v>7239754268263</v>
      </c>
      <c r="M38" s="10">
        <v>3796596070656</v>
      </c>
      <c r="N38" s="10">
        <f>2370738606721+1280358948</f>
        <v>2372018965669</v>
      </c>
      <c r="O38" s="10">
        <v>1044485235597</v>
      </c>
      <c r="P38" s="64">
        <v>389343686991</v>
      </c>
      <c r="Q38" s="51">
        <v>1490</v>
      </c>
      <c r="R38" s="51">
        <f t="shared" si="1"/>
        <v>5.0152403390407292</v>
      </c>
      <c r="S38" s="51">
        <f t="shared" si="2"/>
        <v>0.21434987954876158</v>
      </c>
      <c r="T38" s="51">
        <f t="shared" si="3"/>
        <v>0.17831372243315954</v>
      </c>
      <c r="U38" s="58">
        <f t="shared" si="4"/>
        <v>0.24974229554023661</v>
      </c>
      <c r="V38" s="58">
        <f t="shared" si="5"/>
        <v>0.14427081319261384</v>
      </c>
      <c r="W38" s="58">
        <f t="shared" si="6"/>
        <v>5.4438434981963083E-3</v>
      </c>
      <c r="X38" s="58">
        <f t="shared" si="7"/>
        <v>0.37276131219649217</v>
      </c>
      <c r="Y38" s="51">
        <f t="shared" si="8"/>
        <v>68.473921471107317</v>
      </c>
      <c r="Z38" s="51">
        <f t="shared" si="9"/>
        <v>17.100834332836236</v>
      </c>
      <c r="AA38" s="52">
        <v>3</v>
      </c>
      <c r="AB38">
        <v>0</v>
      </c>
    </row>
    <row r="39" spans="1:28">
      <c r="A39" s="6">
        <v>2019</v>
      </c>
      <c r="B39" s="6" t="s">
        <v>284</v>
      </c>
      <c r="C39" s="20" t="s">
        <v>285</v>
      </c>
      <c r="D39" s="10">
        <v>4369550647718</v>
      </c>
      <c r="E39" s="10">
        <v>471979028144</v>
      </c>
      <c r="F39" s="10">
        <v>6641808005145</v>
      </c>
      <c r="G39" s="10">
        <f t="shared" si="10"/>
        <v>783375432849</v>
      </c>
      <c r="H39" s="10">
        <v>1182131278030</v>
      </c>
      <c r="I39" s="10">
        <v>1965506710879</v>
      </c>
      <c r="J39" s="10">
        <v>4676301294266</v>
      </c>
      <c r="K39" s="8">
        <v>48000000000</v>
      </c>
      <c r="L39" s="10">
        <v>8142717045655</v>
      </c>
      <c r="M39" s="10">
        <v>4255626726811</v>
      </c>
      <c r="N39" s="10">
        <f>2724515688299+17528968515</f>
        <v>2742044656814</v>
      </c>
      <c r="O39" s="10">
        <v>990585488760</v>
      </c>
      <c r="P39" s="64">
        <v>483562258825</v>
      </c>
      <c r="Q39" s="51">
        <v>1495</v>
      </c>
      <c r="R39" s="51">
        <f t="shared" si="1"/>
        <v>5.5778499867256564</v>
      </c>
      <c r="S39" s="51">
        <f t="shared" si="2"/>
        <v>0.25279194039090447</v>
      </c>
      <c r="T39" s="51">
        <f t="shared" si="3"/>
        <v>0.14914395116399848</v>
      </c>
      <c r="U39" s="58">
        <f t="shared" si="4"/>
        <v>0.21183098060311872</v>
      </c>
      <c r="V39" s="58">
        <f t="shared" si="5"/>
        <v>0.12165294252593267</v>
      </c>
      <c r="W39" s="58">
        <f t="shared" si="6"/>
        <v>6.7386044986761425E-3</v>
      </c>
      <c r="X39" s="58">
        <f t="shared" si="7"/>
        <v>0.48815802806713426</v>
      </c>
      <c r="Y39" s="51">
        <f t="shared" si="8"/>
        <v>72.442006080492959</v>
      </c>
      <c r="Z39" s="51">
        <f t="shared" si="9"/>
        <v>15.34546118488791</v>
      </c>
      <c r="AA39" s="52">
        <v>3</v>
      </c>
      <c r="AB39">
        <v>0</v>
      </c>
    </row>
    <row r="40" spans="1:28">
      <c r="A40" s="6">
        <v>2020</v>
      </c>
      <c r="B40" s="6" t="s">
        <v>284</v>
      </c>
      <c r="C40" s="20" t="s">
        <v>285</v>
      </c>
      <c r="D40" s="10">
        <v>5034737166320</v>
      </c>
      <c r="E40" s="10">
        <v>511639035778</v>
      </c>
      <c r="F40" s="10">
        <v>7247063894294</v>
      </c>
      <c r="G40" s="10">
        <f t="shared" si="10"/>
        <v>844928054206</v>
      </c>
      <c r="H40" s="10">
        <v>1179893285690</v>
      </c>
      <c r="I40" s="10">
        <v>2024821339896</v>
      </c>
      <c r="J40" s="10">
        <v>5222242554398</v>
      </c>
      <c r="K40" s="8">
        <v>48000000000</v>
      </c>
      <c r="L40" s="10">
        <v>7412766872302</v>
      </c>
      <c r="M40" s="10">
        <v>3753585066580</v>
      </c>
      <c r="N40" s="9">
        <f>2806097154344+5423065820</f>
        <v>2811520220164</v>
      </c>
      <c r="O40" s="10">
        <v>833806976851</v>
      </c>
      <c r="P40" s="64">
        <v>309286244180</v>
      </c>
      <c r="Q40" s="51">
        <v>1715</v>
      </c>
      <c r="R40" s="51">
        <f t="shared" si="1"/>
        <v>5.9587761836731392</v>
      </c>
      <c r="S40" s="51">
        <f t="shared" si="2"/>
        <v>0.22593613249471395</v>
      </c>
      <c r="T40" s="51">
        <f t="shared" si="3"/>
        <v>0.11505445363983899</v>
      </c>
      <c r="U40" s="58">
        <f t="shared" si="4"/>
        <v>0.15966454414278314</v>
      </c>
      <c r="V40" s="58">
        <f t="shared" si="5"/>
        <v>0.11248255762184318</v>
      </c>
      <c r="W40" s="58">
        <f t="shared" si="6"/>
        <v>3.757121527939747E-3</v>
      </c>
      <c r="X40" s="58">
        <f t="shared" si="7"/>
        <v>0.37093266519316853</v>
      </c>
      <c r="Y40" s="51">
        <f t="shared" si="8"/>
        <v>98.727885812246512</v>
      </c>
      <c r="Z40" s="51">
        <f t="shared" si="9"/>
        <v>15.763342882393085</v>
      </c>
      <c r="AA40" s="52">
        <v>3</v>
      </c>
      <c r="AB40">
        <v>0</v>
      </c>
    </row>
    <row r="41" spans="1:28">
      <c r="A41" s="6">
        <v>2018</v>
      </c>
      <c r="B41" s="6" t="s">
        <v>288</v>
      </c>
      <c r="C41" s="7" t="s">
        <v>289</v>
      </c>
      <c r="D41" s="9">
        <v>940154000000</v>
      </c>
      <c r="E41" s="10">
        <v>2601811000000</v>
      </c>
      <c r="F41" s="10">
        <v>5207342000000</v>
      </c>
      <c r="G41" s="10">
        <f t="shared" si="10"/>
        <v>778970000000</v>
      </c>
      <c r="H41" s="10">
        <v>1389948000000</v>
      </c>
      <c r="I41" s="10">
        <v>2168918000000</v>
      </c>
      <c r="J41" s="10">
        <v>3038424000000</v>
      </c>
      <c r="K41" s="8">
        <v>35000000000</v>
      </c>
      <c r="L41" s="10">
        <v>801161000000</v>
      </c>
      <c r="M41" s="10">
        <v>398416000000</v>
      </c>
      <c r="N41" s="9">
        <f>216629000000+168708000000</f>
        <v>385337000000</v>
      </c>
      <c r="O41" s="10">
        <v>35637000000</v>
      </c>
      <c r="P41" s="64">
        <v>0</v>
      </c>
      <c r="Q41" s="51">
        <v>86</v>
      </c>
      <c r="R41" s="51">
        <f t="shared" si="1"/>
        <v>1.2069193935581601</v>
      </c>
      <c r="S41" s="51">
        <f t="shared" si="2"/>
        <v>0.4574568921256546</v>
      </c>
      <c r="T41" s="51">
        <f t="shared" si="3"/>
        <v>6.8436065847029062E-3</v>
      </c>
      <c r="U41" s="58">
        <f t="shared" si="4"/>
        <v>1.1728777813761344E-2</v>
      </c>
      <c r="V41" s="58">
        <f t="shared" si="5"/>
        <v>4.4481695938768863E-2</v>
      </c>
      <c r="W41" s="58">
        <f t="shared" si="6"/>
        <v>0</v>
      </c>
      <c r="X41" s="58">
        <f t="shared" si="7"/>
        <v>0</v>
      </c>
      <c r="Y41" s="51">
        <f t="shared" si="8"/>
        <v>84.462777450402669</v>
      </c>
      <c r="Z41" s="51">
        <f t="shared" si="9"/>
        <v>0.99064515024894484</v>
      </c>
      <c r="AA41" s="52">
        <v>3</v>
      </c>
      <c r="AB41">
        <v>0</v>
      </c>
    </row>
    <row r="42" spans="1:28">
      <c r="A42" s="6">
        <v>2019</v>
      </c>
      <c r="B42" s="6" t="s">
        <v>288</v>
      </c>
      <c r="C42" s="7" t="s">
        <v>289</v>
      </c>
      <c r="D42" s="9">
        <v>1285023000000</v>
      </c>
      <c r="E42" s="10">
        <v>2896487000000</v>
      </c>
      <c r="F42" s="10">
        <v>5729085000000</v>
      </c>
      <c r="G42" s="10">
        <f t="shared" si="10"/>
        <v>1255977000000</v>
      </c>
      <c r="H42" s="10">
        <v>1458216000000</v>
      </c>
      <c r="I42" s="10">
        <v>2714193000000</v>
      </c>
      <c r="J42" s="10">
        <v>3014892000000</v>
      </c>
      <c r="K42" s="8">
        <v>35000000000</v>
      </c>
      <c r="L42" s="10">
        <v>831777000000</v>
      </c>
      <c r="M42" s="10">
        <v>400255000000</v>
      </c>
      <c r="N42" s="9">
        <f>153353000000+230643000000</f>
        <v>383996000000</v>
      </c>
      <c r="O42" s="10">
        <v>8912000000</v>
      </c>
      <c r="P42" s="64">
        <v>0</v>
      </c>
      <c r="Q42" s="51">
        <v>73</v>
      </c>
      <c r="R42" s="51">
        <f t="shared" si="1"/>
        <v>1.0231262196680353</v>
      </c>
      <c r="S42" s="51">
        <f t="shared" si="2"/>
        <v>0.48367105687367906</v>
      </c>
      <c r="T42" s="51">
        <f t="shared" si="3"/>
        <v>1.5555712648703938E-3</v>
      </c>
      <c r="U42" s="58">
        <f t="shared" si="4"/>
        <v>2.9559931168346991E-3</v>
      </c>
      <c r="V42" s="58">
        <f t="shared" si="5"/>
        <v>1.0714410232550311E-2</v>
      </c>
      <c r="W42" s="58">
        <f t="shared" si="6"/>
        <v>0</v>
      </c>
      <c r="X42" s="58">
        <f t="shared" si="7"/>
        <v>0</v>
      </c>
      <c r="Y42" s="51">
        <f t="shared" si="8"/>
        <v>286.69210053859962</v>
      </c>
      <c r="Z42" s="51">
        <f t="shared" si="9"/>
        <v>0.84745987584298221</v>
      </c>
      <c r="AA42" s="52">
        <v>3</v>
      </c>
      <c r="AB42">
        <v>0</v>
      </c>
    </row>
    <row r="43" spans="1:28">
      <c r="A43" s="6">
        <v>2020</v>
      </c>
      <c r="B43" s="6" t="s">
        <v>288</v>
      </c>
      <c r="C43" s="7" t="s">
        <v>289</v>
      </c>
      <c r="D43" s="9">
        <v>1116644000000</v>
      </c>
      <c r="E43" s="10">
        <v>4540432000000</v>
      </c>
      <c r="F43" s="10">
        <v>7629153000000</v>
      </c>
      <c r="G43" s="10">
        <f t="shared" si="10"/>
        <v>4983388000000</v>
      </c>
      <c r="H43" s="10">
        <v>174026000000</v>
      </c>
      <c r="I43" s="9">
        <v>5157414000000</v>
      </c>
      <c r="J43" s="10">
        <v>2471739000000</v>
      </c>
      <c r="K43" s="8">
        <v>35000000000</v>
      </c>
      <c r="L43" s="10">
        <v>1096044000000</v>
      </c>
      <c r="M43" s="10">
        <v>518577000000</v>
      </c>
      <c r="N43" s="9">
        <f>512197000000+495354000000</f>
        <v>1007551000000</v>
      </c>
      <c r="O43" s="10">
        <v>-509181000000</v>
      </c>
      <c r="P43" s="64">
        <v>0</v>
      </c>
      <c r="Q43" s="51">
        <v>142</v>
      </c>
      <c r="R43" s="51">
        <f t="shared" si="1"/>
        <v>0.22407326100235422</v>
      </c>
      <c r="S43" s="51">
        <f t="shared" si="2"/>
        <v>7.0406300988898912E-2</v>
      </c>
      <c r="T43" s="51">
        <f t="shared" si="3"/>
        <v>-6.6741484932862138E-2</v>
      </c>
      <c r="U43" s="58">
        <f t="shared" si="4"/>
        <v>-0.20600111905019097</v>
      </c>
      <c r="V43" s="58">
        <f t="shared" si="5"/>
        <v>-0.46456255405804875</v>
      </c>
      <c r="W43" s="58">
        <f t="shared" si="6"/>
        <v>0</v>
      </c>
      <c r="X43" s="58">
        <f t="shared" si="7"/>
        <v>0</v>
      </c>
      <c r="Y43" s="51">
        <f t="shared" si="8"/>
        <v>-9.760772691832571</v>
      </c>
      <c r="Z43" s="51">
        <f t="shared" si="9"/>
        <v>2.0107300973120545</v>
      </c>
      <c r="AA43" s="52">
        <v>3</v>
      </c>
      <c r="AB43">
        <v>0</v>
      </c>
    </row>
    <row r="44" spans="1:28">
      <c r="A44" s="6">
        <v>2018</v>
      </c>
      <c r="B44" s="6" t="s">
        <v>290</v>
      </c>
      <c r="C44" s="7" t="s">
        <v>291</v>
      </c>
      <c r="D44" s="9">
        <v>752676010865</v>
      </c>
      <c r="E44" s="10">
        <v>595947250015</v>
      </c>
      <c r="F44" s="10">
        <v>1751622687179</v>
      </c>
      <c r="G44" s="10">
        <f t="shared" si="10"/>
        <v>353191107837</v>
      </c>
      <c r="H44" s="10">
        <v>51884263504</v>
      </c>
      <c r="I44" s="10">
        <v>405075371341</v>
      </c>
      <c r="J44" s="10">
        <v>1346547315838</v>
      </c>
      <c r="K44" s="8">
        <v>1334333000</v>
      </c>
      <c r="L44" s="10">
        <v>2003208506432</v>
      </c>
      <c r="M44" s="10">
        <v>1680758856692</v>
      </c>
      <c r="N44" s="9">
        <v>311685274501</v>
      </c>
      <c r="O44" s="10">
        <v>9325792298</v>
      </c>
      <c r="P44" s="64">
        <v>0</v>
      </c>
      <c r="Q44" s="51">
        <v>1130</v>
      </c>
      <c r="R44" s="51">
        <f t="shared" si="1"/>
        <v>2.1310729352007494</v>
      </c>
      <c r="S44" s="51">
        <f t="shared" si="2"/>
        <v>3.8531333354380304E-2</v>
      </c>
      <c r="T44" s="51">
        <f t="shared" si="3"/>
        <v>5.3240874112102593E-3</v>
      </c>
      <c r="U44" s="58">
        <f t="shared" si="4"/>
        <v>6.925707094218414E-3</v>
      </c>
      <c r="V44" s="58">
        <f t="shared" si="5"/>
        <v>4.6554276641978549E-3</v>
      </c>
      <c r="W44" s="58">
        <f t="shared" si="6"/>
        <v>0</v>
      </c>
      <c r="X44" s="58">
        <f t="shared" si="7"/>
        <v>0</v>
      </c>
      <c r="Y44" s="51">
        <f t="shared" si="8"/>
        <v>161.6802349676349</v>
      </c>
      <c r="Z44" s="51">
        <f t="shared" si="9"/>
        <v>1.1197499503102493</v>
      </c>
      <c r="AA44" s="52">
        <v>3</v>
      </c>
      <c r="AB44">
        <v>0</v>
      </c>
    </row>
    <row r="45" spans="1:28">
      <c r="A45" s="6">
        <v>2019</v>
      </c>
      <c r="B45" s="6" t="s">
        <v>290</v>
      </c>
      <c r="C45" s="7" t="s">
        <v>291</v>
      </c>
      <c r="D45" s="9">
        <v>831937034323</v>
      </c>
      <c r="E45" s="10">
        <v>635301490253</v>
      </c>
      <c r="F45" s="10">
        <v>1845324374750</v>
      </c>
      <c r="G45" s="10">
        <f t="shared" si="10"/>
        <v>399844207730</v>
      </c>
      <c r="H45" s="10">
        <v>65484325206</v>
      </c>
      <c r="I45" s="10">
        <v>465328532936</v>
      </c>
      <c r="J45" s="10">
        <v>1379995841814</v>
      </c>
      <c r="K45" s="8">
        <v>1334333000</v>
      </c>
      <c r="L45" s="10">
        <v>1978631967708</v>
      </c>
      <c r="M45" s="10">
        <v>1631941216390</v>
      </c>
      <c r="N45" s="9">
        <v>336739921456</v>
      </c>
      <c r="O45" s="10">
        <v>33269247689</v>
      </c>
      <c r="P45" s="64">
        <v>0</v>
      </c>
      <c r="Q45" s="51">
        <v>1010</v>
      </c>
      <c r="R45" s="51">
        <f t="shared" si="1"/>
        <v>2.0806529599267729</v>
      </c>
      <c r="S45" s="51">
        <f t="shared" si="2"/>
        <v>4.7452552552564989E-2</v>
      </c>
      <c r="T45" s="51">
        <f t="shared" si="3"/>
        <v>1.8028942848331061E-2</v>
      </c>
      <c r="U45" s="58">
        <f t="shared" si="4"/>
        <v>2.4108223141649242E-2</v>
      </c>
      <c r="V45" s="58">
        <f t="shared" si="5"/>
        <v>1.6814267752652507E-2</v>
      </c>
      <c r="W45" s="58">
        <f t="shared" si="6"/>
        <v>0</v>
      </c>
      <c r="X45" s="58">
        <f t="shared" si="7"/>
        <v>0</v>
      </c>
      <c r="Y45" s="51">
        <f t="shared" si="8"/>
        <v>40.508169664611621</v>
      </c>
      <c r="Z45" s="51">
        <f t="shared" si="9"/>
        <v>0.97657999333424361</v>
      </c>
      <c r="AA45" s="52">
        <v>3</v>
      </c>
      <c r="AB45">
        <v>0</v>
      </c>
    </row>
    <row r="46" spans="1:28">
      <c r="A46" s="6">
        <v>2020</v>
      </c>
      <c r="B46" s="6" t="s">
        <v>290</v>
      </c>
      <c r="C46" s="7" t="s">
        <v>291</v>
      </c>
      <c r="D46" s="9">
        <v>953327437749</v>
      </c>
      <c r="E46" s="10">
        <v>649791168201</v>
      </c>
      <c r="F46" s="10">
        <v>1730596456562</v>
      </c>
      <c r="G46" s="10">
        <f t="shared" si="10"/>
        <v>397514035472</v>
      </c>
      <c r="H46" s="10">
        <v>80268968169</v>
      </c>
      <c r="I46" s="10">
        <v>477783003641</v>
      </c>
      <c r="J46" s="10">
        <v>1252813452921</v>
      </c>
      <c r="K46" s="8">
        <v>1334333000</v>
      </c>
      <c r="L46" s="10">
        <v>1618490505399</v>
      </c>
      <c r="M46" s="10">
        <v>1340438220353</v>
      </c>
      <c r="N46" s="9">
        <f>307355207331+3439979352+725615310</f>
        <v>311520801993</v>
      </c>
      <c r="O46" s="10">
        <v>-20502166781</v>
      </c>
      <c r="P46" s="64">
        <v>0</v>
      </c>
      <c r="Q46" s="51">
        <v>655</v>
      </c>
      <c r="R46" s="51">
        <f t="shared" si="1"/>
        <v>2.3982233397546291</v>
      </c>
      <c r="S46" s="51">
        <f t="shared" si="2"/>
        <v>6.4070966018004286E-2</v>
      </c>
      <c r="T46" s="51">
        <f t="shared" si="3"/>
        <v>-1.1846878978204757E-2</v>
      </c>
      <c r="U46" s="58">
        <f t="shared" si="4"/>
        <v>-1.6364899924404649E-2</v>
      </c>
      <c r="V46" s="58">
        <f t="shared" si="5"/>
        <v>-1.2667461880442531E-2</v>
      </c>
      <c r="W46" s="58">
        <f t="shared" si="6"/>
        <v>0</v>
      </c>
      <c r="X46" s="58">
        <f t="shared" si="7"/>
        <v>0</v>
      </c>
      <c r="Y46" s="51">
        <f t="shared" si="8"/>
        <v>-42.629060837118551</v>
      </c>
      <c r="Z46" s="51">
        <f t="shared" si="9"/>
        <v>0.69762031447080264</v>
      </c>
      <c r="AA46" s="52">
        <v>3</v>
      </c>
      <c r="AB46">
        <v>0</v>
      </c>
    </row>
    <row r="47" spans="1:28">
      <c r="A47" s="6">
        <v>2018</v>
      </c>
      <c r="B47" s="6" t="s">
        <v>292</v>
      </c>
      <c r="C47" s="7" t="s">
        <v>293</v>
      </c>
      <c r="D47" s="9">
        <v>10053691913000</v>
      </c>
      <c r="E47" s="10">
        <v>553675716000</v>
      </c>
      <c r="F47" s="10">
        <v>12682902626000</v>
      </c>
      <c r="G47" s="10">
        <f t="shared" si="10"/>
        <v>7740591920000</v>
      </c>
      <c r="H47" s="10">
        <v>116692469000</v>
      </c>
      <c r="I47" s="10">
        <v>7857284389000</v>
      </c>
      <c r="J47" s="10">
        <v>4825618237000</v>
      </c>
      <c r="K47" s="8">
        <v>7800000000</v>
      </c>
      <c r="L47" s="10">
        <v>34744177481000</v>
      </c>
      <c r="M47" s="10">
        <v>31574695864000</v>
      </c>
      <c r="N47" s="9">
        <f>1080320007000+771635051000+6170369000</f>
        <v>1858125427000</v>
      </c>
      <c r="O47" s="10">
        <v>889340783000</v>
      </c>
      <c r="P47" s="64">
        <v>110200000</v>
      </c>
      <c r="Q47" s="51">
        <v>2200</v>
      </c>
      <c r="R47" s="51">
        <f t="shared" si="1"/>
        <v>1.2988272753435632</v>
      </c>
      <c r="S47" s="51">
        <f t="shared" si="2"/>
        <v>2.4181869196628701E-2</v>
      </c>
      <c r="T47" s="51">
        <f t="shared" si="3"/>
        <v>7.0121234012855069E-2</v>
      </c>
      <c r="U47" s="58">
        <f t="shared" si="4"/>
        <v>0.18429571908135178</v>
      </c>
      <c r="V47" s="58">
        <f t="shared" si="5"/>
        <v>2.5596829382026377E-2</v>
      </c>
      <c r="W47" s="58">
        <f t="shared" si="6"/>
        <v>6.421911421911422E-6</v>
      </c>
      <c r="X47" s="58">
        <f t="shared" si="7"/>
        <v>1.2391200550621774E-4</v>
      </c>
      <c r="Y47" s="51">
        <f t="shared" si="8"/>
        <v>19.295190694071657</v>
      </c>
      <c r="Z47" s="51">
        <f t="shared" si="9"/>
        <v>3.5560210437757429</v>
      </c>
      <c r="AA47" s="52">
        <v>3</v>
      </c>
      <c r="AB47">
        <v>0</v>
      </c>
    </row>
    <row r="48" spans="1:28">
      <c r="A48" s="6">
        <v>2019</v>
      </c>
      <c r="B48" s="6" t="s">
        <v>292</v>
      </c>
      <c r="C48" s="7" t="s">
        <v>293</v>
      </c>
      <c r="D48" s="9">
        <v>6944525743000</v>
      </c>
      <c r="E48" s="10">
        <v>614540334000</v>
      </c>
      <c r="F48" s="10">
        <v>9747703198000</v>
      </c>
      <c r="G48" s="10">
        <f t="shared" si="10"/>
        <v>4615531135000</v>
      </c>
      <c r="H48" s="10">
        <v>153455511000</v>
      </c>
      <c r="I48" s="10">
        <v>4768986646000</v>
      </c>
      <c r="J48" s="10">
        <v>4978716552000</v>
      </c>
      <c r="K48" s="8">
        <v>7800000000</v>
      </c>
      <c r="L48" s="10">
        <v>32944902671000</v>
      </c>
      <c r="M48" s="10">
        <v>30095879138000</v>
      </c>
      <c r="N48" s="9">
        <f>1363502575000+972931223000+7228447000</f>
        <v>2343662245000</v>
      </c>
      <c r="O48" s="10">
        <v>325583191000</v>
      </c>
      <c r="P48" s="64">
        <v>159500000</v>
      </c>
      <c r="Q48" s="51">
        <v>1795</v>
      </c>
      <c r="R48" s="51">
        <f t="shared" si="1"/>
        <v>1.5045994794269761</v>
      </c>
      <c r="S48" s="51">
        <f t="shared" si="2"/>
        <v>3.0822303177383215E-2</v>
      </c>
      <c r="T48" s="51">
        <f t="shared" si="3"/>
        <v>3.3401016053381888E-2</v>
      </c>
      <c r="U48" s="58">
        <f t="shared" si="4"/>
        <v>6.5395004435271575E-2</v>
      </c>
      <c r="V48" s="58">
        <f t="shared" si="5"/>
        <v>9.8826575464919207E-3</v>
      </c>
      <c r="W48" s="58">
        <f t="shared" si="6"/>
        <v>1.1392043425469609E-5</v>
      </c>
      <c r="X48" s="58">
        <f t="shared" si="7"/>
        <v>4.8989015529367428E-4</v>
      </c>
      <c r="Y48" s="51">
        <f t="shared" si="8"/>
        <v>43.002834258725599</v>
      </c>
      <c r="Z48" s="51">
        <f t="shared" si="9"/>
        <v>2.8121705370786088</v>
      </c>
      <c r="AA48" s="52">
        <v>3</v>
      </c>
      <c r="AB48">
        <v>0</v>
      </c>
    </row>
    <row r="49" spans="1:28">
      <c r="A49" s="6">
        <v>2020</v>
      </c>
      <c r="B49" s="6" t="s">
        <v>292</v>
      </c>
      <c r="C49" s="7" t="s">
        <v>293</v>
      </c>
      <c r="D49" s="9">
        <v>7546995255000</v>
      </c>
      <c r="E49" s="10">
        <v>716457366000</v>
      </c>
      <c r="F49" s="10">
        <v>11211369042000</v>
      </c>
      <c r="G49" s="10">
        <f t="shared" si="10"/>
        <v>5142950705000</v>
      </c>
      <c r="H49" s="10">
        <v>380422147000</v>
      </c>
      <c r="I49" s="10">
        <v>5523372852000</v>
      </c>
      <c r="J49" s="10">
        <v>5687996190000</v>
      </c>
      <c r="K49" s="8">
        <v>7800000000</v>
      </c>
      <c r="L49" s="10">
        <v>34113454845000</v>
      </c>
      <c r="M49" s="10">
        <v>30703442235000</v>
      </c>
      <c r="N49" s="9">
        <f>1473722276000+1078462146000+47152494000</f>
        <v>2599336916000</v>
      </c>
      <c r="O49" s="10">
        <v>671172137000</v>
      </c>
      <c r="P49" s="64">
        <v>0</v>
      </c>
      <c r="Q49" s="51">
        <v>2200</v>
      </c>
      <c r="R49" s="51">
        <f t="shared" si="1"/>
        <v>1.4674446028935835</v>
      </c>
      <c r="S49" s="51">
        <f t="shared" si="2"/>
        <v>6.6881575565893622E-2</v>
      </c>
      <c r="T49" s="51">
        <f t="shared" si="3"/>
        <v>5.9865314796583427E-2</v>
      </c>
      <c r="U49" s="58">
        <f t="shared" si="4"/>
        <v>0.11799799341989363</v>
      </c>
      <c r="V49" s="58">
        <f t="shared" si="5"/>
        <v>1.9674704308009234E-2</v>
      </c>
      <c r="W49" s="58">
        <f t="shared" si="6"/>
        <v>0</v>
      </c>
      <c r="X49" s="58">
        <f t="shared" si="7"/>
        <v>0</v>
      </c>
      <c r="Y49" s="51">
        <f t="shared" si="8"/>
        <v>25.567211530415484</v>
      </c>
      <c r="Z49" s="51">
        <f t="shared" si="9"/>
        <v>3.0168796579309949</v>
      </c>
      <c r="AA49" s="52">
        <v>3</v>
      </c>
      <c r="AB49">
        <v>0</v>
      </c>
    </row>
    <row r="50" spans="1:28">
      <c r="A50" s="6">
        <v>2018</v>
      </c>
      <c r="B50" s="6" t="s">
        <v>294</v>
      </c>
      <c r="C50" s="7" t="s">
        <v>295</v>
      </c>
      <c r="D50" s="9">
        <v>22136300869</v>
      </c>
      <c r="E50" s="10">
        <v>2809271072</v>
      </c>
      <c r="F50" s="10">
        <v>37180128513</v>
      </c>
      <c r="G50" s="10">
        <f t="shared" si="10"/>
        <v>258420563998</v>
      </c>
      <c r="H50" s="10">
        <v>484071843890</v>
      </c>
      <c r="I50" s="10">
        <v>742492407888</v>
      </c>
      <c r="J50" s="10">
        <v>-705312279375</v>
      </c>
      <c r="K50" s="13">
        <v>4000000000</v>
      </c>
      <c r="L50" s="10">
        <v>514434171115</v>
      </c>
      <c r="M50" s="10">
        <v>479607062647</v>
      </c>
      <c r="N50" s="10">
        <f>24087854625+12622132656</f>
        <v>36709987281</v>
      </c>
      <c r="O50" s="9">
        <v>-21385174417</v>
      </c>
      <c r="P50" s="64">
        <v>0</v>
      </c>
      <c r="Q50" s="51">
        <v>324</v>
      </c>
      <c r="R50" s="51">
        <f t="shared" si="1"/>
        <v>8.5659982032897819E-2</v>
      </c>
      <c r="S50" s="51">
        <f t="shared" si="2"/>
        <v>-0.68632272263705896</v>
      </c>
      <c r="T50" s="51">
        <f t="shared" si="3"/>
        <v>-0.57517752821975032</v>
      </c>
      <c r="U50" s="58">
        <f t="shared" si="4"/>
        <v>3.0320150438824196E-2</v>
      </c>
      <c r="V50" s="58">
        <f t="shared" si="5"/>
        <v>-4.1570283658741283E-2</v>
      </c>
      <c r="W50" s="58">
        <f t="shared" si="6"/>
        <v>0</v>
      </c>
      <c r="X50" s="58">
        <f t="shared" si="7"/>
        <v>0</v>
      </c>
      <c r="Y50" s="51">
        <f t="shared" si="8"/>
        <v>-60.602732282125018</v>
      </c>
      <c r="Z50" s="51">
        <f t="shared" si="9"/>
        <v>-1.8374839597978181</v>
      </c>
      <c r="AA50" s="52">
        <v>3</v>
      </c>
      <c r="AB50">
        <v>0</v>
      </c>
    </row>
    <row r="51" spans="1:28">
      <c r="A51" s="6">
        <v>2019</v>
      </c>
      <c r="B51" s="6" t="s">
        <v>294</v>
      </c>
      <c r="C51" s="7" t="s">
        <v>295</v>
      </c>
      <c r="D51" s="9">
        <v>6415449405</v>
      </c>
      <c r="E51" s="10">
        <v>1350165824</v>
      </c>
      <c r="F51" s="10">
        <v>8278414392</v>
      </c>
      <c r="G51" s="10">
        <f t="shared" si="10"/>
        <v>300809467631</v>
      </c>
      <c r="H51" s="10">
        <v>452441152549</v>
      </c>
      <c r="I51" s="10">
        <v>753250620180</v>
      </c>
      <c r="J51" s="10">
        <v>-744972205788</v>
      </c>
      <c r="K51" s="13">
        <v>4000000000</v>
      </c>
      <c r="L51" s="10">
        <v>238615469362</v>
      </c>
      <c r="M51" s="10">
        <v>227423967638</v>
      </c>
      <c r="N51" s="10">
        <f>13753763369+5491231060</f>
        <v>19244994429</v>
      </c>
      <c r="O51" s="10">
        <v>-39725601460</v>
      </c>
      <c r="P51" s="64">
        <v>0</v>
      </c>
      <c r="Q51" s="51">
        <v>382</v>
      </c>
      <c r="R51" s="51">
        <f t="shared" si="1"/>
        <v>2.1327285525699506E-2</v>
      </c>
      <c r="S51" s="51">
        <f t="shared" si="2"/>
        <v>-0.60732621839284184</v>
      </c>
      <c r="T51" s="51">
        <f t="shared" si="3"/>
        <v>-4.798696897607539</v>
      </c>
      <c r="U51" s="58">
        <f t="shared" si="4"/>
        <v>5.3324944409140665E-2</v>
      </c>
      <c r="V51" s="58">
        <f t="shared" si="5"/>
        <v>-0.16648376388260427</v>
      </c>
      <c r="W51" s="58">
        <f t="shared" si="6"/>
        <v>0</v>
      </c>
      <c r="X51" s="58">
        <f t="shared" si="7"/>
        <v>0</v>
      </c>
      <c r="Y51" s="51">
        <f t="shared" si="8"/>
        <v>-38.46386068033619</v>
      </c>
      <c r="Z51" s="51">
        <f t="shared" si="9"/>
        <v>-2.0510832325398587</v>
      </c>
      <c r="AA51" s="52">
        <v>3</v>
      </c>
      <c r="AB51">
        <v>2</v>
      </c>
    </row>
    <row r="52" spans="1:28">
      <c r="A52" s="6">
        <v>2020</v>
      </c>
      <c r="B52" s="6" t="s">
        <v>294</v>
      </c>
      <c r="C52" s="7" t="s">
        <v>295</v>
      </c>
      <c r="D52" s="9">
        <v>8968497949</v>
      </c>
      <c r="E52" s="10">
        <v>777340368</v>
      </c>
      <c r="F52" s="10">
        <v>10616363611</v>
      </c>
      <c r="G52" s="10">
        <f t="shared" si="10"/>
        <v>408738803147</v>
      </c>
      <c r="H52" s="10">
        <v>397440428209</v>
      </c>
      <c r="I52" s="10">
        <v>806179231356</v>
      </c>
      <c r="J52" s="10">
        <v>-795562867745</v>
      </c>
      <c r="K52" s="13">
        <v>4000000000</v>
      </c>
      <c r="L52" s="10">
        <v>30671505593</v>
      </c>
      <c r="M52" s="10">
        <v>28603624638</v>
      </c>
      <c r="N52" s="10">
        <f>3843034228+4417158562</f>
        <v>8260192790</v>
      </c>
      <c r="O52" s="9">
        <v>-50608122770</v>
      </c>
      <c r="P52" s="64">
        <v>0</v>
      </c>
      <c r="Q52" s="51">
        <v>109</v>
      </c>
      <c r="R52" s="51">
        <f t="shared" si="1"/>
        <v>2.1941880437944483E-2</v>
      </c>
      <c r="S52" s="51">
        <f t="shared" si="2"/>
        <v>-0.49957136553586701</v>
      </c>
      <c r="T52" s="51">
        <f t="shared" si="3"/>
        <v>-4.7669922229833093</v>
      </c>
      <c r="U52" s="58">
        <f t="shared" si="4"/>
        <v>6.3612977455128422E-2</v>
      </c>
      <c r="V52" s="58">
        <f t="shared" si="5"/>
        <v>-1.6500045169465052</v>
      </c>
      <c r="W52" s="58">
        <f t="shared" si="6"/>
        <v>0</v>
      </c>
      <c r="X52" s="58">
        <f t="shared" si="7"/>
        <v>0</v>
      </c>
      <c r="Y52" s="51">
        <f t="shared" si="8"/>
        <v>-8.6152177977732958</v>
      </c>
      <c r="Z52" s="51">
        <f t="shared" si="9"/>
        <v>-0.54803965554077383</v>
      </c>
      <c r="AA52" s="52">
        <v>3</v>
      </c>
      <c r="AB52">
        <v>2</v>
      </c>
    </row>
    <row r="53" spans="1:28">
      <c r="A53" s="6">
        <v>2018</v>
      </c>
      <c r="B53" s="6" t="s">
        <v>296</v>
      </c>
      <c r="C53" s="7" t="s">
        <v>297</v>
      </c>
      <c r="D53" s="9">
        <v>2845304000000</v>
      </c>
      <c r="E53" s="10">
        <v>2782800000000</v>
      </c>
      <c r="F53" s="10">
        <v>6271858000000</v>
      </c>
      <c r="G53" s="10">
        <f t="shared" si="10"/>
        <v>2167159000000</v>
      </c>
      <c r="H53" s="10">
        <v>163211000000</v>
      </c>
      <c r="I53" s="10">
        <v>2330370000000</v>
      </c>
      <c r="J53" s="10">
        <v>3941488000000</v>
      </c>
      <c r="K53" s="13">
        <v>9000000000</v>
      </c>
      <c r="L53" s="10">
        <v>12970389000000</v>
      </c>
      <c r="M53" s="10">
        <v>9275890000000</v>
      </c>
      <c r="N53" s="10">
        <f>3844363000000+1380487000000</f>
        <v>5224850000000</v>
      </c>
      <c r="O53" s="9">
        <v>-1250189000000</v>
      </c>
      <c r="P53" s="64">
        <v>0</v>
      </c>
      <c r="Q53" s="51">
        <v>790</v>
      </c>
      <c r="R53" s="51">
        <f t="shared" si="1"/>
        <v>1.3129188951987372</v>
      </c>
      <c r="S53" s="51">
        <f t="shared" si="2"/>
        <v>4.1408473145167511E-2</v>
      </c>
      <c r="T53" s="51">
        <f t="shared" si="3"/>
        <v>-0.19933311627909944</v>
      </c>
      <c r="U53" s="58">
        <f t="shared" si="4"/>
        <v>-0.31718706234802696</v>
      </c>
      <c r="V53" s="58">
        <f t="shared" si="5"/>
        <v>-9.6387934085862811E-2</v>
      </c>
      <c r="W53" s="58">
        <f t="shared" si="6"/>
        <v>0</v>
      </c>
      <c r="X53" s="58">
        <f t="shared" si="7"/>
        <v>0</v>
      </c>
      <c r="Y53" s="51">
        <f t="shared" si="8"/>
        <v>-5.687140104416212</v>
      </c>
      <c r="Z53" s="51">
        <f t="shared" si="9"/>
        <v>1.8038872628814295</v>
      </c>
      <c r="AA53" s="52">
        <v>3</v>
      </c>
      <c r="AB53">
        <v>0</v>
      </c>
    </row>
    <row r="54" spans="1:28">
      <c r="A54" s="6">
        <v>2019</v>
      </c>
      <c r="B54" s="6" t="s">
        <v>296</v>
      </c>
      <c r="C54" s="7" t="s">
        <v>297</v>
      </c>
      <c r="D54" s="9">
        <v>2417001000000</v>
      </c>
      <c r="E54" s="10">
        <v>2782800000000</v>
      </c>
      <c r="F54" s="10">
        <v>6054384000000</v>
      </c>
      <c r="G54" s="10">
        <f t="shared" si="10"/>
        <v>2261663000000</v>
      </c>
      <c r="H54" s="10">
        <v>126159000000</v>
      </c>
      <c r="I54" s="9">
        <v>2387822000000</v>
      </c>
      <c r="J54" s="10">
        <v>3666562000000</v>
      </c>
      <c r="K54" s="13">
        <v>9000000000</v>
      </c>
      <c r="L54" s="10">
        <v>12181025000000</v>
      </c>
      <c r="M54" s="10">
        <v>8733377000000</v>
      </c>
      <c r="N54" s="10">
        <f>3488590000000+239351000000</f>
        <v>3727941000000</v>
      </c>
      <c r="O54" s="10">
        <v>-28216000000</v>
      </c>
      <c r="P54" s="64">
        <v>0</v>
      </c>
      <c r="Q54" s="51">
        <v>890</v>
      </c>
      <c r="R54" s="51">
        <f t="shared" si="1"/>
        <v>1.0686830885061125</v>
      </c>
      <c r="S54" s="51">
        <f t="shared" si="2"/>
        <v>3.4407982191491646E-2</v>
      </c>
      <c r="T54" s="51">
        <f t="shared" si="3"/>
        <v>-4.6604245782890545E-3</v>
      </c>
      <c r="U54" s="58">
        <f t="shared" si="4"/>
        <v>-7.6954923986011963E-3</v>
      </c>
      <c r="V54" s="58">
        <f t="shared" si="5"/>
        <v>-2.3163896305934844E-3</v>
      </c>
      <c r="W54" s="58">
        <f t="shared" si="6"/>
        <v>0</v>
      </c>
      <c r="X54" s="58">
        <f t="shared" si="7"/>
        <v>0</v>
      </c>
      <c r="Y54" s="51">
        <f t="shared" si="8"/>
        <v>-283.88148568188262</v>
      </c>
      <c r="Z54" s="51">
        <f t="shared" si="9"/>
        <v>2.1846078151685422</v>
      </c>
      <c r="AA54" s="52">
        <v>3</v>
      </c>
      <c r="AB54">
        <v>0</v>
      </c>
    </row>
    <row r="55" spans="1:28">
      <c r="A55" s="6">
        <v>2020</v>
      </c>
      <c r="B55" s="6" t="s">
        <v>296</v>
      </c>
      <c r="C55" s="7" t="s">
        <v>297</v>
      </c>
      <c r="D55" s="9">
        <v>1540143000000</v>
      </c>
      <c r="E55" s="10">
        <v>2933236000000</v>
      </c>
      <c r="F55" s="10">
        <v>4838417000000</v>
      </c>
      <c r="G55" s="10">
        <f t="shared" si="10"/>
        <v>2278042000000</v>
      </c>
      <c r="H55" s="10">
        <v>705687000000</v>
      </c>
      <c r="I55" s="10">
        <v>2983729000000</v>
      </c>
      <c r="J55" s="10">
        <v>1854688000000</v>
      </c>
      <c r="K55" s="13">
        <v>9000000000</v>
      </c>
      <c r="L55" s="10">
        <v>8893785000000</v>
      </c>
      <c r="M55" s="10">
        <v>6493920000000</v>
      </c>
      <c r="N55" s="10">
        <f>3554440000000</f>
        <v>3554440000000</v>
      </c>
      <c r="O55" s="10">
        <v>-1214602000000</v>
      </c>
      <c r="P55" s="64">
        <v>0</v>
      </c>
      <c r="Q55" s="51">
        <v>830</v>
      </c>
      <c r="R55" s="51">
        <f t="shared" si="1"/>
        <v>0.67608191596116318</v>
      </c>
      <c r="S55" s="51">
        <f t="shared" si="2"/>
        <v>0.38048825462827168</v>
      </c>
      <c r="T55" s="51">
        <f t="shared" si="3"/>
        <v>-0.25103293081187505</v>
      </c>
      <c r="U55" s="58">
        <f t="shared" si="4"/>
        <v>-0.65488211494332205</v>
      </c>
      <c r="V55" s="58">
        <f t="shared" si="5"/>
        <v>-0.13656750191285263</v>
      </c>
      <c r="W55" s="58">
        <f t="shared" si="6"/>
        <v>0</v>
      </c>
      <c r="X55" s="58">
        <f t="shared" si="7"/>
        <v>0</v>
      </c>
      <c r="Y55" s="51">
        <f t="shared" si="8"/>
        <v>-6.1501627693680732</v>
      </c>
      <c r="Z55" s="51">
        <f t="shared" si="9"/>
        <v>4.0276316016494418</v>
      </c>
      <c r="AA55" s="52">
        <v>3</v>
      </c>
      <c r="AB55">
        <v>0</v>
      </c>
    </row>
    <row r="56" spans="1:28">
      <c r="A56" s="6">
        <v>2018</v>
      </c>
      <c r="B56" s="6" t="s">
        <v>298</v>
      </c>
      <c r="C56" s="7" t="s">
        <v>299</v>
      </c>
      <c r="D56" s="9">
        <v>803042816102</v>
      </c>
      <c r="E56" s="10">
        <v>23434425176</v>
      </c>
      <c r="F56" s="10">
        <v>855572807455</v>
      </c>
      <c r="G56" s="10">
        <f t="shared" si="10"/>
        <v>734503822439</v>
      </c>
      <c r="H56" s="10">
        <v>17989355076</v>
      </c>
      <c r="I56" s="10">
        <v>752493177515</v>
      </c>
      <c r="J56" s="10">
        <v>103079629940</v>
      </c>
      <c r="K56" s="8">
        <v>2400000000</v>
      </c>
      <c r="L56" s="10">
        <v>1750649236912</v>
      </c>
      <c r="M56" s="10">
        <v>1506613211796</v>
      </c>
      <c r="N56" s="10">
        <f>154436007434+91582145434+3045332990</f>
        <v>249063485858</v>
      </c>
      <c r="O56" s="10">
        <v>-9993012908</v>
      </c>
      <c r="P56" s="64">
        <v>0</v>
      </c>
      <c r="Q56" s="51">
        <v>232</v>
      </c>
      <c r="R56" s="51">
        <f t="shared" si="1"/>
        <v>1.0933133246814275</v>
      </c>
      <c r="S56" s="51">
        <f t="shared" si="2"/>
        <v>0.17451901104487028</v>
      </c>
      <c r="T56" s="51">
        <f t="shared" si="3"/>
        <v>-1.1679909437193743E-2</v>
      </c>
      <c r="U56" s="58">
        <f t="shared" si="4"/>
        <v>-9.694459432786745E-2</v>
      </c>
      <c r="V56" s="58">
        <f t="shared" si="5"/>
        <v>-5.708175399902979E-3</v>
      </c>
      <c r="W56" s="58">
        <f t="shared" si="6"/>
        <v>0</v>
      </c>
      <c r="X56" s="58">
        <f t="shared" si="7"/>
        <v>0</v>
      </c>
      <c r="Y56" s="51">
        <f t="shared" si="8"/>
        <v>-55.718931329934392</v>
      </c>
      <c r="Z56" s="51">
        <f t="shared" si="9"/>
        <v>5.4016491941627933</v>
      </c>
      <c r="AA56" s="52">
        <v>3</v>
      </c>
      <c r="AB56">
        <v>0</v>
      </c>
    </row>
    <row r="57" spans="1:28">
      <c r="A57" s="6">
        <v>2019</v>
      </c>
      <c r="B57" s="6" t="s">
        <v>298</v>
      </c>
      <c r="C57" s="7" t="s">
        <v>299</v>
      </c>
      <c r="D57" s="9">
        <v>592578908193</v>
      </c>
      <c r="E57" s="9">
        <v>28228320173</v>
      </c>
      <c r="F57" s="10">
        <v>652346214673</v>
      </c>
      <c r="G57" s="10">
        <f t="shared" si="10"/>
        <v>553865665830</v>
      </c>
      <c r="H57" s="10">
        <v>12452213573</v>
      </c>
      <c r="I57" s="10">
        <v>566317879403</v>
      </c>
      <c r="J57" s="10">
        <v>86028335270</v>
      </c>
      <c r="K57" s="8">
        <v>2400000000</v>
      </c>
      <c r="L57" s="10">
        <v>1618048001660</v>
      </c>
      <c r="M57" s="10">
        <v>1437005463891</v>
      </c>
      <c r="N57" s="10">
        <f>94135654872+568970135+6512798532</f>
        <v>101217423539</v>
      </c>
      <c r="O57" s="10">
        <v>-18643690989</v>
      </c>
      <c r="P57" s="64">
        <v>0</v>
      </c>
      <c r="Q57" s="51">
        <v>110</v>
      </c>
      <c r="R57" s="51">
        <f t="shared" si="1"/>
        <v>1.069896447372281</v>
      </c>
      <c r="S57" s="51">
        <f t="shared" si="2"/>
        <v>0.14474549035406437</v>
      </c>
      <c r="T57" s="51">
        <f t="shared" si="3"/>
        <v>-2.8579442280270574E-2</v>
      </c>
      <c r="U57" s="58">
        <f t="shared" si="4"/>
        <v>-0.21671570105927029</v>
      </c>
      <c r="V57" s="58">
        <f t="shared" si="5"/>
        <v>-1.1522334918292241E-2</v>
      </c>
      <c r="W57" s="58">
        <f t="shared" si="6"/>
        <v>0</v>
      </c>
      <c r="X57" s="58">
        <f t="shared" si="7"/>
        <v>0</v>
      </c>
      <c r="Y57" s="51">
        <f t="shared" si="8"/>
        <v>-14.160286187738423</v>
      </c>
      <c r="Z57" s="51">
        <f t="shared" si="9"/>
        <v>3.0687563483756346</v>
      </c>
      <c r="AA57" s="52">
        <v>3</v>
      </c>
      <c r="AB57">
        <v>0</v>
      </c>
    </row>
    <row r="58" spans="1:28">
      <c r="A58" s="6">
        <v>2020</v>
      </c>
      <c r="B58" s="6" t="s">
        <v>298</v>
      </c>
      <c r="C58" s="7" t="s">
        <v>299</v>
      </c>
      <c r="D58" s="9">
        <v>606903824102</v>
      </c>
      <c r="E58" s="9">
        <v>32005744503</v>
      </c>
      <c r="F58" s="10">
        <v>675863759206</v>
      </c>
      <c r="G58" s="10">
        <f t="shared" si="10"/>
        <v>529614198284</v>
      </c>
      <c r="H58" s="10">
        <v>19653074898</v>
      </c>
      <c r="I58" s="10">
        <v>549267273182</v>
      </c>
      <c r="J58" s="10">
        <v>126596486024</v>
      </c>
      <c r="K58" s="8">
        <v>2400000000</v>
      </c>
      <c r="L58" s="10">
        <v>1446474839632</v>
      </c>
      <c r="M58" s="10">
        <v>1283821135165</v>
      </c>
      <c r="N58" s="10">
        <f>69372687390+80714831225+2457853119</f>
        <v>152545371734</v>
      </c>
      <c r="O58" s="10">
        <v>41124681020</v>
      </c>
      <c r="P58" s="64">
        <v>0</v>
      </c>
      <c r="Q58" s="51">
        <v>101</v>
      </c>
      <c r="R58" s="51">
        <f t="shared" si="1"/>
        <v>1.1459357133332635</v>
      </c>
      <c r="S58" s="51">
        <f t="shared" si="2"/>
        <v>0.15524186741071308</v>
      </c>
      <c r="T58" s="51">
        <f t="shared" si="3"/>
        <v>6.0847590153839566E-2</v>
      </c>
      <c r="U58" s="58">
        <f t="shared" si="4"/>
        <v>0.32484851919352353</v>
      </c>
      <c r="V58" s="58">
        <f t="shared" si="5"/>
        <v>2.8430968789241156E-2</v>
      </c>
      <c r="W58" s="58">
        <f t="shared" si="6"/>
        <v>0</v>
      </c>
      <c r="X58" s="58">
        <f t="shared" si="7"/>
        <v>0</v>
      </c>
      <c r="Y58" s="51">
        <f t="shared" si="8"/>
        <v>5.8942706420534812</v>
      </c>
      <c r="Z58" s="51">
        <f t="shared" si="9"/>
        <v>1.9147450897969325</v>
      </c>
      <c r="AA58" s="52">
        <v>3</v>
      </c>
      <c r="AB58">
        <v>0</v>
      </c>
    </row>
    <row r="59" spans="1:28">
      <c r="A59" s="6">
        <v>2018</v>
      </c>
      <c r="B59" s="6" t="s">
        <v>300</v>
      </c>
      <c r="C59" s="7" t="s">
        <v>301</v>
      </c>
      <c r="D59" s="9">
        <v>2472849000000</v>
      </c>
      <c r="E59" s="9">
        <v>1097913000000</v>
      </c>
      <c r="F59" s="10">
        <v>4808545000000</v>
      </c>
      <c r="G59" s="10">
        <f t="shared" si="10"/>
        <v>2887516000000</v>
      </c>
      <c r="H59" s="10">
        <v>771786000000</v>
      </c>
      <c r="I59" s="10">
        <v>3659302000000</v>
      </c>
      <c r="J59" s="10">
        <v>1149243000000</v>
      </c>
      <c r="K59" s="13">
        <v>10800000000</v>
      </c>
      <c r="L59" s="10">
        <v>10692363000000</v>
      </c>
      <c r="M59" s="10">
        <v>9210950000000</v>
      </c>
      <c r="N59" s="10">
        <f>419089000000+1672033000000+431072000000</f>
        <v>2522194000000</v>
      </c>
      <c r="O59" s="10">
        <v>-826004000000</v>
      </c>
      <c r="P59" s="64">
        <v>0</v>
      </c>
      <c r="Q59" s="51">
        <v>152</v>
      </c>
      <c r="R59" s="51">
        <f t="shared" si="1"/>
        <v>0.85639317669581749</v>
      </c>
      <c r="S59" s="51">
        <f t="shared" si="2"/>
        <v>0.67156032275158517</v>
      </c>
      <c r="T59" s="51">
        <f t="shared" si="3"/>
        <v>-0.17177836538911459</v>
      </c>
      <c r="U59" s="58">
        <f t="shared" si="4"/>
        <v>-0.71873746457450682</v>
      </c>
      <c r="V59" s="58">
        <f t="shared" si="5"/>
        <v>-7.725177306456954E-2</v>
      </c>
      <c r="W59" s="58">
        <f t="shared" si="6"/>
        <v>0</v>
      </c>
      <c r="X59" s="58">
        <f t="shared" si="7"/>
        <v>0</v>
      </c>
      <c r="Y59" s="51">
        <f t="shared" si="8"/>
        <v>-1.9873995767574975</v>
      </c>
      <c r="Z59" s="51">
        <f t="shared" si="9"/>
        <v>1.4284185328951318</v>
      </c>
      <c r="AA59" s="52">
        <v>3</v>
      </c>
      <c r="AB59">
        <v>0</v>
      </c>
    </row>
    <row r="60" spans="1:28">
      <c r="A60" s="6">
        <v>2019</v>
      </c>
      <c r="B60" s="6" t="s">
        <v>300</v>
      </c>
      <c r="C60" s="7" t="s">
        <v>301</v>
      </c>
      <c r="D60" s="9">
        <v>1904047000000</v>
      </c>
      <c r="E60" s="10">
        <v>926287000000</v>
      </c>
      <c r="F60" s="10">
        <v>3820809000000</v>
      </c>
      <c r="G60" s="10">
        <f t="shared" si="10"/>
        <v>2618390000000</v>
      </c>
      <c r="H60" s="10">
        <v>671738000000</v>
      </c>
      <c r="I60" s="10">
        <v>3290128000000</v>
      </c>
      <c r="J60" s="10">
        <v>530681000000</v>
      </c>
      <c r="K60" s="13">
        <v>10800000000</v>
      </c>
      <c r="L60" s="10">
        <v>8654646000000</v>
      </c>
      <c r="M60" s="10">
        <v>7074249000000</v>
      </c>
      <c r="N60" s="10">
        <f>359499000000+1432633000000+88573000000</f>
        <v>1880705000000</v>
      </c>
      <c r="O60" s="10">
        <v>-618562000000</v>
      </c>
      <c r="P60" s="64">
        <v>0</v>
      </c>
      <c r="Q60" s="51">
        <v>140</v>
      </c>
      <c r="R60" s="51">
        <f t="shared" si="1"/>
        <v>0.72718235251433128</v>
      </c>
      <c r="S60" s="51">
        <f t="shared" si="2"/>
        <v>1.2658037502755892</v>
      </c>
      <c r="T60" s="51">
        <f t="shared" si="3"/>
        <v>-0.16189293942722602</v>
      </c>
      <c r="U60" s="58">
        <f t="shared" si="4"/>
        <v>-1.1656004266216426</v>
      </c>
      <c r="V60" s="58">
        <f t="shared" si="5"/>
        <v>-7.1471669667367094E-2</v>
      </c>
      <c r="W60" s="58">
        <f t="shared" si="6"/>
        <v>0</v>
      </c>
      <c r="X60" s="58">
        <f t="shared" si="7"/>
        <v>0</v>
      </c>
      <c r="Y60" s="51">
        <f t="shared" si="8"/>
        <v>-2.4443790598193873</v>
      </c>
      <c r="Z60" s="51">
        <f t="shared" si="9"/>
        <v>2.8491692749504884</v>
      </c>
      <c r="AA60" s="52">
        <v>3</v>
      </c>
      <c r="AB60">
        <v>0</v>
      </c>
    </row>
    <row r="61" spans="1:28">
      <c r="A61" s="6">
        <v>2020</v>
      </c>
      <c r="B61" s="6" t="s">
        <v>300</v>
      </c>
      <c r="C61" s="7" t="s">
        <v>301</v>
      </c>
      <c r="D61" s="9">
        <v>1535266000000</v>
      </c>
      <c r="E61" s="10">
        <v>789871000000</v>
      </c>
      <c r="F61" s="10">
        <v>4510511000000</v>
      </c>
      <c r="G61" s="10">
        <f t="shared" si="10"/>
        <v>2763099000000</v>
      </c>
      <c r="H61" s="10">
        <v>1562678000000</v>
      </c>
      <c r="I61" s="10">
        <v>4325777000000</v>
      </c>
      <c r="J61" s="10">
        <v>184734000000</v>
      </c>
      <c r="K61" s="13">
        <v>10800000000</v>
      </c>
      <c r="L61" s="10">
        <v>6746594000000</v>
      </c>
      <c r="M61" s="10">
        <v>5439936000000</v>
      </c>
      <c r="N61" s="9">
        <f>279376000000+1239746000000+5841000000</f>
        <v>1524963000000</v>
      </c>
      <c r="O61" s="10">
        <v>405307000000</v>
      </c>
      <c r="P61" s="64">
        <v>0</v>
      </c>
      <c r="Q61" s="51">
        <v>105</v>
      </c>
      <c r="R61" s="51">
        <f t="shared" si="1"/>
        <v>0.55563191908795162</v>
      </c>
      <c r="S61" s="51">
        <f t="shared" si="2"/>
        <v>8.4590708802927459</v>
      </c>
      <c r="T61" s="51">
        <f t="shared" si="3"/>
        <v>8.9858333124561721E-2</v>
      </c>
      <c r="U61" s="58">
        <f t="shared" si="4"/>
        <v>2.1940032695659704</v>
      </c>
      <c r="V61" s="58">
        <f t="shared" si="5"/>
        <v>6.0075795282775277E-2</v>
      </c>
      <c r="W61" s="58">
        <f t="shared" si="6"/>
        <v>0</v>
      </c>
      <c r="X61" s="58">
        <f t="shared" si="7"/>
        <v>0</v>
      </c>
      <c r="Y61" s="51">
        <f t="shared" si="8"/>
        <v>2.7978791385295594</v>
      </c>
      <c r="Z61" s="51">
        <f t="shared" si="9"/>
        <v>6.1385559777842733</v>
      </c>
      <c r="AA61" s="52">
        <v>3</v>
      </c>
      <c r="AB61">
        <v>1</v>
      </c>
    </row>
    <row r="62" spans="1:28">
      <c r="A62" s="6">
        <v>2018</v>
      </c>
      <c r="B62" s="6" t="s">
        <v>302</v>
      </c>
      <c r="C62" s="7" t="s">
        <v>303</v>
      </c>
      <c r="D62" s="10">
        <v>3557488000000</v>
      </c>
      <c r="E62" s="10">
        <v>1164225000000</v>
      </c>
      <c r="F62" s="10">
        <v>5243047000000</v>
      </c>
      <c r="G62" s="10">
        <f t="shared" si="10"/>
        <v>1093095000000</v>
      </c>
      <c r="H62" s="9">
        <v>322487000000</v>
      </c>
      <c r="I62" s="10">
        <v>1415582000000</v>
      </c>
      <c r="J62" s="10">
        <v>3827465000000</v>
      </c>
      <c r="K62" s="8">
        <v>28000000000</v>
      </c>
      <c r="L62" s="10">
        <v>5739553000000</v>
      </c>
      <c r="M62" s="9">
        <v>3232948000000</v>
      </c>
      <c r="N62" s="10">
        <f>425171000000+1473612000000+19295000000</f>
        <v>1918078000000</v>
      </c>
      <c r="O62" s="10">
        <v>587105000000</v>
      </c>
      <c r="P62" s="64">
        <v>268913000000</v>
      </c>
      <c r="Q62" s="51">
        <v>1420</v>
      </c>
      <c r="R62" s="51">
        <f t="shared" si="1"/>
        <v>3.254509443369515</v>
      </c>
      <c r="S62" s="51">
        <f t="shared" si="2"/>
        <v>8.4256028467928512E-2</v>
      </c>
      <c r="T62" s="51">
        <f t="shared" si="3"/>
        <v>0.11197782510818614</v>
      </c>
      <c r="U62" s="58">
        <f t="shared" si="4"/>
        <v>0.15339265022671664</v>
      </c>
      <c r="V62" s="58">
        <f t="shared" si="5"/>
        <v>0.10229106691758051</v>
      </c>
      <c r="W62" s="58">
        <f t="shared" si="6"/>
        <v>6.7634054325955741E-3</v>
      </c>
      <c r="X62" s="58">
        <f t="shared" si="7"/>
        <v>0.45803220888938095</v>
      </c>
      <c r="Y62" s="51">
        <f t="shared" si="8"/>
        <v>67.722128069084746</v>
      </c>
      <c r="Z62" s="51">
        <f t="shared" si="9"/>
        <v>10.388076703510025</v>
      </c>
      <c r="AA62" s="52">
        <v>3</v>
      </c>
      <c r="AB62">
        <v>0</v>
      </c>
    </row>
    <row r="63" spans="1:28">
      <c r="A63" s="6">
        <v>2019</v>
      </c>
      <c r="B63" s="6" t="s">
        <v>302</v>
      </c>
      <c r="C63" s="7" t="s">
        <v>303</v>
      </c>
      <c r="D63" s="10">
        <v>4017659000000</v>
      </c>
      <c r="E63" s="10">
        <v>1107325000000</v>
      </c>
      <c r="F63" s="10">
        <v>5649823000000</v>
      </c>
      <c r="G63" s="10">
        <f t="shared" si="10"/>
        <v>1135638000000</v>
      </c>
      <c r="H63" s="9">
        <v>345255000000</v>
      </c>
      <c r="I63" s="10">
        <v>1480893000000</v>
      </c>
      <c r="J63" s="10">
        <v>4168930000000</v>
      </c>
      <c r="K63" s="8">
        <v>28000000000</v>
      </c>
      <c r="L63" s="10">
        <v>5596398000000</v>
      </c>
      <c r="M63" s="10">
        <v>3102317000000</v>
      </c>
      <c r="N63" s="10">
        <f>405125000000+1571474000000+7316000000</f>
        <v>1983915000000</v>
      </c>
      <c r="O63" s="10">
        <v>647898000000</v>
      </c>
      <c r="P63" s="64">
        <v>337141000000</v>
      </c>
      <c r="Q63" s="51">
        <v>1065</v>
      </c>
      <c r="R63" s="51">
        <f t="shared" si="1"/>
        <v>3.5377990169402573</v>
      </c>
      <c r="S63" s="51">
        <f t="shared" si="2"/>
        <v>8.281621423242895E-2</v>
      </c>
      <c r="T63" s="51">
        <f t="shared" si="3"/>
        <v>0.11467580488804693</v>
      </c>
      <c r="U63" s="58">
        <f t="shared" si="4"/>
        <v>0.15541110069010514</v>
      </c>
      <c r="V63" s="58">
        <f t="shared" si="5"/>
        <v>0.1157705366916363</v>
      </c>
      <c r="W63" s="58">
        <f t="shared" si="6"/>
        <v>1.1305868544600937E-2</v>
      </c>
      <c r="X63" s="58">
        <f t="shared" si="7"/>
        <v>0.52036122969973664</v>
      </c>
      <c r="Y63" s="51">
        <f t="shared" si="8"/>
        <v>46.025763314595814</v>
      </c>
      <c r="Z63" s="51">
        <f t="shared" si="9"/>
        <v>7.1529145368235971</v>
      </c>
      <c r="AA63" s="52">
        <v>3</v>
      </c>
      <c r="AB63">
        <v>0</v>
      </c>
    </row>
    <row r="64" spans="1:28">
      <c r="A64" s="6">
        <v>2020</v>
      </c>
      <c r="B64" s="6" t="s">
        <v>302</v>
      </c>
      <c r="C64" s="7" t="s">
        <v>303</v>
      </c>
      <c r="D64" s="9">
        <v>3200854000000</v>
      </c>
      <c r="E64" s="10">
        <v>1002168000000</v>
      </c>
      <c r="F64" s="10">
        <v>5285218000000</v>
      </c>
      <c r="G64" s="10">
        <f t="shared" si="10"/>
        <v>925658000000</v>
      </c>
      <c r="H64" s="10">
        <v>640816000000</v>
      </c>
      <c r="I64" s="10">
        <v>1566474000000</v>
      </c>
      <c r="J64" s="10">
        <v>3718744000000</v>
      </c>
      <c r="K64" s="8">
        <v>28000000000</v>
      </c>
      <c r="L64" s="10">
        <v>2527951000000</v>
      </c>
      <c r="M64" s="10">
        <v>1450362000000</v>
      </c>
      <c r="N64" s="10">
        <f>106968000000+1266663000000+36303000000</f>
        <v>1409934000000</v>
      </c>
      <c r="O64" s="10">
        <v>138874000000</v>
      </c>
      <c r="P64" s="64">
        <v>337124000000</v>
      </c>
      <c r="Q64" s="51">
        <v>775</v>
      </c>
      <c r="R64" s="51">
        <f t="shared" si="1"/>
        <v>3.4579229045716668</v>
      </c>
      <c r="S64" s="51">
        <f t="shared" si="2"/>
        <v>0.17232054693735305</v>
      </c>
      <c r="T64" s="51">
        <f t="shared" si="3"/>
        <v>2.6275926555915007E-2</v>
      </c>
      <c r="U64" s="58">
        <f t="shared" si="4"/>
        <v>3.7344329160598308E-2</v>
      </c>
      <c r="V64" s="58">
        <f t="shared" si="5"/>
        <v>5.4935400251033349E-2</v>
      </c>
      <c r="W64" s="58">
        <f t="shared" si="6"/>
        <v>1.5535668202764977E-2</v>
      </c>
      <c r="X64" s="58">
        <f t="shared" si="7"/>
        <v>2.4275530336852111</v>
      </c>
      <c r="Y64" s="51">
        <f t="shared" si="8"/>
        <v>156.25675072367758</v>
      </c>
      <c r="Z64" s="51">
        <f t="shared" si="9"/>
        <v>5.835303532590574</v>
      </c>
      <c r="AA64" s="52">
        <v>3</v>
      </c>
      <c r="AB64">
        <v>0</v>
      </c>
    </row>
    <row r="65" spans="1:28">
      <c r="A65" s="6">
        <v>2018</v>
      </c>
      <c r="B65" s="6" t="s">
        <v>304</v>
      </c>
      <c r="C65" s="7" t="s">
        <v>305</v>
      </c>
      <c r="D65" s="9">
        <v>544178319988</v>
      </c>
      <c r="E65" s="10">
        <v>255260217838</v>
      </c>
      <c r="F65" s="10">
        <v>904003739438</v>
      </c>
      <c r="G65" s="10">
        <f t="shared" si="10"/>
        <v>348666837381</v>
      </c>
      <c r="H65" s="10">
        <v>51292877616</v>
      </c>
      <c r="I65" s="10">
        <v>399959714997</v>
      </c>
      <c r="J65" s="10">
        <v>504044024441</v>
      </c>
      <c r="K65" s="8">
        <v>5000000000</v>
      </c>
      <c r="L65" s="10">
        <v>2355625271907</v>
      </c>
      <c r="M65" s="10">
        <v>1760399334375</v>
      </c>
      <c r="N65" s="10">
        <f>350121343001+234627546530</f>
        <v>584748889531</v>
      </c>
      <c r="O65" s="10">
        <v>49966984744</v>
      </c>
      <c r="P65" s="64">
        <v>7822437500</v>
      </c>
      <c r="Q65" s="51">
        <v>314</v>
      </c>
      <c r="R65" s="51">
        <f t="shared" si="1"/>
        <v>1.5607401153364007</v>
      </c>
      <c r="S65" s="51">
        <f t="shared" si="2"/>
        <v>0.101762693591865</v>
      </c>
      <c r="T65" s="51">
        <f t="shared" si="3"/>
        <v>5.5272984573120701E-2</v>
      </c>
      <c r="U65" s="58">
        <f t="shared" si="4"/>
        <v>9.9132183541735044E-2</v>
      </c>
      <c r="V65" s="58">
        <f t="shared" si="5"/>
        <v>2.1211771388217938E-2</v>
      </c>
      <c r="W65" s="58">
        <f t="shared" si="6"/>
        <v>4.9824442675159234E-3</v>
      </c>
      <c r="X65" s="58">
        <f t="shared" si="7"/>
        <v>0.15655212216781428</v>
      </c>
      <c r="Y65" s="51">
        <f t="shared" si="8"/>
        <v>31.420747280303413</v>
      </c>
      <c r="Z65" s="51">
        <f t="shared" si="9"/>
        <v>3.1148072864095102</v>
      </c>
      <c r="AA65" s="52">
        <v>3</v>
      </c>
      <c r="AB65">
        <v>0</v>
      </c>
    </row>
    <row r="66" spans="1:28">
      <c r="A66" s="6">
        <v>2019</v>
      </c>
      <c r="B66" s="6" t="s">
        <v>304</v>
      </c>
      <c r="C66" s="7" t="s">
        <v>305</v>
      </c>
      <c r="D66" s="9">
        <v>570849048409</v>
      </c>
      <c r="E66" s="10">
        <v>257452233884</v>
      </c>
      <c r="F66" s="10">
        <v>952496300846</v>
      </c>
      <c r="G66" s="10">
        <f t="shared" si="10"/>
        <v>348625244359</v>
      </c>
      <c r="H66" s="9">
        <v>56067821742</v>
      </c>
      <c r="I66" s="10">
        <v>404693066101</v>
      </c>
      <c r="J66" s="10">
        <v>547803234745</v>
      </c>
      <c r="K66" s="8">
        <v>5000000000</v>
      </c>
      <c r="L66" s="10">
        <v>2397792415330</v>
      </c>
      <c r="M66" s="10">
        <v>1748429029000</v>
      </c>
      <c r="N66" s="10">
        <f>382756148310+266706597134</f>
        <v>649462745444</v>
      </c>
      <c r="O66" s="10">
        <v>55464434251</v>
      </c>
      <c r="P66" s="64">
        <v>10951412500</v>
      </c>
      <c r="Q66" s="51">
        <v>334</v>
      </c>
      <c r="R66" s="51">
        <f t="shared" si="1"/>
        <v>1.6374288943377922</v>
      </c>
      <c r="S66" s="51">
        <f t="shared" si="2"/>
        <v>0.10235029329116563</v>
      </c>
      <c r="T66" s="51">
        <f t="shared" si="3"/>
        <v>5.8230603312303585E-2</v>
      </c>
      <c r="U66" s="58">
        <f t="shared" si="4"/>
        <v>0.10124882573360205</v>
      </c>
      <c r="V66" s="58">
        <f t="shared" si="5"/>
        <v>2.3131457876167574E-2</v>
      </c>
      <c r="W66" s="58">
        <f t="shared" si="6"/>
        <v>6.5577320359281434E-3</v>
      </c>
      <c r="X66" s="58">
        <f t="shared" si="7"/>
        <v>0.19744927804438123</v>
      </c>
      <c r="Y66" s="51">
        <f t="shared" si="8"/>
        <v>30.109384915792063</v>
      </c>
      <c r="Z66" s="51">
        <f t="shared" si="9"/>
        <v>3.0485398662849765</v>
      </c>
      <c r="AA66" s="52">
        <v>3</v>
      </c>
      <c r="AB66">
        <v>0</v>
      </c>
    </row>
    <row r="67" spans="1:28">
      <c r="A67" s="6">
        <v>2020</v>
      </c>
      <c r="B67" s="6" t="s">
        <v>304</v>
      </c>
      <c r="C67" s="7" t="s">
        <v>305</v>
      </c>
      <c r="D67" s="9">
        <v>625866677394</v>
      </c>
      <c r="E67" s="10">
        <v>329542756308</v>
      </c>
      <c r="F67" s="10">
        <v>1319134443995</v>
      </c>
      <c r="G67" s="10">
        <f t="shared" si="10"/>
        <v>512965592357</v>
      </c>
      <c r="H67" s="9">
        <v>261664232698</v>
      </c>
      <c r="I67" s="10">
        <v>774629825055</v>
      </c>
      <c r="J67" s="10">
        <v>544504618940</v>
      </c>
      <c r="K67" s="8">
        <v>5000000000</v>
      </c>
      <c r="L67" s="10">
        <v>3011422750334</v>
      </c>
      <c r="M67" s="10">
        <v>2225048462226</v>
      </c>
      <c r="N67" s="10">
        <f>428548630896+295584403379</f>
        <v>724133034275</v>
      </c>
      <c r="O67" s="10">
        <v>76002689458</v>
      </c>
      <c r="P67" s="64">
        <v>43805650000</v>
      </c>
      <c r="Q67" s="51">
        <v>436</v>
      </c>
      <c r="R67" s="51">
        <f t="shared" si="1"/>
        <v>1.2200948498674862</v>
      </c>
      <c r="S67" s="51">
        <f t="shared" si="2"/>
        <v>0.48055466123939949</v>
      </c>
      <c r="T67" s="51">
        <f t="shared" si="3"/>
        <v>5.7615574973408912E-2</v>
      </c>
      <c r="U67" s="58">
        <f t="shared" si="4"/>
        <v>0.13958134938498085</v>
      </c>
      <c r="V67" s="58">
        <f t="shared" si="5"/>
        <v>2.5238133519968415E-2</v>
      </c>
      <c r="W67" s="58">
        <f t="shared" si="6"/>
        <v>2.0094334862385321E-2</v>
      </c>
      <c r="X67" s="58">
        <f t="shared" si="7"/>
        <v>0.57636973523427126</v>
      </c>
      <c r="Y67" s="51">
        <f t="shared" si="8"/>
        <v>28.683195496715864</v>
      </c>
      <c r="Z67" s="51">
        <f t="shared" si="9"/>
        <v>4.0036391321048068</v>
      </c>
      <c r="AA67" s="52">
        <v>3</v>
      </c>
      <c r="AB67">
        <v>0</v>
      </c>
    </row>
    <row r="68" spans="1:28">
      <c r="A68" s="6">
        <v>2018</v>
      </c>
      <c r="B68" s="6" t="s">
        <v>331</v>
      </c>
      <c r="C68" s="7" t="s">
        <v>332</v>
      </c>
      <c r="D68" s="9">
        <v>92279000</v>
      </c>
      <c r="E68" s="10">
        <v>85121000</v>
      </c>
      <c r="F68" s="10">
        <v>195826000</v>
      </c>
      <c r="G68" s="10">
        <f t="shared" si="10"/>
        <v>79199000</v>
      </c>
      <c r="H68" s="10">
        <v>14092000</v>
      </c>
      <c r="I68" s="10">
        <v>93291000</v>
      </c>
      <c r="J68" s="10">
        <v>102535000</v>
      </c>
      <c r="K68" s="8">
        <v>8000000000</v>
      </c>
      <c r="L68" s="10">
        <v>433868000</v>
      </c>
      <c r="M68" s="10">
        <v>415763000</v>
      </c>
      <c r="N68" s="10">
        <f>4837000+4316000+64000</f>
        <v>9217000</v>
      </c>
      <c r="O68" s="10">
        <v>6125000</v>
      </c>
      <c r="P68" s="64">
        <v>0</v>
      </c>
      <c r="Q68" s="51">
        <v>160</v>
      </c>
      <c r="R68" s="51">
        <f t="shared" si="1"/>
        <v>1.1651536004242478</v>
      </c>
      <c r="S68" s="51">
        <f t="shared" si="2"/>
        <v>0.13743599746428048</v>
      </c>
      <c r="T68" s="51">
        <f t="shared" si="3"/>
        <v>3.127776699723224E-2</v>
      </c>
      <c r="U68" s="58">
        <f t="shared" si="4"/>
        <v>5.9735700004876387E-2</v>
      </c>
      <c r="V68" s="58">
        <f t="shared" si="5"/>
        <v>1.4117196935473463E-2</v>
      </c>
      <c r="W68" s="58">
        <f t="shared" si="6"/>
        <v>0</v>
      </c>
      <c r="X68" s="58">
        <f t="shared" si="7"/>
        <v>0</v>
      </c>
      <c r="Y68" s="51">
        <f t="shared" si="8"/>
        <v>208979.59183673467</v>
      </c>
      <c r="Z68" s="51">
        <f t="shared" si="9"/>
        <v>12483.542205100697</v>
      </c>
      <c r="AA68" s="52">
        <v>3</v>
      </c>
      <c r="AB68">
        <v>0</v>
      </c>
    </row>
    <row r="69" spans="1:28">
      <c r="A69" s="6">
        <v>2019</v>
      </c>
      <c r="B69" s="6" t="s">
        <v>331</v>
      </c>
      <c r="C69" s="7" t="s">
        <v>332</v>
      </c>
      <c r="D69" s="9">
        <v>71356000</v>
      </c>
      <c r="E69" s="10">
        <v>69087000</v>
      </c>
      <c r="F69" s="10">
        <v>165728000</v>
      </c>
      <c r="G69" s="10">
        <f t="shared" si="10"/>
        <v>54106000</v>
      </c>
      <c r="H69" s="10">
        <v>12426000</v>
      </c>
      <c r="I69" s="10">
        <v>66532000</v>
      </c>
      <c r="J69" s="10">
        <v>99196000</v>
      </c>
      <c r="K69" s="8">
        <v>8000000000</v>
      </c>
      <c r="L69" s="10">
        <v>331945000</v>
      </c>
      <c r="M69" s="10">
        <v>327289000</v>
      </c>
      <c r="N69" s="10">
        <f>5420000+4761000+52000+256000</f>
        <v>10489000</v>
      </c>
      <c r="O69" s="10">
        <v>-3286000</v>
      </c>
      <c r="P69" s="64">
        <v>0</v>
      </c>
      <c r="Q69" s="51">
        <v>119</v>
      </c>
      <c r="R69" s="51">
        <f t="shared" si="1"/>
        <v>1.3188186153106864</v>
      </c>
      <c r="S69" s="51">
        <f t="shared" si="2"/>
        <v>0.12526714786886567</v>
      </c>
      <c r="T69" s="51">
        <f t="shared" si="3"/>
        <v>-1.9827669434253715E-2</v>
      </c>
      <c r="U69" s="58">
        <f t="shared" si="4"/>
        <v>-3.3126335739344329E-2</v>
      </c>
      <c r="V69" s="58">
        <f t="shared" si="5"/>
        <v>-9.8992302941752399E-3</v>
      </c>
      <c r="W69" s="58">
        <f t="shared" si="6"/>
        <v>0</v>
      </c>
      <c r="X69" s="58">
        <f t="shared" si="7"/>
        <v>0</v>
      </c>
      <c r="Y69" s="51">
        <f t="shared" si="8"/>
        <v>-289713.93791844189</v>
      </c>
      <c r="Z69" s="51">
        <f t="shared" si="9"/>
        <v>9597.1611758538638</v>
      </c>
      <c r="AA69" s="52">
        <v>3</v>
      </c>
      <c r="AB69">
        <v>0</v>
      </c>
    </row>
    <row r="70" spans="1:28">
      <c r="A70" s="6">
        <v>2020</v>
      </c>
      <c r="B70" s="6" t="s">
        <v>331</v>
      </c>
      <c r="C70" s="7" t="s">
        <v>332</v>
      </c>
      <c r="D70" s="9">
        <v>71563000</v>
      </c>
      <c r="E70" s="9">
        <v>60206000</v>
      </c>
      <c r="F70" s="10">
        <v>149377000</v>
      </c>
      <c r="G70" s="10">
        <f t="shared" si="10"/>
        <v>45164000</v>
      </c>
      <c r="H70" s="10">
        <v>9051000</v>
      </c>
      <c r="I70" s="10">
        <v>54215000</v>
      </c>
      <c r="J70" s="10">
        <v>95162000</v>
      </c>
      <c r="K70" s="8">
        <v>8000000000</v>
      </c>
      <c r="L70" s="10">
        <v>309367000</v>
      </c>
      <c r="M70" s="10">
        <v>307424000</v>
      </c>
      <c r="N70" s="10">
        <f>5961000+4955000+101000+12665000</f>
        <v>23682000</v>
      </c>
      <c r="O70" s="10">
        <v>-4172000</v>
      </c>
      <c r="P70" s="64">
        <v>0</v>
      </c>
      <c r="Q70" s="51">
        <v>362</v>
      </c>
      <c r="R70" s="51">
        <f t="shared" si="1"/>
        <v>1.584514214861394</v>
      </c>
      <c r="S70" s="51">
        <f t="shared" si="2"/>
        <v>9.5111494083772938E-2</v>
      </c>
      <c r="T70" s="51">
        <f t="shared" si="3"/>
        <v>-2.7929333163740067E-2</v>
      </c>
      <c r="U70" s="58">
        <f t="shared" si="4"/>
        <v>-4.3841028982156742E-2</v>
      </c>
      <c r="V70" s="58">
        <f t="shared" si="5"/>
        <v>-1.3485601243830143E-2</v>
      </c>
      <c r="W70" s="58">
        <f t="shared" si="6"/>
        <v>0</v>
      </c>
      <c r="X70" s="58">
        <f t="shared" si="7"/>
        <v>0</v>
      </c>
      <c r="Y70" s="51">
        <f t="shared" si="8"/>
        <v>-694151.48609779472</v>
      </c>
      <c r="Z70" s="51">
        <f t="shared" si="9"/>
        <v>30432.315420020597</v>
      </c>
      <c r="AA70" s="52">
        <v>3</v>
      </c>
      <c r="AB70">
        <v>0</v>
      </c>
    </row>
    <row r="71" spans="1:28">
      <c r="A71" s="6">
        <v>2018</v>
      </c>
      <c r="B71" s="6" t="s">
        <v>333</v>
      </c>
      <c r="C71" s="7" t="s">
        <v>334</v>
      </c>
      <c r="D71" s="9">
        <v>416191470230</v>
      </c>
      <c r="E71" s="10">
        <v>129189294974</v>
      </c>
      <c r="F71" s="10">
        <v>570197810698</v>
      </c>
      <c r="G71" s="10">
        <f t="shared" si="10"/>
        <v>72223978098</v>
      </c>
      <c r="H71" s="10">
        <v>15059589263</v>
      </c>
      <c r="I71" s="10">
        <v>87283567361</v>
      </c>
      <c r="J71" s="10">
        <v>482914243337</v>
      </c>
      <c r="K71" s="8">
        <v>1750000000</v>
      </c>
      <c r="L71" s="10">
        <v>777316506801</v>
      </c>
      <c r="M71" s="10">
        <v>676188716685</v>
      </c>
      <c r="N71" s="10">
        <f>49302815633+3829961076</f>
        <v>53132776709</v>
      </c>
      <c r="O71" s="10">
        <v>44672438405</v>
      </c>
      <c r="P71" s="64">
        <f>3782065060+5070489666</f>
        <v>8852554726</v>
      </c>
      <c r="Q71" s="51">
        <v>384</v>
      </c>
      <c r="R71" s="51">
        <f t="shared" si="1"/>
        <v>5.7625110273664779</v>
      </c>
      <c r="S71" s="51">
        <f t="shared" si="2"/>
        <v>3.1184810700418127E-2</v>
      </c>
      <c r="T71" s="51">
        <f t="shared" si="3"/>
        <v>7.8345510219190131E-2</v>
      </c>
      <c r="U71" s="58">
        <f t="shared" si="4"/>
        <v>9.2505944940260335E-2</v>
      </c>
      <c r="V71" s="58">
        <f t="shared" si="5"/>
        <v>5.7470075592305082E-2</v>
      </c>
      <c r="W71" s="58">
        <f t="shared" si="6"/>
        <v>1.3173444532738096E-2</v>
      </c>
      <c r="X71" s="58">
        <f t="shared" si="7"/>
        <v>0.19816591710850442</v>
      </c>
      <c r="Y71" s="51">
        <f t="shared" si="8"/>
        <v>15.04283231436021</v>
      </c>
      <c r="Z71" s="51">
        <f t="shared" si="9"/>
        <v>1.3915514178177741</v>
      </c>
      <c r="AA71" s="52">
        <v>3</v>
      </c>
      <c r="AB71">
        <v>0</v>
      </c>
    </row>
    <row r="72" spans="1:28">
      <c r="A72" s="6">
        <v>2019</v>
      </c>
      <c r="B72" s="6" t="s">
        <v>333</v>
      </c>
      <c r="C72" s="7" t="s">
        <v>334</v>
      </c>
      <c r="D72" s="65">
        <v>446573796440</v>
      </c>
      <c r="E72" s="10">
        <v>144745920744</v>
      </c>
      <c r="F72" s="10">
        <v>617594780669</v>
      </c>
      <c r="G72" s="10">
        <f t="shared" si="10"/>
        <v>57853674597</v>
      </c>
      <c r="H72" s="10">
        <v>22815734567</v>
      </c>
      <c r="I72" s="10">
        <v>80669409164</v>
      </c>
      <c r="J72" s="10">
        <v>536295371505</v>
      </c>
      <c r="K72" s="8">
        <v>1750000000</v>
      </c>
      <c r="L72" s="10">
        <v>776541441414</v>
      </c>
      <c r="M72" s="10">
        <v>652946761824</v>
      </c>
      <c r="N72" s="10">
        <f>53355998377+806685924</f>
        <v>54162684301</v>
      </c>
      <c r="O72" s="10">
        <v>60836752751</v>
      </c>
      <c r="P72" s="64">
        <f>5070489666+1777225450</f>
        <v>6847715116</v>
      </c>
      <c r="Q72" s="51">
        <v>340</v>
      </c>
      <c r="R72" s="51">
        <f t="shared" si="1"/>
        <v>7.7190221632552456</v>
      </c>
      <c r="S72" s="51">
        <f t="shared" si="2"/>
        <v>4.2543224833308642E-2</v>
      </c>
      <c r="T72" s="51">
        <f t="shared" si="3"/>
        <v>9.8505937315563979E-2</v>
      </c>
      <c r="U72" s="58">
        <f t="shared" si="4"/>
        <v>0.11343889204241027</v>
      </c>
      <c r="V72" s="58">
        <f t="shared" si="5"/>
        <v>7.8343214549145876E-2</v>
      </c>
      <c r="W72" s="58">
        <f t="shared" si="6"/>
        <v>1.1508764900840336E-2</v>
      </c>
      <c r="X72" s="58">
        <f t="shared" si="7"/>
        <v>0.1125588531003151</v>
      </c>
      <c r="Y72" s="51">
        <f t="shared" si="8"/>
        <v>9.7802721725679174</v>
      </c>
      <c r="Z72" s="51">
        <f t="shared" si="9"/>
        <v>1.1094632391293213</v>
      </c>
      <c r="AA72" s="52">
        <v>3</v>
      </c>
      <c r="AB72">
        <v>0</v>
      </c>
    </row>
    <row r="73" spans="1:28">
      <c r="A73" s="6">
        <v>2020</v>
      </c>
      <c r="B73" s="6" t="s">
        <v>333</v>
      </c>
      <c r="C73" s="7" t="s">
        <v>334</v>
      </c>
      <c r="D73" s="9">
        <v>509735319690</v>
      </c>
      <c r="E73" s="10">
        <v>140087552996</v>
      </c>
      <c r="F73" s="10">
        <v>665586417235</v>
      </c>
      <c r="G73" s="10">
        <f t="shared" si="10"/>
        <v>48639860198</v>
      </c>
      <c r="H73" s="10">
        <v>23641182035</v>
      </c>
      <c r="I73" s="10">
        <v>72281042233</v>
      </c>
      <c r="J73" s="10">
        <v>593582375012</v>
      </c>
      <c r="K73" s="8">
        <v>1750000000</v>
      </c>
      <c r="L73" s="10">
        <v>739402296030</v>
      </c>
      <c r="M73" s="10">
        <v>610537250674</v>
      </c>
      <c r="N73" s="10">
        <f>16696318068+35104646560+1722272231+3440944756</f>
        <v>56964181615</v>
      </c>
      <c r="O73" s="10">
        <v>60770710445</v>
      </c>
      <c r="P73" s="64">
        <f>4727523825+1777225450</f>
        <v>6504749275</v>
      </c>
      <c r="Q73" s="51">
        <v>354</v>
      </c>
      <c r="R73" s="51">
        <f t="shared" si="1"/>
        <v>10.47978587140264</v>
      </c>
      <c r="S73" s="51">
        <f t="shared" si="2"/>
        <v>3.982797170236408E-2</v>
      </c>
      <c r="T73" s="51">
        <f t="shared" si="3"/>
        <v>9.1304012328640355E-2</v>
      </c>
      <c r="U73" s="58">
        <f t="shared" si="4"/>
        <v>0.10237957359123313</v>
      </c>
      <c r="V73" s="58">
        <f t="shared" si="5"/>
        <v>8.2188966373637456E-2</v>
      </c>
      <c r="W73" s="58">
        <f t="shared" si="6"/>
        <v>1.0499998829701372E-2</v>
      </c>
      <c r="X73" s="58">
        <f t="shared" si="7"/>
        <v>0.10703757167504346</v>
      </c>
      <c r="Y73" s="51">
        <f t="shared" si="8"/>
        <v>10.19405558144121</v>
      </c>
      <c r="Z73" s="51">
        <f t="shared" si="9"/>
        <v>1.0436630635932813</v>
      </c>
      <c r="AA73" s="52">
        <v>3</v>
      </c>
      <c r="AB73">
        <v>0</v>
      </c>
    </row>
    <row r="74" spans="1:28">
      <c r="A74" s="6">
        <v>2018</v>
      </c>
      <c r="B74" s="6" t="s">
        <v>335</v>
      </c>
      <c r="C74" s="7" t="s">
        <v>336</v>
      </c>
      <c r="D74" s="9">
        <v>1220137554014</v>
      </c>
      <c r="E74" s="10">
        <v>757379485281</v>
      </c>
      <c r="F74" s="10">
        <v>2370198817803</v>
      </c>
      <c r="G74" s="10">
        <f t="shared" si="10"/>
        <v>342328901816</v>
      </c>
      <c r="H74" s="10">
        <v>655646584965</v>
      </c>
      <c r="I74" s="10">
        <v>997975486781</v>
      </c>
      <c r="J74" s="10">
        <v>1372223331022</v>
      </c>
      <c r="K74" s="13">
        <v>17000000000</v>
      </c>
      <c r="L74" s="10">
        <v>1395298815177</v>
      </c>
      <c r="M74" s="10">
        <v>978652263708</v>
      </c>
      <c r="N74" s="10">
        <f>257005280578+15979424352</f>
        <v>272984704930</v>
      </c>
      <c r="O74" s="10">
        <v>105523929164</v>
      </c>
      <c r="P74" s="64">
        <v>43598000000</v>
      </c>
      <c r="Q74" s="51">
        <v>940</v>
      </c>
      <c r="R74" s="51">
        <f t="shared" si="1"/>
        <v>3.5642259462796324</v>
      </c>
      <c r="S74" s="51">
        <f t="shared" si="2"/>
        <v>0.47779874466694111</v>
      </c>
      <c r="T74" s="51">
        <f t="shared" si="3"/>
        <v>4.4521129776704943E-2</v>
      </c>
      <c r="U74" s="58">
        <f t="shared" si="4"/>
        <v>7.6899967212631662E-2</v>
      </c>
      <c r="V74" s="58">
        <f t="shared" si="5"/>
        <v>7.5628193771965474E-2</v>
      </c>
      <c r="W74" s="58">
        <f t="shared" si="6"/>
        <v>2.7282853566958699E-3</v>
      </c>
      <c r="X74" s="58">
        <f t="shared" si="7"/>
        <v>0.41315747381091328</v>
      </c>
      <c r="Y74" s="51">
        <f t="shared" si="8"/>
        <v>151.43484635759427</v>
      </c>
      <c r="Z74" s="51">
        <f t="shared" si="9"/>
        <v>11.645334719748913</v>
      </c>
      <c r="AA74" s="52">
        <v>3</v>
      </c>
      <c r="AB74">
        <v>0</v>
      </c>
    </row>
    <row r="75" spans="1:28">
      <c r="A75" s="6">
        <v>2019</v>
      </c>
      <c r="B75" s="6" t="s">
        <v>335</v>
      </c>
      <c r="C75" s="7" t="s">
        <v>336</v>
      </c>
      <c r="D75" s="9">
        <v>1174699544323</v>
      </c>
      <c r="E75" s="10">
        <v>851624396191</v>
      </c>
      <c r="F75" s="10">
        <v>2501132856219</v>
      </c>
      <c r="G75" s="10">
        <f t="shared" si="10"/>
        <v>479079545266</v>
      </c>
      <c r="H75" s="10">
        <v>613765478165</v>
      </c>
      <c r="I75" s="10">
        <v>1092845023431</v>
      </c>
      <c r="J75" s="10">
        <v>1408287832788</v>
      </c>
      <c r="K75" s="13">
        <v>17000000000</v>
      </c>
      <c r="L75" s="10">
        <v>1495759701262</v>
      </c>
      <c r="M75" s="10">
        <v>1001042927237</v>
      </c>
      <c r="N75" s="10">
        <f>279134329437+70965395209+23904990387</f>
        <v>374004715033</v>
      </c>
      <c r="O75" s="10">
        <v>93145200039</v>
      </c>
      <c r="P75" s="64">
        <v>77775000000</v>
      </c>
      <c r="Q75" s="51">
        <v>1050</v>
      </c>
      <c r="R75" s="51">
        <f t="shared" si="1"/>
        <v>2.4519926929269542</v>
      </c>
      <c r="S75" s="51">
        <f t="shared" si="2"/>
        <v>0.43582388761388574</v>
      </c>
      <c r="T75" s="51">
        <f t="shared" si="3"/>
        <v>3.7241204443577217E-2</v>
      </c>
      <c r="U75" s="58">
        <f t="shared" si="4"/>
        <v>6.6140740458290839E-2</v>
      </c>
      <c r="V75" s="58">
        <f t="shared" si="5"/>
        <v>6.2272836980707312E-2</v>
      </c>
      <c r="W75" s="58">
        <f t="shared" si="6"/>
        <v>4.3571428571428572E-3</v>
      </c>
      <c r="X75" s="58">
        <f t="shared" si="7"/>
        <v>0.83498666562995749</v>
      </c>
      <c r="Y75" s="51">
        <f t="shared" si="8"/>
        <v>191.63628391507223</v>
      </c>
      <c r="Z75" s="51">
        <f t="shared" si="9"/>
        <v>12.674965716818129</v>
      </c>
      <c r="AA75" s="52">
        <v>3</v>
      </c>
      <c r="AB75">
        <v>0</v>
      </c>
    </row>
    <row r="76" spans="1:28">
      <c r="A76" s="6">
        <v>2020</v>
      </c>
      <c r="B76" s="6" t="s">
        <v>335</v>
      </c>
      <c r="C76" s="7" t="s">
        <v>336</v>
      </c>
      <c r="D76" s="10">
        <v>1261952159927</v>
      </c>
      <c r="E76" s="10">
        <v>907748683255</v>
      </c>
      <c r="F76" s="10">
        <v>2697100062756</v>
      </c>
      <c r="G76" s="10">
        <f t="shared" si="10"/>
        <v>608353619395</v>
      </c>
      <c r="H76" s="10">
        <v>622838614595</v>
      </c>
      <c r="I76" s="10">
        <v>1231192233990</v>
      </c>
      <c r="J76" s="10">
        <v>1465907828766</v>
      </c>
      <c r="K76" s="13">
        <v>17000000000</v>
      </c>
      <c r="L76" s="10">
        <v>1797514877242</v>
      </c>
      <c r="M76" s="10">
        <v>1146328782026</v>
      </c>
      <c r="N76" s="10">
        <f>413457936700+66391570721+25729951405</f>
        <v>505579458826</v>
      </c>
      <c r="O76" s="10">
        <v>115805324362</v>
      </c>
      <c r="P76" s="64">
        <v>53280000000</v>
      </c>
      <c r="Q76" s="51">
        <v>1325</v>
      </c>
      <c r="R76" s="51">
        <f t="shared" si="1"/>
        <v>2.0743727327240946</v>
      </c>
      <c r="S76" s="51">
        <f t="shared" si="2"/>
        <v>0.42488252151522038</v>
      </c>
      <c r="T76" s="51">
        <f t="shared" si="3"/>
        <v>4.2936977371045584E-2</v>
      </c>
      <c r="U76" s="58">
        <f t="shared" si="4"/>
        <v>7.8999048978055347E-2</v>
      </c>
      <c r="V76" s="58">
        <f t="shared" si="5"/>
        <v>6.4425238326641723E-2</v>
      </c>
      <c r="W76" s="58">
        <f t="shared" si="6"/>
        <v>2.3653718091009991E-3</v>
      </c>
      <c r="X76" s="58">
        <f t="shared" si="7"/>
        <v>0.46008247283561976</v>
      </c>
      <c r="Y76" s="51">
        <f t="shared" si="8"/>
        <v>194.50746435101979</v>
      </c>
      <c r="Z76" s="51">
        <f t="shared" si="9"/>
        <v>15.365904702863569</v>
      </c>
      <c r="AA76" s="52">
        <v>3</v>
      </c>
      <c r="AB76">
        <v>0</v>
      </c>
    </row>
    <row r="77" spans="1:28">
      <c r="A77" s="6">
        <v>2018</v>
      </c>
      <c r="B77" s="6" t="s">
        <v>383</v>
      </c>
      <c r="C77" s="7" t="s">
        <v>384</v>
      </c>
      <c r="D77" s="10">
        <v>888979741744</v>
      </c>
      <c r="E77" s="10">
        <v>319990859164</v>
      </c>
      <c r="F77" s="10">
        <v>1255573914558</v>
      </c>
      <c r="G77" s="10">
        <f t="shared" si="10"/>
        <v>150202377711</v>
      </c>
      <c r="H77" s="9">
        <v>100134734182</v>
      </c>
      <c r="I77" s="9">
        <v>250337111893</v>
      </c>
      <c r="J77" s="9">
        <v>1005236802665</v>
      </c>
      <c r="K77" s="8">
        <v>4050000000</v>
      </c>
      <c r="L77" s="10">
        <v>1405384153405</v>
      </c>
      <c r="M77" s="10">
        <v>963851587401</v>
      </c>
      <c r="N77" s="10">
        <v>389346287885</v>
      </c>
      <c r="O77" s="10">
        <v>51142850919</v>
      </c>
      <c r="P77" s="64">
        <v>0</v>
      </c>
      <c r="Q77" s="51">
        <v>141</v>
      </c>
      <c r="R77" s="51">
        <f t="shared" si="1"/>
        <v>5.9185463991419622</v>
      </c>
      <c r="S77" s="51">
        <f t="shared" si="2"/>
        <v>9.961308013846204E-2</v>
      </c>
      <c r="T77" s="51">
        <f t="shared" si="3"/>
        <v>4.0732648493262011E-2</v>
      </c>
      <c r="U77" s="58">
        <f t="shared" si="4"/>
        <v>5.0876421141182196E-2</v>
      </c>
      <c r="V77" s="58">
        <f t="shared" si="5"/>
        <v>3.6390655747106454E-2</v>
      </c>
      <c r="W77" s="58">
        <f t="shared" si="6"/>
        <v>0</v>
      </c>
      <c r="X77" s="58">
        <f t="shared" si="7"/>
        <v>0</v>
      </c>
      <c r="Y77" s="51">
        <f t="shared" si="8"/>
        <v>11.165783481730974</v>
      </c>
      <c r="Z77" s="51">
        <f t="shared" si="9"/>
        <v>0.56807510278780071</v>
      </c>
      <c r="AA77" s="52">
        <v>3</v>
      </c>
      <c r="AB77">
        <v>0</v>
      </c>
    </row>
    <row r="78" spans="1:28">
      <c r="A78" s="6">
        <v>2019</v>
      </c>
      <c r="B78" s="6" t="s">
        <v>383</v>
      </c>
      <c r="C78" s="7" t="s">
        <v>384</v>
      </c>
      <c r="D78" s="10">
        <v>948430163983</v>
      </c>
      <c r="E78" s="10">
        <v>329061638626</v>
      </c>
      <c r="F78" s="10">
        <v>1299521608556</v>
      </c>
      <c r="G78" s="10">
        <f t="shared" si="10"/>
        <v>157443942631</v>
      </c>
      <c r="H78" s="9">
        <v>108907088448</v>
      </c>
      <c r="I78" s="10">
        <v>266351031079</v>
      </c>
      <c r="J78" s="10">
        <v>1033170577477</v>
      </c>
      <c r="K78" s="8">
        <v>4050000000</v>
      </c>
      <c r="L78" s="10">
        <v>1393574099760</v>
      </c>
      <c r="M78" s="10">
        <v>962040733573</v>
      </c>
      <c r="N78" s="10">
        <v>402885126126</v>
      </c>
      <c r="O78" s="10">
        <v>27328091481</v>
      </c>
      <c r="P78" s="64">
        <f>5249684400+12366950</f>
        <v>5262051350</v>
      </c>
      <c r="Q78" s="51">
        <v>168</v>
      </c>
      <c r="R78" s="51">
        <f t="shared" si="1"/>
        <v>6.0239228523756392</v>
      </c>
      <c r="S78" s="51">
        <f t="shared" si="2"/>
        <v>0.10541055932307987</v>
      </c>
      <c r="T78" s="51">
        <f t="shared" si="3"/>
        <v>2.1029347493010431E-2</v>
      </c>
      <c r="U78" s="58">
        <f t="shared" si="4"/>
        <v>2.645070627904942E-2</v>
      </c>
      <c r="V78" s="58">
        <f t="shared" si="5"/>
        <v>1.9610074186730664E-2</v>
      </c>
      <c r="W78" s="58">
        <f t="shared" si="6"/>
        <v>7.7337615373309814E-3</v>
      </c>
      <c r="X78" s="58">
        <f t="shared" si="7"/>
        <v>0.19255100026500091</v>
      </c>
      <c r="Y78" s="51">
        <f t="shared" si="8"/>
        <v>24.897457638893361</v>
      </c>
      <c r="Z78" s="51">
        <f t="shared" si="9"/>
        <v>0.65855533910144348</v>
      </c>
      <c r="AA78" s="52">
        <v>3</v>
      </c>
      <c r="AB78">
        <v>0</v>
      </c>
    </row>
    <row r="79" spans="1:28">
      <c r="A79" s="6">
        <v>2020</v>
      </c>
      <c r="B79" s="6" t="s">
        <v>383</v>
      </c>
      <c r="C79" s="7" t="s">
        <v>384</v>
      </c>
      <c r="D79" s="10">
        <v>1288718539539</v>
      </c>
      <c r="E79" s="10">
        <v>298904982008</v>
      </c>
      <c r="F79" s="10">
        <v>1614442007528</v>
      </c>
      <c r="G79" s="10">
        <f t="shared" si="10"/>
        <v>351790782502</v>
      </c>
      <c r="H79" s="9">
        <v>76799383517</v>
      </c>
      <c r="I79" s="10">
        <v>428590166019</v>
      </c>
      <c r="J79" s="10">
        <v>1185851841509</v>
      </c>
      <c r="K79" s="8">
        <v>4050000000</v>
      </c>
      <c r="L79" s="10">
        <v>1994066771177</v>
      </c>
      <c r="M79" s="10">
        <v>1368626457514</v>
      </c>
      <c r="N79" s="10">
        <v>420569492780</v>
      </c>
      <c r="O79" s="10">
        <v>172506562986</v>
      </c>
      <c r="P79" s="64">
        <f>7349558160+47082300</f>
        <v>7396640460</v>
      </c>
      <c r="Q79" s="51">
        <v>540</v>
      </c>
      <c r="R79" s="51">
        <f t="shared" si="1"/>
        <v>3.663309568185384</v>
      </c>
      <c r="S79" s="51">
        <f t="shared" si="2"/>
        <v>6.4763051191346593E-2</v>
      </c>
      <c r="T79" s="51">
        <f t="shared" si="3"/>
        <v>0.10685212734902659</v>
      </c>
      <c r="U79" s="58">
        <f t="shared" si="4"/>
        <v>0.14547058658397399</v>
      </c>
      <c r="V79" s="58">
        <f t="shared" si="5"/>
        <v>8.6509923077539588E-2</v>
      </c>
      <c r="W79" s="58">
        <f t="shared" si="6"/>
        <v>3.3820944032921813E-3</v>
      </c>
      <c r="X79" s="58">
        <f t="shared" si="7"/>
        <v>4.2877443802531064E-2</v>
      </c>
      <c r="Y79" s="51">
        <f t="shared" si="8"/>
        <v>12.677778527055164</v>
      </c>
      <c r="Z79" s="51">
        <f t="shared" si="9"/>
        <v>1.8442438789124245</v>
      </c>
      <c r="AA79" s="52">
        <v>3</v>
      </c>
      <c r="AB79">
        <v>0</v>
      </c>
    </row>
    <row r="80" spans="1:28">
      <c r="A80" s="66">
        <v>2018</v>
      </c>
      <c r="B80" s="59" t="s">
        <v>479</v>
      </c>
      <c r="C80" s="49" t="s">
        <v>480</v>
      </c>
      <c r="D80" s="64">
        <v>382330851179</v>
      </c>
      <c r="E80" s="64">
        <v>59744095869</v>
      </c>
      <c r="F80" s="64">
        <v>511887783867</v>
      </c>
      <c r="G80" s="10">
        <f t="shared" si="10"/>
        <v>122929175890</v>
      </c>
      <c r="H80" s="64">
        <v>20984611197</v>
      </c>
      <c r="I80" s="64">
        <v>143913787087</v>
      </c>
      <c r="J80" s="64">
        <v>367973996780</v>
      </c>
      <c r="K80" s="67">
        <v>428000000</v>
      </c>
      <c r="L80" s="64">
        <v>300572751733</v>
      </c>
      <c r="M80" s="64">
        <v>126237236215</v>
      </c>
      <c r="N80" s="64">
        <f>121854966846+43793006242</f>
        <v>165647973088</v>
      </c>
      <c r="O80" s="10">
        <v>1242582777</v>
      </c>
      <c r="P80" s="64">
        <v>0</v>
      </c>
      <c r="Q80" s="51">
        <v>179</v>
      </c>
      <c r="R80" s="51">
        <f t="shared" si="1"/>
        <v>3.1101717587460187</v>
      </c>
      <c r="S80" s="51">
        <f t="shared" si="2"/>
        <v>5.702742960271194E-2</v>
      </c>
      <c r="T80" s="51">
        <f t="shared" si="3"/>
        <v>2.4274515160589397E-3</v>
      </c>
      <c r="U80" s="58">
        <f t="shared" si="4"/>
        <v>3.3768222425317215E-3</v>
      </c>
      <c r="V80" s="58">
        <f t="shared" si="5"/>
        <v>4.1340499757070177E-3</v>
      </c>
      <c r="W80" s="58">
        <f t="shared" si="6"/>
        <v>0</v>
      </c>
      <c r="X80" s="58">
        <f t="shared" si="7"/>
        <v>0</v>
      </c>
      <c r="Y80" s="51">
        <f t="shared" si="8"/>
        <v>61.655449776123852</v>
      </c>
      <c r="Z80" s="51">
        <f t="shared" si="9"/>
        <v>0.20819949417731246</v>
      </c>
      <c r="AA80" s="52">
        <v>3</v>
      </c>
      <c r="AB80">
        <v>0</v>
      </c>
    </row>
    <row r="81" spans="1:28">
      <c r="A81" s="66">
        <v>2019</v>
      </c>
      <c r="B81" s="59" t="s">
        <v>479</v>
      </c>
      <c r="C81" s="49" t="s">
        <v>480</v>
      </c>
      <c r="D81" s="64">
        <v>412707718061</v>
      </c>
      <c r="E81" s="64">
        <v>54872479523</v>
      </c>
      <c r="F81" s="64">
        <v>532762947995</v>
      </c>
      <c r="G81" s="10">
        <f t="shared" si="10"/>
        <v>142931525716</v>
      </c>
      <c r="H81" s="64">
        <v>21189897229</v>
      </c>
      <c r="I81" s="64">
        <v>164121422945</v>
      </c>
      <c r="J81" s="64">
        <v>368641525050</v>
      </c>
      <c r="K81" s="67">
        <v>428000000</v>
      </c>
      <c r="L81" s="64">
        <v>305224577860</v>
      </c>
      <c r="M81" s="64">
        <v>120805351025</v>
      </c>
      <c r="N81" s="64">
        <f>127264471191+48192315737</f>
        <v>175456786928</v>
      </c>
      <c r="O81" s="10">
        <v>667528270</v>
      </c>
      <c r="P81" s="64">
        <v>0</v>
      </c>
      <c r="Q81" s="51">
        <v>153</v>
      </c>
      <c r="R81" s="51">
        <f t="shared" si="1"/>
        <v>2.8874505886198678</v>
      </c>
      <c r="S81" s="51">
        <f t="shared" si="2"/>
        <v>5.7481037238346785E-2</v>
      </c>
      <c r="T81" s="51">
        <f t="shared" si="3"/>
        <v>1.2529555077209775E-3</v>
      </c>
      <c r="U81" s="58">
        <f t="shared" si="4"/>
        <v>1.8107788315748234E-3</v>
      </c>
      <c r="V81" s="58">
        <f t="shared" si="5"/>
        <v>2.1870069398742227E-3</v>
      </c>
      <c r="W81" s="58">
        <f t="shared" si="6"/>
        <v>0</v>
      </c>
      <c r="X81" s="58">
        <f t="shared" si="7"/>
        <v>0</v>
      </c>
      <c r="Y81" s="51">
        <f t="shared" si="8"/>
        <v>98.099216082638719</v>
      </c>
      <c r="Z81" s="51">
        <f t="shared" si="9"/>
        <v>0.17763598387652665</v>
      </c>
      <c r="AA81" s="52">
        <v>3</v>
      </c>
      <c r="AB81">
        <v>0</v>
      </c>
    </row>
    <row r="82" spans="1:28">
      <c r="A82" s="66">
        <v>2020</v>
      </c>
      <c r="B82" s="66" t="s">
        <v>479</v>
      </c>
      <c r="C82" s="49" t="s">
        <v>480</v>
      </c>
      <c r="D82" s="64">
        <v>432576455286</v>
      </c>
      <c r="E82" s="64">
        <v>55965014371</v>
      </c>
      <c r="F82" s="64">
        <v>559795937451</v>
      </c>
      <c r="G82" s="10">
        <f t="shared" si="10"/>
        <v>195801413331</v>
      </c>
      <c r="H82" s="64">
        <v>21575918643</v>
      </c>
      <c r="I82" s="64">
        <v>217377331974</v>
      </c>
      <c r="J82" s="64">
        <v>342418605477</v>
      </c>
      <c r="K82" s="67">
        <v>428000000</v>
      </c>
      <c r="L82" s="64">
        <v>318408499475</v>
      </c>
      <c r="M82" s="64">
        <v>113949955107</v>
      </c>
      <c r="N82" s="64">
        <f>132164370165+58327364740</f>
        <v>190491734905</v>
      </c>
      <c r="O82" s="10">
        <v>7263926826</v>
      </c>
      <c r="P82" s="64">
        <v>0</v>
      </c>
      <c r="Q82" s="51">
        <v>169</v>
      </c>
      <c r="R82" s="51">
        <f t="shared" si="1"/>
        <v>2.2092611484613474</v>
      </c>
      <c r="S82" s="51">
        <f t="shared" si="2"/>
        <v>6.301035719990758E-2</v>
      </c>
      <c r="T82" s="51">
        <f t="shared" si="3"/>
        <v>1.2976026333945708E-2</v>
      </c>
      <c r="U82" s="58">
        <f t="shared" si="4"/>
        <v>2.1213586849000564E-2</v>
      </c>
      <c r="V82" s="58">
        <f t="shared" si="5"/>
        <v>2.2813231549964737E-2</v>
      </c>
      <c r="W82" s="58">
        <f t="shared" si="6"/>
        <v>0</v>
      </c>
      <c r="X82" s="58">
        <f t="shared" si="7"/>
        <v>0</v>
      </c>
      <c r="Y82" s="51">
        <f t="shared" si="8"/>
        <v>9.9576994279595183</v>
      </c>
      <c r="Z82" s="51">
        <f t="shared" si="9"/>
        <v>0.21123852163126247</v>
      </c>
      <c r="AA82" s="52">
        <v>3</v>
      </c>
      <c r="AB82">
        <v>0</v>
      </c>
    </row>
    <row r="83" spans="1:28">
      <c r="A83" s="66">
        <v>2018</v>
      </c>
      <c r="B83" s="66" t="s">
        <v>481</v>
      </c>
      <c r="C83" s="49" t="s">
        <v>482</v>
      </c>
      <c r="D83" s="64">
        <v>1384227944</v>
      </c>
      <c r="E83" s="64">
        <v>90191394000</v>
      </c>
      <c r="F83" s="64">
        <v>1523517170000</v>
      </c>
      <c r="G83" s="10">
        <f t="shared" si="10"/>
        <v>192299843000</v>
      </c>
      <c r="H83" s="64">
        <v>47053513000</v>
      </c>
      <c r="I83" s="64">
        <v>239353356000</v>
      </c>
      <c r="J83" s="64">
        <v>1284163814000</v>
      </c>
      <c r="K83" s="67">
        <v>800659050</v>
      </c>
      <c r="L83" s="64">
        <v>893006350000</v>
      </c>
      <c r="M83" s="64">
        <v>241721111000</v>
      </c>
      <c r="N83" s="64">
        <f>166486011000+68361970000</f>
        <v>234847981000</v>
      </c>
      <c r="O83" s="10">
        <v>338129985000</v>
      </c>
      <c r="P83" s="10">
        <v>207667269000</v>
      </c>
      <c r="Q83" s="51">
        <v>5500</v>
      </c>
      <c r="R83" s="51">
        <f t="shared" si="1"/>
        <v>7.1982791166397362E-3</v>
      </c>
      <c r="S83" s="51">
        <f t="shared" si="2"/>
        <v>3.6641363420321392E-2</v>
      </c>
      <c r="T83" s="51">
        <f t="shared" si="3"/>
        <v>0.22194038351402368</v>
      </c>
      <c r="U83" s="58">
        <f t="shared" si="4"/>
        <v>0.26330751677760639</v>
      </c>
      <c r="V83" s="58">
        <f t="shared" si="5"/>
        <v>0.37864230752670458</v>
      </c>
      <c r="W83" s="58">
        <f t="shared" si="6"/>
        <v>4.7158257029290149E-2</v>
      </c>
      <c r="X83" s="58">
        <f t="shared" si="7"/>
        <v>0.61416401446916935</v>
      </c>
      <c r="Y83" s="51">
        <f t="shared" si="8"/>
        <v>13.023467217791998</v>
      </c>
      <c r="Z83" s="51">
        <f t="shared" si="9"/>
        <v>3.4291768129513733</v>
      </c>
      <c r="AA83" s="52">
        <v>3</v>
      </c>
      <c r="AB83">
        <v>1</v>
      </c>
    </row>
    <row r="84" spans="1:28">
      <c r="A84" s="66">
        <v>2019</v>
      </c>
      <c r="B84" s="66" t="s">
        <v>481</v>
      </c>
      <c r="C84" s="49" t="s">
        <v>482</v>
      </c>
      <c r="D84" s="64">
        <v>1292805083</v>
      </c>
      <c r="E84" s="64">
        <v>85234517000</v>
      </c>
      <c r="F84" s="64">
        <v>1425983722000</v>
      </c>
      <c r="G84" s="10">
        <f t="shared" si="10"/>
        <v>160587363000</v>
      </c>
      <c r="H84" s="64">
        <v>51833027000</v>
      </c>
      <c r="I84" s="64">
        <v>212420390000</v>
      </c>
      <c r="J84" s="64">
        <v>1213563332000</v>
      </c>
      <c r="K84" s="67">
        <v>800659050</v>
      </c>
      <c r="L84" s="64">
        <v>827136727000</v>
      </c>
      <c r="M84" s="64">
        <v>230440697000</v>
      </c>
      <c r="N84" s="64">
        <f>175692185000+79000788000</f>
        <v>254692973000</v>
      </c>
      <c r="O84" s="10">
        <v>317815177000</v>
      </c>
      <c r="P84" s="10">
        <v>382134244000</v>
      </c>
      <c r="Q84" s="51">
        <v>6800</v>
      </c>
      <c r="R84" s="51">
        <f t="shared" si="1"/>
        <v>8.0504783119204719E-3</v>
      </c>
      <c r="S84" s="51">
        <f t="shared" si="2"/>
        <v>4.2711431396478615E-2</v>
      </c>
      <c r="T84" s="51">
        <f t="shared" si="3"/>
        <v>0.2228743372710113</v>
      </c>
      <c r="U84" s="58">
        <f t="shared" si="4"/>
        <v>0.2618859425129697</v>
      </c>
      <c r="V84" s="58">
        <f t="shared" si="5"/>
        <v>0.38423535870871806</v>
      </c>
      <c r="W84" s="58">
        <f t="shared" si="6"/>
        <v>7.0187444147344846E-2</v>
      </c>
      <c r="X84" s="58">
        <f t="shared" si="7"/>
        <v>1.20237884045418</v>
      </c>
      <c r="Y84" s="51">
        <f t="shared" si="8"/>
        <v>17.13096772593714</v>
      </c>
      <c r="Z84" s="51">
        <f t="shared" si="9"/>
        <v>4.4863596290663139</v>
      </c>
      <c r="AA84" s="52">
        <v>3</v>
      </c>
      <c r="AB84">
        <v>1</v>
      </c>
    </row>
    <row r="85" spans="1:28">
      <c r="A85" s="66">
        <v>2020</v>
      </c>
      <c r="B85" s="66" t="s">
        <v>481</v>
      </c>
      <c r="C85" s="49" t="s">
        <v>482</v>
      </c>
      <c r="D85" s="64">
        <v>1103831856</v>
      </c>
      <c r="E85" s="64">
        <v>79117279000</v>
      </c>
      <c r="F85" s="64">
        <v>1225580913000</v>
      </c>
      <c r="G85" s="10">
        <f t="shared" si="10"/>
        <v>147207676000</v>
      </c>
      <c r="H85" s="64">
        <v>58474274000</v>
      </c>
      <c r="I85" s="64">
        <v>205681950000</v>
      </c>
      <c r="J85" s="64">
        <v>1019898963000</v>
      </c>
      <c r="K85" s="67">
        <v>800659050</v>
      </c>
      <c r="L85" s="64">
        <v>546336411000</v>
      </c>
      <c r="M85" s="64">
        <v>179156903000</v>
      </c>
      <c r="N85" s="64">
        <f>156629572000+78513510000</f>
        <v>235143082000</v>
      </c>
      <c r="O85" s="10">
        <v>123465762000</v>
      </c>
      <c r="P85" s="10">
        <v>311711537000</v>
      </c>
      <c r="Q85" s="51">
        <v>4400</v>
      </c>
      <c r="R85" s="51">
        <f t="shared" si="1"/>
        <v>7.4984666968045876E-3</v>
      </c>
      <c r="S85" s="51">
        <f t="shared" si="2"/>
        <v>5.733339881825137E-2</v>
      </c>
      <c r="T85" s="51">
        <f t="shared" si="3"/>
        <v>0.10074060446794833</v>
      </c>
      <c r="U85" s="58">
        <f t="shared" si="4"/>
        <v>0.12105685609957817</v>
      </c>
      <c r="V85" s="58">
        <f t="shared" si="5"/>
        <v>0.22598852925436816</v>
      </c>
      <c r="W85" s="58">
        <f t="shared" si="6"/>
        <v>8.848152173682873E-2</v>
      </c>
      <c r="X85" s="58">
        <f t="shared" si="7"/>
        <v>2.5246799756518734</v>
      </c>
      <c r="Y85" s="51">
        <f t="shared" si="8"/>
        <v>28.533414955961636</v>
      </c>
      <c r="Z85" s="51">
        <f t="shared" si="9"/>
        <v>3.4541655083533995</v>
      </c>
      <c r="AA85" s="52">
        <v>3</v>
      </c>
      <c r="AB85">
        <v>1</v>
      </c>
    </row>
    <row r="86" spans="1:28">
      <c r="A86" s="66">
        <v>2018</v>
      </c>
      <c r="B86" s="59" t="s">
        <v>483</v>
      </c>
      <c r="C86" s="49" t="s">
        <v>484</v>
      </c>
      <c r="D86" s="64">
        <v>1570545769306</v>
      </c>
      <c r="E86" s="64">
        <v>2280734909765</v>
      </c>
      <c r="F86" s="64">
        <v>4212408305683</v>
      </c>
      <c r="G86" s="10">
        <f t="shared" si="10"/>
        <v>1329358276278</v>
      </c>
      <c r="H86" s="64">
        <v>393641552725</v>
      </c>
      <c r="I86" s="64">
        <v>1722999829003</v>
      </c>
      <c r="J86" s="64">
        <v>2489408476680</v>
      </c>
      <c r="K86" s="67">
        <v>7130087567</v>
      </c>
      <c r="L86" s="64">
        <v>8048946664266</v>
      </c>
      <c r="M86" s="64">
        <v>5495794976776</v>
      </c>
      <c r="N86" s="64">
        <f>1361526966344+574981609169+48046719655</f>
        <v>1984555295168</v>
      </c>
      <c r="O86" s="10">
        <v>425481597110</v>
      </c>
      <c r="P86" s="10">
        <v>183082141237</v>
      </c>
      <c r="Q86" s="51">
        <v>1875</v>
      </c>
      <c r="R86" s="51">
        <f t="shared" si="1"/>
        <v>1.1814315202544856</v>
      </c>
      <c r="S86" s="51">
        <f t="shared" si="2"/>
        <v>0.15812654147059871</v>
      </c>
      <c r="T86" s="51">
        <f t="shared" si="3"/>
        <v>0.10100673207200231</v>
      </c>
      <c r="U86" s="58">
        <f t="shared" si="4"/>
        <v>0.17091674632579526</v>
      </c>
      <c r="V86" s="58">
        <f t="shared" si="5"/>
        <v>5.2861773702509746E-2</v>
      </c>
      <c r="W86" s="58">
        <f t="shared" si="6"/>
        <v>1.3694615633005077E-2</v>
      </c>
      <c r="X86" s="58">
        <f t="shared" si="7"/>
        <v>0.43029391278153839</v>
      </c>
      <c r="Y86" s="51">
        <f t="shared" si="8"/>
        <v>31.420663734767189</v>
      </c>
      <c r="Z86" s="51">
        <f t="shared" si="9"/>
        <v>5.3703176129433183</v>
      </c>
      <c r="AA86" s="52">
        <v>3</v>
      </c>
      <c r="AB86">
        <v>0</v>
      </c>
    </row>
    <row r="87" spans="1:28">
      <c r="A87" s="66">
        <v>2019</v>
      </c>
      <c r="B87" s="59" t="s">
        <v>483</v>
      </c>
      <c r="C87" s="49" t="s">
        <v>484</v>
      </c>
      <c r="D87" s="64">
        <v>1999886108743</v>
      </c>
      <c r="E87" s="64">
        <v>2715366689138</v>
      </c>
      <c r="F87" s="64">
        <v>5063067672414</v>
      </c>
      <c r="G87" s="10">
        <f t="shared" si="10"/>
        <v>1303881731637</v>
      </c>
      <c r="H87" s="64">
        <v>993665175862</v>
      </c>
      <c r="I87" s="64">
        <v>2297546907499</v>
      </c>
      <c r="J87" s="64">
        <v>2765520764915</v>
      </c>
      <c r="K87" s="67">
        <v>7379580291</v>
      </c>
      <c r="L87" s="64">
        <v>8438631355699</v>
      </c>
      <c r="M87" s="64">
        <v>5910489349236</v>
      </c>
      <c r="N87" s="64">
        <f>1355631464428+554177456534+57788727828</f>
        <v>1967597648790</v>
      </c>
      <c r="O87" s="10">
        <v>435766359480</v>
      </c>
      <c r="P87" s="10">
        <v>132379748022</v>
      </c>
      <c r="Q87" s="51">
        <v>1510</v>
      </c>
      <c r="R87" s="51">
        <f t="shared" si="1"/>
        <v>1.5337941012734178</v>
      </c>
      <c r="S87" s="51">
        <f t="shared" si="2"/>
        <v>0.35930490505376511</v>
      </c>
      <c r="T87" s="51">
        <f t="shared" si="3"/>
        <v>8.606765456726212E-2</v>
      </c>
      <c r="U87" s="58">
        <f t="shared" si="4"/>
        <v>0.15757117610845114</v>
      </c>
      <c r="V87" s="58">
        <f t="shared" si="5"/>
        <v>5.1639459186199277E-2</v>
      </c>
      <c r="W87" s="58">
        <f t="shared" si="6"/>
        <v>1.1879904255023404E-2</v>
      </c>
      <c r="X87" s="58">
        <f t="shared" si="7"/>
        <v>0.30378606595508828</v>
      </c>
      <c r="Y87" s="51">
        <f t="shared" si="8"/>
        <v>25.571423761823059</v>
      </c>
      <c r="Z87" s="51">
        <f t="shared" si="9"/>
        <v>4.0293193169180537</v>
      </c>
      <c r="AA87" s="52">
        <v>3</v>
      </c>
      <c r="AB87">
        <v>0</v>
      </c>
    </row>
    <row r="88" spans="1:28">
      <c r="A88" s="66">
        <v>2020</v>
      </c>
      <c r="B88" s="59" t="s">
        <v>483</v>
      </c>
      <c r="C88" s="49" t="s">
        <v>484</v>
      </c>
      <c r="D88" s="64">
        <v>2314323530275</v>
      </c>
      <c r="E88" s="64">
        <v>3217662289685</v>
      </c>
      <c r="F88" s="64">
        <v>6570969641033</v>
      </c>
      <c r="G88" s="10">
        <f t="shared" si="10"/>
        <v>1321529767664</v>
      </c>
      <c r="H88" s="64">
        <v>2355003084216</v>
      </c>
      <c r="I88" s="64">
        <v>3676532851880</v>
      </c>
      <c r="J88" s="64">
        <v>2894436789153</v>
      </c>
      <c r="K88" s="67">
        <v>7369648898</v>
      </c>
      <c r="L88" s="64">
        <v>7711334590144</v>
      </c>
      <c r="M88" s="64">
        <v>5568907814506</v>
      </c>
      <c r="N88" s="64">
        <f>1111326412293+603575877329+97215317609</f>
        <v>1812117607231</v>
      </c>
      <c r="O88" s="10">
        <v>245103761907</v>
      </c>
      <c r="P88" s="10">
        <v>213786027325</v>
      </c>
      <c r="Q88" s="51">
        <v>1270</v>
      </c>
      <c r="R88" s="51">
        <f t="shared" si="1"/>
        <v>1.7512458568117693</v>
      </c>
      <c r="S88" s="51">
        <f t="shared" si="2"/>
        <v>0.8136308566286381</v>
      </c>
      <c r="T88" s="51">
        <f t="shared" si="3"/>
        <v>3.7301003549982628E-2</v>
      </c>
      <c r="U88" s="58">
        <f t="shared" si="4"/>
        <v>8.4680986237299999E-2</v>
      </c>
      <c r="V88" s="58">
        <f t="shared" si="5"/>
        <v>3.1784869278045809E-2</v>
      </c>
      <c r="W88" s="58">
        <f t="shared" si="6"/>
        <v>2.2841719723214714E-2</v>
      </c>
      <c r="X88" s="58">
        <f t="shared" si="7"/>
        <v>0.87222662623235081</v>
      </c>
      <c r="Y88" s="51">
        <f t="shared" si="8"/>
        <v>38.185681148424266</v>
      </c>
      <c r="Z88" s="51">
        <f t="shared" si="9"/>
        <v>3.2336011397916415</v>
      </c>
      <c r="AA88" s="52">
        <v>3</v>
      </c>
      <c r="AB88">
        <v>0</v>
      </c>
    </row>
    <row r="89" spans="1:28">
      <c r="A89" s="66">
        <v>2018</v>
      </c>
      <c r="B89" s="59" t="s">
        <v>485</v>
      </c>
      <c r="C89" s="49" t="s">
        <v>486</v>
      </c>
      <c r="D89" s="64">
        <v>33272618000000</v>
      </c>
      <c r="E89" s="64">
        <v>42388236000000</v>
      </c>
      <c r="F89" s="64">
        <v>96537796000000</v>
      </c>
      <c r="G89" s="10">
        <f t="shared" si="10"/>
        <v>31204102000000</v>
      </c>
      <c r="H89" s="64">
        <v>15416894000000</v>
      </c>
      <c r="I89" s="64">
        <v>46620996000000</v>
      </c>
      <c r="J89" s="64">
        <v>49916800000000</v>
      </c>
      <c r="K89" s="67">
        <v>8780426500</v>
      </c>
      <c r="L89" s="64">
        <v>73394728000000</v>
      </c>
      <c r="M89" s="64">
        <v>53182723000000</v>
      </c>
      <c r="N89" s="64">
        <f>7817444000000+4466279000000+278450000000</f>
        <v>12562173000000</v>
      </c>
      <c r="O89" s="10">
        <v>4961851000000</v>
      </c>
      <c r="P89" s="10">
        <v>2651689000000</v>
      </c>
      <c r="Q89" s="51">
        <v>7450</v>
      </c>
      <c r="R89" s="51">
        <f t="shared" si="1"/>
        <v>1.0662898743248563</v>
      </c>
      <c r="S89" s="51">
        <f t="shared" si="2"/>
        <v>0.30885180941085966</v>
      </c>
      <c r="T89" s="51">
        <f t="shared" si="3"/>
        <v>5.1398014100094022E-2</v>
      </c>
      <c r="U89" s="58">
        <f t="shared" si="4"/>
        <v>9.9402425636258729E-2</v>
      </c>
      <c r="V89" s="58">
        <f t="shared" si="5"/>
        <v>6.7605005634737148E-2</v>
      </c>
      <c r="W89" s="58">
        <f t="shared" si="6"/>
        <v>4.0536915763257422E-2</v>
      </c>
      <c r="X89" s="58">
        <f t="shared" si="7"/>
        <v>0.53441528171644015</v>
      </c>
      <c r="Y89" s="51">
        <f t="shared" si="8"/>
        <v>13.183422360929418</v>
      </c>
      <c r="Z89" s="51">
        <f t="shared" si="9"/>
        <v>1.3104641608636771</v>
      </c>
      <c r="AA89" s="52">
        <v>3</v>
      </c>
      <c r="AB89">
        <v>0</v>
      </c>
    </row>
    <row r="90" spans="1:28">
      <c r="A90" s="66">
        <v>2019</v>
      </c>
      <c r="B90" s="59" t="s">
        <v>485</v>
      </c>
      <c r="C90" s="49" t="s">
        <v>486</v>
      </c>
      <c r="D90" s="64">
        <v>31403445000000</v>
      </c>
      <c r="E90" s="64">
        <v>43072504000000</v>
      </c>
      <c r="F90" s="64">
        <v>96198559000000</v>
      </c>
      <c r="G90" s="10">
        <f t="shared" si="10"/>
        <v>24686862000000</v>
      </c>
      <c r="H90" s="64">
        <v>17309209000000</v>
      </c>
      <c r="I90" s="64">
        <v>41996071000000</v>
      </c>
      <c r="J90" s="64">
        <v>54202488000000</v>
      </c>
      <c r="K90" s="67">
        <v>8780426500</v>
      </c>
      <c r="L90" s="64">
        <v>76592955000000</v>
      </c>
      <c r="M90" s="64">
        <v>53876594000000</v>
      </c>
      <c r="N90" s="64">
        <f>8489356000000+4697173000000+759131000000</f>
        <v>13945660000000</v>
      </c>
      <c r="O90" s="10">
        <v>5902729000000</v>
      </c>
      <c r="P90" s="10">
        <v>1501453000000</v>
      </c>
      <c r="Q90" s="51">
        <v>7925</v>
      </c>
      <c r="R90" s="51">
        <f t="shared" si="1"/>
        <v>1.2720711526641175</v>
      </c>
      <c r="S90" s="51">
        <f t="shared" si="2"/>
        <v>0.31934344047085073</v>
      </c>
      <c r="T90" s="51">
        <f t="shared" si="3"/>
        <v>6.1359848435983327E-2</v>
      </c>
      <c r="U90" s="58">
        <f t="shared" si="4"/>
        <v>0.10890144009625537</v>
      </c>
      <c r="V90" s="58">
        <f t="shared" si="5"/>
        <v>7.7066213204595641E-2</v>
      </c>
      <c r="W90" s="58">
        <f t="shared" si="6"/>
        <v>2.1577288050655313E-2</v>
      </c>
      <c r="X90" s="58">
        <f t="shared" si="7"/>
        <v>0.25436590431307282</v>
      </c>
      <c r="Y90" s="51">
        <f t="shared" si="8"/>
        <v>11.788594735164024</v>
      </c>
      <c r="Z90" s="51">
        <f t="shared" si="9"/>
        <v>1.2837949433704963</v>
      </c>
      <c r="AA90" s="52">
        <v>3</v>
      </c>
      <c r="AB90">
        <v>0</v>
      </c>
    </row>
    <row r="91" spans="1:28">
      <c r="A91" s="66">
        <v>2020</v>
      </c>
      <c r="B91" s="59" t="s">
        <v>485</v>
      </c>
      <c r="C91" s="49" t="s">
        <v>486</v>
      </c>
      <c r="D91" s="64">
        <v>38418238000000</v>
      </c>
      <c r="E91" s="64">
        <v>45862919000000</v>
      </c>
      <c r="F91" s="64">
        <v>163136516000000</v>
      </c>
      <c r="G91" s="10">
        <f t="shared" si="10"/>
        <v>27975875000000</v>
      </c>
      <c r="H91" s="64">
        <v>56022597000000</v>
      </c>
      <c r="I91" s="64">
        <v>83998472000000</v>
      </c>
      <c r="J91" s="64">
        <v>79138044000000</v>
      </c>
      <c r="K91" s="67">
        <v>8780426500</v>
      </c>
      <c r="L91" s="64">
        <v>81731469000000</v>
      </c>
      <c r="M91" s="64">
        <v>54979425000000</v>
      </c>
      <c r="N91" s="64">
        <f>9077860000000+5087140000000+563315000000</f>
        <v>14728315000000</v>
      </c>
      <c r="O91" s="10">
        <v>8752066000000</v>
      </c>
      <c r="P91" s="10">
        <v>2440959000000</v>
      </c>
      <c r="Q91" s="51">
        <v>6850</v>
      </c>
      <c r="R91" s="51">
        <f t="shared" si="1"/>
        <v>1.3732631419035151</v>
      </c>
      <c r="S91" s="51">
        <f t="shared" si="2"/>
        <v>0.70790980125816605</v>
      </c>
      <c r="T91" s="51">
        <f t="shared" si="3"/>
        <v>5.3648724482996804E-2</v>
      </c>
      <c r="U91" s="58">
        <f t="shared" si="4"/>
        <v>0.11059239725459982</v>
      </c>
      <c r="V91" s="58">
        <f t="shared" si="5"/>
        <v>0.10708318481342848</v>
      </c>
      <c r="W91" s="58">
        <f t="shared" si="6"/>
        <v>4.0583948804997549E-2</v>
      </c>
      <c r="X91" s="58">
        <f t="shared" si="7"/>
        <v>0.27890089037262744</v>
      </c>
      <c r="Y91" s="51">
        <f t="shared" si="8"/>
        <v>6.8721969789761648</v>
      </c>
      <c r="Z91" s="51">
        <f t="shared" si="9"/>
        <v>0.76001273831079263</v>
      </c>
      <c r="AA91" s="52">
        <v>3</v>
      </c>
      <c r="AB91">
        <v>0</v>
      </c>
    </row>
    <row r="92" spans="1:28">
      <c r="A92" s="66">
        <v>2018</v>
      </c>
      <c r="B92" s="59" t="s">
        <v>487</v>
      </c>
      <c r="C92" s="49" t="s">
        <v>488</v>
      </c>
      <c r="D92" s="64">
        <v>12647858727872</v>
      </c>
      <c r="E92" s="64">
        <v>4258300525120</v>
      </c>
      <c r="F92" s="64">
        <v>17591706426634</v>
      </c>
      <c r="G92" s="10">
        <f t="shared" si="10"/>
        <v>4764510387113</v>
      </c>
      <c r="H92" s="64">
        <v>4284651557827</v>
      </c>
      <c r="I92" s="64">
        <v>9049161944940</v>
      </c>
      <c r="J92" s="64">
        <v>8542544481694</v>
      </c>
      <c r="K92" s="67">
        <v>22358699725</v>
      </c>
      <c r="L92" s="64">
        <v>24060802395725</v>
      </c>
      <c r="M92" s="64">
        <v>17664148865078</v>
      </c>
      <c r="N92" s="64">
        <v>3768761522641</v>
      </c>
      <c r="O92" s="10">
        <v>1760434280304</v>
      </c>
      <c r="P92" s="10">
        <v>603684892575</v>
      </c>
      <c r="Q92" s="51">
        <v>2620</v>
      </c>
      <c r="R92" s="51">
        <f t="shared" si="1"/>
        <v>2.6545977866019146</v>
      </c>
      <c r="S92" s="51">
        <f t="shared" si="2"/>
        <v>0.5015661981051045</v>
      </c>
      <c r="T92" s="51">
        <f t="shared" si="3"/>
        <v>0.10007183144204174</v>
      </c>
      <c r="U92" s="58">
        <f t="shared" si="4"/>
        <v>0.20607844466908801</v>
      </c>
      <c r="V92" s="58">
        <f t="shared" si="5"/>
        <v>7.3166067006010777E-2</v>
      </c>
      <c r="W92" s="58">
        <f t="shared" si="6"/>
        <v>1.0305343511450382E-2</v>
      </c>
      <c r="X92" s="58">
        <f t="shared" si="7"/>
        <v>0.3429181647557743</v>
      </c>
      <c r="Y92" s="51">
        <f t="shared" si="8"/>
        <v>33.275762654078839</v>
      </c>
      <c r="Z92" s="51">
        <f t="shared" si="9"/>
        <v>6.8574174129302907</v>
      </c>
      <c r="AA92" s="52">
        <v>3</v>
      </c>
      <c r="AB92">
        <v>0</v>
      </c>
    </row>
    <row r="93" spans="1:28">
      <c r="A93" s="66">
        <v>2019</v>
      </c>
      <c r="B93" s="59" t="s">
        <v>487</v>
      </c>
      <c r="C93" s="49" t="s">
        <v>488</v>
      </c>
      <c r="D93" s="64">
        <v>12776102781513</v>
      </c>
      <c r="E93" s="64">
        <v>4674963819225</v>
      </c>
      <c r="F93" s="64">
        <v>19037918806473</v>
      </c>
      <c r="G93" s="10">
        <f t="shared" si="10"/>
        <v>3726359539201</v>
      </c>
      <c r="H93" s="64">
        <v>5411619071954</v>
      </c>
      <c r="I93" s="64">
        <v>9137978611155</v>
      </c>
      <c r="J93" s="64">
        <v>9899940195318</v>
      </c>
      <c r="K93" s="67">
        <v>22358699725</v>
      </c>
      <c r="L93" s="64">
        <v>25026739472547</v>
      </c>
      <c r="M93" s="64">
        <v>17109498526032</v>
      </c>
      <c r="N93" s="64">
        <v>4744976395481</v>
      </c>
      <c r="O93" s="10">
        <v>2039404206764</v>
      </c>
      <c r="P93" s="10">
        <v>648402292025</v>
      </c>
      <c r="Q93" s="51">
        <v>2050</v>
      </c>
      <c r="R93" s="51">
        <f t="shared" si="1"/>
        <v>3.4285748992037499</v>
      </c>
      <c r="S93" s="51">
        <f t="shared" si="2"/>
        <v>0.54663149121984889</v>
      </c>
      <c r="T93" s="51">
        <f t="shared" si="3"/>
        <v>0.10712327473896942</v>
      </c>
      <c r="U93" s="58">
        <f t="shared" si="4"/>
        <v>0.20600166935639669</v>
      </c>
      <c r="V93" s="58">
        <f t="shared" si="5"/>
        <v>8.1489009345429034E-2</v>
      </c>
      <c r="W93" s="58">
        <f t="shared" si="6"/>
        <v>1.4146341463414635E-2</v>
      </c>
      <c r="X93" s="58">
        <f t="shared" si="7"/>
        <v>0.31793711608246827</v>
      </c>
      <c r="Y93" s="51">
        <f t="shared" si="8"/>
        <v>22.474865102381376</v>
      </c>
      <c r="Z93" s="51">
        <f t="shared" si="9"/>
        <v>4.6298597296503878</v>
      </c>
      <c r="AA93" s="52">
        <v>3</v>
      </c>
      <c r="AB93">
        <v>0</v>
      </c>
    </row>
    <row r="94" spans="1:28">
      <c r="A94" s="66">
        <v>2020</v>
      </c>
      <c r="B94" s="66" t="s">
        <v>487</v>
      </c>
      <c r="C94" s="49" t="s">
        <v>488</v>
      </c>
      <c r="D94" s="64">
        <v>12838729162094</v>
      </c>
      <c r="E94" s="64">
        <v>6043201970326</v>
      </c>
      <c r="F94" s="64">
        <v>19777500514550</v>
      </c>
      <c r="G94" s="10">
        <f t="shared" si="10"/>
        <v>3475323711943</v>
      </c>
      <c r="H94" s="64">
        <v>5030708752649</v>
      </c>
      <c r="I94" s="64">
        <v>8506032464592</v>
      </c>
      <c r="J94" s="64">
        <v>11271468049958</v>
      </c>
      <c r="K94" s="67">
        <v>22358699725</v>
      </c>
      <c r="L94" s="64">
        <v>24476953742651</v>
      </c>
      <c r="M94" s="64">
        <v>17177830782966</v>
      </c>
      <c r="N94" s="64">
        <v>4468194765530</v>
      </c>
      <c r="O94" s="10">
        <v>2098168514645</v>
      </c>
      <c r="P94" s="10">
        <v>670760991750</v>
      </c>
      <c r="Q94" s="51">
        <v>2710</v>
      </c>
      <c r="R94" s="51">
        <f t="shared" si="1"/>
        <v>3.6942541835667053</v>
      </c>
      <c r="S94" s="51">
        <f t="shared" si="2"/>
        <v>0.44632240719235733</v>
      </c>
      <c r="T94" s="51">
        <f t="shared" si="3"/>
        <v>0.10608865933798915</v>
      </c>
      <c r="U94" s="58">
        <f t="shared" si="4"/>
        <v>0.18614864588582303</v>
      </c>
      <c r="V94" s="58">
        <f t="shared" si="5"/>
        <v>8.5720165046067359E-2</v>
      </c>
      <c r="W94" s="58">
        <f t="shared" si="6"/>
        <v>1.107011070110701E-2</v>
      </c>
      <c r="X94" s="58">
        <f t="shared" si="7"/>
        <v>0.31968880815251843</v>
      </c>
      <c r="Y94" s="51">
        <f t="shared" si="8"/>
        <v>28.878555669777501</v>
      </c>
      <c r="Z94" s="51">
        <f t="shared" si="9"/>
        <v>5.3757040330674384</v>
      </c>
      <c r="AA94" s="52">
        <v>3</v>
      </c>
      <c r="AB94">
        <v>0</v>
      </c>
    </row>
    <row r="95" spans="1:28">
      <c r="A95" s="66">
        <v>2018</v>
      </c>
      <c r="B95" s="66" t="s">
        <v>489</v>
      </c>
      <c r="C95" s="49" t="s">
        <v>490</v>
      </c>
      <c r="D95" s="64">
        <v>322856090927</v>
      </c>
      <c r="E95" s="64">
        <v>182939273529</v>
      </c>
      <c r="F95" s="64">
        <v>536474618119576</v>
      </c>
      <c r="G95" s="10">
        <f t="shared" si="10"/>
        <v>140400984686</v>
      </c>
      <c r="H95" s="64">
        <v>21288318855</v>
      </c>
      <c r="I95" s="64">
        <v>161689303541</v>
      </c>
      <c r="J95" s="64">
        <v>374784906962</v>
      </c>
      <c r="K95" s="67">
        <v>1230000000</v>
      </c>
      <c r="L95" s="64">
        <v>856750384301</v>
      </c>
      <c r="M95" s="64">
        <v>555042585618</v>
      </c>
      <c r="N95" s="64">
        <f>175978684559+22971515012+8891681794</f>
        <v>207841881365</v>
      </c>
      <c r="O95" s="10">
        <v>67479160972</v>
      </c>
      <c r="P95" s="10">
        <v>48666666666</v>
      </c>
      <c r="Q95" s="51">
        <v>0</v>
      </c>
      <c r="R95" s="51">
        <f t="shared" si="1"/>
        <v>2.2995286795819276</v>
      </c>
      <c r="S95" s="51">
        <f t="shared" si="2"/>
        <v>5.6801430526012227E-2</v>
      </c>
      <c r="T95" s="51">
        <f t="shared" si="3"/>
        <v>1.2578257888234224E-4</v>
      </c>
      <c r="U95" s="58">
        <f t="shared" si="4"/>
        <v>0.18004770127747383</v>
      </c>
      <c r="V95" s="58">
        <f t="shared" si="5"/>
        <v>7.8761751623904391E-2</v>
      </c>
      <c r="W95" s="58" t="e">
        <f>(P95/K95)/Q95</f>
        <v>#DIV/0!</v>
      </c>
      <c r="X95" s="58">
        <f t="shared" si="7"/>
        <v>0.72121031093130938</v>
      </c>
      <c r="Y95" s="51">
        <f t="shared" si="8"/>
        <v>0</v>
      </c>
      <c r="Z95" s="51">
        <f t="shared" si="9"/>
        <v>0</v>
      </c>
      <c r="AA95" s="52">
        <v>3</v>
      </c>
      <c r="AB95">
        <v>0</v>
      </c>
    </row>
    <row r="96" spans="1:28">
      <c r="A96" s="66">
        <v>2019</v>
      </c>
      <c r="B96" s="66" t="s">
        <v>489</v>
      </c>
      <c r="C96" s="49" t="s">
        <v>490</v>
      </c>
      <c r="D96" s="64">
        <v>498883575576</v>
      </c>
      <c r="E96" s="64">
        <v>138148991989</v>
      </c>
      <c r="F96" s="64">
        <v>167429811097</v>
      </c>
      <c r="G96" s="10">
        <f t="shared" si="10"/>
        <v>201269847299</v>
      </c>
      <c r="H96" s="64">
        <v>29349562487</v>
      </c>
      <c r="I96" s="64">
        <v>230619409786</v>
      </c>
      <c r="J96" s="64">
        <v>435693976887</v>
      </c>
      <c r="K96" s="67">
        <v>1230000000</v>
      </c>
      <c r="L96" s="64">
        <v>978806205312</v>
      </c>
      <c r="M96" s="64">
        <v>623784665515</v>
      </c>
      <c r="N96" s="64">
        <f>190933841644+23843523817+6822224341</f>
        <v>221599589802</v>
      </c>
      <c r="O96" s="10">
        <v>98047666143</v>
      </c>
      <c r="P96" s="10">
        <v>208000000000</v>
      </c>
      <c r="Q96" s="51">
        <v>940</v>
      </c>
      <c r="R96" s="51">
        <f t="shared" si="1"/>
        <v>2.4786801514032781</v>
      </c>
      <c r="S96" s="51">
        <f t="shared" si="2"/>
        <v>6.7362791417729412E-2</v>
      </c>
      <c r="T96" s="51">
        <f t="shared" si="3"/>
        <v>0.58560459156342448</v>
      </c>
      <c r="U96" s="58">
        <f t="shared" si="4"/>
        <v>0.22503791960481767</v>
      </c>
      <c r="V96" s="58">
        <f t="shared" si="5"/>
        <v>0.10017066259990327</v>
      </c>
      <c r="W96" s="58">
        <f t="shared" si="6"/>
        <v>0.17989967133713888</v>
      </c>
      <c r="X96" s="58">
        <f t="shared" si="7"/>
        <v>2.1214171451734236</v>
      </c>
      <c r="Y96" s="51">
        <f t="shared" si="8"/>
        <v>11.792223573314963</v>
      </c>
      <c r="Z96" s="51">
        <f t="shared" si="9"/>
        <v>2.6536974604536887</v>
      </c>
      <c r="AA96" s="52">
        <v>3</v>
      </c>
      <c r="AB96">
        <v>1</v>
      </c>
    </row>
    <row r="97" spans="1:28">
      <c r="A97" s="66">
        <v>2020</v>
      </c>
      <c r="B97" s="66" t="s">
        <v>489</v>
      </c>
      <c r="C97" s="49" t="s">
        <v>490</v>
      </c>
      <c r="D97" s="64">
        <v>500560734326</v>
      </c>
      <c r="E97" s="64">
        <v>131897013807</v>
      </c>
      <c r="F97" s="64">
        <v>674806910037</v>
      </c>
      <c r="G97" s="10">
        <f t="shared" si="10"/>
        <v>197366118342</v>
      </c>
      <c r="H97" s="64">
        <v>36539827577</v>
      </c>
      <c r="I97" s="64">
        <v>233905945919</v>
      </c>
      <c r="J97" s="64">
        <v>440900964118</v>
      </c>
      <c r="K97" s="67">
        <v>1500000000</v>
      </c>
      <c r="L97" s="64">
        <v>900852668263</v>
      </c>
      <c r="M97" s="64">
        <v>610850195613</v>
      </c>
      <c r="N97" s="64">
        <f>114037904664+27757363797+2119771465</f>
        <v>143915039926</v>
      </c>
      <c r="O97" s="10">
        <v>157207256439</v>
      </c>
      <c r="P97" s="10">
        <v>165500000000</v>
      </c>
      <c r="Q97" s="51">
        <v>1355</v>
      </c>
      <c r="R97" s="51">
        <f t="shared" si="1"/>
        <v>2.5362039773139697</v>
      </c>
      <c r="S97" s="51">
        <f t="shared" si="2"/>
        <v>8.2875363291836007E-2</v>
      </c>
      <c r="T97" s="51">
        <f t="shared" si="3"/>
        <v>0.23296628131798508</v>
      </c>
      <c r="U97" s="58">
        <f t="shared" si="4"/>
        <v>0.35655911243806221</v>
      </c>
      <c r="V97" s="58">
        <f t="shared" si="5"/>
        <v>0.17450939757121753</v>
      </c>
      <c r="W97" s="58">
        <f t="shared" si="6"/>
        <v>8.1426814268142675E-2</v>
      </c>
      <c r="X97" s="58">
        <f t="shared" si="7"/>
        <v>1.0527503866478185</v>
      </c>
      <c r="Y97" s="51">
        <f t="shared" si="8"/>
        <v>12.928792512759463</v>
      </c>
      <c r="Z97" s="51">
        <f t="shared" si="9"/>
        <v>4.609878783245378</v>
      </c>
      <c r="AA97" s="52">
        <v>3</v>
      </c>
      <c r="AB97">
        <v>1</v>
      </c>
    </row>
    <row r="98" spans="1:28">
      <c r="A98" s="66">
        <v>2018</v>
      </c>
      <c r="B98" s="66" t="s">
        <v>491</v>
      </c>
      <c r="C98" s="49" t="s">
        <v>492</v>
      </c>
      <c r="D98" s="64">
        <v>1228961000000</v>
      </c>
      <c r="E98" s="64">
        <v>1524061000000</v>
      </c>
      <c r="F98" s="64">
        <v>2889501000000</v>
      </c>
      <c r="G98" s="10">
        <f t="shared" si="10"/>
        <v>1578919000000</v>
      </c>
      <c r="H98" s="64">
        <v>143046000000</v>
      </c>
      <c r="I98" s="64">
        <v>1721965000000</v>
      </c>
      <c r="J98" s="64">
        <v>1167536000000</v>
      </c>
      <c r="K98" s="67">
        <v>2107000000</v>
      </c>
      <c r="L98" s="64">
        <v>3574801000000</v>
      </c>
      <c r="M98" s="64">
        <v>1364750000000</v>
      </c>
      <c r="N98" s="64">
        <f>338337000000+198772000000+15</f>
        <v>537109000015</v>
      </c>
      <c r="O98" s="10">
        <v>1224807000000</v>
      </c>
      <c r="P98" s="10">
        <v>1121756000000</v>
      </c>
      <c r="Q98" s="51">
        <v>16000</v>
      </c>
      <c r="R98" s="51">
        <f t="shared" si="1"/>
        <v>0.77835595112858857</v>
      </c>
      <c r="S98" s="51">
        <f t="shared" si="2"/>
        <v>0.12251956256595085</v>
      </c>
      <c r="T98" s="51">
        <f t="shared" si="3"/>
        <v>0.4238818398055581</v>
      </c>
      <c r="U98" s="58">
        <f t="shared" si="4"/>
        <v>1.0490528771703826</v>
      </c>
      <c r="V98" s="58">
        <f t="shared" si="5"/>
        <v>0.34262242849322244</v>
      </c>
      <c r="W98" s="58">
        <f t="shared" si="6"/>
        <v>3.3274679639297582E-2</v>
      </c>
      <c r="X98" s="58">
        <f t="shared" si="7"/>
        <v>0.91586347889912456</v>
      </c>
      <c r="Y98" s="51">
        <f t="shared" si="8"/>
        <v>27.524336487299628</v>
      </c>
      <c r="Z98" s="51">
        <f t="shared" si="9"/>
        <v>28.874484384207427</v>
      </c>
      <c r="AA98" s="52">
        <v>3</v>
      </c>
      <c r="AB98">
        <v>1</v>
      </c>
    </row>
    <row r="99" spans="1:28">
      <c r="A99" s="66">
        <v>2019</v>
      </c>
      <c r="B99" s="66" t="s">
        <v>491</v>
      </c>
      <c r="C99" s="49" t="s">
        <v>492</v>
      </c>
      <c r="D99" s="64">
        <v>1162802000000</v>
      </c>
      <c r="E99" s="64">
        <v>1559289000000</v>
      </c>
      <c r="F99" s="64">
        <v>2896950000000</v>
      </c>
      <c r="G99" s="10">
        <f t="shared" si="10"/>
        <v>1588693000000</v>
      </c>
      <c r="H99" s="64">
        <v>162250000000</v>
      </c>
      <c r="I99" s="64">
        <v>1750943000000</v>
      </c>
      <c r="J99" s="64">
        <v>1146007000000</v>
      </c>
      <c r="K99" s="67">
        <v>2107000000</v>
      </c>
      <c r="L99" s="64">
        <v>3711405000000</v>
      </c>
      <c r="M99" s="64">
        <v>1426351000000</v>
      </c>
      <c r="N99" s="64">
        <f>367927000000+207854000000</f>
        <v>575781000000</v>
      </c>
      <c r="O99" s="10">
        <v>1206059000000</v>
      </c>
      <c r="P99" s="10">
        <v>1224323000000</v>
      </c>
      <c r="Q99" s="51">
        <v>15500</v>
      </c>
      <c r="R99" s="51">
        <f t="shared" si="1"/>
        <v>0.73192366303621903</v>
      </c>
      <c r="S99" s="51">
        <f t="shared" si="2"/>
        <v>0.14157854184136745</v>
      </c>
      <c r="T99" s="51">
        <f t="shared" si="3"/>
        <v>0.41632026786793008</v>
      </c>
      <c r="U99" s="58">
        <f t="shared" si="4"/>
        <v>1.0524010760841775</v>
      </c>
      <c r="V99" s="58">
        <f t="shared" si="5"/>
        <v>0.32496022395831231</v>
      </c>
      <c r="W99" s="58">
        <f t="shared" si="6"/>
        <v>3.7488647672122108E-2</v>
      </c>
      <c r="X99" s="58">
        <f t="shared" si="7"/>
        <v>1.0151435377539573</v>
      </c>
      <c r="Y99" s="51">
        <f t="shared" si="8"/>
        <v>27.07869183845898</v>
      </c>
      <c r="Z99" s="51">
        <f t="shared" si="9"/>
        <v>28.497644429746064</v>
      </c>
      <c r="AA99" s="52">
        <v>3</v>
      </c>
      <c r="AB99">
        <v>1</v>
      </c>
    </row>
    <row r="100" spans="1:28">
      <c r="A100" s="66">
        <v>2020</v>
      </c>
      <c r="B100" s="66" t="s">
        <v>491</v>
      </c>
      <c r="C100" s="49" t="s">
        <v>492</v>
      </c>
      <c r="D100" s="64">
        <v>1189261000000</v>
      </c>
      <c r="E100" s="64">
        <v>1479447000000</v>
      </c>
      <c r="F100" s="64">
        <v>2907425000000</v>
      </c>
      <c r="G100" s="10">
        <f t="shared" si="10"/>
        <v>1338441000000</v>
      </c>
      <c r="H100" s="64">
        <v>135578000000</v>
      </c>
      <c r="I100" s="64">
        <v>1474019000000</v>
      </c>
      <c r="J100" s="64">
        <v>1433406000000</v>
      </c>
      <c r="K100" s="67">
        <v>2107000000</v>
      </c>
      <c r="L100" s="64">
        <v>1985009000000</v>
      </c>
      <c r="M100" s="64">
        <v>1044783000000</v>
      </c>
      <c r="N100" s="64">
        <f>257864000000+191970000000</f>
        <v>449834000000</v>
      </c>
      <c r="O100" s="10">
        <v>285617000000</v>
      </c>
      <c r="P100" s="10">
        <v>500000000</v>
      </c>
      <c r="Q100" s="51">
        <v>9700</v>
      </c>
      <c r="R100" s="51">
        <f t="shared" si="1"/>
        <v>0.8885419678566332</v>
      </c>
      <c r="S100" s="51">
        <f t="shared" si="2"/>
        <v>9.4584507111034832E-2</v>
      </c>
      <c r="T100" s="51">
        <f t="shared" si="3"/>
        <v>9.8237099839204797E-2</v>
      </c>
      <c r="U100" s="58">
        <f t="shared" si="4"/>
        <v>0.19925757252306744</v>
      </c>
      <c r="V100" s="58">
        <f t="shared" si="5"/>
        <v>0.14388700504632473</v>
      </c>
      <c r="W100" s="58">
        <f t="shared" si="6"/>
        <v>2.4464352991256439E-5</v>
      </c>
      <c r="X100" s="58">
        <f t="shared" si="7"/>
        <v>1.750596077964547E-3</v>
      </c>
      <c r="Y100" s="51">
        <f t="shared" si="8"/>
        <v>71.557015163663237</v>
      </c>
      <c r="Z100" s="51">
        <f t="shared" si="9"/>
        <v>14.258277138507861</v>
      </c>
      <c r="AA100" s="52">
        <v>3</v>
      </c>
      <c r="AB100">
        <v>0</v>
      </c>
    </row>
    <row r="101" spans="1:28">
      <c r="A101" s="6">
        <v>2018</v>
      </c>
      <c r="B101" s="6" t="s">
        <v>245</v>
      </c>
      <c r="C101" s="7" t="s">
        <v>246</v>
      </c>
      <c r="D101" s="10">
        <v>788973000000</v>
      </c>
      <c r="E101" s="10">
        <v>764532000000</v>
      </c>
      <c r="F101" s="10">
        <v>1816406000000</v>
      </c>
      <c r="G101" s="10">
        <f t="shared" si="10"/>
        <v>5177830000000</v>
      </c>
      <c r="H101" s="10">
        <v>89518000000</v>
      </c>
      <c r="I101" s="10">
        <v>5267348000000</v>
      </c>
      <c r="J101" s="10">
        <v>-3450942000000</v>
      </c>
      <c r="K101" s="8">
        <v>23450000000</v>
      </c>
      <c r="L101" s="10">
        <v>1583265000000</v>
      </c>
      <c r="M101" s="10">
        <v>1123521000000</v>
      </c>
      <c r="N101" s="9">
        <f>395353000000+91748000000</f>
        <v>487101000000</v>
      </c>
      <c r="O101" s="10">
        <v>-123513000000</v>
      </c>
      <c r="P101" s="10">
        <v>0</v>
      </c>
      <c r="Q101" s="51">
        <v>168</v>
      </c>
      <c r="R101" s="51">
        <f t="shared" si="1"/>
        <v>0.15237522282500585</v>
      </c>
      <c r="S101" s="51">
        <f t="shared" si="2"/>
        <v>-2.5940163584319876E-2</v>
      </c>
      <c r="T101" s="51">
        <f t="shared" si="3"/>
        <v>-6.7998564197651851E-2</v>
      </c>
      <c r="U101" s="58">
        <f t="shared" si="4"/>
        <v>3.5791097039590929E-2</v>
      </c>
      <c r="V101" s="58">
        <f t="shared" si="5"/>
        <v>-7.8011577341758967E-2</v>
      </c>
      <c r="W101" s="58">
        <f t="shared" si="6"/>
        <v>0</v>
      </c>
      <c r="X101" s="58">
        <f t="shared" si="7"/>
        <v>0</v>
      </c>
      <c r="Y101" s="51">
        <f t="shared" si="8"/>
        <v>-31.89623764300114</v>
      </c>
      <c r="Z101" s="51">
        <f t="shared" si="9"/>
        <v>-1.1416013366785067</v>
      </c>
      <c r="AA101" s="52">
        <v>3</v>
      </c>
      <c r="AB101">
        <v>0</v>
      </c>
    </row>
    <row r="102" spans="1:28">
      <c r="A102" s="6">
        <v>2019</v>
      </c>
      <c r="B102" s="6" t="s">
        <v>245</v>
      </c>
      <c r="C102" s="7" t="s">
        <v>246</v>
      </c>
      <c r="D102" s="10">
        <v>474261000000</v>
      </c>
      <c r="E102" s="10">
        <v>1150417000000</v>
      </c>
      <c r="F102" s="10">
        <v>1868966000000</v>
      </c>
      <c r="G102" s="10">
        <f t="shared" si="10"/>
        <v>1152923000000</v>
      </c>
      <c r="H102" s="10">
        <v>2373896000000</v>
      </c>
      <c r="I102" s="10">
        <v>3526819000000</v>
      </c>
      <c r="J102" s="10">
        <v>-1657853000000</v>
      </c>
      <c r="K102" s="8">
        <v>23450000000</v>
      </c>
      <c r="L102" s="10">
        <v>1510427000000</v>
      </c>
      <c r="M102" s="10">
        <v>1062970000000</v>
      </c>
      <c r="N102" s="9">
        <f>538628000000+322278000000</f>
        <v>860906000000</v>
      </c>
      <c r="O102" s="10">
        <v>1134776000000</v>
      </c>
      <c r="P102" s="10">
        <v>0</v>
      </c>
      <c r="Q102" s="51">
        <v>168</v>
      </c>
      <c r="R102" s="51">
        <f t="shared" si="1"/>
        <v>0.41135531167302586</v>
      </c>
      <c r="S102" s="51">
        <f t="shared" si="2"/>
        <v>-1.4319098255394176</v>
      </c>
      <c r="T102" s="51">
        <f t="shared" si="3"/>
        <v>0.60716781364669015</v>
      </c>
      <c r="U102" s="58">
        <f t="shared" si="4"/>
        <v>-0.68448529513774747</v>
      </c>
      <c r="V102" s="58">
        <f t="shared" si="5"/>
        <v>0.75129483252086993</v>
      </c>
      <c r="W102" s="58">
        <f t="shared" si="6"/>
        <v>0</v>
      </c>
      <c r="X102" s="58">
        <f t="shared" si="7"/>
        <v>0</v>
      </c>
      <c r="Y102" s="51">
        <f t="shared" si="8"/>
        <v>3.4716983792396032</v>
      </c>
      <c r="Z102" s="51">
        <f t="shared" si="9"/>
        <v>-2.3763264897430592</v>
      </c>
      <c r="AA102" s="52">
        <v>3</v>
      </c>
      <c r="AB102">
        <v>0</v>
      </c>
    </row>
    <row r="103" spans="1:28">
      <c r="A103" s="6">
        <v>2020</v>
      </c>
      <c r="B103" s="6" t="s">
        <v>245</v>
      </c>
      <c r="C103" s="7" t="s">
        <v>246</v>
      </c>
      <c r="D103" s="10">
        <v>695360000000</v>
      </c>
      <c r="E103" s="10">
        <v>1081687000000</v>
      </c>
      <c r="F103" s="10">
        <v>2011557000000</v>
      </c>
      <c r="G103" s="10">
        <f t="shared" si="10"/>
        <v>855449000000</v>
      </c>
      <c r="H103" s="10">
        <v>327851000000</v>
      </c>
      <c r="I103" s="10">
        <v>1183300000000</v>
      </c>
      <c r="J103" s="10">
        <v>828257000000</v>
      </c>
      <c r="K103" s="8">
        <v>23450000000</v>
      </c>
      <c r="L103" s="10">
        <v>1283331000000</v>
      </c>
      <c r="M103" s="10">
        <v>965172000000</v>
      </c>
      <c r="N103" s="9">
        <f>480135000000+7497000000</f>
        <v>487632000000</v>
      </c>
      <c r="O103" s="10">
        <v>1204972000000</v>
      </c>
      <c r="P103" s="10">
        <v>0</v>
      </c>
      <c r="Q103" s="51">
        <v>390</v>
      </c>
      <c r="R103" s="51">
        <f t="shared" si="1"/>
        <v>0.81285967953671112</v>
      </c>
      <c r="S103" s="51">
        <f t="shared" si="2"/>
        <v>0.39583245297051517</v>
      </c>
      <c r="T103" s="51">
        <f t="shared" si="3"/>
        <v>0.59902453671459477</v>
      </c>
      <c r="U103" s="58">
        <f t="shared" si="4"/>
        <v>1.4548286341075294</v>
      </c>
      <c r="V103" s="58">
        <f t="shared" si="5"/>
        <v>0.93894092794454431</v>
      </c>
      <c r="W103" s="58">
        <f t="shared" si="6"/>
        <v>0</v>
      </c>
      <c r="X103" s="58">
        <f t="shared" si="7"/>
        <v>0</v>
      </c>
      <c r="Y103" s="51">
        <f t="shared" si="8"/>
        <v>7.5898029165822942</v>
      </c>
      <c r="Z103" s="51">
        <f t="shared" si="9"/>
        <v>11.041862610276761</v>
      </c>
      <c r="AA103" s="52">
        <v>3</v>
      </c>
      <c r="AB103">
        <v>1</v>
      </c>
    </row>
    <row r="104" spans="1:28">
      <c r="A104" s="6">
        <v>2018</v>
      </c>
      <c r="B104" s="6" t="s">
        <v>249</v>
      </c>
      <c r="C104" s="7" t="s">
        <v>250</v>
      </c>
      <c r="D104" s="9">
        <v>1876409299238</v>
      </c>
      <c r="E104" s="10">
        <v>2222133112899</v>
      </c>
      <c r="F104" s="10">
        <v>4393810380883</v>
      </c>
      <c r="G104" s="10">
        <f t="shared" si="10"/>
        <v>525422150049</v>
      </c>
      <c r="H104" s="10">
        <v>951487110723</v>
      </c>
      <c r="I104" s="10">
        <v>1476909260772</v>
      </c>
      <c r="J104" s="10">
        <v>2916901120111</v>
      </c>
      <c r="K104" s="8">
        <v>17200000000</v>
      </c>
      <c r="L104" s="10">
        <v>2766545866684</v>
      </c>
      <c r="M104" s="10">
        <v>1274332759465</v>
      </c>
      <c r="N104" s="10">
        <f>1353753543617+2064517559</f>
        <v>1355818061176</v>
      </c>
      <c r="O104" s="10">
        <v>127171436363</v>
      </c>
      <c r="P104" s="10">
        <v>36005365328</v>
      </c>
      <c r="Q104" s="51">
        <v>1200</v>
      </c>
      <c r="R104" s="51">
        <f t="shared" si="1"/>
        <v>3.5712413324466987</v>
      </c>
      <c r="S104" s="51">
        <f t="shared" si="2"/>
        <v>0.32619793114097473</v>
      </c>
      <c r="T104" s="51">
        <f t="shared" si="3"/>
        <v>2.8943314649241429E-2</v>
      </c>
      <c r="U104" s="58">
        <f t="shared" si="4"/>
        <v>4.359813073065727E-2</v>
      </c>
      <c r="V104" s="58">
        <f t="shared" si="5"/>
        <v>4.5967586474692547E-2</v>
      </c>
      <c r="W104" s="58">
        <f>(P104/K104)/Q104</f>
        <v>1.7444459945736436E-3</v>
      </c>
      <c r="X104" s="58">
        <f t="shared" si="7"/>
        <v>0.28312462576286201</v>
      </c>
      <c r="Y104" s="51">
        <f t="shared" si="8"/>
        <v>162.30059666138303</v>
      </c>
      <c r="Z104" s="51">
        <f t="shared" si="9"/>
        <v>7.0760026309066539</v>
      </c>
      <c r="AA104" s="52">
        <v>3</v>
      </c>
      <c r="AB104">
        <v>0</v>
      </c>
    </row>
    <row r="105" spans="1:28">
      <c r="A105" s="6">
        <v>2019</v>
      </c>
      <c r="B105" s="6" t="s">
        <v>249</v>
      </c>
      <c r="C105" s="7" t="s">
        <v>250</v>
      </c>
      <c r="D105" s="9">
        <v>1874411044438</v>
      </c>
      <c r="E105" s="9">
        <v>2540413874692</v>
      </c>
      <c r="F105" s="10">
        <v>4682083844951</v>
      </c>
      <c r="G105" s="10">
        <f t="shared" si="10"/>
        <v>1106938318565</v>
      </c>
      <c r="H105" s="10">
        <v>482548147289</v>
      </c>
      <c r="I105" s="10">
        <v>1589486465854</v>
      </c>
      <c r="J105" s="10">
        <v>3092597379097</v>
      </c>
      <c r="K105" s="8">
        <v>17200000000</v>
      </c>
      <c r="L105" s="10">
        <v>3337022314624</v>
      </c>
      <c r="M105" s="10">
        <v>1487586425468</v>
      </c>
      <c r="N105" s="10">
        <f>1556060704391+5724203586+2223001439</f>
        <v>1564007909416</v>
      </c>
      <c r="O105" s="10">
        <v>236518557420</v>
      </c>
      <c r="P105" s="10">
        <v>59724779679</v>
      </c>
      <c r="Q105" s="51">
        <v>1300</v>
      </c>
      <c r="R105" s="51">
        <f t="shared" si="1"/>
        <v>1.6933292605390402</v>
      </c>
      <c r="S105" s="51">
        <f t="shared" si="2"/>
        <v>0.15603329115861117</v>
      </c>
      <c r="T105" s="51">
        <f t="shared" si="3"/>
        <v>5.0515660388067068E-2</v>
      </c>
      <c r="U105" s="58">
        <f t="shared" si="4"/>
        <v>7.6478936126195801E-2</v>
      </c>
      <c r="V105" s="58">
        <f t="shared" si="5"/>
        <v>7.0877127906365175E-2</v>
      </c>
      <c r="W105" s="58">
        <f t="shared" si="6"/>
        <v>2.6710545473613593E-3</v>
      </c>
      <c r="X105" s="58">
        <f t="shared" si="7"/>
        <v>0.25251625213045409</v>
      </c>
      <c r="Y105" s="51">
        <f t="shared" si="8"/>
        <v>94.538036439542566</v>
      </c>
      <c r="Z105" s="51">
        <f t="shared" si="9"/>
        <v>7.2301684503557473</v>
      </c>
      <c r="AA105" s="52">
        <v>3</v>
      </c>
      <c r="AB105">
        <v>0</v>
      </c>
    </row>
    <row r="106" spans="1:28">
      <c r="A106" s="6">
        <v>2020</v>
      </c>
      <c r="B106" s="6" t="s">
        <v>249</v>
      </c>
      <c r="C106" s="7" t="s">
        <v>250</v>
      </c>
      <c r="D106" s="9">
        <v>1549617329468</v>
      </c>
      <c r="E106" s="10">
        <v>2434486072405</v>
      </c>
      <c r="F106" s="10">
        <v>4452166671985</v>
      </c>
      <c r="G106" s="10">
        <f t="shared" si="10"/>
        <v>404567270700</v>
      </c>
      <c r="H106" s="10">
        <v>819928353554</v>
      </c>
      <c r="I106" s="10">
        <v>1224495624254</v>
      </c>
      <c r="J106" s="10">
        <v>3227671047731</v>
      </c>
      <c r="K106" s="8">
        <v>17200000000</v>
      </c>
      <c r="L106" s="10">
        <v>3212034546032</v>
      </c>
      <c r="M106" s="10">
        <v>1409870836152</v>
      </c>
      <c r="N106" s="10">
        <f>1598529737771+7485264504+18889290455</f>
        <v>1624904292730</v>
      </c>
      <c r="O106" s="10">
        <v>168610282478</v>
      </c>
      <c r="P106" s="10">
        <v>149528741987</v>
      </c>
      <c r="Q106" s="51">
        <v>1360</v>
      </c>
      <c r="R106" s="51">
        <f t="shared" si="1"/>
        <v>3.8303081877750129</v>
      </c>
      <c r="S106" s="51">
        <f t="shared" si="2"/>
        <v>0.25403095341156162</v>
      </c>
      <c r="T106" s="51">
        <f t="shared" si="3"/>
        <v>3.7871511760548052E-2</v>
      </c>
      <c r="U106" s="58">
        <f t="shared" si="4"/>
        <v>5.223899213537584E-2</v>
      </c>
      <c r="V106" s="58">
        <f t="shared" si="5"/>
        <v>5.249329671322913E-2</v>
      </c>
      <c r="W106" s="58">
        <f t="shared" si="6"/>
        <v>6.3923025815235983E-3</v>
      </c>
      <c r="X106" s="58">
        <f t="shared" si="7"/>
        <v>0.88683050517106077</v>
      </c>
      <c r="Y106" s="51">
        <f t="shared" si="8"/>
        <v>138.73412496685754</v>
      </c>
      <c r="Z106" s="51">
        <f t="shared" si="9"/>
        <v>7.2473308630519195</v>
      </c>
      <c r="AA106" s="52">
        <v>3</v>
      </c>
      <c r="AB106">
        <v>0</v>
      </c>
    </row>
    <row r="107" spans="1:28">
      <c r="A107" s="6">
        <v>2018</v>
      </c>
      <c r="B107" s="6" t="s">
        <v>251</v>
      </c>
      <c r="C107" s="7" t="s">
        <v>252</v>
      </c>
      <c r="D107" s="9">
        <v>851410216636</v>
      </c>
      <c r="E107" s="10">
        <v>582660258194</v>
      </c>
      <c r="F107" s="10">
        <v>1771365972009</v>
      </c>
      <c r="G107" s="10">
        <f t="shared" si="10"/>
        <v>615506825729</v>
      </c>
      <c r="H107" s="10">
        <v>115282593709</v>
      </c>
      <c r="I107" s="10">
        <v>730789419438</v>
      </c>
      <c r="J107" s="10">
        <v>1040576552571</v>
      </c>
      <c r="K107" s="8">
        <v>6500000000</v>
      </c>
      <c r="L107" s="10">
        <v>1953910957160</v>
      </c>
      <c r="M107" s="10">
        <v>1728304112505</v>
      </c>
      <c r="N107" s="10">
        <f>73318364644+107643678040</f>
        <v>180962042684</v>
      </c>
      <c r="O107" s="10">
        <v>15954632472</v>
      </c>
      <c r="P107" s="10">
        <v>0</v>
      </c>
      <c r="Q107" s="51">
        <v>695</v>
      </c>
      <c r="R107" s="51">
        <f t="shared" si="1"/>
        <v>1.3832668965573183</v>
      </c>
      <c r="S107" s="51">
        <f t="shared" si="2"/>
        <v>0.11078722985268699</v>
      </c>
      <c r="T107" s="51">
        <f t="shared" si="3"/>
        <v>9.0069656548189218E-3</v>
      </c>
      <c r="U107" s="58">
        <f t="shared" si="4"/>
        <v>1.5332492772953765E-2</v>
      </c>
      <c r="V107" s="58">
        <f t="shared" si="5"/>
        <v>8.1654859519238177E-3</v>
      </c>
      <c r="W107" s="58">
        <f t="shared" si="6"/>
        <v>0</v>
      </c>
      <c r="X107" s="58">
        <f t="shared" si="7"/>
        <v>0</v>
      </c>
      <c r="Y107" s="51">
        <f t="shared" si="8"/>
        <v>283.14660384237027</v>
      </c>
      <c r="Z107" s="51">
        <f t="shared" si="9"/>
        <v>4.3413432570995436</v>
      </c>
      <c r="AA107" s="52">
        <v>3</v>
      </c>
      <c r="AB107">
        <v>0</v>
      </c>
    </row>
    <row r="108" spans="1:28">
      <c r="A108" s="6">
        <v>2019</v>
      </c>
      <c r="B108" s="6" t="s">
        <v>251</v>
      </c>
      <c r="C108" s="7" t="s">
        <v>252</v>
      </c>
      <c r="D108" s="9">
        <v>889743651128</v>
      </c>
      <c r="E108" s="9">
        <v>602802562379</v>
      </c>
      <c r="F108" s="10">
        <v>1820383352811</v>
      </c>
      <c r="G108" s="10">
        <f t="shared" si="10"/>
        <v>668931501885</v>
      </c>
      <c r="H108" s="9">
        <v>115631469926</v>
      </c>
      <c r="I108" s="10">
        <v>784562971811</v>
      </c>
      <c r="J108" s="10">
        <v>1035820381000</v>
      </c>
      <c r="K108" s="8">
        <v>6500000000</v>
      </c>
      <c r="L108" s="10">
        <v>2104704872583</v>
      </c>
      <c r="M108" s="10">
        <v>1837650335553</v>
      </c>
      <c r="N108" s="10">
        <f>95900186652+120894683753+2695742567</f>
        <v>219490612972</v>
      </c>
      <c r="O108" s="10">
        <v>957169058</v>
      </c>
      <c r="P108" s="10">
        <v>0</v>
      </c>
      <c r="Q108" s="51">
        <v>410</v>
      </c>
      <c r="R108" s="51">
        <f t="shared" si="1"/>
        <v>1.3300968015720107</v>
      </c>
      <c r="S108" s="51">
        <f t="shared" si="2"/>
        <v>0.11163274255558407</v>
      </c>
      <c r="T108" s="51">
        <f t="shared" si="3"/>
        <v>5.2580631245718575E-4</v>
      </c>
      <c r="U108" s="58">
        <f t="shared" si="4"/>
        <v>9.2406856976103469E-4</v>
      </c>
      <c r="V108" s="58">
        <f t="shared" si="5"/>
        <v>4.5477590253559583E-4</v>
      </c>
      <c r="W108" s="58">
        <f t="shared" si="6"/>
        <v>0</v>
      </c>
      <c r="X108" s="58">
        <f t="shared" si="7"/>
        <v>0</v>
      </c>
      <c r="Y108" s="51">
        <f t="shared" si="8"/>
        <v>2784.2521420077078</v>
      </c>
      <c r="Z108" s="51">
        <f t="shared" si="9"/>
        <v>2.5728398947191597</v>
      </c>
      <c r="AA108" s="52">
        <v>3</v>
      </c>
      <c r="AB108">
        <v>0</v>
      </c>
    </row>
    <row r="109" spans="1:28">
      <c r="A109" s="6">
        <v>2020</v>
      </c>
      <c r="B109" s="6" t="s">
        <v>251</v>
      </c>
      <c r="C109" s="7" t="s">
        <v>252</v>
      </c>
      <c r="D109" s="9">
        <v>953792483691</v>
      </c>
      <c r="E109" s="10">
        <v>440748401586</v>
      </c>
      <c r="F109" s="10">
        <v>1768660546754</v>
      </c>
      <c r="G109" s="10">
        <f t="shared" si="10"/>
        <v>701020837232</v>
      </c>
      <c r="H109" s="10">
        <v>105658050187</v>
      </c>
      <c r="I109" s="10">
        <v>806678887419</v>
      </c>
      <c r="J109" s="10">
        <v>961981659335</v>
      </c>
      <c r="K109" s="8">
        <v>6500000000</v>
      </c>
      <c r="L109" s="10">
        <v>3165530224724</v>
      </c>
      <c r="M109" s="10">
        <v>2850011161450</v>
      </c>
      <c r="N109" s="10">
        <f>123892703496+123380975540+21272443611</f>
        <v>268546122647</v>
      </c>
      <c r="O109" s="10">
        <v>5415741808</v>
      </c>
      <c r="P109" s="10">
        <v>0</v>
      </c>
      <c r="Q109" s="51">
        <v>324</v>
      </c>
      <c r="R109" s="51">
        <f t="shared" si="1"/>
        <v>1.3605765093332687</v>
      </c>
      <c r="S109" s="51">
        <f t="shared" si="2"/>
        <v>0.10983374699683926</v>
      </c>
      <c r="T109" s="51">
        <f t="shared" si="3"/>
        <v>3.0620583570654309E-3</v>
      </c>
      <c r="U109" s="58">
        <f t="shared" si="4"/>
        <v>5.6297765715656173E-3</v>
      </c>
      <c r="V109" s="58">
        <f t="shared" si="5"/>
        <v>1.7108482382196157E-3</v>
      </c>
      <c r="W109" s="58">
        <f t="shared" si="6"/>
        <v>0</v>
      </c>
      <c r="X109" s="58">
        <f t="shared" si="7"/>
        <v>0</v>
      </c>
      <c r="Y109" s="51">
        <f t="shared" si="8"/>
        <v>388.86639626894117</v>
      </c>
      <c r="Z109" s="51">
        <f t="shared" si="9"/>
        <v>2.1892309271840364</v>
      </c>
      <c r="AA109" s="52">
        <v>3</v>
      </c>
      <c r="AB109">
        <v>0</v>
      </c>
    </row>
    <row r="110" spans="1:28">
      <c r="A110" s="6">
        <v>2018</v>
      </c>
      <c r="B110" s="6" t="s">
        <v>253</v>
      </c>
      <c r="C110" s="7" t="s">
        <v>254</v>
      </c>
      <c r="D110" s="9">
        <v>2793521000000</v>
      </c>
      <c r="E110" s="10">
        <v>1453135000000</v>
      </c>
      <c r="F110" s="10">
        <v>5555871000000</v>
      </c>
      <c r="G110" s="10">
        <f t="shared" si="10"/>
        <v>635161000000</v>
      </c>
      <c r="H110" s="9">
        <v>145754000000</v>
      </c>
      <c r="I110" s="10">
        <v>780915000000</v>
      </c>
      <c r="J110" s="10">
        <v>4774956000000</v>
      </c>
      <c r="K110" s="8">
        <v>30000000000</v>
      </c>
      <c r="L110" s="10">
        <v>5472882000000</v>
      </c>
      <c r="M110" s="10">
        <v>3516606000000</v>
      </c>
      <c r="N110" s="10">
        <f>196900000000+855358000000</f>
        <v>1052258000000</v>
      </c>
      <c r="O110" s="10">
        <v>701607000000</v>
      </c>
      <c r="P110" s="10">
        <v>159119000000</v>
      </c>
      <c r="Q110" s="51">
        <v>1350</v>
      </c>
      <c r="R110" s="51">
        <f t="shared" si="1"/>
        <v>4.398130552726002</v>
      </c>
      <c r="S110" s="51">
        <f t="shared" si="2"/>
        <v>3.0524679180289827E-2</v>
      </c>
      <c r="T110" s="51">
        <f t="shared" si="3"/>
        <v>0.12628208970294666</v>
      </c>
      <c r="U110" s="58">
        <f t="shared" si="4"/>
        <v>0.14693475709514392</v>
      </c>
      <c r="V110" s="58">
        <f t="shared" si="5"/>
        <v>0.12819699017811823</v>
      </c>
      <c r="W110" s="58">
        <f t="shared" si="6"/>
        <v>3.9288641975308639E-3</v>
      </c>
      <c r="X110" s="58">
        <f t="shared" si="7"/>
        <v>0.22679220703328218</v>
      </c>
      <c r="Y110" s="51">
        <f t="shared" si="8"/>
        <v>57.724623614074545</v>
      </c>
      <c r="Z110" s="51">
        <f t="shared" si="9"/>
        <v>8.4817535491426526</v>
      </c>
      <c r="AA110" s="52">
        <v>3</v>
      </c>
      <c r="AB110">
        <v>0</v>
      </c>
    </row>
    <row r="111" spans="1:28">
      <c r="A111" s="6">
        <v>2019</v>
      </c>
      <c r="B111" s="6" t="s">
        <v>253</v>
      </c>
      <c r="C111" s="7" t="s">
        <v>254</v>
      </c>
      <c r="D111" s="9">
        <v>3716641000000</v>
      </c>
      <c r="E111" s="10">
        <v>1556666000000</v>
      </c>
      <c r="F111" s="9">
        <v>6608422000000</v>
      </c>
      <c r="G111" s="10">
        <f t="shared" si="10"/>
        <v>836314000000</v>
      </c>
      <c r="H111" s="9">
        <v>116969000000</v>
      </c>
      <c r="I111" s="10">
        <v>953283000000</v>
      </c>
      <c r="J111" s="10">
        <v>5655139000000</v>
      </c>
      <c r="K111" s="8">
        <v>30000000000</v>
      </c>
      <c r="L111" s="10">
        <v>6223057000000</v>
      </c>
      <c r="M111" s="10">
        <v>3881051000000</v>
      </c>
      <c r="N111" s="10">
        <f>202883000000+908877000000</f>
        <v>1111760000000</v>
      </c>
      <c r="O111" s="10">
        <v>1035865000000</v>
      </c>
      <c r="P111" s="10">
        <v>149933000000</v>
      </c>
      <c r="Q111" s="51">
        <v>1680</v>
      </c>
      <c r="R111" s="51">
        <f t="shared" si="1"/>
        <v>4.4440736374136991</v>
      </c>
      <c r="S111" s="51">
        <f t="shared" si="2"/>
        <v>2.068366489311757E-2</v>
      </c>
      <c r="T111" s="51">
        <f t="shared" si="3"/>
        <v>0.15674922091839777</v>
      </c>
      <c r="U111" s="58">
        <f t="shared" si="4"/>
        <v>0.1831723322804267</v>
      </c>
      <c r="V111" s="58">
        <f t="shared" si="5"/>
        <v>0.16645597171936558</v>
      </c>
      <c r="W111" s="58">
        <f t="shared" si="6"/>
        <v>2.9748611111111108E-3</v>
      </c>
      <c r="X111" s="58">
        <f t="shared" si="7"/>
        <v>0.14474183411931091</v>
      </c>
      <c r="Y111" s="51">
        <f t="shared" si="8"/>
        <v>48.654988825763979</v>
      </c>
      <c r="Z111" s="51">
        <f t="shared" si="9"/>
        <v>8.9122477802932867</v>
      </c>
      <c r="AA111" s="52">
        <v>3</v>
      </c>
      <c r="AB111">
        <v>0</v>
      </c>
    </row>
    <row r="112" spans="1:28">
      <c r="A112" s="6">
        <v>2020</v>
      </c>
      <c r="B112" s="6" t="s">
        <v>253</v>
      </c>
      <c r="C112" s="7" t="s">
        <v>254</v>
      </c>
      <c r="D112" s="9">
        <v>5593421000000</v>
      </c>
      <c r="E112" s="10">
        <v>1715401000000</v>
      </c>
      <c r="F112" s="10">
        <v>8754116000000</v>
      </c>
      <c r="G112" s="10">
        <f t="shared" si="10"/>
        <v>2327339000000</v>
      </c>
      <c r="H112" s="9">
        <v>1645040000000</v>
      </c>
      <c r="I112" s="10">
        <v>3972379000000</v>
      </c>
      <c r="J112" s="10">
        <v>4781737000000</v>
      </c>
      <c r="K112" s="8">
        <v>30000000000</v>
      </c>
      <c r="L112" s="10">
        <v>5967362000000</v>
      </c>
      <c r="M112" s="10">
        <v>3738835000000</v>
      </c>
      <c r="N112" s="10">
        <f>773759000000+231175000000</f>
        <v>1004934000000</v>
      </c>
      <c r="O112" s="10">
        <v>1109666000000</v>
      </c>
      <c r="P112" s="10">
        <v>70536000000</v>
      </c>
      <c r="Q112" s="51">
        <v>1600</v>
      </c>
      <c r="R112" s="51">
        <f t="shared" si="1"/>
        <v>2.4033546466586948</v>
      </c>
      <c r="S112" s="51">
        <f t="shared" si="2"/>
        <v>0.34402561245003649</v>
      </c>
      <c r="T112" s="51">
        <f t="shared" si="3"/>
        <v>0.12675934383323229</v>
      </c>
      <c r="U112" s="58">
        <f t="shared" si="4"/>
        <v>0.23206336944085382</v>
      </c>
      <c r="V112" s="58">
        <f t="shared" si="5"/>
        <v>0.1859558712878488</v>
      </c>
      <c r="W112" s="58">
        <f t="shared" si="6"/>
        <v>1.4694999999999999E-3</v>
      </c>
      <c r="X112" s="58">
        <f t="shared" si="7"/>
        <v>6.3565072733597322E-2</v>
      </c>
      <c r="Y112" s="51">
        <f t="shared" si="8"/>
        <v>43.256259090573202</v>
      </c>
      <c r="Z112" s="51">
        <f t="shared" si="9"/>
        <v>10.03819323396498</v>
      </c>
      <c r="AA112" s="52">
        <v>3</v>
      </c>
      <c r="AB112">
        <v>0</v>
      </c>
    </row>
    <row r="113" spans="1:28">
      <c r="A113" s="6">
        <v>2018</v>
      </c>
      <c r="B113" s="6" t="s">
        <v>493</v>
      </c>
      <c r="C113" s="49" t="s">
        <v>494</v>
      </c>
      <c r="D113" s="64">
        <v>109504732067</v>
      </c>
      <c r="E113" s="64">
        <v>20070236365</v>
      </c>
      <c r="F113" s="64">
        <v>149593161546</v>
      </c>
      <c r="G113" s="10">
        <f t="shared" si="10"/>
        <v>91524875312</v>
      </c>
      <c r="H113" s="64">
        <v>18204157687</v>
      </c>
      <c r="I113" s="64">
        <v>109729032999</v>
      </c>
      <c r="J113" s="64">
        <v>39864128547</v>
      </c>
      <c r="K113" s="67">
        <v>410000000</v>
      </c>
      <c r="L113" s="64">
        <v>294974459837</v>
      </c>
      <c r="M113" s="64">
        <v>280921903141</v>
      </c>
      <c r="N113" s="64">
        <v>10402688202</v>
      </c>
      <c r="O113" s="10">
        <v>1175166829</v>
      </c>
      <c r="P113" s="10">
        <v>0</v>
      </c>
      <c r="Q113" s="51">
        <v>177</v>
      </c>
      <c r="R113" s="51">
        <f t="shared" si="1"/>
        <v>1.1964477601713011</v>
      </c>
      <c r="S113" s="51">
        <f t="shared" si="2"/>
        <v>0.45665510198064935</v>
      </c>
      <c r="T113" s="51">
        <f t="shared" si="3"/>
        <v>7.8557523409159002E-3</v>
      </c>
      <c r="U113" s="58">
        <f t="shared" si="4"/>
        <v>2.9479305627225054E-2</v>
      </c>
      <c r="V113" s="58">
        <f t="shared" si="5"/>
        <v>3.9839612882057165E-3</v>
      </c>
      <c r="W113" s="58">
        <f t="shared" si="6"/>
        <v>0</v>
      </c>
      <c r="X113" s="58">
        <f t="shared" si="7"/>
        <v>0</v>
      </c>
      <c r="Y113" s="51">
        <f t="shared" si="8"/>
        <v>61.752934314656358</v>
      </c>
      <c r="Z113" s="51">
        <f t="shared" si="9"/>
        <v>1.8204336240397083</v>
      </c>
      <c r="AA113" s="52">
        <v>3</v>
      </c>
      <c r="AB113">
        <v>0</v>
      </c>
    </row>
    <row r="114" spans="1:28">
      <c r="A114" s="6">
        <v>2019</v>
      </c>
      <c r="B114" s="6" t="s">
        <v>493</v>
      </c>
      <c r="C114" s="49" t="s">
        <v>494</v>
      </c>
      <c r="D114" s="64">
        <v>91858799351</v>
      </c>
      <c r="E114" s="64">
        <v>26479936122</v>
      </c>
      <c r="F114" s="64">
        <v>119708955785</v>
      </c>
      <c r="G114" s="10">
        <f t="shared" si="10"/>
        <v>61591309603</v>
      </c>
      <c r="H114" s="64">
        <v>18153246392</v>
      </c>
      <c r="I114" s="64">
        <v>79744555995</v>
      </c>
      <c r="J114" s="64">
        <v>39964399790</v>
      </c>
      <c r="K114" s="67">
        <v>410000000</v>
      </c>
      <c r="L114" s="64">
        <v>230646056647</v>
      </c>
      <c r="M114" s="64">
        <v>214744883946</v>
      </c>
      <c r="N114" s="64">
        <v>14783897082</v>
      </c>
      <c r="O114" s="10">
        <v>1236402757</v>
      </c>
      <c r="P114" s="10">
        <v>0</v>
      </c>
      <c r="Q114" s="51">
        <v>113</v>
      </c>
      <c r="R114" s="51">
        <f t="shared" si="1"/>
        <v>1.4914246822010377</v>
      </c>
      <c r="S114" s="51">
        <f t="shared" si="2"/>
        <v>0.45423543171896591</v>
      </c>
      <c r="T114" s="51">
        <f t="shared" si="3"/>
        <v>1.0328406499682509E-2</v>
      </c>
      <c r="U114" s="58">
        <f t="shared" si="4"/>
        <v>3.0937603554586E-2</v>
      </c>
      <c r="V114" s="58">
        <f t="shared" si="5"/>
        <v>5.3606065283496006E-3</v>
      </c>
      <c r="W114" s="58">
        <f t="shared" si="6"/>
        <v>0</v>
      </c>
      <c r="X114" s="58">
        <f t="shared" si="7"/>
        <v>0</v>
      </c>
      <c r="Y114" s="51">
        <f t="shared" si="8"/>
        <v>37.471608452584519</v>
      </c>
      <c r="Z114" s="51">
        <f t="shared" si="9"/>
        <v>1.1592817668587336</v>
      </c>
      <c r="AA114" s="52">
        <v>3</v>
      </c>
      <c r="AB114">
        <v>0</v>
      </c>
    </row>
    <row r="115" spans="1:28">
      <c r="A115" s="6">
        <v>2020</v>
      </c>
      <c r="B115" s="6" t="s">
        <v>493</v>
      </c>
      <c r="C115" s="49" t="s">
        <v>494</v>
      </c>
      <c r="D115" s="64">
        <v>86854604000</v>
      </c>
      <c r="E115" s="64">
        <v>24865991822</v>
      </c>
      <c r="F115" s="64">
        <v>112591210595</v>
      </c>
      <c r="G115" s="10">
        <f t="shared" si="10"/>
        <v>54985764683</v>
      </c>
      <c r="H115" s="64">
        <v>17640556856</v>
      </c>
      <c r="I115" s="64">
        <v>72626321539</v>
      </c>
      <c r="J115" s="64">
        <v>39964889056</v>
      </c>
      <c r="K115" s="67">
        <v>410000000</v>
      </c>
      <c r="L115" s="64">
        <v>180460605151</v>
      </c>
      <c r="M115" s="64">
        <v>164844653179</v>
      </c>
      <c r="N115" s="64">
        <v>12846383369</v>
      </c>
      <c r="O115" s="10">
        <v>224178056</v>
      </c>
      <c r="P115" s="10">
        <v>0</v>
      </c>
      <c r="Q115" s="51">
        <v>116</v>
      </c>
      <c r="R115" s="51">
        <f t="shared" si="1"/>
        <v>1.579583452203092</v>
      </c>
      <c r="S115" s="51">
        <f t="shared" si="2"/>
        <v>0.44140137187123235</v>
      </c>
      <c r="T115" s="51">
        <f t="shared" si="3"/>
        <v>1.991079541780461E-3</v>
      </c>
      <c r="U115" s="58">
        <f t="shared" si="4"/>
        <v>5.6093751614291979E-3</v>
      </c>
      <c r="V115" s="58">
        <f t="shared" si="5"/>
        <v>1.2422548168472534E-3</v>
      </c>
      <c r="W115" s="58">
        <f t="shared" si="6"/>
        <v>0</v>
      </c>
      <c r="X115" s="58">
        <f t="shared" si="7"/>
        <v>0</v>
      </c>
      <c r="Y115" s="51">
        <f t="shared" si="8"/>
        <v>212.15278983416647</v>
      </c>
      <c r="Z115" s="51">
        <f t="shared" si="9"/>
        <v>1.1900445897236822</v>
      </c>
      <c r="AA115" s="52">
        <v>3</v>
      </c>
      <c r="AB115">
        <v>0</v>
      </c>
    </row>
    <row r="116" spans="1:28">
      <c r="A116" s="6">
        <v>2018</v>
      </c>
      <c r="B116" s="6" t="s">
        <v>495</v>
      </c>
      <c r="C116" s="49" t="s">
        <v>496</v>
      </c>
      <c r="D116" s="64">
        <v>1250806822918</v>
      </c>
      <c r="E116" s="64">
        <v>1096143561950</v>
      </c>
      <c r="F116" s="64">
        <v>2631189810030</v>
      </c>
      <c r="G116" s="10">
        <f t="shared" si="10"/>
        <v>676673564908</v>
      </c>
      <c r="H116" s="64">
        <v>308128298170</v>
      </c>
      <c r="I116" s="64">
        <v>984801863078</v>
      </c>
      <c r="J116" s="64">
        <v>1646387946952</v>
      </c>
      <c r="K116" s="67">
        <v>1310000000</v>
      </c>
      <c r="L116" s="64">
        <v>2826957323397</v>
      </c>
      <c r="M116" s="64">
        <v>2207268926068</v>
      </c>
      <c r="N116" s="64">
        <f>168669440713+112859616510</f>
        <v>281529057223</v>
      </c>
      <c r="O116" s="10">
        <v>255088886019</v>
      </c>
      <c r="P116" s="10">
        <v>0</v>
      </c>
      <c r="Q116" s="51">
        <v>3750</v>
      </c>
      <c r="R116" s="51">
        <f t="shared" si="1"/>
        <v>1.8484641454673327</v>
      </c>
      <c r="S116" s="51">
        <f t="shared" si="2"/>
        <v>0.18715412654741903</v>
      </c>
      <c r="T116" s="51">
        <f t="shared" si="3"/>
        <v>9.6948112616813284E-2</v>
      </c>
      <c r="U116" s="58">
        <f t="shared" si="4"/>
        <v>0.15493850431257866</v>
      </c>
      <c r="V116" s="58">
        <f t="shared" si="5"/>
        <v>9.0234431170143611E-2</v>
      </c>
      <c r="W116" s="58">
        <f t="shared" si="6"/>
        <v>0</v>
      </c>
      <c r="X116" s="58">
        <f t="shared" si="7"/>
        <v>0</v>
      </c>
      <c r="Y116" s="51">
        <f t="shared" si="8"/>
        <v>19.25799307318351</v>
      </c>
      <c r="Z116" s="51">
        <f t="shared" si="9"/>
        <v>2.9838046428210538</v>
      </c>
      <c r="AA116" s="52">
        <v>3</v>
      </c>
      <c r="AB116">
        <v>0</v>
      </c>
    </row>
    <row r="117" spans="1:28">
      <c r="A117" s="6">
        <v>2019</v>
      </c>
      <c r="B117" s="6" t="s">
        <v>495</v>
      </c>
      <c r="C117" s="49" t="s">
        <v>496</v>
      </c>
      <c r="D117" s="64">
        <v>1165406301686</v>
      </c>
      <c r="E117" s="64">
        <v>1124520287704</v>
      </c>
      <c r="F117" s="64">
        <v>2881563083954</v>
      </c>
      <c r="G117" s="10">
        <f t="shared" si="10"/>
        <v>408490550651</v>
      </c>
      <c r="H117" s="64">
        <v>325065525323</v>
      </c>
      <c r="I117" s="64">
        <v>733556075974</v>
      </c>
      <c r="J117" s="64">
        <v>2148007007980</v>
      </c>
      <c r="K117" s="67">
        <v>1310000000</v>
      </c>
      <c r="L117" s="64">
        <v>3512509168853</v>
      </c>
      <c r="M117" s="64">
        <v>2559476265555</v>
      </c>
      <c r="N117" s="64">
        <f>217197578067+116602280672</f>
        <v>333799858739</v>
      </c>
      <c r="O117" s="10">
        <v>482590522840</v>
      </c>
      <c r="P117" s="10">
        <v>0</v>
      </c>
      <c r="Q117" s="51">
        <v>4500</v>
      </c>
      <c r="R117" s="51">
        <f t="shared" si="1"/>
        <v>2.852957797502842</v>
      </c>
      <c r="S117" s="51">
        <f t="shared" si="2"/>
        <v>0.15133354971159696</v>
      </c>
      <c r="T117" s="51">
        <f t="shared" si="3"/>
        <v>0.16747525866336505</v>
      </c>
      <c r="U117" s="58">
        <f t="shared" si="4"/>
        <v>0.22466897037446415</v>
      </c>
      <c r="V117" s="58">
        <f t="shared" si="5"/>
        <v>0.13739196102869919</v>
      </c>
      <c r="W117" s="58">
        <f t="shared" si="6"/>
        <v>0</v>
      </c>
      <c r="X117" s="58">
        <f t="shared" si="7"/>
        <v>0</v>
      </c>
      <c r="Y117" s="51">
        <f t="shared" si="8"/>
        <v>12.215324837521628</v>
      </c>
      <c r="Z117" s="51">
        <f t="shared" si="9"/>
        <v>2.7444044540356027</v>
      </c>
      <c r="AA117" s="52">
        <v>3</v>
      </c>
      <c r="AB117">
        <v>0</v>
      </c>
    </row>
    <row r="118" spans="1:28">
      <c r="A118" s="6">
        <v>2020</v>
      </c>
      <c r="B118" s="6" t="s">
        <v>495</v>
      </c>
      <c r="C118" s="49" t="s">
        <v>496</v>
      </c>
      <c r="D118" s="64">
        <v>1505872822478</v>
      </c>
      <c r="E118" s="64">
        <v>1538988540784</v>
      </c>
      <c r="F118" s="64">
        <v>3448995059882</v>
      </c>
      <c r="G118" s="10">
        <f t="shared" si="10"/>
        <v>626131203549</v>
      </c>
      <c r="H118" s="64">
        <v>149565657189</v>
      </c>
      <c r="I118" s="64">
        <v>775696860738</v>
      </c>
      <c r="J118" s="64">
        <v>2673298199144</v>
      </c>
      <c r="K118" s="67">
        <v>1310000000</v>
      </c>
      <c r="L118" s="64">
        <v>3846300254825</v>
      </c>
      <c r="M118" s="64">
        <v>2776101376253</v>
      </c>
      <c r="N118" s="64">
        <f>180762094952+140809830176</f>
        <v>321571925128</v>
      </c>
      <c r="O118" s="10">
        <v>628628879549</v>
      </c>
      <c r="P118" s="10">
        <v>0</v>
      </c>
      <c r="Q118" s="51">
        <v>9500</v>
      </c>
      <c r="R118" s="51">
        <f t="shared" si="1"/>
        <v>2.4050435658572842</v>
      </c>
      <c r="S118" s="51">
        <f t="shared" si="2"/>
        <v>5.5947988607066533E-2</v>
      </c>
      <c r="T118" s="51">
        <f t="shared" si="3"/>
        <v>0.18226436067162916</v>
      </c>
      <c r="U118" s="58">
        <f t="shared" si="4"/>
        <v>0.2351510503954588</v>
      </c>
      <c r="V118" s="58">
        <f t="shared" si="5"/>
        <v>0.16343728723736922</v>
      </c>
      <c r="W118" s="58">
        <f t="shared" si="6"/>
        <v>0</v>
      </c>
      <c r="X118" s="58">
        <f t="shared" si="7"/>
        <v>0</v>
      </c>
      <c r="Y118" s="51">
        <f t="shared" si="8"/>
        <v>19.797054199814159</v>
      </c>
      <c r="Z118" s="51">
        <f t="shared" si="9"/>
        <v>4.6552980898221286</v>
      </c>
      <c r="AA118" s="52">
        <v>3</v>
      </c>
      <c r="AB118">
        <v>0</v>
      </c>
    </row>
    <row r="119" spans="1:28">
      <c r="A119" s="6">
        <v>2018</v>
      </c>
      <c r="B119" s="6" t="s">
        <v>497</v>
      </c>
      <c r="C119" s="49" t="s">
        <v>498</v>
      </c>
      <c r="D119" s="64">
        <v>809166450672</v>
      </c>
      <c r="E119" s="64">
        <v>200024117988</v>
      </c>
      <c r="F119" s="64">
        <v>1168956042706</v>
      </c>
      <c r="G119" s="10">
        <f t="shared" si="10"/>
        <v>158255592250</v>
      </c>
      <c r="H119" s="64">
        <v>34052874614</v>
      </c>
      <c r="I119" s="64">
        <v>192308466864</v>
      </c>
      <c r="J119" s="64">
        <v>976647575842</v>
      </c>
      <c r="K119" s="67">
        <v>595000000</v>
      </c>
      <c r="L119" s="64">
        <v>3629327583572</v>
      </c>
      <c r="M119" s="64">
        <v>3354976550553</v>
      </c>
      <c r="N119" s="64">
        <f>77735839903+48951237291</f>
        <v>126687077194</v>
      </c>
      <c r="O119" s="10">
        <v>92649656775</v>
      </c>
      <c r="P119" s="10">
        <v>26711383500</v>
      </c>
      <c r="Q119" s="51">
        <v>1375</v>
      </c>
      <c r="R119" s="51">
        <f t="shared" si="1"/>
        <v>5.1130354331728203</v>
      </c>
      <c r="S119" s="51">
        <f t="shared" si="2"/>
        <v>3.486710606396775E-2</v>
      </c>
      <c r="T119" s="51">
        <f t="shared" si="3"/>
        <v>7.9258460874650688E-2</v>
      </c>
      <c r="U119" s="58">
        <f t="shared" si="4"/>
        <v>9.4864984121957902E-2</v>
      </c>
      <c r="V119" s="58">
        <f t="shared" si="5"/>
        <v>2.5528050208081191E-2</v>
      </c>
      <c r="W119" s="58">
        <f t="shared" si="6"/>
        <v>3.2649513827349125E-2</v>
      </c>
      <c r="X119" s="58">
        <f t="shared" si="7"/>
        <v>0.28830526123662481</v>
      </c>
      <c r="Y119" s="51">
        <f t="shared" si="8"/>
        <v>8.830307941526641</v>
      </c>
      <c r="Z119" s="51">
        <f t="shared" si="9"/>
        <v>0.83768702266492345</v>
      </c>
      <c r="AA119" s="52">
        <v>3</v>
      </c>
      <c r="AB119">
        <v>0</v>
      </c>
    </row>
    <row r="120" spans="1:28">
      <c r="A120" s="6">
        <v>2019</v>
      </c>
      <c r="B120" s="6" t="s">
        <v>497</v>
      </c>
      <c r="C120" s="49" t="s">
        <v>498</v>
      </c>
      <c r="D120" s="64">
        <v>1067652078121</v>
      </c>
      <c r="E120" s="64">
        <v>195283411192</v>
      </c>
      <c r="F120" s="64">
        <v>1393079542074</v>
      </c>
      <c r="G120" s="10">
        <f t="shared" si="10"/>
        <v>222440530626</v>
      </c>
      <c r="H120" s="64">
        <v>39344314614</v>
      </c>
      <c r="I120" s="64">
        <v>261784845240</v>
      </c>
      <c r="J120" s="64">
        <v>1131294696834</v>
      </c>
      <c r="K120" s="67">
        <v>595000000</v>
      </c>
      <c r="L120" s="64">
        <v>3120937098980</v>
      </c>
      <c r="M120" s="64">
        <v>2755574838991</v>
      </c>
      <c r="N120" s="64">
        <f>48951237291+44598253533</f>
        <v>93549490824</v>
      </c>
      <c r="O120" s="10">
        <v>215459200242</v>
      </c>
      <c r="P120" s="10">
        <v>59408630000</v>
      </c>
      <c r="Q120" s="51">
        <v>1670</v>
      </c>
      <c r="R120" s="51">
        <f t="shared" si="1"/>
        <v>4.7997191659108873</v>
      </c>
      <c r="S120" s="51">
        <f t="shared" si="2"/>
        <v>3.4778130511976729E-2</v>
      </c>
      <c r="T120" s="51">
        <f t="shared" si="3"/>
        <v>0.15466396119867423</v>
      </c>
      <c r="U120" s="58">
        <f t="shared" si="4"/>
        <v>0.19045364646804785</v>
      </c>
      <c r="V120" s="58">
        <f t="shared" si="5"/>
        <v>6.9036700647513036E-2</v>
      </c>
      <c r="W120" s="58">
        <f t="shared" si="6"/>
        <v>5.9788285613646651E-2</v>
      </c>
      <c r="X120" s="58">
        <f t="shared" si="7"/>
        <v>0.27573030036904095</v>
      </c>
      <c r="Y120" s="51">
        <f t="shared" si="8"/>
        <v>4.6117780019787951</v>
      </c>
      <c r="Z120" s="51">
        <f t="shared" si="9"/>
        <v>0.87832993717798957</v>
      </c>
      <c r="AA120" s="52">
        <v>3</v>
      </c>
      <c r="AB120">
        <v>0</v>
      </c>
    </row>
    <row r="121" spans="1:28">
      <c r="A121" s="6">
        <v>2020</v>
      </c>
      <c r="B121" s="6" t="s">
        <v>497</v>
      </c>
      <c r="C121" s="49" t="s">
        <v>498</v>
      </c>
      <c r="D121" s="64">
        <v>1266586465994</v>
      </c>
      <c r="E121" s="64">
        <v>204186009945</v>
      </c>
      <c r="F121" s="64">
        <v>1566673828068</v>
      </c>
      <c r="G121" s="10">
        <f t="shared" si="10"/>
        <v>271641005590</v>
      </c>
      <c r="H121" s="64">
        <v>34317827614</v>
      </c>
      <c r="I121" s="64">
        <v>305958833204</v>
      </c>
      <c r="J121" s="64">
        <v>1260714994864</v>
      </c>
      <c r="K121" s="67">
        <v>595000000</v>
      </c>
      <c r="L121" s="64">
        <v>3634297273749</v>
      </c>
      <c r="M121" s="64">
        <v>3299157338979</v>
      </c>
      <c r="N121" s="64">
        <f>79134141192+51430321036</f>
        <v>130564462228</v>
      </c>
      <c r="O121" s="10">
        <v>181812593992</v>
      </c>
      <c r="P121" s="10">
        <v>59416540000</v>
      </c>
      <c r="Q121" s="51">
        <v>1785</v>
      </c>
      <c r="R121" s="51">
        <f t="shared" si="1"/>
        <v>4.6627219010730503</v>
      </c>
      <c r="S121" s="51">
        <f t="shared" si="2"/>
        <v>2.7220924438756317E-2</v>
      </c>
      <c r="T121" s="51">
        <f t="shared" si="3"/>
        <v>0.11605006143251191</v>
      </c>
      <c r="U121" s="58">
        <f t="shared" si="4"/>
        <v>0.14421387445432352</v>
      </c>
      <c r="V121" s="58">
        <f t="shared" si="5"/>
        <v>5.0026891114619575E-2</v>
      </c>
      <c r="W121" s="58">
        <f t="shared" si="6"/>
        <v>5.594382694254172E-2</v>
      </c>
      <c r="X121" s="58">
        <f t="shared" si="7"/>
        <v>0.32680101358992991</v>
      </c>
      <c r="Y121" s="51">
        <f t="shared" si="8"/>
        <v>5.8415920299048851</v>
      </c>
      <c r="Z121" s="51">
        <f t="shared" si="9"/>
        <v>0.84243861961407995</v>
      </c>
      <c r="AA121" s="52">
        <v>3</v>
      </c>
      <c r="AB121">
        <v>0</v>
      </c>
    </row>
    <row r="122" spans="1:28">
      <c r="A122" s="6"/>
      <c r="D122" s="50"/>
      <c r="E122" s="50"/>
      <c r="F122" s="50"/>
      <c r="G122" s="16"/>
      <c r="H122" s="50"/>
      <c r="I122" s="50"/>
      <c r="J122" s="50"/>
      <c r="K122" s="51"/>
      <c r="L122" s="50"/>
      <c r="M122" s="50"/>
      <c r="N122" s="50"/>
      <c r="P122" s="50"/>
      <c r="Q122" s="51"/>
      <c r="R122" s="58"/>
      <c r="S122" s="58"/>
      <c r="T122" s="53"/>
      <c r="U122" s="58"/>
      <c r="V122" s="58"/>
      <c r="W122" s="58"/>
      <c r="X122" s="58"/>
      <c r="Y122" s="58"/>
      <c r="Z122" s="58"/>
      <c r="AA122" s="58"/>
    </row>
    <row r="123" spans="1:28">
      <c r="A123" s="6"/>
      <c r="D123" s="50"/>
      <c r="E123" s="50"/>
      <c r="F123" s="50"/>
      <c r="G123" s="16"/>
      <c r="H123" s="50"/>
      <c r="I123" s="50"/>
      <c r="J123" s="50"/>
      <c r="K123" s="51"/>
      <c r="L123" s="50"/>
      <c r="M123" s="50"/>
      <c r="N123" s="50"/>
      <c r="P123" s="50"/>
      <c r="Q123" s="51"/>
      <c r="R123" s="58"/>
      <c r="S123" s="58"/>
      <c r="T123" s="53"/>
      <c r="U123" s="58"/>
      <c r="V123" s="58"/>
      <c r="W123" s="58"/>
      <c r="X123" s="58"/>
      <c r="Y123" s="58"/>
      <c r="Z123" s="58"/>
      <c r="AA123" s="58"/>
    </row>
    <row r="124" spans="1:28">
      <c r="A124" s="6"/>
      <c r="D124" s="50"/>
      <c r="E124" s="50"/>
      <c r="F124" s="50"/>
      <c r="G124" s="16"/>
      <c r="H124" s="50"/>
      <c r="I124" s="50"/>
      <c r="J124" s="50"/>
      <c r="K124" s="51"/>
      <c r="L124" s="50"/>
      <c r="M124" s="50"/>
      <c r="N124" s="50"/>
      <c r="P124" s="50"/>
      <c r="Q124" s="51"/>
      <c r="R124" s="58"/>
      <c r="S124" s="58"/>
      <c r="T124" s="53"/>
      <c r="U124" s="58"/>
      <c r="V124" s="58"/>
      <c r="W124" s="58"/>
      <c r="X124" s="58"/>
      <c r="Y124" s="58"/>
      <c r="Z124" s="58"/>
      <c r="AA124" s="58"/>
    </row>
    <row r="125" spans="1:28">
      <c r="A125" s="6"/>
      <c r="D125" s="50"/>
      <c r="E125" s="50"/>
      <c r="F125" s="50"/>
      <c r="G125" s="16"/>
      <c r="H125" s="50"/>
      <c r="I125" s="50"/>
      <c r="J125" s="50"/>
      <c r="K125" s="51"/>
      <c r="L125" s="50"/>
      <c r="M125" s="50"/>
      <c r="N125" s="50"/>
      <c r="P125" s="50"/>
      <c r="Q125" s="51"/>
      <c r="R125" s="58"/>
      <c r="S125" s="58"/>
      <c r="T125" s="53"/>
      <c r="U125" s="58"/>
      <c r="V125" s="58"/>
      <c r="W125" s="58"/>
      <c r="X125" s="58"/>
      <c r="Y125" s="58"/>
      <c r="Z125" s="58"/>
      <c r="AA125" s="58"/>
    </row>
    <row r="126" spans="1:28">
      <c r="A126" s="6"/>
      <c r="D126" s="50"/>
      <c r="E126" s="50"/>
      <c r="F126" s="50"/>
      <c r="G126" s="16"/>
      <c r="H126" s="50"/>
      <c r="I126" s="50"/>
      <c r="J126" s="50"/>
      <c r="K126" s="51"/>
      <c r="L126" s="50"/>
      <c r="M126" s="50"/>
      <c r="N126" s="50"/>
      <c r="P126" s="50"/>
      <c r="Q126" s="51"/>
      <c r="R126" s="58"/>
      <c r="S126" s="58"/>
      <c r="T126" s="53"/>
      <c r="U126" s="58"/>
      <c r="V126" s="58"/>
      <c r="W126" s="58"/>
      <c r="X126" s="58"/>
      <c r="Y126" s="58"/>
      <c r="Z126" s="58"/>
      <c r="AA126" s="58"/>
    </row>
    <row r="127" spans="1:28">
      <c r="A127" s="6"/>
      <c r="D127" s="50"/>
      <c r="E127" s="50"/>
      <c r="F127" s="50"/>
      <c r="G127" s="16"/>
      <c r="H127" s="50"/>
      <c r="I127" s="50"/>
      <c r="J127" s="50"/>
      <c r="K127" s="51"/>
      <c r="L127" s="50"/>
      <c r="M127" s="50"/>
      <c r="N127" s="50"/>
      <c r="P127" s="50"/>
      <c r="Q127" s="51"/>
      <c r="R127" s="58"/>
      <c r="S127" s="58"/>
      <c r="T127" s="53"/>
      <c r="U127" s="58"/>
      <c r="V127" s="58"/>
      <c r="W127" s="58"/>
      <c r="X127" s="58"/>
      <c r="Y127" s="58"/>
      <c r="Z127" s="58"/>
      <c r="AA127" s="58"/>
    </row>
    <row r="128" spans="1:28">
      <c r="D128" s="50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P128" s="50"/>
      <c r="Q128" s="51"/>
      <c r="U128" s="58"/>
      <c r="V128" s="58"/>
      <c r="W128" s="58"/>
      <c r="X128" s="58"/>
      <c r="Y128" s="58"/>
      <c r="Z128" s="58"/>
      <c r="AA128" s="58"/>
    </row>
    <row r="129" spans="4:27">
      <c r="D129" s="50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P129" s="50"/>
      <c r="Q129" s="51"/>
      <c r="U129" s="58"/>
      <c r="V129" s="58"/>
      <c r="W129" s="58"/>
      <c r="X129" s="58"/>
      <c r="Y129" s="58"/>
      <c r="Z129" s="58"/>
      <c r="AA129" s="58"/>
    </row>
    <row r="130" spans="4:27">
      <c r="D130" s="50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P130" s="50"/>
      <c r="Q130" s="51"/>
      <c r="U130" s="58"/>
      <c r="V130" s="58"/>
      <c r="W130" s="58"/>
      <c r="X130" s="58"/>
      <c r="Y130" s="58"/>
      <c r="Z130" s="58"/>
      <c r="AA130" s="58"/>
    </row>
    <row r="131" spans="4:27">
      <c r="D131" s="50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P131" s="50"/>
      <c r="Q131" s="51"/>
      <c r="U131" s="58"/>
      <c r="V131" s="58"/>
      <c r="W131" s="58"/>
      <c r="X131" s="58"/>
      <c r="Y131" s="58"/>
      <c r="Z131" s="58"/>
      <c r="AA131" s="58"/>
    </row>
    <row r="132" spans="4:27">
      <c r="D132" s="50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P132" s="50"/>
      <c r="Q132" s="51"/>
      <c r="U132" s="58"/>
      <c r="V132" s="58"/>
      <c r="W132" s="58"/>
      <c r="X132" s="58"/>
      <c r="Y132" s="58"/>
      <c r="Z132" s="58"/>
      <c r="AA132" s="58"/>
    </row>
    <row r="133" spans="4:27">
      <c r="D133" s="50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P133" s="50"/>
      <c r="Q133" s="51"/>
      <c r="U133" s="58"/>
      <c r="V133" s="58"/>
      <c r="W133" s="58"/>
      <c r="X133" s="58"/>
      <c r="Y133" s="58"/>
      <c r="Z133" s="58"/>
      <c r="AA133" s="58"/>
    </row>
    <row r="134" spans="4:27">
      <c r="D134" s="50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P134" s="50"/>
      <c r="Q134" s="51"/>
      <c r="U134" s="58"/>
      <c r="V134" s="58"/>
      <c r="W134" s="58"/>
      <c r="X134" s="58"/>
      <c r="Y134" s="58"/>
      <c r="Z134" s="58"/>
      <c r="AA134" s="58"/>
    </row>
    <row r="135" spans="4:27">
      <c r="D135" s="50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P135" s="50"/>
      <c r="Q135" s="51"/>
      <c r="U135" s="58"/>
      <c r="V135" s="58"/>
      <c r="W135" s="58"/>
      <c r="X135" s="58"/>
      <c r="Y135" s="58"/>
      <c r="Z135" s="58"/>
      <c r="AA135" s="58"/>
    </row>
    <row r="136" spans="4:27">
      <c r="D136" s="50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P136" s="50"/>
      <c r="Q136" s="51"/>
      <c r="U136" s="58"/>
      <c r="V136" s="58"/>
      <c r="W136" s="58"/>
      <c r="X136" s="58"/>
      <c r="Y136" s="58"/>
      <c r="Z136" s="58"/>
      <c r="AA136" s="58"/>
    </row>
    <row r="137" spans="4:27">
      <c r="D137" s="50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P137" s="50"/>
      <c r="Q137" s="51"/>
      <c r="U137" s="58"/>
      <c r="V137" s="58"/>
      <c r="W137" s="58"/>
      <c r="X137" s="58"/>
      <c r="Y137" s="58"/>
      <c r="Z137" s="58"/>
      <c r="AA137" s="58"/>
    </row>
    <row r="138" spans="4:27">
      <c r="D138" s="50"/>
      <c r="E138" s="50"/>
      <c r="F138" s="50"/>
      <c r="G138" s="50"/>
      <c r="H138" s="50"/>
      <c r="I138" s="50"/>
      <c r="J138" s="50"/>
      <c r="K138" s="51"/>
      <c r="L138" s="50"/>
      <c r="M138" s="50"/>
      <c r="N138" s="50"/>
      <c r="P138" s="50"/>
      <c r="Q138" s="51"/>
      <c r="U138" s="58"/>
      <c r="V138" s="58"/>
      <c r="W138" s="58"/>
      <c r="X138" s="58"/>
      <c r="Y138" s="58"/>
      <c r="Z138" s="58"/>
      <c r="AA138" s="58"/>
    </row>
    <row r="139" spans="4:27">
      <c r="D139" s="50"/>
      <c r="E139" s="50"/>
      <c r="F139" s="50"/>
      <c r="G139" s="50"/>
      <c r="H139" s="50"/>
      <c r="I139" s="50"/>
      <c r="J139" s="50"/>
      <c r="K139" s="51"/>
      <c r="L139" s="50"/>
      <c r="M139" s="50"/>
      <c r="N139" s="50"/>
      <c r="P139" s="50"/>
      <c r="Q139" s="51"/>
      <c r="U139" s="58"/>
      <c r="V139" s="58"/>
      <c r="W139" s="58"/>
      <c r="X139" s="58"/>
      <c r="Y139" s="58"/>
      <c r="Z139" s="58"/>
      <c r="AA139" s="58"/>
    </row>
    <row r="140" spans="4:27">
      <c r="D140" s="50"/>
      <c r="E140" s="50"/>
      <c r="F140" s="50"/>
      <c r="G140" s="50"/>
      <c r="H140" s="50"/>
      <c r="I140" s="50"/>
      <c r="J140" s="50"/>
      <c r="K140" s="51"/>
      <c r="L140" s="50"/>
      <c r="M140" s="50"/>
      <c r="N140" s="50"/>
      <c r="P140" s="50"/>
      <c r="Q140" s="51"/>
      <c r="U140" s="58"/>
      <c r="V140" s="58"/>
      <c r="W140" s="58"/>
      <c r="X140" s="58"/>
      <c r="Y140" s="58"/>
      <c r="Z140" s="58"/>
      <c r="AA140" s="58"/>
    </row>
    <row r="141" spans="4:27">
      <c r="K141" s="51"/>
      <c r="P141" s="50"/>
      <c r="Q141" s="51"/>
      <c r="U141" s="58"/>
      <c r="V141" s="58"/>
      <c r="W141" s="58"/>
      <c r="X141" s="58"/>
      <c r="Y141" s="58"/>
      <c r="Z141" s="58"/>
      <c r="AA141" s="58"/>
    </row>
    <row r="142" spans="4:27">
      <c r="K142" s="51"/>
      <c r="P142" s="50"/>
      <c r="Q142" s="51"/>
      <c r="U142" s="58"/>
      <c r="V142" s="58"/>
      <c r="W142" s="58"/>
      <c r="X142" s="58"/>
      <c r="Y142" s="58"/>
      <c r="Z142" s="58"/>
      <c r="AA142" s="58"/>
    </row>
    <row r="143" spans="4:27">
      <c r="K143" s="51"/>
      <c r="P143" s="50"/>
      <c r="Q143" s="51"/>
      <c r="U143" s="58"/>
      <c r="V143" s="58"/>
      <c r="W143" s="58"/>
      <c r="X143" s="58"/>
      <c r="Y143" s="58"/>
      <c r="Z143" s="58"/>
      <c r="AA143" s="58"/>
    </row>
    <row r="144" spans="4:27">
      <c r="K144" s="51"/>
      <c r="P144" s="50"/>
      <c r="Q144" s="51"/>
      <c r="U144" s="58"/>
      <c r="V144" s="58"/>
      <c r="W144" s="58"/>
      <c r="X144" s="58"/>
      <c r="Y144" s="58"/>
      <c r="Z144" s="58"/>
      <c r="AA144" s="58"/>
    </row>
    <row r="145" spans="11:27">
      <c r="K145" s="51"/>
      <c r="P145" s="50"/>
      <c r="Q145" s="51"/>
      <c r="U145" s="58"/>
      <c r="V145" s="58"/>
      <c r="W145" s="58"/>
      <c r="X145" s="58"/>
      <c r="Y145" s="58"/>
      <c r="Z145" s="58"/>
      <c r="AA145" s="58"/>
    </row>
    <row r="146" spans="11:27">
      <c r="K146" s="51"/>
      <c r="P146" s="50"/>
      <c r="Q146" s="51"/>
      <c r="U146" s="58"/>
      <c r="V146" s="58"/>
      <c r="W146" s="58"/>
      <c r="X146" s="58"/>
      <c r="Y146" s="58"/>
      <c r="Z146" s="58"/>
      <c r="AA146" s="58"/>
    </row>
    <row r="147" spans="11:27">
      <c r="K147" s="51"/>
      <c r="P147" s="50"/>
      <c r="Q147" s="51"/>
      <c r="U147" s="58"/>
      <c r="V147" s="58"/>
      <c r="W147" s="58"/>
      <c r="X147" s="58"/>
      <c r="Y147" s="58"/>
      <c r="Z147" s="58"/>
      <c r="AA147" s="58"/>
    </row>
    <row r="148" spans="11:27">
      <c r="K148" s="51"/>
      <c r="P148" s="50"/>
      <c r="Q148" s="51"/>
      <c r="U148" s="58"/>
      <c r="V148" s="58"/>
      <c r="W148" s="58"/>
      <c r="X148" s="58"/>
      <c r="Y148" s="58"/>
      <c r="Z148" s="58"/>
      <c r="AA148" s="58"/>
    </row>
    <row r="149" spans="11:27">
      <c r="K149" s="51"/>
      <c r="P149" s="50"/>
      <c r="Q149" s="51"/>
      <c r="U149" s="58"/>
      <c r="V149" s="58"/>
      <c r="W149" s="58"/>
      <c r="X149" s="58"/>
      <c r="Y149" s="58"/>
      <c r="Z149" s="58"/>
      <c r="AA149" s="58"/>
    </row>
    <row r="150" spans="11:27">
      <c r="K150" s="51"/>
      <c r="P150" s="50"/>
      <c r="Q150" s="51"/>
      <c r="U150" s="58"/>
      <c r="V150" s="58"/>
      <c r="W150" s="58"/>
      <c r="X150" s="58"/>
      <c r="Y150" s="58"/>
      <c r="Z150" s="58"/>
      <c r="AA150" s="58"/>
    </row>
    <row r="151" spans="11:27">
      <c r="K151" s="51"/>
      <c r="P151" s="50"/>
      <c r="Q151" s="51"/>
      <c r="U151" s="58"/>
      <c r="V151" s="58"/>
      <c r="W151" s="58"/>
      <c r="X151" s="58"/>
      <c r="Y151" s="58"/>
      <c r="Z151" s="58"/>
      <c r="AA151" s="58"/>
    </row>
    <row r="152" spans="11:27">
      <c r="K152" s="51"/>
      <c r="P152" s="50"/>
      <c r="Q152" s="51"/>
      <c r="U152" s="58"/>
      <c r="V152" s="58"/>
      <c r="W152" s="58"/>
      <c r="X152" s="58"/>
      <c r="Y152" s="58"/>
      <c r="Z152" s="58"/>
      <c r="AA152" s="58"/>
    </row>
    <row r="153" spans="11:27">
      <c r="K153" s="51"/>
      <c r="P153" s="50"/>
      <c r="Q153" s="51"/>
      <c r="U153" s="58"/>
      <c r="V153" s="58"/>
      <c r="W153" s="58"/>
      <c r="X153" s="58"/>
      <c r="Y153" s="58"/>
      <c r="Z153" s="58"/>
      <c r="AA153" s="58"/>
    </row>
    <row r="154" spans="11:27">
      <c r="K154" s="51"/>
      <c r="P154" s="50"/>
      <c r="Q154" s="51"/>
      <c r="U154" s="58"/>
      <c r="V154" s="58"/>
      <c r="W154" s="58"/>
      <c r="X154" s="58"/>
      <c r="Y154" s="58"/>
      <c r="Z154" s="58"/>
      <c r="AA154" s="58"/>
    </row>
    <row r="155" spans="11:27">
      <c r="K155" s="51"/>
      <c r="P155" s="50"/>
      <c r="Q155" s="51"/>
      <c r="U155" s="58"/>
      <c r="V155" s="58"/>
      <c r="W155" s="58"/>
      <c r="X155" s="58"/>
      <c r="Y155" s="58"/>
      <c r="Z155" s="58"/>
      <c r="AA155" s="58"/>
    </row>
    <row r="156" spans="11:27">
      <c r="K156" s="51"/>
      <c r="P156" s="50"/>
      <c r="Q156" s="51"/>
      <c r="U156" s="58"/>
      <c r="V156" s="58"/>
      <c r="W156" s="58"/>
      <c r="X156" s="58"/>
      <c r="Y156" s="58"/>
      <c r="Z156" s="58"/>
      <c r="AA156" s="58"/>
    </row>
    <row r="157" spans="11:27">
      <c r="K157" s="51"/>
      <c r="P157" s="50"/>
      <c r="Q157" s="51"/>
      <c r="U157" s="58"/>
      <c r="V157" s="58"/>
      <c r="W157" s="58"/>
      <c r="X157" s="58"/>
      <c r="Y157" s="58"/>
      <c r="Z157" s="58"/>
      <c r="AA157" s="58"/>
    </row>
    <row r="158" spans="11:27">
      <c r="K158" s="51"/>
      <c r="P158" s="50"/>
      <c r="Q158" s="51"/>
      <c r="U158" s="58"/>
      <c r="V158" s="58"/>
      <c r="W158" s="58"/>
      <c r="X158" s="58"/>
      <c r="Y158" s="58"/>
      <c r="Z158" s="58"/>
      <c r="AA158" s="58"/>
    </row>
    <row r="159" spans="11:27">
      <c r="K159" s="51"/>
      <c r="P159" s="50"/>
      <c r="Q159" s="51"/>
      <c r="U159" s="58"/>
      <c r="V159" s="58"/>
      <c r="W159" s="58"/>
      <c r="X159" s="58"/>
      <c r="Y159" s="58"/>
      <c r="Z159" s="58"/>
      <c r="AA159" s="58"/>
    </row>
    <row r="160" spans="11:27">
      <c r="K160" s="51"/>
      <c r="P160" s="50"/>
      <c r="Q160" s="51"/>
      <c r="U160" s="58"/>
      <c r="V160" s="58"/>
      <c r="W160" s="58"/>
      <c r="X160" s="58"/>
      <c r="Y160" s="58"/>
      <c r="Z160" s="58"/>
      <c r="AA160" s="58"/>
    </row>
    <row r="161" spans="11:27">
      <c r="K161" s="51"/>
      <c r="P161" s="50"/>
      <c r="Q161" s="51"/>
      <c r="U161" s="58"/>
      <c r="V161" s="58"/>
      <c r="W161" s="58"/>
      <c r="X161" s="58"/>
      <c r="Y161" s="58"/>
      <c r="Z161" s="58"/>
      <c r="AA161" s="58"/>
    </row>
    <row r="162" spans="11:27">
      <c r="K162" s="51"/>
      <c r="P162" s="50"/>
      <c r="Q162" s="51"/>
      <c r="U162" s="58"/>
      <c r="V162" s="58"/>
      <c r="W162" s="58"/>
      <c r="X162" s="58"/>
      <c r="Y162" s="58"/>
      <c r="Z162" s="58"/>
      <c r="AA162" s="58"/>
    </row>
    <row r="163" spans="11:27">
      <c r="K163" s="51"/>
      <c r="P163" s="50"/>
      <c r="Q163" s="51"/>
      <c r="U163" s="58"/>
      <c r="V163" s="58"/>
      <c r="W163" s="58"/>
      <c r="X163" s="58"/>
      <c r="Y163" s="58"/>
      <c r="Z163" s="58"/>
      <c r="AA163" s="58"/>
    </row>
    <row r="164" spans="11:27">
      <c r="K164" s="51"/>
      <c r="P164" s="50"/>
      <c r="Q164" s="51"/>
      <c r="U164" s="58"/>
      <c r="V164" s="58"/>
      <c r="W164" s="58"/>
      <c r="X164" s="58"/>
      <c r="Y164" s="58"/>
      <c r="Z164" s="58"/>
      <c r="AA164" s="58"/>
    </row>
    <row r="165" spans="11:27">
      <c r="K165" s="51"/>
      <c r="P165" s="50"/>
      <c r="Q165" s="51"/>
      <c r="U165" s="58"/>
      <c r="V165" s="58"/>
      <c r="W165" s="58"/>
      <c r="X165" s="58"/>
      <c r="Y165" s="58"/>
      <c r="Z165" s="58"/>
      <c r="AA165" s="58"/>
    </row>
    <row r="166" spans="11:27">
      <c r="K166" s="51"/>
      <c r="P166" s="50"/>
      <c r="Q166" s="51"/>
      <c r="U166" s="58"/>
      <c r="V166" s="58"/>
      <c r="W166" s="58"/>
      <c r="X166" s="58"/>
      <c r="Y166" s="58"/>
      <c r="Z166" s="58"/>
      <c r="AA166" s="58"/>
    </row>
    <row r="167" spans="11:27">
      <c r="K167" s="51"/>
      <c r="P167" s="50"/>
      <c r="Q167" s="51"/>
      <c r="U167" s="58"/>
      <c r="V167" s="58"/>
      <c r="W167" s="58"/>
      <c r="X167" s="58"/>
      <c r="Y167" s="58"/>
      <c r="Z167" s="58"/>
      <c r="AA167" s="58"/>
    </row>
    <row r="168" spans="11:27">
      <c r="K168" s="51"/>
      <c r="P168" s="50"/>
      <c r="Q168" s="51"/>
      <c r="U168" s="58"/>
      <c r="V168" s="58"/>
      <c r="W168" s="58"/>
      <c r="X168" s="58"/>
      <c r="Y168" s="58"/>
      <c r="Z168" s="58"/>
      <c r="AA168" s="58"/>
    </row>
    <row r="169" spans="11:27">
      <c r="K169" s="51"/>
      <c r="P169" s="50"/>
      <c r="Q169" s="51"/>
      <c r="U169" s="58"/>
      <c r="V169" s="58"/>
      <c r="W169" s="58"/>
      <c r="X169" s="58"/>
      <c r="Y169" s="58"/>
      <c r="Z169" s="58"/>
      <c r="AA169" s="58"/>
    </row>
    <row r="170" spans="11:27">
      <c r="K170" s="51"/>
      <c r="P170" s="50"/>
      <c r="Q170" s="51"/>
      <c r="U170" s="58"/>
      <c r="V170" s="58"/>
      <c r="W170" s="58"/>
      <c r="X170" s="58"/>
      <c r="Y170" s="58"/>
      <c r="Z170" s="58"/>
      <c r="AA170" s="58"/>
    </row>
    <row r="171" spans="11:27">
      <c r="K171" s="51"/>
      <c r="P171" s="50"/>
      <c r="Q171" s="51"/>
      <c r="U171" s="58"/>
      <c r="V171" s="58"/>
      <c r="W171" s="58"/>
      <c r="X171" s="58"/>
      <c r="Y171" s="58"/>
      <c r="Z171" s="58"/>
      <c r="AA171" s="58"/>
    </row>
    <row r="172" spans="11:27">
      <c r="K172" s="51"/>
      <c r="P172" s="50"/>
      <c r="Q172" s="51"/>
      <c r="U172" s="58"/>
      <c r="V172" s="58"/>
      <c r="W172" s="58"/>
      <c r="X172" s="58"/>
      <c r="Y172" s="58"/>
      <c r="Z172" s="58"/>
      <c r="AA172" s="58"/>
    </row>
    <row r="173" spans="11:27">
      <c r="K173" s="51"/>
      <c r="P173" s="50"/>
      <c r="Q173" s="51"/>
      <c r="U173" s="58"/>
      <c r="V173" s="58"/>
      <c r="W173" s="58"/>
      <c r="X173" s="58"/>
      <c r="Y173" s="58"/>
      <c r="Z173" s="58"/>
      <c r="AA173" s="58"/>
    </row>
    <row r="174" spans="11:27">
      <c r="K174" s="51"/>
      <c r="P174" s="50"/>
      <c r="Q174" s="51"/>
      <c r="U174" s="58"/>
      <c r="V174" s="58"/>
      <c r="W174" s="58"/>
      <c r="X174" s="58"/>
      <c r="Y174" s="58"/>
      <c r="Z174" s="58"/>
      <c r="AA174" s="58"/>
    </row>
    <row r="175" spans="11:27">
      <c r="K175" s="51"/>
      <c r="P175" s="50"/>
      <c r="Q175" s="51"/>
      <c r="U175" s="58"/>
      <c r="V175" s="58"/>
      <c r="W175" s="58"/>
      <c r="X175" s="58"/>
      <c r="Y175" s="58"/>
      <c r="Z175" s="58"/>
      <c r="AA175" s="58"/>
    </row>
    <row r="176" spans="11:27">
      <c r="K176" s="51"/>
      <c r="P176" s="50"/>
      <c r="Q176" s="51"/>
      <c r="U176" s="58"/>
      <c r="V176" s="58"/>
      <c r="W176" s="58"/>
      <c r="X176" s="58"/>
      <c r="Y176" s="58"/>
      <c r="Z176" s="58"/>
      <c r="AA176" s="58"/>
    </row>
    <row r="177" spans="11:27">
      <c r="K177" s="51"/>
      <c r="P177" s="50"/>
      <c r="Q177" s="51"/>
      <c r="U177" s="58"/>
      <c r="V177" s="58"/>
      <c r="W177" s="58"/>
      <c r="X177" s="58"/>
      <c r="Y177" s="58"/>
      <c r="Z177" s="58"/>
      <c r="AA177" s="58"/>
    </row>
    <row r="178" spans="11:27">
      <c r="K178" s="51"/>
      <c r="P178" s="50"/>
      <c r="Q178" s="51"/>
      <c r="U178" s="58"/>
      <c r="V178" s="58"/>
      <c r="W178" s="58"/>
      <c r="X178" s="58"/>
      <c r="Y178" s="58"/>
      <c r="Z178" s="58"/>
      <c r="AA178" s="58"/>
    </row>
    <row r="179" spans="11:27">
      <c r="K179" s="51"/>
      <c r="P179" s="50"/>
      <c r="Q179" s="51"/>
      <c r="U179" s="58"/>
      <c r="V179" s="58"/>
      <c r="W179" s="58"/>
      <c r="X179" s="58"/>
      <c r="Y179" s="58"/>
      <c r="Z179" s="58"/>
      <c r="AA179" s="58"/>
    </row>
    <row r="180" spans="11:27">
      <c r="K180" s="51"/>
      <c r="P180" s="50"/>
      <c r="Q180" s="51"/>
      <c r="U180" s="58"/>
      <c r="V180" s="58"/>
      <c r="W180" s="58"/>
      <c r="X180" s="58"/>
      <c r="Y180" s="58"/>
      <c r="Z180" s="58"/>
      <c r="AA180" s="58"/>
    </row>
    <row r="181" spans="11:27">
      <c r="K181" s="51"/>
      <c r="P181" s="50"/>
      <c r="Q181" s="51"/>
      <c r="U181" s="58"/>
      <c r="V181" s="58"/>
      <c r="W181" s="58"/>
      <c r="X181" s="58"/>
      <c r="Y181" s="58"/>
      <c r="Z181" s="58"/>
      <c r="AA181" s="58"/>
    </row>
    <row r="182" spans="11:27">
      <c r="K182" s="51"/>
      <c r="P182" s="50"/>
      <c r="Q182" s="51"/>
      <c r="U182" s="58"/>
      <c r="V182" s="58"/>
      <c r="W182" s="58"/>
      <c r="X182" s="58"/>
      <c r="Y182" s="58"/>
      <c r="Z182" s="58"/>
      <c r="AA182" s="58"/>
    </row>
    <row r="183" spans="11:27">
      <c r="K183" s="51"/>
      <c r="P183" s="50"/>
      <c r="Q183" s="51"/>
      <c r="U183" s="58"/>
      <c r="V183" s="58"/>
      <c r="W183" s="58"/>
      <c r="X183" s="58"/>
      <c r="Y183" s="58"/>
      <c r="Z183" s="58"/>
      <c r="AA183" s="58"/>
    </row>
    <row r="184" spans="11:27">
      <c r="K184" s="51"/>
      <c r="P184" s="50"/>
      <c r="Q184" s="51"/>
      <c r="U184" s="58"/>
      <c r="V184" s="58"/>
      <c r="W184" s="58"/>
      <c r="X184" s="58"/>
      <c r="Y184" s="58"/>
      <c r="Z184" s="58"/>
      <c r="AA184" s="58"/>
    </row>
    <row r="185" spans="11:27">
      <c r="K185" s="51"/>
      <c r="P185" s="50"/>
      <c r="Q185" s="51"/>
      <c r="U185" s="58"/>
      <c r="V185" s="58"/>
      <c r="W185" s="58"/>
      <c r="X185" s="58"/>
      <c r="Y185" s="58"/>
      <c r="Z185" s="58"/>
      <c r="AA185" s="58"/>
    </row>
    <row r="186" spans="11:27">
      <c r="K186" s="51"/>
      <c r="P186" s="50"/>
      <c r="Q186" s="51"/>
      <c r="U186" s="58"/>
      <c r="V186" s="58"/>
      <c r="W186" s="58"/>
      <c r="X186" s="58"/>
      <c r="Y186" s="58"/>
      <c r="Z186" s="58"/>
      <c r="AA186" s="58"/>
    </row>
    <row r="187" spans="11:27">
      <c r="K187" s="51"/>
      <c r="P187" s="50"/>
      <c r="Q187" s="51"/>
      <c r="U187" s="58"/>
      <c r="V187" s="58"/>
      <c r="W187" s="58"/>
      <c r="X187" s="58"/>
      <c r="Y187" s="58"/>
      <c r="Z187" s="58"/>
      <c r="AA187" s="58"/>
    </row>
    <row r="188" spans="11:27">
      <c r="K188" s="51"/>
      <c r="P188" s="50"/>
      <c r="Q188" s="51"/>
      <c r="U188" s="58"/>
      <c r="V188" s="58"/>
      <c r="W188" s="58"/>
      <c r="X188" s="58"/>
      <c r="Y188" s="58"/>
      <c r="Z188" s="58"/>
      <c r="AA188" s="58"/>
    </row>
    <row r="189" spans="11:27">
      <c r="K189" s="51"/>
      <c r="P189" s="50"/>
      <c r="Q189" s="51"/>
      <c r="U189" s="58"/>
      <c r="V189" s="58"/>
      <c r="W189" s="58"/>
      <c r="X189" s="58"/>
      <c r="Y189" s="58"/>
      <c r="Z189" s="58"/>
      <c r="AA189" s="58"/>
    </row>
    <row r="190" spans="11:27">
      <c r="K190" s="51"/>
      <c r="P190" s="50"/>
      <c r="Q190" s="51"/>
      <c r="U190" s="58"/>
      <c r="V190" s="58"/>
      <c r="W190" s="58"/>
      <c r="X190" s="58"/>
      <c r="Y190" s="58"/>
      <c r="Z190" s="58"/>
      <c r="AA190" s="58"/>
    </row>
    <row r="191" spans="11:27">
      <c r="K191" s="51"/>
      <c r="P191" s="50"/>
      <c r="Q191" s="51"/>
      <c r="U191" s="58"/>
      <c r="V191" s="58"/>
      <c r="W191" s="58"/>
      <c r="X191" s="58"/>
      <c r="Y191" s="58"/>
      <c r="Z191" s="58"/>
      <c r="AA191" s="58"/>
    </row>
    <row r="192" spans="11:27">
      <c r="K192" s="51"/>
      <c r="P192" s="50"/>
      <c r="Q192" s="51"/>
      <c r="U192" s="58"/>
      <c r="V192" s="58"/>
      <c r="W192" s="58"/>
      <c r="X192" s="58"/>
      <c r="Y192" s="58"/>
      <c r="Z192" s="58"/>
      <c r="AA192" s="58"/>
    </row>
    <row r="193" spans="11:27">
      <c r="K193" s="51"/>
      <c r="P193" s="50"/>
      <c r="Q193" s="51"/>
      <c r="U193" s="58"/>
      <c r="V193" s="58"/>
      <c r="W193" s="58"/>
      <c r="X193" s="58"/>
      <c r="Y193" s="58"/>
      <c r="Z193" s="58"/>
      <c r="AA193" s="58"/>
    </row>
    <row r="194" spans="11:27">
      <c r="K194" s="51"/>
      <c r="P194" s="50"/>
      <c r="Q194" s="51"/>
      <c r="U194" s="58"/>
      <c r="V194" s="58"/>
      <c r="W194" s="58"/>
      <c r="X194" s="58"/>
      <c r="Y194" s="58"/>
      <c r="Z194" s="58"/>
      <c r="AA194" s="58"/>
    </row>
    <row r="195" spans="11:27">
      <c r="K195" s="51"/>
      <c r="P195" s="50"/>
      <c r="Q195" s="51"/>
      <c r="U195" s="58"/>
      <c r="V195" s="58"/>
      <c r="W195" s="58"/>
      <c r="X195" s="58"/>
      <c r="Y195" s="58"/>
      <c r="Z195" s="58"/>
      <c r="AA195" s="58"/>
    </row>
    <row r="196" spans="11:27">
      <c r="K196" s="51"/>
      <c r="P196" s="50"/>
      <c r="Q196" s="51"/>
      <c r="U196" s="58"/>
      <c r="V196" s="58"/>
      <c r="W196" s="58"/>
      <c r="X196" s="58"/>
      <c r="Y196" s="58"/>
      <c r="Z196" s="58"/>
      <c r="AA196" s="58"/>
    </row>
    <row r="197" spans="11:27">
      <c r="K197" s="51"/>
      <c r="P197" s="50"/>
      <c r="Q197" s="51"/>
      <c r="U197" s="58"/>
      <c r="V197" s="58"/>
      <c r="W197" s="58"/>
      <c r="X197" s="58"/>
      <c r="Y197" s="58"/>
      <c r="Z197" s="58"/>
      <c r="AA197" s="58"/>
    </row>
    <row r="198" spans="11:27">
      <c r="K198" s="51"/>
      <c r="P198" s="50"/>
      <c r="Q198" s="51"/>
      <c r="U198" s="58"/>
      <c r="V198" s="58"/>
      <c r="W198" s="58"/>
      <c r="X198" s="58"/>
      <c r="Y198" s="58"/>
      <c r="Z198" s="58"/>
      <c r="AA198" s="58"/>
    </row>
    <row r="199" spans="11:27">
      <c r="K199" s="51"/>
      <c r="P199" s="50"/>
      <c r="Q199" s="51"/>
      <c r="U199" s="58"/>
      <c r="V199" s="58"/>
      <c r="W199" s="58"/>
      <c r="X199" s="58"/>
      <c r="Y199" s="58"/>
      <c r="Z199" s="58"/>
      <c r="AA199" s="58"/>
    </row>
    <row r="200" spans="11:27">
      <c r="K200" s="51"/>
      <c r="P200" s="50"/>
      <c r="Q200" s="51"/>
      <c r="U200" s="58"/>
      <c r="V200" s="58"/>
      <c r="W200" s="58"/>
      <c r="X200" s="58"/>
      <c r="Y200" s="58"/>
      <c r="Z200" s="58"/>
      <c r="AA200" s="58"/>
    </row>
    <row r="201" spans="11:27">
      <c r="K201" s="51"/>
      <c r="P201" s="50"/>
      <c r="Q201" s="51"/>
      <c r="U201" s="58"/>
      <c r="V201" s="58"/>
      <c r="W201" s="58"/>
      <c r="X201" s="58"/>
      <c r="Y201" s="58"/>
      <c r="Z201" s="58"/>
      <c r="AA201" s="58"/>
    </row>
    <row r="202" spans="11:27">
      <c r="K202" s="51"/>
      <c r="P202" s="50"/>
      <c r="Q202" s="51"/>
      <c r="U202" s="58"/>
      <c r="V202" s="58"/>
      <c r="W202" s="58"/>
      <c r="X202" s="58"/>
      <c r="Y202" s="58"/>
      <c r="Z202" s="58"/>
      <c r="AA202" s="58"/>
    </row>
    <row r="203" spans="11:27">
      <c r="K203" s="51"/>
      <c r="P203" s="50"/>
      <c r="Q203" s="51"/>
      <c r="U203" s="58"/>
      <c r="V203" s="58"/>
      <c r="W203" s="58"/>
      <c r="X203" s="58"/>
      <c r="Y203" s="58"/>
      <c r="Z203" s="58"/>
      <c r="AA203" s="58"/>
    </row>
    <row r="204" spans="11:27">
      <c r="K204" s="51"/>
      <c r="P204" s="50"/>
      <c r="Q204" s="51"/>
      <c r="U204" s="58"/>
      <c r="V204" s="58"/>
      <c r="W204" s="58"/>
      <c r="X204" s="58"/>
      <c r="Y204" s="58"/>
      <c r="Z204" s="58"/>
      <c r="AA204" s="58"/>
    </row>
    <row r="205" spans="11:27">
      <c r="K205" s="51"/>
      <c r="P205" s="50"/>
      <c r="Q205" s="51"/>
      <c r="U205" s="58"/>
      <c r="V205" s="58"/>
      <c r="W205" s="58"/>
      <c r="X205" s="58"/>
      <c r="Y205" s="58"/>
      <c r="Z205" s="58"/>
      <c r="AA205" s="58"/>
    </row>
    <row r="206" spans="11:27">
      <c r="K206" s="51"/>
      <c r="P206" s="50"/>
      <c r="Q206" s="51"/>
      <c r="U206" s="58"/>
      <c r="V206" s="58"/>
      <c r="W206" s="58"/>
      <c r="X206" s="58"/>
      <c r="Y206" s="58"/>
      <c r="Z206" s="58"/>
      <c r="AA206" s="58"/>
    </row>
    <row r="207" spans="11:27">
      <c r="K207" s="51"/>
      <c r="P207" s="50"/>
      <c r="Q207" s="51"/>
      <c r="U207" s="58"/>
      <c r="V207" s="58"/>
      <c r="W207" s="58"/>
      <c r="X207" s="58"/>
      <c r="Y207" s="58"/>
      <c r="Z207" s="58"/>
      <c r="AA207" s="58"/>
    </row>
    <row r="208" spans="11:27">
      <c r="K208" s="51"/>
      <c r="P208" s="50"/>
      <c r="Q208" s="51"/>
      <c r="U208" s="58"/>
      <c r="V208" s="58"/>
      <c r="W208" s="58"/>
      <c r="X208" s="58"/>
      <c r="Y208" s="58"/>
      <c r="Z208" s="58"/>
      <c r="AA208" s="58"/>
    </row>
    <row r="209" spans="11:27">
      <c r="K209" s="51"/>
      <c r="P209" s="50"/>
      <c r="Q209" s="51"/>
      <c r="U209" s="58"/>
      <c r="V209" s="58"/>
      <c r="W209" s="58"/>
      <c r="X209" s="58"/>
      <c r="Y209" s="58"/>
      <c r="Z209" s="58"/>
      <c r="AA209" s="58"/>
    </row>
    <row r="210" spans="11:27">
      <c r="K210" s="51"/>
      <c r="P210" s="50"/>
      <c r="Q210" s="51"/>
      <c r="U210" s="58"/>
      <c r="V210" s="58"/>
      <c r="W210" s="58"/>
      <c r="X210" s="58"/>
      <c r="Y210" s="58"/>
      <c r="Z210" s="58"/>
      <c r="AA210" s="58"/>
    </row>
    <row r="211" spans="11:27">
      <c r="K211" s="51"/>
      <c r="P211" s="50"/>
      <c r="Q211" s="51"/>
      <c r="U211" s="58"/>
      <c r="V211" s="58"/>
      <c r="W211" s="58"/>
      <c r="X211" s="58"/>
      <c r="Y211" s="58"/>
      <c r="Z211" s="58"/>
      <c r="AA211" s="58"/>
    </row>
    <row r="212" spans="11:27">
      <c r="K212" s="51"/>
      <c r="P212" s="50"/>
      <c r="Q212" s="51"/>
      <c r="U212" s="58"/>
      <c r="V212" s="58"/>
      <c r="W212" s="58"/>
      <c r="X212" s="58"/>
      <c r="Y212" s="58"/>
      <c r="Z212" s="58"/>
      <c r="AA212" s="58"/>
    </row>
    <row r="213" spans="11:27">
      <c r="K213" s="51"/>
      <c r="P213" s="50"/>
      <c r="Q213" s="51"/>
      <c r="U213" s="58"/>
      <c r="V213" s="58"/>
      <c r="W213" s="58"/>
      <c r="X213" s="58"/>
      <c r="Y213" s="58"/>
      <c r="Z213" s="58"/>
      <c r="AA213" s="58"/>
    </row>
    <row r="214" spans="11:27">
      <c r="K214" s="51"/>
      <c r="P214" s="50"/>
      <c r="Q214" s="51"/>
      <c r="U214" s="58"/>
      <c r="V214" s="58"/>
      <c r="W214" s="58"/>
      <c r="X214" s="58"/>
      <c r="Y214" s="58"/>
      <c r="Z214" s="58"/>
      <c r="AA214" s="58"/>
    </row>
    <row r="215" spans="11:27">
      <c r="K215" s="51"/>
      <c r="P215" s="50"/>
      <c r="Q215" s="51"/>
      <c r="U215" s="58"/>
      <c r="V215" s="58"/>
      <c r="W215" s="58"/>
      <c r="X215" s="58"/>
      <c r="Y215" s="58"/>
      <c r="Z215" s="58"/>
      <c r="AA215" s="58"/>
    </row>
    <row r="216" spans="11:27">
      <c r="K216" s="51"/>
      <c r="P216" s="50"/>
      <c r="Q216" s="51"/>
      <c r="U216" s="58"/>
      <c r="V216" s="58"/>
      <c r="W216" s="58"/>
      <c r="X216" s="58"/>
      <c r="Y216" s="58"/>
      <c r="Z216" s="58"/>
      <c r="AA216" s="58"/>
    </row>
    <row r="217" spans="11:27">
      <c r="K217" s="51"/>
      <c r="P217" s="50"/>
      <c r="Q217" s="51"/>
      <c r="U217" s="58"/>
      <c r="V217" s="58"/>
      <c r="W217" s="58"/>
      <c r="X217" s="58"/>
      <c r="Y217" s="58"/>
      <c r="Z217" s="58"/>
      <c r="AA217" s="58"/>
    </row>
    <row r="218" spans="11:27">
      <c r="K218" s="51"/>
      <c r="P218" s="50"/>
      <c r="Q218" s="51"/>
      <c r="U218" s="58"/>
      <c r="V218" s="58"/>
      <c r="W218" s="58"/>
      <c r="X218" s="58"/>
      <c r="Y218" s="58"/>
      <c r="Z218" s="58"/>
      <c r="AA218" s="58"/>
    </row>
    <row r="219" spans="11:27">
      <c r="K219" s="51"/>
      <c r="P219" s="50"/>
      <c r="Q219" s="51"/>
      <c r="U219" s="58"/>
      <c r="V219" s="58"/>
      <c r="W219" s="58"/>
      <c r="X219" s="58"/>
      <c r="Y219" s="58"/>
      <c r="Z219" s="58"/>
      <c r="AA219" s="58"/>
    </row>
    <row r="220" spans="11:27">
      <c r="K220" s="51"/>
      <c r="P220" s="50"/>
      <c r="Q220" s="51"/>
      <c r="U220" s="58"/>
      <c r="V220" s="58"/>
      <c r="W220" s="58"/>
      <c r="X220" s="58"/>
      <c r="Y220" s="58"/>
      <c r="Z220" s="58"/>
      <c r="AA220" s="58"/>
    </row>
    <row r="221" spans="11:27">
      <c r="K221" s="51"/>
      <c r="P221" s="50"/>
      <c r="Q221" s="51"/>
      <c r="U221" s="58"/>
      <c r="V221" s="58"/>
      <c r="W221" s="58"/>
      <c r="X221" s="58"/>
      <c r="Y221" s="58"/>
      <c r="Z221" s="58"/>
      <c r="AA221" s="58"/>
    </row>
    <row r="222" spans="11:27">
      <c r="K222" s="51"/>
      <c r="P222" s="50"/>
      <c r="Q222" s="51"/>
      <c r="U222" s="58"/>
      <c r="V222" s="58"/>
      <c r="W222" s="58"/>
      <c r="X222" s="58"/>
      <c r="Y222" s="58"/>
      <c r="Z222" s="58"/>
      <c r="AA222" s="58"/>
    </row>
    <row r="223" spans="11:27">
      <c r="K223" s="51"/>
      <c r="P223" s="50"/>
      <c r="Q223" s="51"/>
      <c r="U223" s="58"/>
      <c r="V223" s="58"/>
      <c r="W223" s="58"/>
      <c r="X223" s="58"/>
      <c r="Y223" s="58"/>
      <c r="Z223" s="58"/>
      <c r="AA223" s="58"/>
    </row>
    <row r="224" spans="11:27">
      <c r="K224" s="51"/>
      <c r="P224" s="50"/>
      <c r="Q224" s="51"/>
      <c r="U224" s="58"/>
      <c r="V224" s="58"/>
      <c r="W224" s="58"/>
      <c r="X224" s="58"/>
      <c r="Y224" s="58"/>
      <c r="Z224" s="58"/>
      <c r="AA224" s="58"/>
    </row>
    <row r="225" spans="11:27">
      <c r="K225" s="51"/>
      <c r="P225" s="50"/>
      <c r="Q225" s="51"/>
      <c r="U225" s="58"/>
      <c r="V225" s="58"/>
      <c r="W225" s="58"/>
      <c r="X225" s="58"/>
      <c r="Y225" s="58"/>
      <c r="Z225" s="58"/>
      <c r="AA225" s="58"/>
    </row>
    <row r="226" spans="11:27">
      <c r="K226" s="51"/>
      <c r="P226" s="50"/>
      <c r="Q226" s="51"/>
      <c r="U226" s="58"/>
      <c r="V226" s="58"/>
      <c r="W226" s="58"/>
      <c r="X226" s="58"/>
      <c r="Y226" s="58"/>
      <c r="Z226" s="58"/>
      <c r="AA226" s="58"/>
    </row>
    <row r="227" spans="11:27">
      <c r="K227" s="51"/>
      <c r="P227" s="50"/>
      <c r="Q227" s="51"/>
      <c r="U227" s="58"/>
      <c r="V227" s="58"/>
      <c r="W227" s="58"/>
      <c r="X227" s="58"/>
      <c r="Y227" s="58"/>
      <c r="Z227" s="58"/>
      <c r="AA227" s="58"/>
    </row>
    <row r="228" spans="11:27">
      <c r="K228" s="51"/>
      <c r="P228" s="50"/>
      <c r="Q228" s="51"/>
      <c r="U228" s="58"/>
      <c r="V228" s="58"/>
      <c r="W228" s="58"/>
      <c r="X228" s="58"/>
      <c r="Y228" s="58"/>
      <c r="Z228" s="58"/>
      <c r="AA228" s="58"/>
    </row>
    <row r="229" spans="11:27">
      <c r="K229" s="51"/>
      <c r="P229" s="50"/>
      <c r="Q229" s="51"/>
      <c r="U229" s="58"/>
      <c r="V229" s="58"/>
      <c r="W229" s="58"/>
      <c r="X229" s="58"/>
      <c r="Y229" s="58"/>
      <c r="Z229" s="58"/>
      <c r="AA229" s="58"/>
    </row>
    <row r="230" spans="11:27">
      <c r="K230" s="51"/>
      <c r="P230" s="50"/>
      <c r="Q230" s="51"/>
      <c r="U230" s="58"/>
      <c r="V230" s="58"/>
      <c r="W230" s="58"/>
      <c r="X230" s="58"/>
      <c r="Y230" s="58"/>
      <c r="Z230" s="58"/>
      <c r="AA230" s="58"/>
    </row>
    <row r="231" spans="11:27">
      <c r="K231" s="51"/>
      <c r="P231" s="50"/>
      <c r="Q231" s="51"/>
      <c r="U231" s="58"/>
      <c r="V231" s="58"/>
      <c r="W231" s="58"/>
      <c r="X231" s="58"/>
      <c r="Y231" s="58"/>
      <c r="Z231" s="58"/>
      <c r="AA231" s="58"/>
    </row>
    <row r="232" spans="11:27">
      <c r="K232" s="51"/>
      <c r="P232" s="50"/>
      <c r="Q232" s="51"/>
      <c r="U232" s="58"/>
      <c r="V232" s="58"/>
      <c r="W232" s="58"/>
      <c r="X232" s="58"/>
      <c r="Y232" s="58"/>
      <c r="Z232" s="58"/>
      <c r="AA232" s="58"/>
    </row>
    <row r="233" spans="11:27">
      <c r="K233" s="51"/>
      <c r="P233" s="50"/>
      <c r="Q233" s="51"/>
      <c r="U233" s="58"/>
      <c r="V233" s="58"/>
      <c r="W233" s="58"/>
      <c r="X233" s="58"/>
      <c r="Y233" s="58"/>
      <c r="Z233" s="58"/>
      <c r="AA233" s="58"/>
    </row>
    <row r="234" spans="11:27">
      <c r="K234" s="51"/>
      <c r="P234" s="50"/>
      <c r="Q234" s="51"/>
      <c r="U234" s="58"/>
      <c r="V234" s="58"/>
      <c r="W234" s="58"/>
      <c r="X234" s="58"/>
      <c r="Y234" s="58"/>
      <c r="Z234" s="58"/>
      <c r="AA234" s="58"/>
    </row>
    <row r="235" spans="11:27">
      <c r="K235" s="51"/>
      <c r="P235" s="50"/>
      <c r="Q235" s="51"/>
      <c r="U235" s="58"/>
      <c r="V235" s="58"/>
      <c r="W235" s="58"/>
      <c r="X235" s="58"/>
      <c r="Y235" s="58"/>
      <c r="Z235" s="58"/>
      <c r="AA235" s="58"/>
    </row>
    <row r="236" spans="11:27">
      <c r="K236" s="51"/>
      <c r="P236" s="50"/>
      <c r="Q236" s="51"/>
      <c r="U236" s="58"/>
      <c r="V236" s="58"/>
      <c r="W236" s="58"/>
      <c r="X236" s="58"/>
      <c r="Y236" s="58"/>
      <c r="Z236" s="58"/>
      <c r="AA236" s="58"/>
    </row>
    <row r="237" spans="11:27">
      <c r="K237" s="51"/>
      <c r="P237" s="50"/>
      <c r="Q237" s="51"/>
      <c r="U237" s="58"/>
      <c r="V237" s="58"/>
      <c r="W237" s="58"/>
      <c r="X237" s="58"/>
      <c r="Y237" s="58"/>
      <c r="Z237" s="58"/>
      <c r="AA237" s="58"/>
    </row>
    <row r="238" spans="11:27">
      <c r="K238" s="51"/>
      <c r="P238" s="50"/>
      <c r="Q238" s="51"/>
      <c r="U238" s="58"/>
      <c r="V238" s="58"/>
      <c r="W238" s="58"/>
      <c r="X238" s="58"/>
      <c r="Y238" s="58"/>
      <c r="Z238" s="58"/>
      <c r="AA238" s="58"/>
    </row>
    <row r="239" spans="11:27">
      <c r="K239" s="51"/>
      <c r="P239" s="50"/>
      <c r="Q239" s="51"/>
      <c r="U239" s="58"/>
      <c r="V239" s="58"/>
      <c r="W239" s="58"/>
      <c r="X239" s="58"/>
      <c r="Y239" s="58"/>
      <c r="Z239" s="58"/>
      <c r="AA239" s="58"/>
    </row>
    <row r="240" spans="11:27">
      <c r="K240" s="51"/>
      <c r="P240" s="50"/>
      <c r="Q240" s="51"/>
      <c r="U240" s="58"/>
      <c r="V240" s="58"/>
      <c r="W240" s="58"/>
      <c r="X240" s="58"/>
      <c r="Y240" s="58"/>
      <c r="Z240" s="58"/>
      <c r="AA240" s="58"/>
    </row>
    <row r="241" spans="11:27">
      <c r="K241" s="51"/>
      <c r="P241" s="50"/>
      <c r="Q241" s="51"/>
      <c r="U241" s="58"/>
      <c r="V241" s="58"/>
      <c r="W241" s="58"/>
      <c r="X241" s="58"/>
      <c r="Y241" s="58"/>
      <c r="Z241" s="58"/>
      <c r="AA241" s="58"/>
    </row>
    <row r="242" spans="11:27">
      <c r="K242" s="51"/>
      <c r="P242" s="50"/>
      <c r="Q242" s="51"/>
      <c r="U242" s="58"/>
      <c r="V242" s="58"/>
      <c r="W242" s="58"/>
      <c r="X242" s="58"/>
      <c r="Y242" s="58"/>
      <c r="Z242" s="58"/>
      <c r="AA242" s="58"/>
    </row>
    <row r="243" spans="11:27">
      <c r="K243" s="51"/>
      <c r="P243" s="50"/>
      <c r="Q243" s="51"/>
      <c r="U243" s="58"/>
      <c r="V243" s="58"/>
      <c r="W243" s="58"/>
      <c r="X243" s="58"/>
      <c r="Y243" s="58"/>
      <c r="Z243" s="58"/>
      <c r="AA243" s="58"/>
    </row>
    <row r="244" spans="11:27">
      <c r="K244" s="51"/>
      <c r="P244" s="50"/>
      <c r="Q244" s="51"/>
      <c r="U244" s="58"/>
      <c r="V244" s="58"/>
      <c r="W244" s="58"/>
      <c r="X244" s="58"/>
      <c r="Y244" s="58"/>
      <c r="Z244" s="58"/>
      <c r="AA244" s="58"/>
    </row>
    <row r="245" spans="11:27">
      <c r="K245" s="51"/>
      <c r="P245" s="50"/>
      <c r="Q245" s="51"/>
      <c r="U245" s="58"/>
      <c r="V245" s="58"/>
      <c r="W245" s="58"/>
      <c r="X245" s="58"/>
      <c r="Y245" s="58"/>
      <c r="Z245" s="58"/>
      <c r="AA245" s="58"/>
    </row>
    <row r="246" spans="11:27">
      <c r="K246" s="51"/>
      <c r="P246" s="50"/>
      <c r="Q246" s="51"/>
      <c r="U246" s="58"/>
      <c r="V246" s="58"/>
      <c r="W246" s="58"/>
      <c r="X246" s="58"/>
      <c r="Y246" s="58"/>
      <c r="Z246" s="58"/>
      <c r="AA246" s="58"/>
    </row>
    <row r="247" spans="11:27">
      <c r="K247" s="51"/>
      <c r="P247" s="50"/>
      <c r="Q247" s="51"/>
      <c r="U247" s="58"/>
      <c r="V247" s="58"/>
      <c r="W247" s="58"/>
      <c r="X247" s="58"/>
      <c r="Y247" s="58"/>
      <c r="Z247" s="58"/>
      <c r="AA247" s="58"/>
    </row>
    <row r="248" spans="11:27">
      <c r="K248" s="51"/>
      <c r="P248" s="50"/>
      <c r="Q248" s="51"/>
      <c r="U248" s="58"/>
      <c r="V248" s="58"/>
      <c r="W248" s="58"/>
      <c r="X248" s="58"/>
      <c r="Y248" s="58"/>
      <c r="Z248" s="58"/>
      <c r="AA248" s="58"/>
    </row>
    <row r="249" spans="11:27">
      <c r="K249" s="51"/>
      <c r="P249" s="50"/>
      <c r="Q249" s="51"/>
      <c r="U249" s="58"/>
      <c r="V249" s="58"/>
      <c r="W249" s="58"/>
      <c r="X249" s="58"/>
      <c r="Y249" s="58"/>
      <c r="Z249" s="58"/>
      <c r="AA249" s="58"/>
    </row>
    <row r="250" spans="11:27">
      <c r="K250" s="51"/>
      <c r="P250" s="50"/>
      <c r="Q250" s="51"/>
      <c r="U250" s="58"/>
      <c r="V250" s="58"/>
      <c r="W250" s="58"/>
      <c r="X250" s="58"/>
      <c r="Y250" s="58"/>
      <c r="Z250" s="58"/>
      <c r="AA250" s="58"/>
    </row>
    <row r="251" spans="11:27">
      <c r="K251" s="51"/>
      <c r="P251" s="50"/>
      <c r="Q251" s="51"/>
      <c r="U251" s="58"/>
      <c r="V251" s="58"/>
      <c r="W251" s="58"/>
      <c r="X251" s="58"/>
      <c r="Y251" s="58"/>
      <c r="Z251" s="58"/>
      <c r="AA251" s="58"/>
    </row>
    <row r="252" spans="11:27">
      <c r="K252" s="51"/>
      <c r="P252" s="50"/>
      <c r="Q252" s="51"/>
      <c r="U252" s="58"/>
      <c r="V252" s="58"/>
      <c r="W252" s="58"/>
      <c r="X252" s="58"/>
      <c r="Y252" s="58"/>
      <c r="Z252" s="58"/>
      <c r="AA252" s="58"/>
    </row>
    <row r="253" spans="11:27">
      <c r="K253" s="51"/>
      <c r="P253" s="50"/>
      <c r="Q253" s="51"/>
      <c r="U253" s="58"/>
      <c r="V253" s="58"/>
      <c r="W253" s="58"/>
      <c r="X253" s="58"/>
      <c r="Y253" s="58"/>
      <c r="Z253" s="58"/>
      <c r="AA253" s="58"/>
    </row>
    <row r="254" spans="11:27">
      <c r="K254" s="51"/>
      <c r="P254" s="50"/>
      <c r="Q254" s="51"/>
      <c r="U254" s="58"/>
      <c r="V254" s="58"/>
      <c r="W254" s="58"/>
      <c r="X254" s="58"/>
      <c r="Y254" s="58"/>
      <c r="Z254" s="58"/>
      <c r="AA254" s="58"/>
    </row>
    <row r="255" spans="11:27">
      <c r="K255" s="51"/>
      <c r="P255" s="50"/>
      <c r="Q255" s="51"/>
      <c r="U255" s="58"/>
      <c r="V255" s="58"/>
      <c r="W255" s="58"/>
      <c r="X255" s="58"/>
      <c r="Y255" s="58"/>
      <c r="Z255" s="58"/>
      <c r="AA255" s="58"/>
    </row>
    <row r="256" spans="11:27">
      <c r="K256" s="51"/>
      <c r="P256" s="50"/>
      <c r="Q256" s="51"/>
      <c r="U256" s="58"/>
      <c r="V256" s="58"/>
      <c r="W256" s="58"/>
      <c r="X256" s="58"/>
      <c r="Y256" s="58"/>
      <c r="Z256" s="58"/>
      <c r="AA256" s="58"/>
    </row>
    <row r="257" spans="11:27">
      <c r="K257" s="51"/>
      <c r="P257" s="50"/>
      <c r="Q257" s="51"/>
      <c r="U257" s="58"/>
      <c r="V257" s="58"/>
      <c r="W257" s="58"/>
      <c r="X257" s="58"/>
      <c r="Y257" s="58"/>
      <c r="Z257" s="58"/>
      <c r="AA257" s="58"/>
    </row>
    <row r="258" spans="11:27">
      <c r="K258" s="51"/>
      <c r="P258" s="50"/>
      <c r="Q258" s="51"/>
      <c r="U258" s="58"/>
      <c r="V258" s="58"/>
      <c r="W258" s="58"/>
      <c r="X258" s="58"/>
      <c r="Y258" s="58"/>
      <c r="Z258" s="58"/>
      <c r="AA258" s="58"/>
    </row>
    <row r="259" spans="11:27">
      <c r="K259" s="51"/>
      <c r="P259" s="50"/>
      <c r="Q259" s="51"/>
      <c r="U259" s="58"/>
      <c r="V259" s="58"/>
      <c r="W259" s="58"/>
      <c r="X259" s="58"/>
      <c r="Y259" s="58"/>
      <c r="Z259" s="58"/>
      <c r="AA259" s="58"/>
    </row>
    <row r="260" spans="11:27">
      <c r="K260" s="51"/>
      <c r="P260" s="50"/>
      <c r="Q260" s="51"/>
      <c r="U260" s="58"/>
      <c r="V260" s="58"/>
      <c r="W260" s="58"/>
      <c r="X260" s="58"/>
      <c r="Y260" s="58"/>
      <c r="Z260" s="58"/>
      <c r="AA260" s="58"/>
    </row>
    <row r="261" spans="11:27">
      <c r="K261" s="51"/>
      <c r="P261" s="50"/>
      <c r="Q261" s="51"/>
      <c r="U261" s="58"/>
      <c r="V261" s="58"/>
      <c r="W261" s="58"/>
      <c r="X261" s="58"/>
      <c r="Y261" s="58"/>
      <c r="Z261" s="58"/>
      <c r="AA261" s="58"/>
    </row>
    <row r="262" spans="11:27">
      <c r="K262" s="51"/>
      <c r="P262" s="50"/>
      <c r="Q262" s="51"/>
      <c r="U262" s="58"/>
      <c r="V262" s="58"/>
      <c r="W262" s="58"/>
      <c r="X262" s="58"/>
      <c r="Y262" s="58"/>
      <c r="Z262" s="58"/>
      <c r="AA262" s="58"/>
    </row>
    <row r="263" spans="11:27">
      <c r="K263" s="51"/>
      <c r="P263" s="50"/>
      <c r="Q263" s="51"/>
      <c r="U263" s="58"/>
      <c r="V263" s="58"/>
      <c r="W263" s="58"/>
      <c r="X263" s="58"/>
      <c r="Y263" s="58"/>
      <c r="Z263" s="58"/>
      <c r="AA263" s="58"/>
    </row>
    <row r="264" spans="11:27">
      <c r="K264" s="51"/>
      <c r="P264" s="50"/>
      <c r="Q264" s="51"/>
      <c r="U264" s="58"/>
      <c r="V264" s="58"/>
      <c r="W264" s="58"/>
      <c r="X264" s="58"/>
      <c r="Y264" s="58"/>
      <c r="Z264" s="58"/>
      <c r="AA264" s="58"/>
    </row>
    <row r="265" spans="11:27">
      <c r="K265" s="51"/>
      <c r="P265" s="50"/>
      <c r="Q265" s="51"/>
      <c r="U265" s="58"/>
      <c r="V265" s="58"/>
      <c r="W265" s="58"/>
      <c r="X265" s="58"/>
      <c r="Y265" s="58"/>
      <c r="Z265" s="58"/>
      <c r="AA265" s="58"/>
    </row>
    <row r="266" spans="11:27">
      <c r="K266" s="51"/>
      <c r="P266" s="50"/>
      <c r="Q266" s="51"/>
      <c r="U266" s="58"/>
      <c r="V266" s="58"/>
      <c r="W266" s="58"/>
      <c r="X266" s="58"/>
      <c r="Y266" s="58"/>
      <c r="Z266" s="58"/>
      <c r="AA266" s="58"/>
    </row>
    <row r="267" spans="11:27">
      <c r="K267" s="51"/>
      <c r="P267" s="50"/>
      <c r="Q267" s="51"/>
      <c r="U267" s="58"/>
      <c r="V267" s="58"/>
      <c r="W267" s="58"/>
      <c r="X267" s="58"/>
      <c r="Y267" s="58"/>
      <c r="Z267" s="58"/>
      <c r="AA267" s="58"/>
    </row>
    <row r="268" spans="11:27">
      <c r="K268" s="51"/>
      <c r="P268" s="50"/>
      <c r="Q268" s="51"/>
      <c r="U268" s="58"/>
      <c r="V268" s="58"/>
      <c r="W268" s="58"/>
      <c r="X268" s="58"/>
      <c r="Y268" s="58"/>
      <c r="Z268" s="58"/>
      <c r="AA268" s="58"/>
    </row>
    <row r="269" spans="11:27">
      <c r="K269" s="51"/>
      <c r="P269" s="50"/>
      <c r="Q269" s="51"/>
      <c r="U269" s="58"/>
      <c r="V269" s="58"/>
      <c r="W269" s="58"/>
      <c r="X269" s="58"/>
      <c r="Y269" s="58"/>
      <c r="Z269" s="58"/>
      <c r="AA269" s="58"/>
    </row>
    <row r="270" spans="11:27">
      <c r="K270" s="51"/>
      <c r="P270" s="50"/>
      <c r="Q270" s="51"/>
      <c r="U270" s="58"/>
      <c r="V270" s="58"/>
      <c r="W270" s="58"/>
      <c r="X270" s="58"/>
      <c r="Y270" s="58"/>
      <c r="Z270" s="58"/>
      <c r="AA270" s="58"/>
    </row>
    <row r="271" spans="11:27">
      <c r="K271" s="51"/>
      <c r="P271" s="50"/>
      <c r="Q271" s="51"/>
      <c r="U271" s="58"/>
      <c r="V271" s="58"/>
      <c r="W271" s="58"/>
      <c r="X271" s="58"/>
      <c r="Y271" s="58"/>
      <c r="Z271" s="58"/>
      <c r="AA271" s="58"/>
    </row>
    <row r="272" spans="11:27">
      <c r="K272" s="51"/>
      <c r="P272" s="50"/>
      <c r="Q272" s="51"/>
      <c r="U272" s="58"/>
      <c r="V272" s="58"/>
      <c r="W272" s="58"/>
      <c r="X272" s="58"/>
      <c r="Y272" s="58"/>
      <c r="Z272" s="58"/>
      <c r="AA272" s="58"/>
    </row>
    <row r="273" spans="11:27">
      <c r="K273" s="51"/>
      <c r="P273" s="50"/>
      <c r="Q273" s="51"/>
      <c r="U273" s="58"/>
      <c r="V273" s="58"/>
      <c r="W273" s="58"/>
      <c r="X273" s="58"/>
      <c r="Y273" s="58"/>
      <c r="Z273" s="58"/>
      <c r="AA273" s="58"/>
    </row>
    <row r="274" spans="11:27">
      <c r="K274" s="51"/>
      <c r="P274" s="50"/>
      <c r="Q274" s="51"/>
      <c r="U274" s="58"/>
      <c r="V274" s="58"/>
      <c r="W274" s="58"/>
      <c r="X274" s="58"/>
      <c r="Y274" s="58"/>
      <c r="Z274" s="58"/>
      <c r="AA274" s="58"/>
    </row>
    <row r="275" spans="11:27">
      <c r="K275" s="51"/>
      <c r="P275" s="50"/>
      <c r="Q275" s="51"/>
      <c r="U275" s="58"/>
      <c r="V275" s="58"/>
      <c r="W275" s="58"/>
      <c r="X275" s="58"/>
      <c r="Y275" s="58"/>
      <c r="Z275" s="58"/>
      <c r="AA275" s="58"/>
    </row>
    <row r="276" spans="11:27">
      <c r="K276" s="51"/>
      <c r="P276" s="50"/>
      <c r="Q276" s="51"/>
      <c r="U276" s="58"/>
      <c r="V276" s="58"/>
      <c r="W276" s="58"/>
      <c r="X276" s="58"/>
      <c r="Y276" s="58"/>
      <c r="Z276" s="58"/>
      <c r="AA276" s="58"/>
    </row>
    <row r="277" spans="11:27">
      <c r="K277" s="51"/>
      <c r="P277" s="50"/>
      <c r="Q277" s="51"/>
      <c r="U277" s="58"/>
      <c r="V277" s="58"/>
      <c r="W277" s="58"/>
      <c r="X277" s="58"/>
      <c r="Y277" s="58"/>
      <c r="Z277" s="58"/>
      <c r="AA277" s="58"/>
    </row>
    <row r="278" spans="11:27">
      <c r="K278" s="51"/>
      <c r="P278" s="50"/>
      <c r="Q278" s="51"/>
      <c r="U278" s="58"/>
      <c r="V278" s="58"/>
      <c r="W278" s="58"/>
      <c r="X278" s="58"/>
      <c r="Y278" s="58"/>
      <c r="Z278" s="58"/>
      <c r="AA278" s="58"/>
    </row>
    <row r="279" spans="11:27">
      <c r="K279" s="51"/>
      <c r="P279" s="50"/>
      <c r="Q279" s="51"/>
      <c r="U279" s="58"/>
      <c r="V279" s="58"/>
      <c r="W279" s="58"/>
      <c r="X279" s="58"/>
      <c r="Y279" s="58"/>
      <c r="Z279" s="58"/>
      <c r="AA279" s="58"/>
    </row>
    <row r="280" spans="11:27">
      <c r="K280" s="51"/>
      <c r="P280" s="50"/>
      <c r="Q280" s="51"/>
      <c r="U280" s="58"/>
      <c r="V280" s="58"/>
      <c r="W280" s="58"/>
      <c r="X280" s="58"/>
      <c r="Y280" s="58"/>
      <c r="Z280" s="58"/>
      <c r="AA280" s="58"/>
    </row>
    <row r="281" spans="11:27">
      <c r="K281" s="51"/>
      <c r="P281" s="50"/>
      <c r="Q281" s="51"/>
      <c r="U281" s="58"/>
      <c r="V281" s="58"/>
      <c r="W281" s="58"/>
      <c r="X281" s="58"/>
      <c r="Y281" s="58"/>
      <c r="Z281" s="58"/>
      <c r="AA281" s="58"/>
    </row>
    <row r="282" spans="11:27">
      <c r="K282" s="51"/>
      <c r="P282" s="50"/>
      <c r="Q282" s="51"/>
      <c r="U282" s="58"/>
      <c r="V282" s="58"/>
      <c r="W282" s="58"/>
      <c r="X282" s="58"/>
      <c r="Y282" s="58"/>
      <c r="Z282" s="58"/>
      <c r="AA282" s="58"/>
    </row>
    <row r="283" spans="11:27">
      <c r="K283" s="51"/>
      <c r="P283" s="50"/>
      <c r="Q283" s="51"/>
      <c r="U283" s="58"/>
      <c r="V283" s="58"/>
      <c r="W283" s="58"/>
      <c r="X283" s="58"/>
      <c r="Y283" s="58"/>
      <c r="Z283" s="58"/>
      <c r="AA283" s="58"/>
    </row>
    <row r="284" spans="11:27">
      <c r="K284" s="51"/>
      <c r="P284" s="50"/>
      <c r="Q284" s="51"/>
      <c r="U284" s="58"/>
      <c r="V284" s="58"/>
      <c r="W284" s="58"/>
      <c r="X284" s="58"/>
      <c r="Y284" s="58"/>
      <c r="Z284" s="58"/>
      <c r="AA284" s="58"/>
    </row>
    <row r="285" spans="11:27">
      <c r="K285" s="51"/>
      <c r="P285" s="50"/>
      <c r="Q285" s="51"/>
      <c r="U285" s="58"/>
      <c r="V285" s="58"/>
      <c r="W285" s="58"/>
      <c r="X285" s="58"/>
      <c r="Y285" s="58"/>
      <c r="Z285" s="58"/>
      <c r="AA285" s="58"/>
    </row>
    <row r="286" spans="11:27">
      <c r="K286" s="51"/>
      <c r="P286" s="50"/>
      <c r="Q286" s="51"/>
      <c r="U286" s="58"/>
      <c r="V286" s="58"/>
      <c r="W286" s="58"/>
      <c r="X286" s="58"/>
      <c r="Y286" s="58"/>
      <c r="Z286" s="58"/>
      <c r="AA286" s="58"/>
    </row>
    <row r="287" spans="11:27">
      <c r="K287" s="51"/>
      <c r="P287" s="50"/>
      <c r="Q287" s="51"/>
      <c r="U287" s="58"/>
      <c r="V287" s="58"/>
      <c r="W287" s="58"/>
      <c r="X287" s="58"/>
      <c r="Y287" s="58"/>
      <c r="Z287" s="58"/>
      <c r="AA287" s="58"/>
    </row>
    <row r="288" spans="11:27">
      <c r="K288" s="51"/>
      <c r="P288" s="50"/>
      <c r="Q288" s="51"/>
      <c r="U288" s="58"/>
      <c r="V288" s="58"/>
      <c r="W288" s="58"/>
      <c r="X288" s="58"/>
      <c r="Y288" s="58"/>
      <c r="Z288" s="58"/>
      <c r="AA288" s="58"/>
    </row>
    <row r="289" spans="11:27">
      <c r="K289" s="51"/>
      <c r="P289" s="50"/>
      <c r="Q289" s="51"/>
      <c r="U289" s="58"/>
      <c r="V289" s="58"/>
      <c r="W289" s="58"/>
      <c r="X289" s="58"/>
      <c r="Y289" s="58"/>
      <c r="Z289" s="58"/>
      <c r="AA289" s="58"/>
    </row>
    <row r="290" spans="11:27">
      <c r="K290" s="51"/>
      <c r="P290" s="50"/>
      <c r="Q290" s="51"/>
      <c r="U290" s="58"/>
      <c r="V290" s="58"/>
      <c r="W290" s="58"/>
      <c r="X290" s="58"/>
      <c r="Y290" s="58"/>
      <c r="Z290" s="58"/>
      <c r="AA290" s="58"/>
    </row>
    <row r="291" spans="11:27">
      <c r="K291" s="51"/>
      <c r="P291" s="50"/>
      <c r="Q291" s="51"/>
      <c r="U291" s="58"/>
      <c r="V291" s="58"/>
      <c r="W291" s="58"/>
      <c r="X291" s="58"/>
      <c r="Y291" s="58"/>
      <c r="Z291" s="58"/>
      <c r="AA291" s="58"/>
    </row>
    <row r="292" spans="11:27">
      <c r="K292" s="51"/>
      <c r="P292" s="50"/>
      <c r="Q292" s="51"/>
      <c r="U292" s="58"/>
      <c r="V292" s="58"/>
      <c r="W292" s="58"/>
      <c r="X292" s="58"/>
      <c r="Y292" s="58"/>
      <c r="Z292" s="58"/>
      <c r="AA292" s="58"/>
    </row>
    <row r="293" spans="11:27">
      <c r="K293" s="51"/>
      <c r="P293" s="50"/>
      <c r="Q293" s="51"/>
      <c r="U293" s="58"/>
      <c r="V293" s="58"/>
      <c r="W293" s="58"/>
      <c r="X293" s="58"/>
      <c r="Y293" s="58"/>
      <c r="Z293" s="58"/>
      <c r="AA293" s="58"/>
    </row>
    <row r="294" spans="11:27">
      <c r="K294" s="51"/>
      <c r="P294" s="50"/>
      <c r="Q294" s="51"/>
      <c r="U294" s="58"/>
      <c r="V294" s="58"/>
      <c r="W294" s="58"/>
      <c r="X294" s="58"/>
      <c r="Y294" s="58"/>
      <c r="Z294" s="58"/>
      <c r="AA294" s="58"/>
    </row>
    <row r="295" spans="11:27">
      <c r="K295" s="51"/>
      <c r="P295" s="50"/>
      <c r="Q295" s="51"/>
      <c r="U295" s="58"/>
      <c r="V295" s="58"/>
      <c r="W295" s="58"/>
      <c r="X295" s="58"/>
      <c r="Y295" s="58"/>
      <c r="Z295" s="58"/>
      <c r="AA295" s="58"/>
    </row>
    <row r="296" spans="11:27">
      <c r="K296" s="51"/>
      <c r="P296" s="50"/>
      <c r="Q296" s="51"/>
      <c r="U296" s="58"/>
      <c r="V296" s="58"/>
      <c r="W296" s="58"/>
      <c r="X296" s="58"/>
      <c r="Y296" s="58"/>
      <c r="Z296" s="58"/>
      <c r="AA296" s="58"/>
    </row>
    <row r="297" spans="11:27">
      <c r="K297" s="51"/>
      <c r="P297" s="50"/>
      <c r="Q297" s="51"/>
      <c r="U297" s="58"/>
      <c r="V297" s="58"/>
      <c r="W297" s="58"/>
      <c r="X297" s="58"/>
      <c r="Y297" s="58"/>
      <c r="Z297" s="58"/>
      <c r="AA297" s="58"/>
    </row>
    <row r="298" spans="11:27">
      <c r="K298" s="51"/>
      <c r="P298" s="50"/>
      <c r="Q298" s="51"/>
      <c r="U298" s="58"/>
      <c r="V298" s="58"/>
      <c r="W298" s="58"/>
      <c r="X298" s="58"/>
      <c r="Y298" s="58"/>
      <c r="Z298" s="58"/>
      <c r="AA298" s="58"/>
    </row>
    <row r="299" spans="11:27">
      <c r="K299" s="51"/>
      <c r="P299" s="50"/>
      <c r="Q299" s="51"/>
      <c r="U299" s="58"/>
      <c r="V299" s="58"/>
      <c r="W299" s="58"/>
      <c r="X299" s="58"/>
      <c r="Y299" s="58"/>
      <c r="Z299" s="58"/>
      <c r="AA299" s="58"/>
    </row>
    <row r="300" spans="11:27">
      <c r="K300" s="51"/>
      <c r="P300" s="50"/>
      <c r="Q300" s="51"/>
      <c r="U300" s="58"/>
      <c r="V300" s="58"/>
      <c r="W300" s="58"/>
      <c r="X300" s="58"/>
      <c r="Y300" s="58"/>
      <c r="Z300" s="58"/>
      <c r="AA300" s="58"/>
    </row>
    <row r="301" spans="11:27">
      <c r="K301" s="51"/>
      <c r="P301" s="50"/>
      <c r="Q301" s="51"/>
      <c r="U301" s="58"/>
      <c r="V301" s="58"/>
      <c r="W301" s="58"/>
      <c r="X301" s="58"/>
      <c r="Y301" s="58"/>
      <c r="Z301" s="58"/>
      <c r="AA301" s="58"/>
    </row>
    <row r="302" spans="11:27">
      <c r="K302" s="51"/>
      <c r="P302" s="50"/>
      <c r="Q302" s="51"/>
      <c r="U302" s="58"/>
      <c r="V302" s="58"/>
      <c r="W302" s="58"/>
      <c r="X302" s="58"/>
      <c r="Y302" s="58"/>
      <c r="Z302" s="58"/>
      <c r="AA302" s="58"/>
    </row>
    <row r="303" spans="11:27">
      <c r="K303" s="51"/>
      <c r="P303" s="50"/>
      <c r="Q303" s="51"/>
      <c r="U303" s="58"/>
      <c r="V303" s="58"/>
      <c r="W303" s="58"/>
      <c r="X303" s="58"/>
      <c r="Y303" s="58"/>
      <c r="Z303" s="58"/>
      <c r="AA303" s="58"/>
    </row>
    <row r="304" spans="11:27">
      <c r="K304" s="51"/>
      <c r="P304" s="50"/>
      <c r="Q304" s="51"/>
      <c r="U304" s="58"/>
      <c r="V304" s="58"/>
      <c r="W304" s="58"/>
      <c r="X304" s="58"/>
      <c r="Y304" s="58"/>
      <c r="Z304" s="58"/>
      <c r="AA304" s="58"/>
    </row>
    <row r="305" spans="11:27">
      <c r="K305" s="51"/>
      <c r="P305" s="50"/>
      <c r="Q305" s="51"/>
      <c r="U305" s="58"/>
      <c r="V305" s="58"/>
      <c r="W305" s="58"/>
      <c r="X305" s="58"/>
      <c r="Y305" s="58"/>
      <c r="Z305" s="58"/>
      <c r="AA305" s="58"/>
    </row>
    <row r="306" spans="11:27">
      <c r="K306" s="51"/>
      <c r="P306" s="50"/>
      <c r="Q306" s="51"/>
      <c r="U306" s="58"/>
      <c r="V306" s="58"/>
      <c r="W306" s="58"/>
      <c r="X306" s="58"/>
      <c r="Y306" s="58"/>
      <c r="Z306" s="58"/>
      <c r="AA306" s="58"/>
    </row>
    <row r="307" spans="11:27">
      <c r="K307" s="51"/>
      <c r="P307" s="50"/>
      <c r="Q307" s="51"/>
      <c r="U307" s="58"/>
      <c r="V307" s="58"/>
      <c r="W307" s="58"/>
      <c r="X307" s="58"/>
      <c r="Y307" s="58"/>
      <c r="Z307" s="58"/>
      <c r="AA307" s="58"/>
    </row>
    <row r="308" spans="11:27">
      <c r="K308" s="51"/>
      <c r="P308" s="50"/>
      <c r="Q308" s="51"/>
      <c r="U308" s="58"/>
      <c r="V308" s="58"/>
      <c r="W308" s="58"/>
      <c r="X308" s="58"/>
      <c r="Y308" s="58"/>
      <c r="Z308" s="58"/>
      <c r="AA308" s="58"/>
    </row>
    <row r="309" spans="11:27">
      <c r="K309" s="51"/>
      <c r="P309" s="50"/>
      <c r="Q309" s="51"/>
      <c r="U309" s="58"/>
      <c r="V309" s="58"/>
      <c r="W309" s="58"/>
      <c r="X309" s="58"/>
      <c r="Y309" s="58"/>
      <c r="Z309" s="58"/>
      <c r="AA309" s="58"/>
    </row>
    <row r="310" spans="11:27">
      <c r="K310" s="51"/>
      <c r="P310" s="50"/>
      <c r="Q310" s="51"/>
      <c r="U310" s="58"/>
      <c r="V310" s="58"/>
      <c r="W310" s="58"/>
      <c r="X310" s="58"/>
      <c r="Y310" s="58"/>
      <c r="Z310" s="58"/>
      <c r="AA310" s="58"/>
    </row>
    <row r="311" spans="11:27">
      <c r="K311" s="51"/>
      <c r="P311" s="50"/>
      <c r="Q311" s="51"/>
      <c r="U311" s="58"/>
      <c r="V311" s="58"/>
      <c r="W311" s="58"/>
      <c r="X311" s="58"/>
      <c r="Y311" s="58"/>
      <c r="Z311" s="58"/>
      <c r="AA311" s="58"/>
    </row>
    <row r="312" spans="11:27">
      <c r="K312" s="51"/>
      <c r="P312" s="50"/>
      <c r="Q312" s="51"/>
      <c r="U312" s="58"/>
      <c r="V312" s="58"/>
      <c r="W312" s="58"/>
      <c r="X312" s="58"/>
      <c r="Y312" s="58"/>
      <c r="Z312" s="58"/>
      <c r="AA312" s="58"/>
    </row>
    <row r="313" spans="11:27">
      <c r="K313" s="51"/>
      <c r="P313" s="50"/>
      <c r="Q313" s="51"/>
      <c r="U313" s="58"/>
      <c r="V313" s="58"/>
      <c r="W313" s="58"/>
      <c r="X313" s="58"/>
      <c r="Y313" s="58"/>
      <c r="Z313" s="58"/>
      <c r="AA313" s="58"/>
    </row>
    <row r="314" spans="11:27">
      <c r="K314" s="51"/>
      <c r="P314" s="50"/>
      <c r="Q314" s="51"/>
      <c r="U314" s="58"/>
      <c r="V314" s="58"/>
      <c r="W314" s="58"/>
      <c r="X314" s="58"/>
      <c r="Y314" s="58"/>
      <c r="Z314" s="58"/>
      <c r="AA314" s="58"/>
    </row>
    <row r="315" spans="11:27">
      <c r="K315" s="51"/>
      <c r="P315" s="50"/>
      <c r="Q315" s="51"/>
      <c r="U315" s="58"/>
      <c r="V315" s="58"/>
      <c r="W315" s="58"/>
      <c r="X315" s="58"/>
      <c r="Y315" s="58"/>
      <c r="Z315" s="58"/>
      <c r="AA315" s="58"/>
    </row>
    <row r="316" spans="11:27">
      <c r="K316" s="51"/>
      <c r="P316" s="50"/>
      <c r="Q316" s="51"/>
      <c r="U316" s="58"/>
      <c r="V316" s="58"/>
      <c r="W316" s="58"/>
      <c r="X316" s="58"/>
      <c r="Y316" s="58"/>
      <c r="Z316" s="58"/>
      <c r="AA316" s="58"/>
    </row>
    <row r="317" spans="11:27">
      <c r="K317" s="51"/>
      <c r="P317" s="50"/>
      <c r="Q317" s="51"/>
      <c r="U317" s="58"/>
      <c r="V317" s="58"/>
      <c r="W317" s="58"/>
      <c r="X317" s="58"/>
      <c r="Y317" s="58"/>
      <c r="Z317" s="58"/>
      <c r="AA317" s="58"/>
    </row>
    <row r="318" spans="11:27">
      <c r="K318" s="51"/>
      <c r="P318" s="50"/>
      <c r="Q318" s="51"/>
      <c r="U318" s="58"/>
      <c r="V318" s="58"/>
      <c r="W318" s="58"/>
      <c r="X318" s="58"/>
      <c r="Y318" s="58"/>
      <c r="Z318" s="58"/>
      <c r="AA318" s="58"/>
    </row>
    <row r="319" spans="11:27">
      <c r="K319" s="51"/>
      <c r="P319" s="50"/>
      <c r="Q319" s="51"/>
      <c r="U319" s="58"/>
      <c r="V319" s="58"/>
      <c r="W319" s="58"/>
      <c r="X319" s="58"/>
      <c r="Y319" s="58"/>
      <c r="Z319" s="58"/>
      <c r="AA319" s="58"/>
    </row>
    <row r="320" spans="11:27">
      <c r="K320" s="51"/>
      <c r="P320" s="50"/>
      <c r="Q320" s="51"/>
      <c r="U320" s="58"/>
      <c r="V320" s="58"/>
      <c r="W320" s="58"/>
      <c r="X320" s="58"/>
      <c r="Y320" s="58"/>
      <c r="Z320" s="58"/>
      <c r="AA320" s="58"/>
    </row>
    <row r="321" spans="11:27">
      <c r="K321" s="51"/>
      <c r="P321" s="50"/>
      <c r="Q321" s="51"/>
      <c r="U321" s="58"/>
      <c r="V321" s="58"/>
      <c r="W321" s="58"/>
      <c r="X321" s="58"/>
      <c r="Y321" s="58"/>
      <c r="Z321" s="58"/>
      <c r="AA321" s="58"/>
    </row>
    <row r="322" spans="11:27">
      <c r="K322" s="51"/>
      <c r="P322" s="50"/>
      <c r="Q322" s="51"/>
      <c r="U322" s="58"/>
      <c r="V322" s="58"/>
      <c r="W322" s="58"/>
      <c r="X322" s="58"/>
      <c r="Y322" s="58"/>
      <c r="Z322" s="58"/>
      <c r="AA322" s="58"/>
    </row>
    <row r="323" spans="11:27">
      <c r="K323" s="51"/>
      <c r="P323" s="50"/>
      <c r="Q323" s="51"/>
      <c r="U323" s="58"/>
      <c r="V323" s="58"/>
      <c r="W323" s="58"/>
      <c r="X323" s="58"/>
      <c r="Y323" s="58"/>
      <c r="Z323" s="58"/>
      <c r="AA323" s="58"/>
    </row>
    <row r="324" spans="11:27">
      <c r="K324" s="51"/>
      <c r="P324" s="50"/>
      <c r="Q324" s="51"/>
      <c r="U324" s="58"/>
      <c r="V324" s="58"/>
      <c r="W324" s="58"/>
      <c r="X324" s="58"/>
      <c r="Y324" s="58"/>
      <c r="Z324" s="58"/>
      <c r="AA324" s="58"/>
    </row>
    <row r="325" spans="11:27">
      <c r="K325" s="51"/>
      <c r="P325" s="50"/>
      <c r="Q325" s="51"/>
      <c r="U325" s="58"/>
      <c r="V325" s="58"/>
      <c r="W325" s="58"/>
      <c r="X325" s="58"/>
      <c r="Y325" s="58"/>
      <c r="Z325" s="58"/>
      <c r="AA325" s="58"/>
    </row>
    <row r="326" spans="11:27">
      <c r="K326" s="51"/>
      <c r="P326" s="50"/>
      <c r="Q326" s="51"/>
      <c r="U326" s="58"/>
      <c r="V326" s="58"/>
      <c r="W326" s="58"/>
      <c r="X326" s="58"/>
      <c r="Y326" s="58"/>
      <c r="Z326" s="58"/>
      <c r="AA326" s="58"/>
    </row>
    <row r="327" spans="11:27">
      <c r="K327" s="51"/>
      <c r="P327" s="50"/>
      <c r="Q327" s="51"/>
      <c r="U327" s="58"/>
      <c r="V327" s="58"/>
      <c r="W327" s="58"/>
      <c r="X327" s="58"/>
      <c r="Y327" s="58"/>
      <c r="Z327" s="58"/>
      <c r="AA327" s="58"/>
    </row>
    <row r="328" spans="11:27">
      <c r="K328" s="51"/>
      <c r="P328" s="50"/>
      <c r="Q328" s="51"/>
      <c r="U328" s="58"/>
      <c r="V328" s="58"/>
      <c r="W328" s="58"/>
      <c r="X328" s="58"/>
      <c r="Y328" s="58"/>
      <c r="Z328" s="58"/>
      <c r="AA328" s="58"/>
    </row>
    <row r="329" spans="11:27">
      <c r="K329" s="51"/>
      <c r="P329" s="50"/>
      <c r="Q329" s="51"/>
      <c r="U329" s="58"/>
      <c r="V329" s="58"/>
      <c r="W329" s="58"/>
      <c r="X329" s="58"/>
      <c r="Y329" s="58"/>
      <c r="Z329" s="58"/>
      <c r="AA329" s="58"/>
    </row>
    <row r="330" spans="11:27">
      <c r="K330" s="51"/>
      <c r="P330" s="50"/>
      <c r="Q330" s="51"/>
      <c r="U330" s="58"/>
      <c r="V330" s="58"/>
      <c r="W330" s="58"/>
      <c r="X330" s="58"/>
      <c r="Y330" s="58"/>
      <c r="Z330" s="58"/>
      <c r="AA330" s="58"/>
    </row>
    <row r="331" spans="11:27">
      <c r="K331" s="51"/>
      <c r="P331" s="50"/>
      <c r="Q331" s="51"/>
      <c r="U331" s="58"/>
      <c r="V331" s="58"/>
      <c r="W331" s="58"/>
      <c r="X331" s="58"/>
      <c r="Y331" s="58"/>
      <c r="Z331" s="58"/>
      <c r="AA331" s="58"/>
    </row>
    <row r="332" spans="11:27">
      <c r="K332" s="51"/>
      <c r="P332" s="50"/>
      <c r="Q332" s="51"/>
      <c r="U332" s="58"/>
      <c r="V332" s="58"/>
      <c r="W332" s="58"/>
      <c r="X332" s="58"/>
      <c r="Y332" s="58"/>
      <c r="Z332" s="58"/>
      <c r="AA332" s="58"/>
    </row>
    <row r="333" spans="11:27">
      <c r="K333" s="51"/>
      <c r="P333" s="50"/>
      <c r="Q333" s="51"/>
      <c r="U333" s="58"/>
      <c r="V333" s="58"/>
      <c r="W333" s="58"/>
      <c r="X333" s="58"/>
      <c r="Y333" s="58"/>
      <c r="Z333" s="58"/>
      <c r="AA333" s="58"/>
    </row>
    <row r="334" spans="11:27">
      <c r="K334" s="51"/>
      <c r="P334" s="50"/>
      <c r="Q334" s="51"/>
      <c r="U334" s="58"/>
      <c r="V334" s="58"/>
      <c r="W334" s="58"/>
      <c r="X334" s="58"/>
      <c r="Y334" s="58"/>
      <c r="Z334" s="58"/>
      <c r="AA334" s="58"/>
    </row>
    <row r="335" spans="11:27">
      <c r="K335" s="51"/>
      <c r="P335" s="50"/>
      <c r="Q335" s="51"/>
      <c r="U335" s="58"/>
      <c r="V335" s="58"/>
      <c r="W335" s="58"/>
      <c r="X335" s="58"/>
      <c r="Y335" s="58"/>
      <c r="Z335" s="58"/>
      <c r="AA335" s="58"/>
    </row>
    <row r="336" spans="11:27">
      <c r="K336" s="51"/>
      <c r="P336" s="50"/>
      <c r="Q336" s="51"/>
      <c r="U336" s="58"/>
      <c r="V336" s="58"/>
      <c r="W336" s="58"/>
      <c r="X336" s="58"/>
      <c r="Y336" s="58"/>
      <c r="Z336" s="58"/>
      <c r="AA336" s="58"/>
    </row>
    <row r="337" spans="11:27">
      <c r="K337" s="51"/>
      <c r="P337" s="50"/>
      <c r="Q337" s="51"/>
      <c r="U337" s="58"/>
      <c r="V337" s="58"/>
      <c r="W337" s="58"/>
      <c r="X337" s="58"/>
      <c r="Y337" s="58"/>
      <c r="Z337" s="58"/>
      <c r="AA337" s="58"/>
    </row>
    <row r="338" spans="11:27">
      <c r="K338" s="51"/>
      <c r="P338" s="50"/>
      <c r="Q338" s="51"/>
      <c r="U338" s="58"/>
      <c r="V338" s="58"/>
      <c r="W338" s="58"/>
      <c r="X338" s="58"/>
      <c r="Y338" s="58"/>
      <c r="Z338" s="58"/>
      <c r="AA338" s="58"/>
    </row>
    <row r="339" spans="11:27">
      <c r="K339" s="51"/>
      <c r="P339" s="50"/>
      <c r="Q339" s="51"/>
      <c r="U339" s="58"/>
      <c r="V339" s="58"/>
      <c r="W339" s="58"/>
      <c r="X339" s="58"/>
      <c r="Y339" s="58"/>
      <c r="Z339" s="58"/>
      <c r="AA339" s="58"/>
    </row>
    <row r="340" spans="11:27">
      <c r="K340" s="51"/>
      <c r="P340" s="50"/>
      <c r="Q340" s="51"/>
      <c r="U340" s="58"/>
      <c r="V340" s="58"/>
      <c r="W340" s="58"/>
      <c r="X340" s="58"/>
      <c r="Y340" s="58"/>
      <c r="Z340" s="58"/>
      <c r="AA340" s="58"/>
    </row>
    <row r="341" spans="11:27">
      <c r="K341" s="51"/>
      <c r="P341" s="50"/>
      <c r="Q341" s="51"/>
      <c r="U341" s="58"/>
      <c r="V341" s="58"/>
      <c r="W341" s="58"/>
      <c r="X341" s="58"/>
      <c r="Y341" s="58"/>
      <c r="Z341" s="58"/>
      <c r="AA341" s="58"/>
    </row>
    <row r="342" spans="11:27">
      <c r="K342" s="51"/>
      <c r="P342" s="50"/>
      <c r="Q342" s="51"/>
      <c r="U342" s="58"/>
      <c r="V342" s="58"/>
      <c r="W342" s="58"/>
      <c r="X342" s="58"/>
      <c r="Y342" s="58"/>
      <c r="Z342" s="58"/>
      <c r="AA342" s="58"/>
    </row>
    <row r="343" spans="11:27">
      <c r="K343" s="51"/>
      <c r="P343" s="50"/>
      <c r="Q343" s="51"/>
      <c r="U343" s="58"/>
      <c r="V343" s="58"/>
      <c r="W343" s="58"/>
      <c r="X343" s="58"/>
      <c r="Y343" s="58"/>
      <c r="Z343" s="58"/>
      <c r="AA343" s="58"/>
    </row>
    <row r="344" spans="11:27">
      <c r="K344" s="51"/>
      <c r="P344" s="50"/>
      <c r="Q344" s="51"/>
      <c r="U344" s="58"/>
      <c r="V344" s="58"/>
      <c r="W344" s="58"/>
      <c r="X344" s="58"/>
      <c r="Y344" s="58"/>
      <c r="Z344" s="58"/>
      <c r="AA344" s="58"/>
    </row>
    <row r="345" spans="11:27">
      <c r="K345" s="51"/>
      <c r="P345" s="50"/>
      <c r="Q345" s="51"/>
      <c r="U345" s="58"/>
      <c r="V345" s="58"/>
      <c r="W345" s="58"/>
      <c r="X345" s="58"/>
      <c r="Y345" s="58"/>
      <c r="Z345" s="58"/>
      <c r="AA345" s="58"/>
    </row>
    <row r="346" spans="11:27">
      <c r="K346" s="51"/>
      <c r="P346" s="50"/>
      <c r="Q346" s="51"/>
      <c r="U346" s="58"/>
      <c r="V346" s="58"/>
      <c r="W346" s="58"/>
      <c r="X346" s="58"/>
      <c r="Y346" s="58"/>
      <c r="Z346" s="58"/>
      <c r="AA346" s="58"/>
    </row>
    <row r="347" spans="11:27">
      <c r="K347" s="51"/>
      <c r="P347" s="50"/>
      <c r="Q347" s="51"/>
      <c r="U347" s="58"/>
      <c r="V347" s="58"/>
      <c r="W347" s="58"/>
      <c r="X347" s="58"/>
      <c r="Y347" s="58"/>
      <c r="Z347" s="58"/>
      <c r="AA347" s="58"/>
    </row>
    <row r="348" spans="11:27">
      <c r="K348" s="51"/>
      <c r="P348" s="50"/>
      <c r="Q348" s="51"/>
      <c r="U348" s="58"/>
      <c r="V348" s="58"/>
      <c r="W348" s="58"/>
      <c r="X348" s="58"/>
      <c r="Y348" s="58"/>
      <c r="Z348" s="58"/>
      <c r="AA348" s="58"/>
    </row>
    <row r="349" spans="11:27">
      <c r="K349" s="51"/>
      <c r="P349" s="50"/>
      <c r="Q349" s="51"/>
      <c r="U349" s="58"/>
      <c r="V349" s="58"/>
      <c r="W349" s="58"/>
      <c r="X349" s="58"/>
      <c r="Y349" s="58"/>
      <c r="Z349" s="58"/>
      <c r="AA349" s="58"/>
    </row>
    <row r="350" spans="11:27">
      <c r="K350" s="51"/>
      <c r="P350" s="50"/>
      <c r="Q350" s="51"/>
      <c r="U350" s="58"/>
      <c r="V350" s="58"/>
      <c r="W350" s="58"/>
      <c r="X350" s="58"/>
      <c r="Y350" s="58"/>
      <c r="Z350" s="58"/>
      <c r="AA350" s="58"/>
    </row>
    <row r="351" spans="11:27">
      <c r="K351" s="51"/>
      <c r="P351" s="50"/>
      <c r="Q351" s="51"/>
      <c r="U351" s="58"/>
      <c r="V351" s="58"/>
      <c r="W351" s="58"/>
      <c r="X351" s="58"/>
      <c r="Y351" s="58"/>
      <c r="Z351" s="58"/>
      <c r="AA351" s="58"/>
    </row>
    <row r="352" spans="11:27">
      <c r="K352" s="51"/>
      <c r="P352" s="50"/>
      <c r="Q352" s="51"/>
      <c r="U352" s="58"/>
      <c r="V352" s="58"/>
      <c r="W352" s="58"/>
      <c r="X352" s="58"/>
      <c r="Y352" s="58"/>
      <c r="Z352" s="58"/>
      <c r="AA352" s="58"/>
    </row>
    <row r="353" spans="11:27">
      <c r="K353" s="51"/>
      <c r="P353" s="50"/>
      <c r="Q353" s="51"/>
      <c r="U353" s="58"/>
      <c r="V353" s="58"/>
      <c r="W353" s="58"/>
      <c r="X353" s="58"/>
      <c r="Y353" s="58"/>
      <c r="Z353" s="58"/>
      <c r="AA353" s="58"/>
    </row>
    <row r="354" spans="11:27">
      <c r="K354" s="51"/>
      <c r="P354" s="50"/>
      <c r="Q354" s="51"/>
      <c r="U354" s="58"/>
      <c r="V354" s="58"/>
      <c r="W354" s="58"/>
      <c r="X354" s="58"/>
      <c r="Y354" s="58"/>
      <c r="Z354" s="58"/>
      <c r="AA354" s="58"/>
    </row>
    <row r="355" spans="11:27">
      <c r="K355" s="51"/>
      <c r="P355" s="50"/>
      <c r="Q355" s="51"/>
      <c r="U355" s="58"/>
      <c r="V355" s="58"/>
      <c r="W355" s="58"/>
      <c r="X355" s="58"/>
      <c r="Y355" s="58"/>
      <c r="Z355" s="58"/>
      <c r="AA355" s="58"/>
    </row>
    <row r="356" spans="11:27">
      <c r="K356" s="51"/>
      <c r="P356" s="50"/>
      <c r="Q356" s="51"/>
      <c r="U356" s="58"/>
      <c r="V356" s="58"/>
      <c r="W356" s="58"/>
      <c r="X356" s="58"/>
      <c r="Y356" s="58"/>
      <c r="Z356" s="58"/>
      <c r="AA356" s="58"/>
    </row>
    <row r="357" spans="11:27">
      <c r="K357" s="51"/>
      <c r="P357" s="50"/>
      <c r="Q357" s="51"/>
      <c r="U357" s="58"/>
      <c r="V357" s="58"/>
      <c r="W357" s="58"/>
      <c r="X357" s="58"/>
      <c r="Y357" s="58"/>
      <c r="Z357" s="58"/>
      <c r="AA357" s="58"/>
    </row>
    <row r="358" spans="11:27">
      <c r="K358" s="51"/>
      <c r="P358" s="50"/>
      <c r="Q358" s="51"/>
      <c r="U358" s="58"/>
      <c r="V358" s="58"/>
      <c r="W358" s="58"/>
      <c r="X358" s="58"/>
      <c r="Y358" s="58"/>
      <c r="Z358" s="58"/>
      <c r="AA358" s="58"/>
    </row>
    <row r="359" spans="11:27">
      <c r="K359" s="51"/>
      <c r="P359" s="50"/>
      <c r="Q359" s="51"/>
      <c r="U359" s="58"/>
      <c r="V359" s="58"/>
      <c r="W359" s="58"/>
      <c r="X359" s="58"/>
      <c r="Y359" s="58"/>
      <c r="Z359" s="58"/>
      <c r="AA359" s="58"/>
    </row>
    <row r="360" spans="11:27">
      <c r="K360" s="51"/>
      <c r="P360" s="50"/>
      <c r="Q360" s="51"/>
      <c r="U360" s="58"/>
      <c r="V360" s="58"/>
      <c r="W360" s="58"/>
      <c r="X360" s="58"/>
      <c r="Y360" s="58"/>
      <c r="Z360" s="58"/>
      <c r="AA360" s="58"/>
    </row>
    <row r="361" spans="11:27">
      <c r="K361" s="51"/>
      <c r="P361" s="50"/>
      <c r="Q361" s="51"/>
      <c r="U361" s="58"/>
      <c r="V361" s="58"/>
      <c r="W361" s="58"/>
      <c r="X361" s="58"/>
      <c r="Y361" s="58"/>
      <c r="Z361" s="58"/>
      <c r="AA361" s="58"/>
    </row>
    <row r="362" spans="11:27">
      <c r="K362" s="51"/>
      <c r="P362" s="50"/>
      <c r="Q362" s="51"/>
      <c r="U362" s="58"/>
      <c r="V362" s="58"/>
      <c r="W362" s="58"/>
      <c r="X362" s="58"/>
      <c r="Y362" s="58"/>
      <c r="Z362" s="58"/>
      <c r="AA362" s="58"/>
    </row>
    <row r="363" spans="11:27">
      <c r="K363" s="51"/>
      <c r="P363" s="50"/>
      <c r="Q363" s="51"/>
      <c r="U363" s="58"/>
      <c r="V363" s="58"/>
      <c r="W363" s="58"/>
      <c r="X363" s="58"/>
      <c r="Y363" s="58"/>
      <c r="Z363" s="58"/>
      <c r="AA363" s="58"/>
    </row>
    <row r="364" spans="11:27">
      <c r="K364" s="51"/>
      <c r="P364" s="50"/>
      <c r="Q364" s="51"/>
      <c r="U364" s="58"/>
      <c r="V364" s="58"/>
      <c r="W364" s="58"/>
      <c r="X364" s="58"/>
      <c r="Y364" s="58"/>
      <c r="Z364" s="58"/>
      <c r="AA364" s="58"/>
    </row>
    <row r="365" spans="11:27">
      <c r="K365" s="51"/>
      <c r="P365" s="50"/>
      <c r="Q365" s="51"/>
      <c r="U365" s="58"/>
      <c r="V365" s="58"/>
      <c r="W365" s="58"/>
      <c r="X365" s="58"/>
      <c r="Y365" s="58"/>
      <c r="Z365" s="58"/>
      <c r="AA365" s="58"/>
    </row>
    <row r="366" spans="11:27">
      <c r="K366" s="51"/>
      <c r="P366" s="50"/>
      <c r="Q366" s="51"/>
      <c r="U366" s="58"/>
      <c r="V366" s="58"/>
      <c r="W366" s="58"/>
      <c r="X366" s="58"/>
      <c r="Y366" s="58"/>
      <c r="Z366" s="58"/>
      <c r="AA366" s="58"/>
    </row>
    <row r="367" spans="11:27">
      <c r="K367" s="51"/>
      <c r="P367" s="50"/>
      <c r="Q367" s="51"/>
      <c r="U367" s="58"/>
      <c r="V367" s="58"/>
      <c r="W367" s="58"/>
      <c r="X367" s="58"/>
      <c r="Y367" s="58"/>
      <c r="Z367" s="58"/>
      <c r="AA367" s="58"/>
    </row>
    <row r="368" spans="11:27">
      <c r="K368" s="51"/>
      <c r="P368" s="50"/>
      <c r="Q368" s="51"/>
      <c r="U368" s="58"/>
      <c r="V368" s="58"/>
      <c r="W368" s="58"/>
      <c r="X368" s="58"/>
      <c r="Y368" s="58"/>
      <c r="Z368" s="58"/>
      <c r="AA368" s="58"/>
    </row>
    <row r="369" spans="11:27">
      <c r="K369" s="51"/>
      <c r="P369" s="50"/>
      <c r="Q369" s="51"/>
      <c r="U369" s="58"/>
      <c r="V369" s="58"/>
      <c r="W369" s="58"/>
      <c r="X369" s="58"/>
      <c r="Y369" s="58"/>
      <c r="Z369" s="58"/>
      <c r="AA369" s="58"/>
    </row>
    <row r="370" spans="11:27">
      <c r="K370" s="51"/>
      <c r="P370" s="50"/>
      <c r="Q370" s="51"/>
      <c r="U370" s="58"/>
      <c r="V370" s="58"/>
      <c r="W370" s="58"/>
      <c r="X370" s="58"/>
      <c r="Y370" s="58"/>
      <c r="Z370" s="58"/>
      <c r="AA370" s="58"/>
    </row>
    <row r="371" spans="11:27">
      <c r="K371" s="51"/>
      <c r="P371" s="50"/>
      <c r="Q371" s="51"/>
      <c r="U371" s="58"/>
      <c r="V371" s="58"/>
      <c r="W371" s="58"/>
      <c r="X371" s="58"/>
      <c r="Y371" s="58"/>
      <c r="Z371" s="58"/>
      <c r="AA371" s="58"/>
    </row>
    <row r="372" spans="11:27">
      <c r="K372" s="51"/>
      <c r="P372" s="50"/>
      <c r="Q372" s="51"/>
      <c r="U372" s="58"/>
      <c r="V372" s="58"/>
      <c r="W372" s="58"/>
      <c r="X372" s="58"/>
      <c r="Y372" s="58"/>
      <c r="Z372" s="58"/>
      <c r="AA372" s="58"/>
    </row>
    <row r="373" spans="11:27">
      <c r="K373" s="51"/>
      <c r="P373" s="50"/>
      <c r="Q373" s="51"/>
      <c r="U373" s="58"/>
      <c r="V373" s="58"/>
      <c r="W373" s="58"/>
      <c r="X373" s="58"/>
      <c r="Y373" s="58"/>
      <c r="Z373" s="58"/>
      <c r="AA373" s="58"/>
    </row>
    <row r="374" spans="11:27">
      <c r="K374" s="51"/>
      <c r="P374" s="50"/>
      <c r="Q374" s="51"/>
      <c r="U374" s="58"/>
      <c r="V374" s="58"/>
      <c r="W374" s="58"/>
      <c r="X374" s="58"/>
      <c r="Y374" s="58"/>
      <c r="Z374" s="58"/>
      <c r="AA374" s="58"/>
    </row>
    <row r="375" spans="11:27">
      <c r="K375" s="51"/>
      <c r="P375" s="50"/>
      <c r="Q375" s="51"/>
      <c r="U375" s="58"/>
      <c r="V375" s="58"/>
      <c r="W375" s="58"/>
      <c r="X375" s="58"/>
      <c r="Y375" s="58"/>
      <c r="Z375" s="58"/>
      <c r="AA375" s="58"/>
    </row>
    <row r="376" spans="11:27">
      <c r="K376" s="51"/>
      <c r="P376" s="50"/>
      <c r="Q376" s="51"/>
      <c r="U376" s="58"/>
      <c r="V376" s="58"/>
      <c r="W376" s="58"/>
      <c r="X376" s="58"/>
      <c r="Y376" s="58"/>
      <c r="Z376" s="58"/>
      <c r="AA376" s="58"/>
    </row>
    <row r="377" spans="11:27">
      <c r="K377" s="51"/>
      <c r="P377" s="50"/>
      <c r="Q377" s="51"/>
      <c r="U377" s="58"/>
      <c r="V377" s="58"/>
      <c r="W377" s="58"/>
      <c r="X377" s="58"/>
      <c r="Y377" s="58"/>
      <c r="Z377" s="58"/>
      <c r="AA377" s="58"/>
    </row>
    <row r="378" spans="11:27">
      <c r="K378" s="51"/>
      <c r="P378" s="50"/>
      <c r="Q378" s="51"/>
      <c r="U378" s="58"/>
      <c r="V378" s="58"/>
      <c r="W378" s="58"/>
      <c r="X378" s="58"/>
      <c r="Y378" s="58"/>
      <c r="Z378" s="58"/>
      <c r="AA378" s="58"/>
    </row>
    <row r="379" spans="11:27">
      <c r="K379" s="51"/>
      <c r="P379" s="50"/>
      <c r="Q379" s="51"/>
      <c r="U379" s="58"/>
      <c r="V379" s="58"/>
      <c r="W379" s="58"/>
      <c r="X379" s="58"/>
      <c r="Y379" s="58"/>
      <c r="Z379" s="58"/>
      <c r="AA379" s="58"/>
    </row>
    <row r="380" spans="11:27">
      <c r="K380" s="51"/>
      <c r="P380" s="50"/>
      <c r="Q380" s="51"/>
      <c r="U380" s="58"/>
      <c r="V380" s="58"/>
      <c r="W380" s="58"/>
      <c r="X380" s="58"/>
      <c r="Y380" s="58"/>
      <c r="Z380" s="58"/>
      <c r="AA380" s="58"/>
    </row>
    <row r="381" spans="11:27">
      <c r="K381" s="51"/>
      <c r="P381" s="50"/>
      <c r="Q381" s="51"/>
      <c r="U381" s="58"/>
      <c r="V381" s="58"/>
      <c r="W381" s="58"/>
      <c r="X381" s="58"/>
      <c r="Y381" s="58"/>
      <c r="Z381" s="58"/>
      <c r="AA381" s="58"/>
    </row>
    <row r="382" spans="11:27">
      <c r="K382" s="51"/>
      <c r="P382" s="50"/>
      <c r="Q382" s="51"/>
      <c r="U382" s="58"/>
      <c r="V382" s="58"/>
      <c r="W382" s="58"/>
      <c r="X382" s="58"/>
      <c r="Y382" s="58"/>
      <c r="Z382" s="58"/>
      <c r="AA382" s="58"/>
    </row>
    <row r="383" spans="11:27">
      <c r="K383" s="51"/>
      <c r="P383" s="50"/>
      <c r="Q383" s="51"/>
      <c r="U383" s="58"/>
      <c r="V383" s="58"/>
      <c r="W383" s="58"/>
      <c r="X383" s="58"/>
      <c r="Y383" s="58"/>
      <c r="Z383" s="58"/>
      <c r="AA383" s="58"/>
    </row>
    <row r="384" spans="11:27">
      <c r="K384" s="51"/>
      <c r="P384" s="50"/>
      <c r="Q384" s="51"/>
      <c r="U384" s="58"/>
      <c r="V384" s="58"/>
      <c r="W384" s="58"/>
      <c r="X384" s="58"/>
      <c r="Y384" s="58"/>
      <c r="Z384" s="58"/>
      <c r="AA384" s="58"/>
    </row>
    <row r="385" spans="11:27">
      <c r="K385" s="51"/>
      <c r="P385" s="50"/>
      <c r="Q385" s="51"/>
      <c r="U385" s="58"/>
      <c r="V385" s="58"/>
      <c r="W385" s="58"/>
      <c r="X385" s="58"/>
      <c r="Y385" s="58"/>
      <c r="Z385" s="58"/>
      <c r="AA385" s="58"/>
    </row>
    <row r="386" spans="11:27">
      <c r="K386" s="51"/>
      <c r="P386" s="50"/>
      <c r="Q386" s="51"/>
      <c r="U386" s="58"/>
      <c r="V386" s="58"/>
      <c r="W386" s="58"/>
      <c r="X386" s="58"/>
      <c r="Y386" s="58"/>
      <c r="Z386" s="58"/>
      <c r="AA386" s="58"/>
    </row>
    <row r="387" spans="11:27">
      <c r="K387" s="51"/>
      <c r="P387" s="50"/>
      <c r="Q387" s="51"/>
      <c r="U387" s="58"/>
      <c r="V387" s="58"/>
      <c r="W387" s="58"/>
      <c r="X387" s="58"/>
      <c r="Y387" s="58"/>
      <c r="Z387" s="58"/>
      <c r="AA387" s="58"/>
    </row>
    <row r="388" spans="11:27">
      <c r="K388" s="51"/>
      <c r="P388" s="50"/>
      <c r="Q388" s="51"/>
      <c r="U388" s="58"/>
      <c r="V388" s="58"/>
      <c r="W388" s="58"/>
      <c r="X388" s="58"/>
      <c r="Y388" s="58"/>
      <c r="Z388" s="58"/>
      <c r="AA388" s="58"/>
    </row>
    <row r="389" spans="11:27">
      <c r="K389" s="51"/>
      <c r="P389" s="50"/>
      <c r="Q389" s="51"/>
      <c r="U389" s="58"/>
      <c r="V389" s="58"/>
      <c r="W389" s="58"/>
      <c r="X389" s="58"/>
      <c r="Y389" s="58"/>
      <c r="Z389" s="58"/>
      <c r="AA389" s="58"/>
    </row>
    <row r="390" spans="11:27">
      <c r="K390" s="51"/>
      <c r="P390" s="50"/>
      <c r="Q390" s="51"/>
      <c r="U390" s="58"/>
      <c r="V390" s="58"/>
      <c r="W390" s="58"/>
      <c r="X390" s="58"/>
      <c r="Y390" s="58"/>
      <c r="Z390" s="58"/>
      <c r="AA390" s="58"/>
    </row>
    <row r="391" spans="11:27">
      <c r="K391" s="51"/>
      <c r="P391" s="50"/>
      <c r="Q391" s="51"/>
      <c r="U391" s="58"/>
      <c r="V391" s="58"/>
      <c r="W391" s="58"/>
      <c r="X391" s="58"/>
      <c r="Y391" s="58"/>
      <c r="Z391" s="58"/>
      <c r="AA391" s="58"/>
    </row>
    <row r="392" spans="11:27">
      <c r="K392" s="51"/>
      <c r="P392" s="50"/>
      <c r="Q392" s="51"/>
      <c r="U392" s="58"/>
      <c r="V392" s="58"/>
      <c r="W392" s="58"/>
      <c r="X392" s="58"/>
      <c r="Y392" s="58"/>
      <c r="Z392" s="58"/>
      <c r="AA392" s="58"/>
    </row>
    <row r="393" spans="11:27">
      <c r="K393" s="51"/>
      <c r="P393" s="50"/>
      <c r="Q393" s="51"/>
      <c r="U393" s="58"/>
      <c r="V393" s="58"/>
      <c r="W393" s="58"/>
      <c r="X393" s="58"/>
      <c r="Y393" s="58"/>
      <c r="Z393" s="58"/>
      <c r="AA393" s="58"/>
    </row>
    <row r="394" spans="11:27">
      <c r="K394" s="51"/>
      <c r="P394" s="50"/>
      <c r="Q394" s="51"/>
      <c r="U394" s="58"/>
      <c r="V394" s="58"/>
      <c r="W394" s="58"/>
      <c r="X394" s="58"/>
      <c r="Y394" s="58"/>
      <c r="Z394" s="58"/>
      <c r="AA394" s="58"/>
    </row>
    <row r="395" spans="11:27">
      <c r="K395" s="51"/>
      <c r="P395" s="50"/>
      <c r="Q395" s="51"/>
      <c r="U395" s="58"/>
      <c r="V395" s="58"/>
      <c r="W395" s="58"/>
      <c r="X395" s="58"/>
      <c r="Y395" s="58"/>
      <c r="Z395" s="58"/>
      <c r="AA395" s="58"/>
    </row>
    <row r="396" spans="11:27">
      <c r="K396" s="51"/>
      <c r="P396" s="50"/>
      <c r="Q396" s="51"/>
      <c r="U396" s="58"/>
      <c r="V396" s="58"/>
      <c r="W396" s="58"/>
      <c r="X396" s="58"/>
      <c r="Y396" s="58"/>
      <c r="Z396" s="58"/>
      <c r="AA396" s="58"/>
    </row>
    <row r="397" spans="11:27">
      <c r="K397" s="51"/>
      <c r="P397" s="50"/>
      <c r="Q397" s="51"/>
      <c r="U397" s="58"/>
      <c r="V397" s="58"/>
      <c r="W397" s="58"/>
      <c r="X397" s="58"/>
      <c r="Y397" s="58"/>
      <c r="Z397" s="58"/>
      <c r="AA397" s="58"/>
    </row>
    <row r="398" spans="11:27">
      <c r="K398" s="51"/>
      <c r="P398" s="50"/>
      <c r="Q398" s="51"/>
      <c r="U398" s="58"/>
      <c r="V398" s="58"/>
      <c r="W398" s="58"/>
      <c r="X398" s="58"/>
      <c r="Y398" s="58"/>
      <c r="Z398" s="58"/>
      <c r="AA398" s="58"/>
    </row>
    <row r="399" spans="11:27">
      <c r="K399" s="51"/>
      <c r="P399" s="50"/>
      <c r="Q399" s="51"/>
      <c r="U399" s="58"/>
      <c r="V399" s="58"/>
      <c r="W399" s="58"/>
      <c r="X399" s="58"/>
      <c r="Y399" s="58"/>
      <c r="Z399" s="58"/>
      <c r="AA399" s="58"/>
    </row>
    <row r="400" spans="11:27">
      <c r="K400" s="51"/>
      <c r="P400" s="50"/>
      <c r="Q400" s="51"/>
      <c r="U400" s="58"/>
      <c r="V400" s="58"/>
      <c r="W400" s="58"/>
      <c r="X400" s="58"/>
      <c r="Y400" s="58"/>
      <c r="Z400" s="58"/>
      <c r="AA400" s="58"/>
    </row>
    <row r="401" spans="11:27">
      <c r="K401" s="51"/>
      <c r="P401" s="50"/>
      <c r="Q401" s="51"/>
      <c r="U401" s="58"/>
      <c r="V401" s="58"/>
      <c r="W401" s="58"/>
      <c r="X401" s="58"/>
      <c r="Y401" s="58"/>
      <c r="Z401" s="58"/>
      <c r="AA401" s="58"/>
    </row>
    <row r="402" spans="11:27">
      <c r="K402" s="51"/>
      <c r="P402" s="50"/>
      <c r="Q402" s="51"/>
      <c r="U402" s="58"/>
      <c r="V402" s="58"/>
      <c r="W402" s="58"/>
      <c r="X402" s="58"/>
      <c r="Y402" s="58"/>
      <c r="Z402" s="58"/>
      <c r="AA402" s="58"/>
    </row>
    <row r="403" spans="11:27">
      <c r="K403" s="51"/>
      <c r="P403" s="50"/>
      <c r="Q403" s="51"/>
      <c r="U403" s="58"/>
      <c r="V403" s="58"/>
      <c r="W403" s="58"/>
      <c r="X403" s="58"/>
      <c r="Y403" s="58"/>
      <c r="Z403" s="58"/>
      <c r="AA403" s="58"/>
    </row>
    <row r="404" spans="11:27">
      <c r="K404" s="51"/>
      <c r="P404" s="50"/>
      <c r="Q404" s="51"/>
      <c r="U404" s="58"/>
      <c r="V404" s="58"/>
      <c r="W404" s="58"/>
      <c r="X404" s="58"/>
      <c r="Y404" s="58"/>
      <c r="Z404" s="58"/>
      <c r="AA404" s="58"/>
    </row>
    <row r="405" spans="11:27">
      <c r="K405" s="51"/>
      <c r="P405" s="50"/>
      <c r="Q405" s="51"/>
      <c r="U405" s="58"/>
      <c r="V405" s="58"/>
      <c r="W405" s="58"/>
      <c r="X405" s="58"/>
      <c r="Y405" s="58"/>
      <c r="Z405" s="58"/>
      <c r="AA405" s="58"/>
    </row>
    <row r="406" spans="11:27">
      <c r="K406" s="51"/>
      <c r="P406" s="50"/>
      <c r="Q406" s="51"/>
      <c r="U406" s="58"/>
      <c r="V406" s="58"/>
      <c r="W406" s="58"/>
      <c r="X406" s="58"/>
      <c r="Y406" s="58"/>
      <c r="Z406" s="58"/>
      <c r="AA406" s="58"/>
    </row>
    <row r="407" spans="11:27">
      <c r="K407" s="51"/>
      <c r="P407" s="50"/>
      <c r="Q407" s="51"/>
      <c r="U407" s="58"/>
      <c r="V407" s="58"/>
      <c r="W407" s="58"/>
      <c r="X407" s="58"/>
      <c r="Y407" s="58"/>
      <c r="Z407" s="58"/>
      <c r="AA407" s="58"/>
    </row>
    <row r="408" spans="11:27">
      <c r="K408" s="51"/>
      <c r="P408" s="50"/>
      <c r="Q408" s="51"/>
      <c r="U408" s="58"/>
      <c r="V408" s="58"/>
      <c r="W408" s="58"/>
      <c r="X408" s="58"/>
      <c r="Y408" s="58"/>
      <c r="Z408" s="58"/>
      <c r="AA408" s="58"/>
    </row>
    <row r="409" spans="11:27">
      <c r="K409" s="51"/>
      <c r="P409" s="50"/>
      <c r="Q409" s="51"/>
      <c r="U409" s="58"/>
      <c r="V409" s="58"/>
      <c r="W409" s="58"/>
      <c r="X409" s="58"/>
      <c r="Y409" s="58"/>
      <c r="Z409" s="58"/>
      <c r="AA409" s="58"/>
    </row>
    <row r="410" spans="11:27">
      <c r="K410" s="51"/>
      <c r="P410" s="50"/>
      <c r="Q410" s="51"/>
      <c r="U410" s="58"/>
      <c r="V410" s="58"/>
      <c r="W410" s="58"/>
      <c r="X410" s="58"/>
      <c r="Y410" s="58"/>
      <c r="Z410" s="58"/>
      <c r="AA410" s="58"/>
    </row>
    <row r="411" spans="11:27">
      <c r="K411" s="51"/>
      <c r="P411" s="50"/>
      <c r="Q411" s="51"/>
      <c r="U411" s="58"/>
      <c r="V411" s="58"/>
      <c r="W411" s="58"/>
      <c r="X411" s="58"/>
      <c r="Y411" s="58"/>
      <c r="Z411" s="58"/>
      <c r="AA411" s="58"/>
    </row>
    <row r="412" spans="11:27">
      <c r="K412" s="51"/>
      <c r="P412" s="50"/>
      <c r="Q412" s="51"/>
      <c r="U412" s="58"/>
      <c r="V412" s="58"/>
      <c r="W412" s="58"/>
      <c r="X412" s="58"/>
      <c r="Y412" s="58"/>
      <c r="Z412" s="58"/>
      <c r="AA412" s="58"/>
    </row>
    <row r="413" spans="11:27">
      <c r="K413" s="51"/>
      <c r="P413" s="50"/>
      <c r="Q413" s="51"/>
      <c r="U413" s="58"/>
      <c r="V413" s="58"/>
      <c r="W413" s="58"/>
      <c r="X413" s="58"/>
      <c r="Y413" s="58"/>
      <c r="Z413" s="58"/>
      <c r="AA413" s="58"/>
    </row>
    <row r="414" spans="11:27">
      <c r="K414" s="51"/>
      <c r="P414" s="50"/>
      <c r="Q414" s="51"/>
      <c r="U414" s="58"/>
      <c r="V414" s="58"/>
      <c r="W414" s="58"/>
      <c r="X414" s="58"/>
      <c r="Y414" s="58"/>
      <c r="Z414" s="58"/>
      <c r="AA414" s="58"/>
    </row>
    <row r="415" spans="11:27">
      <c r="K415" s="51"/>
      <c r="P415" s="50"/>
      <c r="Q415" s="51"/>
      <c r="U415" s="58"/>
      <c r="V415" s="58"/>
      <c r="W415" s="58"/>
      <c r="X415" s="58"/>
      <c r="Y415" s="58"/>
      <c r="Z415" s="58"/>
      <c r="AA415" s="58"/>
    </row>
    <row r="416" spans="11:27">
      <c r="K416" s="51"/>
      <c r="P416" s="50"/>
      <c r="Q416" s="51"/>
      <c r="U416" s="58"/>
      <c r="V416" s="58"/>
      <c r="W416" s="58"/>
      <c r="X416" s="58"/>
      <c r="Y416" s="58"/>
      <c r="Z416" s="58"/>
      <c r="AA416" s="58"/>
    </row>
    <row r="417" spans="11:27">
      <c r="K417" s="51"/>
      <c r="P417" s="50"/>
      <c r="Q417" s="51"/>
      <c r="U417" s="58"/>
      <c r="V417" s="58"/>
      <c r="W417" s="58"/>
      <c r="X417" s="58"/>
      <c r="Y417" s="58"/>
      <c r="Z417" s="58"/>
      <c r="AA417" s="58"/>
    </row>
    <row r="418" spans="11:27">
      <c r="K418" s="51"/>
      <c r="P418" s="50"/>
      <c r="Q418" s="51"/>
      <c r="U418" s="58"/>
      <c r="V418" s="58"/>
      <c r="W418" s="58"/>
      <c r="X418" s="58"/>
      <c r="Y418" s="58"/>
      <c r="Z418" s="58"/>
      <c r="AA418" s="58"/>
    </row>
    <row r="419" spans="11:27">
      <c r="K419" s="51"/>
      <c r="P419" s="50"/>
      <c r="Q419" s="51"/>
      <c r="U419" s="58"/>
      <c r="V419" s="58"/>
      <c r="W419" s="58"/>
      <c r="X419" s="58"/>
      <c r="Y419" s="58"/>
      <c r="Z419" s="58"/>
      <c r="AA419" s="58"/>
    </row>
    <row r="420" spans="11:27">
      <c r="K420" s="51"/>
      <c r="P420" s="50"/>
      <c r="Q420" s="51"/>
      <c r="U420" s="58"/>
      <c r="V420" s="58"/>
      <c r="W420" s="58"/>
      <c r="X420" s="58"/>
      <c r="Y420" s="58"/>
      <c r="Z420" s="58"/>
      <c r="AA420" s="58"/>
    </row>
    <row r="421" spans="11:27">
      <c r="K421" s="51"/>
      <c r="P421" s="50"/>
      <c r="Q421" s="51"/>
      <c r="U421" s="58"/>
      <c r="V421" s="58"/>
      <c r="W421" s="58"/>
      <c r="X421" s="58"/>
      <c r="Y421" s="58"/>
      <c r="Z421" s="58"/>
      <c r="AA421" s="58"/>
    </row>
    <row r="422" spans="11:27">
      <c r="K422" s="51"/>
      <c r="P422" s="50"/>
      <c r="Q422" s="51"/>
      <c r="U422" s="58"/>
      <c r="V422" s="58"/>
      <c r="W422" s="58"/>
      <c r="X422" s="58"/>
      <c r="Y422" s="58"/>
      <c r="Z422" s="58"/>
      <c r="AA422" s="58"/>
    </row>
    <row r="423" spans="11:27">
      <c r="K423" s="51"/>
      <c r="P423" s="50"/>
      <c r="Q423" s="51"/>
      <c r="U423" s="58"/>
      <c r="V423" s="58"/>
      <c r="W423" s="58"/>
      <c r="X423" s="58"/>
      <c r="Y423" s="58"/>
      <c r="Z423" s="58"/>
      <c r="AA423" s="58"/>
    </row>
    <row r="424" spans="11:27">
      <c r="K424" s="51"/>
      <c r="P424" s="50"/>
      <c r="Q424" s="51"/>
      <c r="U424" s="58"/>
      <c r="V424" s="58"/>
      <c r="W424" s="58"/>
      <c r="X424" s="58"/>
      <c r="Y424" s="58"/>
      <c r="Z424" s="58"/>
      <c r="AA424" s="58"/>
    </row>
    <row r="425" spans="11:27">
      <c r="K425" s="51"/>
      <c r="P425" s="50"/>
      <c r="Q425" s="51"/>
      <c r="U425" s="58"/>
      <c r="V425" s="58"/>
      <c r="W425" s="58"/>
      <c r="X425" s="58"/>
      <c r="Y425" s="58"/>
      <c r="Z425" s="58"/>
      <c r="AA425" s="58"/>
    </row>
    <row r="426" spans="11:27">
      <c r="K426" s="51"/>
      <c r="P426" s="50"/>
      <c r="Q426" s="51"/>
      <c r="U426" s="58"/>
      <c r="V426" s="58"/>
      <c r="W426" s="58"/>
      <c r="X426" s="58"/>
      <c r="Y426" s="58"/>
      <c r="Z426" s="58"/>
      <c r="AA426" s="58"/>
    </row>
    <row r="427" spans="11:27">
      <c r="K427" s="51"/>
      <c r="P427" s="50"/>
      <c r="Q427" s="51"/>
      <c r="U427" s="58"/>
      <c r="V427" s="58"/>
      <c r="W427" s="58"/>
      <c r="X427" s="58"/>
      <c r="Y427" s="58"/>
      <c r="Z427" s="58"/>
      <c r="AA427" s="58"/>
    </row>
    <row r="428" spans="11:27">
      <c r="K428" s="51"/>
      <c r="P428" s="50"/>
      <c r="Q428" s="51"/>
      <c r="U428" s="58"/>
      <c r="V428" s="58"/>
      <c r="W428" s="58"/>
      <c r="X428" s="58"/>
      <c r="Y428" s="58"/>
      <c r="Z428" s="58"/>
      <c r="AA428" s="58"/>
    </row>
    <row r="429" spans="11:27">
      <c r="K429" s="51"/>
      <c r="P429" s="50"/>
      <c r="Q429" s="51"/>
      <c r="U429" s="58"/>
      <c r="V429" s="58"/>
      <c r="W429" s="58"/>
      <c r="X429" s="58"/>
      <c r="Y429" s="58"/>
      <c r="Z429" s="58"/>
      <c r="AA429" s="58"/>
    </row>
    <row r="430" spans="11:27">
      <c r="K430" s="51"/>
      <c r="P430" s="50"/>
      <c r="Q430" s="51"/>
      <c r="U430" s="58"/>
      <c r="V430" s="58"/>
      <c r="W430" s="58"/>
      <c r="X430" s="58"/>
      <c r="Y430" s="58"/>
      <c r="Z430" s="58"/>
      <c r="AA430" s="58"/>
    </row>
    <row r="431" spans="11:27">
      <c r="K431" s="51"/>
      <c r="P431" s="50"/>
      <c r="Q431" s="51"/>
      <c r="U431" s="58"/>
      <c r="V431" s="58"/>
      <c r="W431" s="58"/>
      <c r="X431" s="58"/>
      <c r="Y431" s="58"/>
      <c r="Z431" s="58"/>
      <c r="AA431" s="58"/>
    </row>
    <row r="432" spans="11:27">
      <c r="K432" s="51"/>
      <c r="P432" s="50"/>
      <c r="Q432" s="51"/>
      <c r="U432" s="58"/>
      <c r="V432" s="58"/>
      <c r="W432" s="58"/>
      <c r="X432" s="58"/>
      <c r="Y432" s="58"/>
      <c r="Z432" s="58"/>
      <c r="AA432" s="58"/>
    </row>
    <row r="433" spans="11:27">
      <c r="K433" s="51"/>
      <c r="P433" s="50"/>
      <c r="Q433" s="51"/>
      <c r="U433" s="58"/>
      <c r="V433" s="58"/>
      <c r="W433" s="58"/>
      <c r="X433" s="58"/>
      <c r="Y433" s="58"/>
      <c r="Z433" s="58"/>
      <c r="AA433" s="58"/>
    </row>
    <row r="434" spans="11:27">
      <c r="K434" s="51"/>
      <c r="P434" s="50"/>
      <c r="Q434" s="51"/>
      <c r="U434" s="58"/>
      <c r="V434" s="58"/>
      <c r="W434" s="58"/>
      <c r="X434" s="58"/>
      <c r="Y434" s="58"/>
      <c r="Z434" s="58"/>
      <c r="AA434" s="58"/>
    </row>
    <row r="435" spans="11:27">
      <c r="K435" s="51"/>
      <c r="P435" s="50"/>
      <c r="Q435" s="51"/>
      <c r="U435" s="58"/>
      <c r="V435" s="58"/>
      <c r="W435" s="58"/>
      <c r="X435" s="58"/>
      <c r="Y435" s="58"/>
      <c r="Z435" s="58"/>
      <c r="AA435" s="58"/>
    </row>
    <row r="436" spans="11:27">
      <c r="K436" s="51"/>
      <c r="P436" s="50"/>
      <c r="Q436" s="51"/>
      <c r="U436" s="58"/>
      <c r="V436" s="58"/>
      <c r="W436" s="58"/>
      <c r="X436" s="58"/>
      <c r="Y436" s="58"/>
      <c r="Z436" s="58"/>
      <c r="AA436" s="58"/>
    </row>
    <row r="437" spans="11:27">
      <c r="K437" s="51"/>
      <c r="P437" s="50"/>
      <c r="Q437" s="51"/>
      <c r="U437" s="58"/>
      <c r="V437" s="58"/>
      <c r="W437" s="58"/>
      <c r="X437" s="58"/>
      <c r="Y437" s="58"/>
      <c r="Z437" s="58"/>
      <c r="AA437" s="58"/>
    </row>
    <row r="438" spans="11:27">
      <c r="K438" s="51"/>
      <c r="P438" s="50"/>
      <c r="Q438" s="51"/>
      <c r="U438" s="58"/>
      <c r="V438" s="58"/>
      <c r="W438" s="58"/>
      <c r="X438" s="58"/>
      <c r="Y438" s="58"/>
      <c r="Z438" s="58"/>
      <c r="AA438" s="58"/>
    </row>
    <row r="439" spans="11:27">
      <c r="K439" s="51"/>
      <c r="P439" s="50"/>
      <c r="Q439" s="51"/>
      <c r="U439" s="58"/>
      <c r="V439" s="58"/>
      <c r="W439" s="58"/>
      <c r="X439" s="58"/>
      <c r="Y439" s="58"/>
      <c r="Z439" s="58"/>
      <c r="AA439" s="58"/>
    </row>
    <row r="440" spans="11:27">
      <c r="K440" s="51"/>
      <c r="P440" s="50"/>
      <c r="Q440" s="51"/>
      <c r="U440" s="58"/>
      <c r="V440" s="58"/>
      <c r="W440" s="58"/>
      <c r="X440" s="58"/>
      <c r="Y440" s="58"/>
      <c r="Z440" s="58"/>
      <c r="AA440" s="58"/>
    </row>
    <row r="441" spans="11:27">
      <c r="K441" s="51"/>
      <c r="P441" s="50"/>
      <c r="Q441" s="51"/>
      <c r="U441" s="58"/>
      <c r="V441" s="58"/>
      <c r="W441" s="58"/>
      <c r="X441" s="58"/>
      <c r="Y441" s="58"/>
      <c r="Z441" s="58"/>
      <c r="AA441" s="58"/>
    </row>
    <row r="442" spans="11:27">
      <c r="K442" s="51"/>
      <c r="P442" s="50"/>
      <c r="Q442" s="51"/>
      <c r="U442" s="58"/>
      <c r="V442" s="58"/>
      <c r="W442" s="58"/>
      <c r="X442" s="58"/>
      <c r="Y442" s="58"/>
      <c r="Z442" s="58"/>
      <c r="AA442" s="58"/>
    </row>
    <row r="443" spans="11:27">
      <c r="K443" s="51"/>
      <c r="P443" s="50"/>
      <c r="Q443" s="51"/>
      <c r="U443" s="58"/>
      <c r="V443" s="58"/>
      <c r="W443" s="58"/>
      <c r="X443" s="58"/>
      <c r="Y443" s="58"/>
      <c r="Z443" s="58"/>
      <c r="AA443" s="58"/>
    </row>
    <row r="444" spans="11:27">
      <c r="K444" s="51"/>
      <c r="P444" s="50"/>
      <c r="Q444" s="51"/>
      <c r="U444" s="58"/>
      <c r="V444" s="58"/>
      <c r="W444" s="58"/>
      <c r="X444" s="58"/>
      <c r="Y444" s="58"/>
      <c r="Z444" s="58"/>
      <c r="AA444" s="58"/>
    </row>
    <row r="445" spans="11:27">
      <c r="K445" s="51"/>
      <c r="P445" s="50"/>
      <c r="Q445" s="51"/>
      <c r="U445" s="58"/>
      <c r="V445" s="58"/>
      <c r="W445" s="58"/>
      <c r="X445" s="58"/>
      <c r="Y445" s="58"/>
      <c r="Z445" s="58"/>
      <c r="AA445" s="58"/>
    </row>
    <row r="446" spans="11:27">
      <c r="K446" s="51"/>
      <c r="P446" s="50"/>
      <c r="Q446" s="51"/>
      <c r="U446" s="58"/>
      <c r="V446" s="58"/>
      <c r="W446" s="58"/>
      <c r="X446" s="58"/>
      <c r="Y446" s="58"/>
      <c r="Z446" s="58"/>
      <c r="AA446" s="58"/>
    </row>
    <row r="447" spans="11:27">
      <c r="K447" s="51"/>
      <c r="P447" s="50"/>
      <c r="Q447" s="51"/>
      <c r="U447" s="58"/>
      <c r="V447" s="58"/>
      <c r="W447" s="58"/>
      <c r="X447" s="58"/>
      <c r="Y447" s="58"/>
      <c r="Z447" s="58"/>
      <c r="AA447" s="58"/>
    </row>
    <row r="448" spans="11:27">
      <c r="K448" s="51"/>
      <c r="P448" s="50"/>
      <c r="Q448" s="51"/>
      <c r="U448" s="58"/>
      <c r="V448" s="58"/>
      <c r="W448" s="58"/>
      <c r="X448" s="58"/>
      <c r="Y448" s="58"/>
      <c r="Z448" s="58"/>
      <c r="AA448" s="58"/>
    </row>
    <row r="449" spans="11:27">
      <c r="K449" s="51"/>
      <c r="P449" s="50"/>
      <c r="Q449" s="51"/>
      <c r="U449" s="58"/>
      <c r="V449" s="58"/>
      <c r="W449" s="58"/>
      <c r="X449" s="58"/>
      <c r="Y449" s="58"/>
      <c r="Z449" s="58"/>
      <c r="AA449" s="58"/>
    </row>
    <row r="450" spans="11:27">
      <c r="K450" s="51"/>
      <c r="P450" s="50"/>
      <c r="Q450" s="51"/>
      <c r="U450" s="58"/>
      <c r="V450" s="58"/>
      <c r="W450" s="58"/>
      <c r="X450" s="58"/>
      <c r="Y450" s="58"/>
      <c r="Z450" s="58"/>
      <c r="AA450" s="58"/>
    </row>
    <row r="451" spans="11:27">
      <c r="K451" s="51"/>
      <c r="P451" s="50"/>
      <c r="Q451" s="51"/>
      <c r="U451" s="58"/>
      <c r="V451" s="58"/>
      <c r="W451" s="58"/>
      <c r="X451" s="58"/>
      <c r="Y451" s="58"/>
      <c r="Z451" s="58"/>
      <c r="AA451" s="58"/>
    </row>
    <row r="452" spans="11:27">
      <c r="K452" s="51"/>
      <c r="P452" s="50"/>
      <c r="Q452" s="51"/>
      <c r="U452" s="58"/>
      <c r="V452" s="58"/>
      <c r="W452" s="58"/>
      <c r="X452" s="58"/>
      <c r="Y452" s="58"/>
      <c r="Z452" s="58"/>
      <c r="AA452" s="58"/>
    </row>
    <row r="453" spans="11:27">
      <c r="K453" s="51"/>
      <c r="P453" s="50"/>
      <c r="Q453" s="51"/>
      <c r="U453" s="58"/>
      <c r="V453" s="58"/>
      <c r="W453" s="58"/>
      <c r="X453" s="58"/>
      <c r="Y453" s="58"/>
      <c r="Z453" s="58"/>
      <c r="AA453" s="58"/>
    </row>
    <row r="454" spans="11:27">
      <c r="K454" s="51"/>
      <c r="P454" s="50"/>
      <c r="Q454" s="51"/>
      <c r="U454" s="58"/>
      <c r="V454" s="58"/>
      <c r="W454" s="58"/>
      <c r="X454" s="58"/>
      <c r="Y454" s="58"/>
      <c r="Z454" s="58"/>
      <c r="AA454" s="58"/>
    </row>
    <row r="455" spans="11:27">
      <c r="K455" s="51"/>
      <c r="P455" s="50"/>
      <c r="Q455" s="51"/>
      <c r="U455" s="58"/>
      <c r="V455" s="58"/>
      <c r="W455" s="58"/>
      <c r="X455" s="58"/>
      <c r="Y455" s="58"/>
      <c r="Z455" s="58"/>
      <c r="AA455" s="58"/>
    </row>
    <row r="456" spans="11:27">
      <c r="K456" s="51"/>
      <c r="P456" s="50"/>
      <c r="Q456" s="51"/>
      <c r="U456" s="58"/>
      <c r="V456" s="58"/>
      <c r="W456" s="58"/>
      <c r="X456" s="58"/>
      <c r="Y456" s="58"/>
      <c r="Z456" s="58"/>
      <c r="AA456" s="58"/>
    </row>
    <row r="457" spans="11:27">
      <c r="K457" s="51"/>
      <c r="P457" s="50"/>
      <c r="Q457" s="51"/>
      <c r="U457" s="58"/>
      <c r="V457" s="58"/>
      <c r="W457" s="58"/>
      <c r="X457" s="58"/>
      <c r="Y457" s="58"/>
      <c r="Z457" s="58"/>
      <c r="AA457" s="58"/>
    </row>
    <row r="458" spans="11:27">
      <c r="K458" s="51"/>
      <c r="P458" s="50"/>
      <c r="Q458" s="51"/>
      <c r="U458" s="58"/>
      <c r="V458" s="58"/>
      <c r="W458" s="58"/>
      <c r="X458" s="58"/>
      <c r="Y458" s="58"/>
      <c r="Z458" s="58"/>
      <c r="AA458" s="58"/>
    </row>
    <row r="459" spans="11:27">
      <c r="K459" s="51"/>
      <c r="P459" s="50"/>
      <c r="Q459" s="51"/>
      <c r="U459" s="58"/>
      <c r="V459" s="58"/>
      <c r="W459" s="58"/>
      <c r="X459" s="58"/>
      <c r="Y459" s="58"/>
      <c r="Z459" s="58"/>
      <c r="AA459" s="58"/>
    </row>
    <row r="460" spans="11:27">
      <c r="K460" s="51"/>
      <c r="P460" s="50"/>
      <c r="Q460" s="51"/>
      <c r="U460" s="58"/>
      <c r="V460" s="58"/>
      <c r="W460" s="58"/>
      <c r="X460" s="58"/>
      <c r="Y460" s="58"/>
      <c r="Z460" s="58"/>
      <c r="AA460" s="58"/>
    </row>
    <row r="461" spans="11:27">
      <c r="K461" s="51"/>
      <c r="P461" s="50"/>
      <c r="Q461" s="51"/>
      <c r="U461" s="58"/>
      <c r="V461" s="58"/>
      <c r="W461" s="58"/>
      <c r="X461" s="58"/>
      <c r="Y461" s="58"/>
      <c r="Z461" s="58"/>
      <c r="AA461" s="58"/>
    </row>
    <row r="462" spans="11:27">
      <c r="K462" s="51"/>
      <c r="P462" s="50"/>
      <c r="Q462" s="51"/>
      <c r="U462" s="58"/>
      <c r="V462" s="58"/>
      <c r="W462" s="58"/>
      <c r="X462" s="58"/>
      <c r="Y462" s="58"/>
      <c r="Z462" s="58"/>
      <c r="AA462" s="58"/>
    </row>
    <row r="463" spans="11:27">
      <c r="K463" s="51"/>
      <c r="P463" s="50"/>
      <c r="Q463" s="51"/>
      <c r="U463" s="58"/>
      <c r="V463" s="58"/>
      <c r="W463" s="58"/>
      <c r="X463" s="58"/>
      <c r="Y463" s="58"/>
      <c r="Z463" s="58"/>
      <c r="AA463" s="58"/>
    </row>
    <row r="464" spans="11:27">
      <c r="K464" s="51"/>
      <c r="P464" s="50"/>
      <c r="Q464" s="51"/>
      <c r="U464" s="58"/>
      <c r="V464" s="58"/>
      <c r="W464" s="58"/>
      <c r="X464" s="58"/>
      <c r="Y464" s="58"/>
      <c r="Z464" s="58"/>
      <c r="AA464" s="58"/>
    </row>
    <row r="465" spans="11:27">
      <c r="K465" s="51"/>
      <c r="P465" s="50"/>
      <c r="Q465" s="51"/>
      <c r="U465" s="58"/>
      <c r="V465" s="58"/>
      <c r="W465" s="58"/>
      <c r="X465" s="58"/>
      <c r="Y465" s="58"/>
      <c r="Z465" s="58"/>
      <c r="AA465" s="58"/>
    </row>
    <row r="466" spans="11:27">
      <c r="K466" s="51"/>
      <c r="P466" s="50"/>
      <c r="Q466" s="51"/>
      <c r="U466" s="58"/>
      <c r="V466" s="58"/>
      <c r="W466" s="58"/>
      <c r="X466" s="58"/>
      <c r="Y466" s="58"/>
      <c r="Z466" s="58"/>
      <c r="AA466" s="58"/>
    </row>
    <row r="467" spans="11:27">
      <c r="K467" s="51"/>
      <c r="P467" s="50"/>
      <c r="Q467" s="51"/>
      <c r="U467" s="58"/>
      <c r="V467" s="58"/>
      <c r="W467" s="58"/>
      <c r="X467" s="58"/>
      <c r="Y467" s="58"/>
      <c r="Z467" s="58"/>
      <c r="AA467" s="58"/>
    </row>
    <row r="468" spans="11:27">
      <c r="K468" s="51"/>
      <c r="P468" s="50"/>
      <c r="Q468" s="51"/>
      <c r="U468" s="58"/>
      <c r="V468" s="58"/>
      <c r="W468" s="58"/>
      <c r="X468" s="58"/>
      <c r="Y468" s="58"/>
      <c r="Z468" s="58"/>
      <c r="AA468" s="58"/>
    </row>
    <row r="469" spans="11:27">
      <c r="K469" s="51"/>
      <c r="P469" s="50"/>
      <c r="Q469" s="51"/>
      <c r="U469" s="58"/>
      <c r="V469" s="58"/>
      <c r="W469" s="58"/>
      <c r="X469" s="58"/>
      <c r="Y469" s="58"/>
      <c r="Z469" s="58"/>
      <c r="AA469" s="58"/>
    </row>
    <row r="470" spans="11:27">
      <c r="K470" s="51"/>
      <c r="P470" s="50"/>
      <c r="Q470" s="51"/>
      <c r="U470" s="58"/>
      <c r="V470" s="58"/>
      <c r="W470" s="58"/>
      <c r="X470" s="58"/>
      <c r="Y470" s="58"/>
      <c r="Z470" s="58"/>
      <c r="AA470" s="58"/>
    </row>
    <row r="471" spans="11:27">
      <c r="K471" s="51"/>
      <c r="P471" s="50"/>
      <c r="Q471" s="51"/>
      <c r="U471" s="58"/>
      <c r="V471" s="58"/>
      <c r="W471" s="58"/>
      <c r="X471" s="58"/>
      <c r="Y471" s="58"/>
      <c r="Z471" s="58"/>
      <c r="AA471" s="58"/>
    </row>
    <row r="472" spans="11:27">
      <c r="K472" s="51"/>
      <c r="P472" s="50"/>
      <c r="Q472" s="51"/>
      <c r="U472" s="58"/>
      <c r="V472" s="58"/>
      <c r="W472" s="58"/>
      <c r="X472" s="58"/>
      <c r="Y472" s="58"/>
      <c r="Z472" s="58"/>
      <c r="AA472" s="58"/>
    </row>
    <row r="473" spans="11:27">
      <c r="K473" s="51"/>
      <c r="P473" s="50"/>
      <c r="Q473" s="51"/>
      <c r="U473" s="58"/>
      <c r="V473" s="58"/>
      <c r="W473" s="58"/>
      <c r="X473" s="58"/>
      <c r="Y473" s="58"/>
      <c r="Z473" s="58"/>
      <c r="AA473" s="58"/>
    </row>
    <row r="474" spans="11:27">
      <c r="K474" s="51"/>
      <c r="P474" s="50"/>
      <c r="Q474" s="51"/>
      <c r="U474" s="58"/>
      <c r="V474" s="58"/>
      <c r="W474" s="58"/>
      <c r="X474" s="58"/>
      <c r="Y474" s="58"/>
      <c r="Z474" s="58"/>
      <c r="AA474" s="58"/>
    </row>
    <row r="475" spans="11:27">
      <c r="K475" s="51"/>
      <c r="P475" s="50"/>
      <c r="Q475" s="51"/>
      <c r="U475" s="58"/>
      <c r="V475" s="58"/>
      <c r="W475" s="58"/>
      <c r="X475" s="58"/>
      <c r="Y475" s="58"/>
      <c r="Z475" s="58"/>
      <c r="AA475" s="58"/>
    </row>
    <row r="476" spans="11:27">
      <c r="K476" s="51"/>
      <c r="P476" s="50"/>
      <c r="Q476" s="51"/>
      <c r="U476" s="58"/>
      <c r="V476" s="58"/>
      <c r="W476" s="58"/>
      <c r="X476" s="58"/>
      <c r="Y476" s="58"/>
      <c r="Z476" s="58"/>
      <c r="AA476" s="58"/>
    </row>
    <row r="477" spans="11:27">
      <c r="K477" s="51"/>
      <c r="P477" s="50"/>
      <c r="Q477" s="51"/>
      <c r="U477" s="58"/>
      <c r="V477" s="58"/>
      <c r="W477" s="58"/>
      <c r="X477" s="58"/>
      <c r="Y477" s="58"/>
      <c r="Z477" s="58"/>
      <c r="AA477" s="58"/>
    </row>
    <row r="478" spans="11:27">
      <c r="K478" s="51"/>
      <c r="P478" s="50"/>
      <c r="Q478" s="51"/>
      <c r="U478" s="58"/>
      <c r="V478" s="58"/>
      <c r="W478" s="58"/>
      <c r="X478" s="58"/>
      <c r="Y478" s="58"/>
      <c r="Z478" s="58"/>
      <c r="AA478" s="58"/>
    </row>
    <row r="479" spans="11:27">
      <c r="K479" s="51"/>
      <c r="P479" s="50"/>
      <c r="Q479" s="51"/>
      <c r="U479" s="58"/>
      <c r="V479" s="58"/>
      <c r="W479" s="58"/>
      <c r="X479" s="58"/>
      <c r="Y479" s="58"/>
      <c r="Z479" s="58"/>
      <c r="AA479" s="58"/>
    </row>
    <row r="480" spans="11:27">
      <c r="K480" s="51"/>
      <c r="P480" s="50"/>
      <c r="Q480" s="51"/>
      <c r="U480" s="58"/>
      <c r="V480" s="58"/>
      <c r="W480" s="58"/>
      <c r="X480" s="58"/>
      <c r="Y480" s="58"/>
      <c r="Z480" s="58"/>
      <c r="AA480" s="58"/>
    </row>
    <row r="481" spans="11:27">
      <c r="K481" s="51"/>
      <c r="P481" s="50"/>
      <c r="Q481" s="51"/>
      <c r="U481" s="58"/>
      <c r="V481" s="58"/>
      <c r="W481" s="58"/>
      <c r="X481" s="58"/>
      <c r="Y481" s="58"/>
      <c r="Z481" s="58"/>
      <c r="AA481" s="58"/>
    </row>
    <row r="482" spans="11:27">
      <c r="K482" s="51"/>
      <c r="P482" s="50"/>
      <c r="Q482" s="51"/>
      <c r="U482" s="58"/>
      <c r="V482" s="58"/>
      <c r="W482" s="58"/>
      <c r="X482" s="58"/>
      <c r="Y482" s="58"/>
      <c r="Z482" s="58"/>
      <c r="AA482" s="58"/>
    </row>
    <row r="483" spans="11:27">
      <c r="K483" s="51"/>
      <c r="P483" s="50"/>
      <c r="Q483" s="51"/>
      <c r="U483" s="58"/>
      <c r="V483" s="58"/>
      <c r="W483" s="58"/>
      <c r="X483" s="58"/>
      <c r="Y483" s="58"/>
      <c r="Z483" s="58"/>
      <c r="AA483" s="58"/>
    </row>
    <row r="484" spans="11:27">
      <c r="K484" s="51"/>
      <c r="P484" s="50"/>
      <c r="Q484" s="51"/>
      <c r="U484" s="58"/>
      <c r="V484" s="58"/>
      <c r="W484" s="58"/>
      <c r="X484" s="58"/>
      <c r="Y484" s="58"/>
      <c r="Z484" s="58"/>
      <c r="AA484" s="58"/>
    </row>
    <row r="485" spans="11:27">
      <c r="K485" s="51"/>
      <c r="P485" s="50"/>
      <c r="Q485" s="51"/>
      <c r="U485" s="58"/>
      <c r="V485" s="58"/>
      <c r="W485" s="58"/>
      <c r="X485" s="58"/>
      <c r="Y485" s="58"/>
      <c r="Z485" s="58"/>
      <c r="AA485" s="58"/>
    </row>
    <row r="486" spans="11:27">
      <c r="K486" s="51"/>
      <c r="P486" s="50"/>
      <c r="Q486" s="51"/>
      <c r="U486" s="58"/>
      <c r="V486" s="58"/>
      <c r="W486" s="58"/>
      <c r="X486" s="58"/>
      <c r="Y486" s="58"/>
      <c r="Z486" s="58"/>
      <c r="AA486" s="58"/>
    </row>
    <row r="487" spans="11:27">
      <c r="K487" s="51"/>
      <c r="P487" s="50"/>
      <c r="Q487" s="51"/>
      <c r="U487" s="58"/>
      <c r="V487" s="58"/>
      <c r="W487" s="58"/>
      <c r="X487" s="58"/>
      <c r="Y487" s="58"/>
      <c r="Z487" s="58"/>
      <c r="AA487" s="58"/>
    </row>
    <row r="488" spans="11:27">
      <c r="K488" s="51"/>
      <c r="P488" s="50"/>
      <c r="Q488" s="51"/>
      <c r="U488" s="58"/>
      <c r="V488" s="58"/>
      <c r="W488" s="58"/>
      <c r="X488" s="58"/>
      <c r="Y488" s="58"/>
      <c r="Z488" s="58"/>
      <c r="AA488" s="58"/>
    </row>
    <row r="489" spans="11:27">
      <c r="K489" s="51"/>
      <c r="P489" s="50"/>
      <c r="Q489" s="51"/>
      <c r="U489" s="58"/>
      <c r="V489" s="58"/>
      <c r="W489" s="58"/>
      <c r="X489" s="58"/>
      <c r="Y489" s="58"/>
      <c r="Z489" s="58"/>
      <c r="AA489" s="58"/>
    </row>
    <row r="490" spans="11:27">
      <c r="K490" s="51"/>
      <c r="P490" s="50"/>
      <c r="Q490" s="51"/>
      <c r="U490" s="58"/>
      <c r="V490" s="58"/>
      <c r="W490" s="58"/>
      <c r="X490" s="58"/>
      <c r="Y490" s="58"/>
      <c r="Z490" s="58"/>
      <c r="AA490" s="58"/>
    </row>
    <row r="491" spans="11:27">
      <c r="K491" s="51"/>
      <c r="P491" s="50"/>
      <c r="Q491" s="51"/>
      <c r="U491" s="58"/>
      <c r="V491" s="58"/>
      <c r="W491" s="58"/>
      <c r="X491" s="58"/>
      <c r="Y491" s="58"/>
      <c r="Z491" s="58"/>
      <c r="AA491" s="58"/>
    </row>
    <row r="492" spans="11:27">
      <c r="K492" s="51"/>
      <c r="P492" s="50"/>
      <c r="Q492" s="51"/>
      <c r="U492" s="58"/>
      <c r="V492" s="58"/>
      <c r="W492" s="58"/>
      <c r="X492" s="58"/>
      <c r="Y492" s="58"/>
      <c r="Z492" s="58"/>
      <c r="AA492" s="58"/>
    </row>
    <row r="493" spans="11:27">
      <c r="K493" s="51"/>
      <c r="P493" s="50"/>
      <c r="Q493" s="51"/>
      <c r="U493" s="58"/>
      <c r="V493" s="58"/>
      <c r="W493" s="58"/>
      <c r="X493" s="58"/>
      <c r="Y493" s="58"/>
      <c r="Z493" s="58"/>
      <c r="AA493" s="58"/>
    </row>
    <row r="494" spans="11:27">
      <c r="K494" s="51"/>
      <c r="P494" s="50"/>
      <c r="Q494" s="51"/>
      <c r="U494" s="58"/>
      <c r="V494" s="58"/>
      <c r="W494" s="58"/>
      <c r="X494" s="58"/>
      <c r="Y494" s="58"/>
      <c r="Z494" s="58"/>
      <c r="AA494" s="58"/>
    </row>
    <row r="495" spans="11:27">
      <c r="K495" s="51"/>
      <c r="P495" s="50"/>
      <c r="Q495" s="51"/>
      <c r="U495" s="58"/>
      <c r="V495" s="58"/>
      <c r="W495" s="58"/>
      <c r="X495" s="58"/>
      <c r="Y495" s="58"/>
      <c r="Z495" s="58"/>
      <c r="AA495" s="58"/>
    </row>
    <row r="496" spans="11:27">
      <c r="K496" s="51"/>
      <c r="P496" s="50"/>
      <c r="Q496" s="51"/>
      <c r="U496" s="58"/>
      <c r="V496" s="58"/>
      <c r="W496" s="58"/>
      <c r="X496" s="58"/>
      <c r="Y496" s="58"/>
      <c r="Z496" s="58"/>
      <c r="AA496" s="58"/>
    </row>
    <row r="497" spans="11:27">
      <c r="K497" s="51"/>
      <c r="P497" s="50"/>
      <c r="Q497" s="51"/>
      <c r="U497" s="58"/>
      <c r="V497" s="58"/>
      <c r="W497" s="58"/>
      <c r="X497" s="58"/>
      <c r="Y497" s="58"/>
      <c r="Z497" s="58"/>
      <c r="AA497" s="58"/>
    </row>
    <row r="498" spans="11:27">
      <c r="K498" s="51"/>
      <c r="P498" s="50"/>
      <c r="Q498" s="51"/>
      <c r="U498" s="58"/>
      <c r="V498" s="58"/>
      <c r="W498" s="58"/>
      <c r="X498" s="58"/>
      <c r="Y498" s="58"/>
      <c r="Z498" s="58"/>
      <c r="AA498" s="58"/>
    </row>
    <row r="499" spans="11:27">
      <c r="K499" s="51"/>
      <c r="P499" s="50"/>
      <c r="Q499" s="51"/>
      <c r="U499" s="58"/>
      <c r="V499" s="58"/>
      <c r="W499" s="58"/>
      <c r="X499" s="58"/>
      <c r="Y499" s="58"/>
      <c r="Z499" s="58"/>
      <c r="AA499" s="58"/>
    </row>
    <row r="500" spans="11:27">
      <c r="K500" s="51"/>
      <c r="P500" s="50"/>
      <c r="Q500" s="51"/>
      <c r="U500" s="58"/>
      <c r="V500" s="58"/>
      <c r="W500" s="58"/>
      <c r="X500" s="58"/>
      <c r="Y500" s="58"/>
      <c r="Z500" s="58"/>
      <c r="AA500" s="58"/>
    </row>
    <row r="501" spans="11:27">
      <c r="K501" s="51"/>
      <c r="P501" s="50"/>
      <c r="Q501" s="51"/>
      <c r="U501" s="58"/>
      <c r="V501" s="58"/>
      <c r="W501" s="58"/>
      <c r="X501" s="58"/>
      <c r="Y501" s="58"/>
      <c r="Z501" s="58"/>
      <c r="AA501" s="58"/>
    </row>
    <row r="502" spans="11:27">
      <c r="K502" s="51"/>
      <c r="P502" s="50"/>
      <c r="Q502" s="51"/>
      <c r="U502" s="58"/>
      <c r="V502" s="58"/>
      <c r="W502" s="58"/>
      <c r="X502" s="58"/>
      <c r="Y502" s="58"/>
      <c r="Z502" s="58"/>
      <c r="AA502" s="58"/>
    </row>
    <row r="503" spans="11:27">
      <c r="K503" s="51"/>
      <c r="P503" s="50"/>
      <c r="Q503" s="51"/>
      <c r="U503" s="58"/>
      <c r="V503" s="58"/>
      <c r="W503" s="58"/>
      <c r="X503" s="58"/>
      <c r="Y503" s="58"/>
      <c r="Z503" s="58"/>
      <c r="AA503" s="58"/>
    </row>
    <row r="504" spans="11:27">
      <c r="K504" s="51"/>
      <c r="P504" s="50"/>
      <c r="Q504" s="51"/>
      <c r="U504" s="58"/>
      <c r="V504" s="58"/>
      <c r="W504" s="58"/>
      <c r="X504" s="58"/>
      <c r="Y504" s="58"/>
      <c r="Z504" s="58"/>
      <c r="AA504" s="58"/>
    </row>
    <row r="505" spans="11:27">
      <c r="K505" s="51"/>
      <c r="P505" s="50"/>
      <c r="Q505" s="51"/>
      <c r="U505" s="58"/>
      <c r="V505" s="58"/>
      <c r="W505" s="58"/>
      <c r="X505" s="58"/>
      <c r="Y505" s="58"/>
      <c r="Z505" s="58"/>
      <c r="AA505" s="58"/>
    </row>
    <row r="506" spans="11:27">
      <c r="K506" s="51"/>
      <c r="P506" s="50"/>
      <c r="Q506" s="51"/>
      <c r="U506" s="58"/>
      <c r="V506" s="58"/>
      <c r="W506" s="58"/>
      <c r="X506" s="58"/>
      <c r="Y506" s="58"/>
      <c r="Z506" s="58"/>
      <c r="AA506" s="58"/>
    </row>
    <row r="507" spans="11:27">
      <c r="K507" s="51"/>
      <c r="P507" s="50"/>
      <c r="Q507" s="51"/>
      <c r="U507" s="58"/>
      <c r="V507" s="58"/>
      <c r="W507" s="58"/>
      <c r="X507" s="58"/>
      <c r="Y507" s="58"/>
      <c r="Z507" s="58"/>
      <c r="AA507" s="58"/>
    </row>
    <row r="508" spans="11:27">
      <c r="K508" s="51"/>
      <c r="P508" s="50"/>
      <c r="Q508" s="51"/>
      <c r="U508" s="58"/>
      <c r="V508" s="58"/>
      <c r="W508" s="58"/>
      <c r="X508" s="58"/>
      <c r="Y508" s="58"/>
      <c r="Z508" s="58"/>
      <c r="AA508" s="58"/>
    </row>
    <row r="509" spans="11:27">
      <c r="K509" s="51"/>
      <c r="P509" s="50"/>
      <c r="Q509" s="51"/>
      <c r="U509" s="58"/>
      <c r="V509" s="58"/>
      <c r="W509" s="58"/>
      <c r="X509" s="58"/>
      <c r="Y509" s="58"/>
      <c r="Z509" s="58"/>
      <c r="AA509" s="58"/>
    </row>
    <row r="510" spans="11:27">
      <c r="K510" s="51"/>
      <c r="P510" s="50"/>
      <c r="Q510" s="51"/>
      <c r="U510" s="58"/>
      <c r="V510" s="58"/>
      <c r="W510" s="58"/>
      <c r="X510" s="58"/>
      <c r="Y510" s="58"/>
      <c r="Z510" s="58"/>
      <c r="AA510" s="58"/>
    </row>
    <row r="511" spans="11:27">
      <c r="K511" s="51"/>
      <c r="P511" s="50"/>
      <c r="Q511" s="51"/>
      <c r="U511" s="58"/>
      <c r="V511" s="58"/>
      <c r="W511" s="58"/>
      <c r="X511" s="58"/>
      <c r="Y511" s="58"/>
      <c r="Z511" s="58"/>
      <c r="AA511" s="58"/>
    </row>
    <row r="512" spans="11:27">
      <c r="K512" s="51"/>
      <c r="P512" s="50"/>
      <c r="Q512" s="51"/>
      <c r="U512" s="58"/>
      <c r="V512" s="58"/>
      <c r="W512" s="58"/>
      <c r="X512" s="58"/>
      <c r="Y512" s="58"/>
      <c r="Z512" s="58"/>
      <c r="AA512" s="58"/>
    </row>
    <row r="513" spans="11:27">
      <c r="K513" s="51"/>
      <c r="P513" s="50"/>
      <c r="Q513" s="51"/>
      <c r="U513" s="58"/>
      <c r="V513" s="58"/>
      <c r="W513" s="58"/>
      <c r="X513" s="58"/>
      <c r="Y513" s="58"/>
      <c r="Z513" s="58"/>
      <c r="AA513" s="58"/>
    </row>
    <row r="514" spans="11:27">
      <c r="K514" s="51"/>
      <c r="P514" s="50"/>
      <c r="Q514" s="51"/>
      <c r="U514" s="58"/>
      <c r="V514" s="58"/>
      <c r="W514" s="58"/>
      <c r="X514" s="58"/>
      <c r="Y514" s="58"/>
      <c r="Z514" s="58"/>
      <c r="AA514" s="58"/>
    </row>
    <row r="515" spans="11:27">
      <c r="K515" s="51"/>
      <c r="P515" s="50"/>
      <c r="Q515" s="51"/>
      <c r="U515" s="58"/>
      <c r="V515" s="58"/>
      <c r="W515" s="58"/>
      <c r="X515" s="58"/>
      <c r="Y515" s="58"/>
      <c r="Z515" s="58"/>
      <c r="AA515" s="58"/>
    </row>
    <row r="516" spans="11:27">
      <c r="K516" s="51"/>
      <c r="P516" s="50"/>
      <c r="Q516" s="51"/>
      <c r="U516" s="58"/>
      <c r="V516" s="58"/>
      <c r="W516" s="58"/>
      <c r="X516" s="58"/>
      <c r="Y516" s="58"/>
      <c r="Z516" s="58"/>
      <c r="AA516" s="58"/>
    </row>
    <row r="517" spans="11:27">
      <c r="K517" s="51"/>
      <c r="P517" s="50"/>
      <c r="Q517" s="51"/>
      <c r="U517" s="58"/>
      <c r="V517" s="58"/>
      <c r="W517" s="58"/>
      <c r="X517" s="58"/>
      <c r="Y517" s="58"/>
      <c r="Z517" s="58"/>
      <c r="AA517" s="58"/>
    </row>
    <row r="518" spans="11:27">
      <c r="K518" s="51"/>
      <c r="P518" s="50"/>
      <c r="Q518" s="51"/>
      <c r="U518" s="58"/>
      <c r="V518" s="58"/>
      <c r="W518" s="58"/>
      <c r="X518" s="58"/>
      <c r="Y518" s="58"/>
      <c r="Z518" s="58"/>
      <c r="AA518" s="58"/>
    </row>
    <row r="519" spans="11:27">
      <c r="K519" s="51"/>
      <c r="P519" s="50"/>
      <c r="Q519" s="51"/>
      <c r="U519" s="58"/>
      <c r="V519" s="58"/>
      <c r="W519" s="58"/>
      <c r="X519" s="58"/>
      <c r="Y519" s="58"/>
      <c r="Z519" s="58"/>
      <c r="AA519" s="58"/>
    </row>
    <row r="520" spans="11:27">
      <c r="K520" s="51"/>
      <c r="P520" s="50"/>
      <c r="Q520" s="51"/>
      <c r="U520" s="58"/>
      <c r="V520" s="58"/>
      <c r="W520" s="58"/>
      <c r="X520" s="58"/>
      <c r="Y520" s="58"/>
      <c r="Z520" s="58"/>
      <c r="AA520" s="58"/>
    </row>
    <row r="521" spans="11:27">
      <c r="K521" s="51"/>
      <c r="P521" s="50"/>
      <c r="Q521" s="51"/>
      <c r="U521" s="58"/>
      <c r="V521" s="58"/>
      <c r="W521" s="58"/>
      <c r="X521" s="58"/>
      <c r="Y521" s="58"/>
      <c r="Z521" s="58"/>
      <c r="AA521" s="58"/>
    </row>
    <row r="522" spans="11:27">
      <c r="K522" s="51"/>
      <c r="P522" s="50"/>
      <c r="Q522" s="51"/>
      <c r="U522" s="58"/>
      <c r="V522" s="58"/>
      <c r="W522" s="58"/>
      <c r="X522" s="58"/>
      <c r="Y522" s="58"/>
      <c r="Z522" s="58"/>
      <c r="AA522" s="58"/>
    </row>
    <row r="523" spans="11:27">
      <c r="K523" s="51"/>
      <c r="P523" s="50"/>
      <c r="Q523" s="51"/>
      <c r="U523" s="58"/>
      <c r="V523" s="58"/>
      <c r="W523" s="58"/>
      <c r="X523" s="58"/>
      <c r="Y523" s="58"/>
      <c r="Z523" s="58"/>
      <c r="AA523" s="58"/>
    </row>
    <row r="524" spans="11:27">
      <c r="K524" s="51"/>
      <c r="P524" s="50"/>
      <c r="Q524" s="51"/>
      <c r="U524" s="58"/>
      <c r="V524" s="58"/>
      <c r="W524" s="58"/>
      <c r="X524" s="58"/>
      <c r="Y524" s="58"/>
      <c r="Z524" s="58"/>
      <c r="AA524" s="58"/>
    </row>
    <row r="525" spans="11:27">
      <c r="K525" s="51"/>
      <c r="P525" s="50"/>
      <c r="Q525" s="51"/>
      <c r="U525" s="58"/>
      <c r="V525" s="58"/>
      <c r="W525" s="58"/>
      <c r="X525" s="58"/>
      <c r="Y525" s="58"/>
      <c r="Z525" s="58"/>
      <c r="AA525" s="58"/>
    </row>
    <row r="526" spans="11:27">
      <c r="K526" s="51"/>
      <c r="P526" s="50"/>
      <c r="Q526" s="51"/>
      <c r="U526" s="58"/>
      <c r="V526" s="58"/>
      <c r="W526" s="58"/>
      <c r="X526" s="58"/>
      <c r="Y526" s="58"/>
      <c r="Z526" s="58"/>
      <c r="AA526" s="58"/>
    </row>
    <row r="527" spans="11:27">
      <c r="K527" s="51"/>
      <c r="P527" s="50"/>
      <c r="Q527" s="51"/>
      <c r="U527" s="58"/>
      <c r="V527" s="58"/>
      <c r="W527" s="58"/>
      <c r="X527" s="58"/>
      <c r="Y527" s="58"/>
      <c r="Z527" s="58"/>
      <c r="AA527" s="58"/>
    </row>
    <row r="528" spans="11:27">
      <c r="K528" s="51"/>
      <c r="P528" s="50"/>
      <c r="Q528" s="51"/>
      <c r="U528" s="58"/>
      <c r="V528" s="58"/>
      <c r="W528" s="58"/>
      <c r="X528" s="58"/>
      <c r="Y528" s="58"/>
      <c r="Z528" s="58"/>
      <c r="AA528" s="58"/>
    </row>
    <row r="529" spans="11:27">
      <c r="K529" s="51"/>
      <c r="P529" s="50"/>
      <c r="Q529" s="51"/>
      <c r="U529" s="58"/>
      <c r="V529" s="58"/>
      <c r="W529" s="58"/>
      <c r="X529" s="58"/>
      <c r="Y529" s="58"/>
      <c r="Z529" s="58"/>
      <c r="AA529" s="58"/>
    </row>
    <row r="530" spans="11:27">
      <c r="K530" s="51"/>
      <c r="P530" s="50"/>
      <c r="Q530" s="51"/>
      <c r="U530" s="58"/>
      <c r="V530" s="58"/>
      <c r="W530" s="58"/>
      <c r="X530" s="58"/>
      <c r="Y530" s="58"/>
      <c r="Z530" s="58"/>
      <c r="AA530" s="58"/>
    </row>
    <row r="531" spans="11:27">
      <c r="K531" s="51"/>
      <c r="P531" s="50"/>
      <c r="Q531" s="51"/>
      <c r="U531" s="58"/>
      <c r="V531" s="58"/>
      <c r="W531" s="58"/>
      <c r="X531" s="58"/>
      <c r="Y531" s="58"/>
      <c r="Z531" s="58"/>
      <c r="AA531" s="58"/>
    </row>
    <row r="532" spans="11:27">
      <c r="K532" s="51"/>
      <c r="P532" s="50"/>
      <c r="Q532" s="51"/>
      <c r="U532" s="58"/>
      <c r="V532" s="58"/>
      <c r="W532" s="58"/>
      <c r="X532" s="58"/>
      <c r="Y532" s="58"/>
      <c r="Z532" s="58"/>
      <c r="AA532" s="58"/>
    </row>
    <row r="533" spans="11:27">
      <c r="K533" s="51"/>
      <c r="P533" s="50"/>
      <c r="Q533" s="51"/>
      <c r="U533" s="58"/>
      <c r="V533" s="58"/>
      <c r="W533" s="58"/>
      <c r="X533" s="58"/>
      <c r="Y533" s="58"/>
      <c r="Z533" s="58"/>
      <c r="AA533" s="58"/>
    </row>
    <row r="534" spans="11:27">
      <c r="K534" s="51"/>
      <c r="P534" s="50"/>
      <c r="Q534" s="51"/>
      <c r="U534" s="58"/>
      <c r="V534" s="58"/>
      <c r="W534" s="58"/>
      <c r="X534" s="58"/>
      <c r="Y534" s="58"/>
      <c r="Z534" s="58"/>
      <c r="AA534" s="58"/>
    </row>
    <row r="535" spans="11:27">
      <c r="K535" s="51"/>
      <c r="P535" s="50"/>
      <c r="Q535" s="51"/>
      <c r="U535" s="58"/>
      <c r="V535" s="58"/>
      <c r="W535" s="58"/>
      <c r="X535" s="58"/>
      <c r="Y535" s="58"/>
      <c r="Z535" s="58"/>
      <c r="AA535" s="58"/>
    </row>
    <row r="536" spans="11:27">
      <c r="K536" s="51"/>
      <c r="P536" s="50"/>
      <c r="Q536" s="51"/>
      <c r="U536" s="58"/>
      <c r="V536" s="58"/>
      <c r="W536" s="58"/>
      <c r="X536" s="58"/>
      <c r="Y536" s="58"/>
      <c r="Z536" s="58"/>
      <c r="AA536" s="58"/>
    </row>
    <row r="537" spans="11:27">
      <c r="K537" s="51"/>
      <c r="P537" s="50"/>
      <c r="Q537" s="51"/>
      <c r="U537" s="58"/>
      <c r="V537" s="58"/>
      <c r="W537" s="58"/>
      <c r="X537" s="58"/>
      <c r="Y537" s="58"/>
      <c r="Z537" s="58"/>
      <c r="AA537" s="58"/>
    </row>
    <row r="538" spans="11:27">
      <c r="K538" s="51"/>
      <c r="P538" s="50"/>
      <c r="Q538" s="51"/>
      <c r="U538" s="58"/>
      <c r="V538" s="58"/>
      <c r="W538" s="58"/>
      <c r="X538" s="58"/>
      <c r="Y538" s="58"/>
      <c r="Z538" s="58"/>
      <c r="AA538" s="58"/>
    </row>
    <row r="539" spans="11:27">
      <c r="K539" s="51"/>
      <c r="P539" s="50"/>
      <c r="Q539" s="51"/>
      <c r="U539" s="58"/>
      <c r="V539" s="58"/>
      <c r="W539" s="58"/>
      <c r="X539" s="58"/>
      <c r="Y539" s="58"/>
      <c r="Z539" s="58"/>
      <c r="AA539" s="58"/>
    </row>
    <row r="540" spans="11:27">
      <c r="K540" s="51"/>
      <c r="P540" s="50"/>
      <c r="Q540" s="51"/>
      <c r="U540" s="58"/>
      <c r="V540" s="58"/>
      <c r="W540" s="58"/>
      <c r="X540" s="58"/>
      <c r="Y540" s="58"/>
      <c r="Z540" s="58"/>
      <c r="AA540" s="58"/>
    </row>
    <row r="541" spans="11:27">
      <c r="K541" s="51"/>
      <c r="P541" s="50"/>
      <c r="Q541" s="51"/>
      <c r="U541" s="58"/>
      <c r="V541" s="58"/>
      <c r="W541" s="58"/>
      <c r="X541" s="58"/>
      <c r="Y541" s="58"/>
      <c r="Z541" s="58"/>
      <c r="AA541" s="58"/>
    </row>
    <row r="542" spans="11:27">
      <c r="K542" s="51"/>
      <c r="P542" s="50"/>
      <c r="Q542" s="51"/>
      <c r="U542" s="58"/>
      <c r="V542" s="58"/>
      <c r="W542" s="58"/>
      <c r="X542" s="58"/>
      <c r="Y542" s="58"/>
      <c r="Z542" s="58"/>
      <c r="AA542" s="58"/>
    </row>
    <row r="543" spans="11:27">
      <c r="K543" s="51"/>
      <c r="P543" s="50"/>
      <c r="Q543" s="51"/>
      <c r="U543" s="58"/>
      <c r="V543" s="58"/>
      <c r="W543" s="58"/>
      <c r="X543" s="58"/>
      <c r="Y543" s="58"/>
      <c r="Z543" s="58"/>
      <c r="AA543" s="58"/>
    </row>
    <row r="544" spans="11:27">
      <c r="K544" s="51"/>
      <c r="P544" s="50"/>
      <c r="Q544" s="51"/>
      <c r="U544" s="58"/>
      <c r="V544" s="58"/>
      <c r="W544" s="58"/>
      <c r="X544" s="58"/>
      <c r="Y544" s="58"/>
      <c r="Z544" s="58"/>
      <c r="AA544" s="58"/>
    </row>
    <row r="545" spans="11:27">
      <c r="K545" s="51"/>
      <c r="P545" s="50"/>
      <c r="Q545" s="51"/>
      <c r="U545" s="58"/>
      <c r="V545" s="58"/>
      <c r="W545" s="58"/>
      <c r="X545" s="58"/>
      <c r="Y545" s="58"/>
      <c r="Z545" s="58"/>
      <c r="AA545" s="58"/>
    </row>
    <row r="546" spans="11:27">
      <c r="K546" s="51"/>
      <c r="P546" s="50"/>
      <c r="Q546" s="51"/>
      <c r="U546" s="58"/>
      <c r="V546" s="58"/>
      <c r="W546" s="58"/>
      <c r="X546" s="58"/>
      <c r="Y546" s="58"/>
      <c r="Z546" s="58"/>
      <c r="AA546" s="58"/>
    </row>
    <row r="547" spans="11:27">
      <c r="K547" s="51"/>
      <c r="P547" s="50"/>
      <c r="Q547" s="51"/>
      <c r="U547" s="58"/>
      <c r="V547" s="58"/>
      <c r="W547" s="58"/>
      <c r="X547" s="58"/>
      <c r="Y547" s="58"/>
      <c r="Z547" s="58"/>
      <c r="AA547" s="58"/>
    </row>
    <row r="548" spans="11:27">
      <c r="K548" s="51"/>
      <c r="P548" s="50"/>
      <c r="Q548" s="51"/>
      <c r="U548" s="58"/>
      <c r="V548" s="58"/>
      <c r="W548" s="58"/>
      <c r="X548" s="58"/>
      <c r="Y548" s="58"/>
      <c r="Z548" s="58"/>
      <c r="AA548" s="58"/>
    </row>
    <row r="549" spans="11:27">
      <c r="K549" s="51"/>
      <c r="P549" s="50"/>
      <c r="Q549" s="51"/>
      <c r="U549" s="58"/>
      <c r="V549" s="58"/>
      <c r="W549" s="58"/>
      <c r="X549" s="58"/>
      <c r="Y549" s="58"/>
      <c r="Z549" s="58"/>
      <c r="AA549" s="58"/>
    </row>
    <row r="550" spans="11:27">
      <c r="K550" s="51"/>
      <c r="P550" s="50"/>
      <c r="Q550" s="51"/>
      <c r="U550" s="58"/>
      <c r="V550" s="58"/>
      <c r="W550" s="58"/>
      <c r="X550" s="58"/>
      <c r="Y550" s="58"/>
      <c r="Z550" s="58"/>
      <c r="AA550" s="58"/>
    </row>
    <row r="551" spans="11:27">
      <c r="K551" s="51"/>
      <c r="P551" s="50"/>
      <c r="Q551" s="51"/>
      <c r="U551" s="58"/>
      <c r="V551" s="58"/>
      <c r="W551" s="58"/>
      <c r="X551" s="58"/>
      <c r="Y551" s="58"/>
      <c r="Z551" s="58"/>
      <c r="AA551" s="58"/>
    </row>
    <row r="552" spans="11:27">
      <c r="K552" s="51"/>
      <c r="P552" s="50"/>
      <c r="Q552" s="51"/>
      <c r="U552" s="58"/>
      <c r="V552" s="58"/>
      <c r="W552" s="58"/>
      <c r="X552" s="58"/>
      <c r="Y552" s="58"/>
      <c r="Z552" s="58"/>
      <c r="AA552" s="58"/>
    </row>
    <row r="553" spans="11:27">
      <c r="K553" s="51"/>
      <c r="P553" s="50"/>
      <c r="Q553" s="51"/>
      <c r="U553" s="58"/>
      <c r="V553" s="58"/>
      <c r="W553" s="58"/>
      <c r="X553" s="58"/>
      <c r="Y553" s="58"/>
      <c r="Z553" s="58"/>
      <c r="AA553" s="58"/>
    </row>
    <row r="554" spans="11:27">
      <c r="K554" s="51"/>
      <c r="P554" s="50"/>
      <c r="Q554" s="51"/>
      <c r="U554" s="58"/>
      <c r="V554" s="58"/>
      <c r="W554" s="58"/>
      <c r="X554" s="58"/>
      <c r="Y554" s="58"/>
      <c r="Z554" s="58"/>
      <c r="AA554" s="58"/>
    </row>
    <row r="555" spans="11:27">
      <c r="K555" s="51"/>
      <c r="P555" s="50"/>
      <c r="Q555" s="51"/>
      <c r="U555" s="58"/>
      <c r="V555" s="58"/>
      <c r="W555" s="58"/>
      <c r="X555" s="58"/>
      <c r="Y555" s="58"/>
      <c r="Z555" s="58"/>
      <c r="AA555" s="58"/>
    </row>
    <row r="556" spans="11:27">
      <c r="K556" s="51"/>
      <c r="P556" s="50"/>
      <c r="Q556" s="51"/>
      <c r="U556" s="58"/>
      <c r="V556" s="58"/>
      <c r="W556" s="58"/>
      <c r="X556" s="58"/>
      <c r="Y556" s="58"/>
      <c r="Z556" s="58"/>
      <c r="AA556" s="58"/>
    </row>
    <row r="557" spans="11:27">
      <c r="K557" s="51"/>
      <c r="P557" s="50"/>
      <c r="Q557" s="51"/>
      <c r="U557" s="58"/>
      <c r="V557" s="58"/>
      <c r="W557" s="58"/>
      <c r="X557" s="58"/>
      <c r="Y557" s="58"/>
      <c r="Z557" s="58"/>
      <c r="AA557" s="58"/>
    </row>
    <row r="558" spans="11:27">
      <c r="K558" s="51"/>
      <c r="P558" s="50"/>
      <c r="Q558" s="51"/>
      <c r="U558" s="58"/>
      <c r="V558" s="58"/>
      <c r="W558" s="58"/>
      <c r="X558" s="58"/>
      <c r="Y558" s="58"/>
      <c r="Z558" s="58"/>
      <c r="AA558" s="58"/>
    </row>
    <row r="559" spans="11:27">
      <c r="K559" s="51"/>
      <c r="P559" s="50"/>
      <c r="Q559" s="51"/>
      <c r="U559" s="58"/>
      <c r="V559" s="58"/>
      <c r="W559" s="58"/>
      <c r="X559" s="58"/>
      <c r="Y559" s="58"/>
      <c r="Z559" s="58"/>
      <c r="AA559" s="58"/>
    </row>
    <row r="560" spans="11:27">
      <c r="K560" s="51"/>
      <c r="P560" s="50"/>
      <c r="Q560" s="51"/>
      <c r="U560" s="58"/>
      <c r="V560" s="58"/>
      <c r="W560" s="58"/>
      <c r="X560" s="58"/>
      <c r="Y560" s="58"/>
      <c r="Z560" s="58"/>
      <c r="AA560" s="58"/>
    </row>
    <row r="561" spans="11:27">
      <c r="K561" s="51"/>
      <c r="P561" s="50"/>
      <c r="Q561" s="51"/>
      <c r="U561" s="58"/>
      <c r="V561" s="58"/>
      <c r="W561" s="58"/>
      <c r="X561" s="58"/>
      <c r="Y561" s="58"/>
      <c r="Z561" s="58"/>
      <c r="AA561" s="58"/>
    </row>
    <row r="562" spans="11:27">
      <c r="K562" s="51"/>
      <c r="P562" s="50"/>
      <c r="Q562" s="51"/>
      <c r="U562" s="58"/>
      <c r="V562" s="58"/>
      <c r="W562" s="58"/>
      <c r="X562" s="58"/>
      <c r="Y562" s="58"/>
      <c r="Z562" s="58"/>
      <c r="AA562" s="58"/>
    </row>
    <row r="563" spans="11:27">
      <c r="K563" s="51"/>
      <c r="P563" s="50"/>
      <c r="Q563" s="51"/>
      <c r="U563" s="58"/>
      <c r="V563" s="58"/>
      <c r="W563" s="58"/>
      <c r="X563" s="58"/>
      <c r="Y563" s="58"/>
      <c r="Z563" s="58"/>
      <c r="AA563" s="58"/>
    </row>
    <row r="564" spans="11:27">
      <c r="K564" s="51"/>
      <c r="P564" s="50"/>
      <c r="Q564" s="51"/>
      <c r="U564" s="58"/>
      <c r="V564" s="58"/>
      <c r="W564" s="58"/>
      <c r="X564" s="58"/>
      <c r="Y564" s="58"/>
      <c r="Z564" s="58"/>
      <c r="AA564" s="58"/>
    </row>
    <row r="565" spans="11:27">
      <c r="K565" s="51"/>
      <c r="P565" s="50"/>
      <c r="Q565" s="51"/>
      <c r="U565" s="58"/>
      <c r="V565" s="58"/>
      <c r="W565" s="58"/>
      <c r="X565" s="58"/>
      <c r="Y565" s="58"/>
      <c r="Z565" s="58"/>
      <c r="AA565" s="58"/>
    </row>
    <row r="566" spans="11:27">
      <c r="K566" s="51"/>
      <c r="P566" s="50"/>
      <c r="Q566" s="51"/>
      <c r="U566" s="58"/>
      <c r="V566" s="58"/>
      <c r="W566" s="58"/>
      <c r="X566" s="58"/>
      <c r="Y566" s="58"/>
      <c r="Z566" s="58"/>
      <c r="AA566" s="58"/>
    </row>
    <row r="567" spans="11:27">
      <c r="K567" s="51"/>
      <c r="P567" s="50"/>
      <c r="Q567" s="51"/>
      <c r="U567" s="58"/>
      <c r="V567" s="58"/>
      <c r="W567" s="58"/>
      <c r="X567" s="58"/>
      <c r="Y567" s="58"/>
      <c r="Z567" s="58"/>
      <c r="AA567" s="58"/>
    </row>
    <row r="568" spans="11:27">
      <c r="K568" s="51"/>
      <c r="P568" s="50"/>
      <c r="Q568" s="51"/>
      <c r="U568" s="58"/>
      <c r="V568" s="58"/>
      <c r="W568" s="58"/>
      <c r="X568" s="58"/>
      <c r="Y568" s="58"/>
      <c r="Z568" s="58"/>
      <c r="AA568" s="58"/>
    </row>
    <row r="569" spans="11:27">
      <c r="K569" s="51"/>
      <c r="P569" s="50"/>
      <c r="Q569" s="51"/>
      <c r="U569" s="58"/>
      <c r="V569" s="58"/>
      <c r="W569" s="58"/>
      <c r="X569" s="58"/>
      <c r="Y569" s="58"/>
      <c r="Z569" s="58"/>
      <c r="AA569" s="58"/>
    </row>
    <row r="570" spans="11:27">
      <c r="K570" s="51"/>
      <c r="P570" s="50"/>
      <c r="Q570" s="51"/>
      <c r="U570" s="58"/>
      <c r="V570" s="58"/>
      <c r="W570" s="58"/>
      <c r="X570" s="58"/>
      <c r="Y570" s="58"/>
      <c r="Z570" s="58"/>
      <c r="AA570" s="58"/>
    </row>
    <row r="571" spans="11:27">
      <c r="K571" s="51"/>
      <c r="P571" s="50"/>
      <c r="Q571" s="51"/>
      <c r="U571" s="58"/>
      <c r="V571" s="58"/>
      <c r="W571" s="58"/>
      <c r="X571" s="58"/>
      <c r="Y571" s="58"/>
      <c r="Z571" s="58"/>
      <c r="AA571" s="58"/>
    </row>
    <row r="572" spans="11:27">
      <c r="K572" s="51"/>
      <c r="P572" s="50"/>
      <c r="Q572" s="51"/>
      <c r="U572" s="58"/>
      <c r="V572" s="58"/>
      <c r="W572" s="58"/>
      <c r="X572" s="58"/>
      <c r="Y572" s="58"/>
      <c r="Z572" s="58"/>
      <c r="AA572" s="58"/>
    </row>
    <row r="573" spans="11:27">
      <c r="K573" s="51"/>
      <c r="P573" s="50"/>
      <c r="Q573" s="51"/>
      <c r="U573" s="58"/>
      <c r="V573" s="58"/>
      <c r="W573" s="58"/>
      <c r="X573" s="58"/>
      <c r="Y573" s="58"/>
      <c r="Z573" s="58"/>
      <c r="AA573" s="58"/>
    </row>
    <row r="574" spans="11:27">
      <c r="K574" s="51"/>
      <c r="P574" s="50"/>
      <c r="Q574" s="51"/>
      <c r="U574" s="58"/>
      <c r="V574" s="58"/>
      <c r="W574" s="58"/>
      <c r="X574" s="58"/>
      <c r="Y574" s="58"/>
      <c r="Z574" s="58"/>
      <c r="AA574" s="58"/>
    </row>
    <row r="575" spans="11:27">
      <c r="K575" s="51"/>
      <c r="P575" s="50"/>
      <c r="Q575" s="51"/>
      <c r="U575" s="58"/>
      <c r="V575" s="58"/>
      <c r="W575" s="58"/>
      <c r="X575" s="58"/>
      <c r="Y575" s="58"/>
      <c r="Z575" s="58"/>
      <c r="AA575" s="58"/>
    </row>
    <row r="576" spans="11:27">
      <c r="K576" s="51"/>
      <c r="P576" s="50"/>
      <c r="Q576" s="51"/>
      <c r="U576" s="58"/>
      <c r="V576" s="58"/>
      <c r="W576" s="58"/>
      <c r="X576" s="58"/>
      <c r="Y576" s="58"/>
      <c r="Z576" s="58"/>
      <c r="AA576" s="58"/>
    </row>
    <row r="577" spans="11:27">
      <c r="K577" s="51"/>
      <c r="P577" s="50"/>
      <c r="Q577" s="51"/>
      <c r="U577" s="58"/>
      <c r="V577" s="58"/>
      <c r="W577" s="58"/>
      <c r="X577" s="58"/>
      <c r="Y577" s="58"/>
      <c r="Z577" s="58"/>
      <c r="AA577" s="58"/>
    </row>
    <row r="578" spans="11:27">
      <c r="K578" s="51"/>
      <c r="P578" s="50"/>
      <c r="Q578" s="51"/>
      <c r="U578" s="58"/>
      <c r="V578" s="58"/>
      <c r="W578" s="58"/>
      <c r="X578" s="58"/>
      <c r="Y578" s="58"/>
      <c r="Z578" s="58"/>
      <c r="AA578" s="58"/>
    </row>
    <row r="579" spans="11:27">
      <c r="K579" s="51"/>
      <c r="P579" s="50"/>
      <c r="Q579" s="51"/>
      <c r="U579" s="58"/>
      <c r="V579" s="58"/>
      <c r="W579" s="58"/>
      <c r="X579" s="58"/>
      <c r="Y579" s="58"/>
      <c r="Z579" s="58"/>
      <c r="AA579" s="58"/>
    </row>
    <row r="580" spans="11:27">
      <c r="K580" s="51"/>
      <c r="P580" s="50"/>
      <c r="Q580" s="51"/>
      <c r="U580" s="58"/>
      <c r="V580" s="58"/>
      <c r="W580" s="58"/>
      <c r="X580" s="58"/>
      <c r="Y580" s="58"/>
      <c r="Z580" s="58"/>
      <c r="AA580" s="58"/>
    </row>
    <row r="581" spans="11:27">
      <c r="K581" s="51"/>
      <c r="P581" s="50"/>
      <c r="Q581" s="51"/>
      <c r="U581" s="58"/>
      <c r="V581" s="58"/>
      <c r="W581" s="58"/>
      <c r="X581" s="58"/>
      <c r="Y581" s="58"/>
      <c r="Z581" s="58"/>
      <c r="AA581" s="58"/>
    </row>
    <row r="582" spans="11:27">
      <c r="K582" s="51"/>
      <c r="P582" s="50"/>
      <c r="Q582" s="51"/>
      <c r="U582" s="58"/>
      <c r="V582" s="58"/>
      <c r="W582" s="58"/>
      <c r="X582" s="58"/>
      <c r="Y582" s="58"/>
      <c r="Z582" s="58"/>
      <c r="AA582" s="58"/>
    </row>
    <row r="583" spans="11:27">
      <c r="K583" s="51"/>
      <c r="P583" s="50"/>
      <c r="Q583" s="51"/>
      <c r="U583" s="58"/>
      <c r="V583" s="58"/>
      <c r="W583" s="58"/>
      <c r="X583" s="58"/>
      <c r="Y583" s="58"/>
      <c r="Z583" s="58"/>
      <c r="AA583" s="58"/>
    </row>
    <row r="584" spans="11:27">
      <c r="K584" s="51"/>
      <c r="P584" s="50"/>
      <c r="Q584" s="51"/>
      <c r="U584" s="58"/>
      <c r="V584" s="58"/>
      <c r="W584" s="58"/>
      <c r="X584" s="58"/>
      <c r="Y584" s="58"/>
      <c r="Z584" s="58"/>
      <c r="AA584" s="58"/>
    </row>
    <row r="585" spans="11:27">
      <c r="K585" s="51"/>
      <c r="P585" s="50"/>
      <c r="Q585" s="51"/>
      <c r="U585" s="58"/>
      <c r="V585" s="58"/>
      <c r="W585" s="58"/>
      <c r="X585" s="58"/>
      <c r="Y585" s="58"/>
      <c r="Z585" s="58"/>
      <c r="AA585" s="58"/>
    </row>
    <row r="586" spans="11:27">
      <c r="K586" s="51"/>
      <c r="P586" s="50"/>
      <c r="Q586" s="51"/>
      <c r="U586" s="58"/>
      <c r="V586" s="58"/>
      <c r="W586" s="58"/>
      <c r="X586" s="58"/>
      <c r="Y586" s="58"/>
      <c r="Z586" s="58"/>
      <c r="AA586" s="58"/>
    </row>
    <row r="587" spans="11:27">
      <c r="K587" s="51"/>
      <c r="P587" s="50"/>
      <c r="Q587" s="51"/>
      <c r="U587" s="58"/>
      <c r="V587" s="58"/>
      <c r="W587" s="58"/>
      <c r="X587" s="58"/>
      <c r="Y587" s="58"/>
      <c r="Z587" s="58"/>
      <c r="AA587" s="58"/>
    </row>
    <row r="588" spans="11:27">
      <c r="K588" s="51"/>
      <c r="P588" s="50"/>
      <c r="Q588" s="51"/>
      <c r="U588" s="58"/>
      <c r="V588" s="58"/>
      <c r="W588" s="58"/>
      <c r="X588" s="58"/>
      <c r="Y588" s="58"/>
      <c r="Z588" s="58"/>
      <c r="AA588" s="58"/>
    </row>
    <row r="589" spans="11:27">
      <c r="K589" s="51"/>
      <c r="P589" s="50"/>
      <c r="Q589" s="51"/>
      <c r="U589" s="58"/>
      <c r="V589" s="58"/>
      <c r="W589" s="58"/>
      <c r="X589" s="58"/>
      <c r="Y589" s="58"/>
      <c r="Z589" s="58"/>
      <c r="AA589" s="58"/>
    </row>
    <row r="590" spans="11:27">
      <c r="K590" s="51"/>
      <c r="P590" s="50"/>
      <c r="Q590" s="51"/>
      <c r="U590" s="58"/>
      <c r="V590" s="58"/>
      <c r="W590" s="58"/>
      <c r="X590" s="58"/>
      <c r="Y590" s="58"/>
      <c r="Z590" s="58"/>
      <c r="AA590" s="58"/>
    </row>
    <row r="591" spans="11:27">
      <c r="K591" s="51"/>
      <c r="P591" s="50"/>
      <c r="Q591" s="51"/>
      <c r="U591" s="58"/>
      <c r="V591" s="58"/>
      <c r="W591" s="58"/>
      <c r="X591" s="58"/>
      <c r="Y591" s="58"/>
      <c r="Z591" s="58"/>
      <c r="AA591" s="58"/>
    </row>
    <row r="592" spans="11:27">
      <c r="K592" s="51"/>
      <c r="P592" s="50"/>
      <c r="Q592" s="51"/>
      <c r="U592" s="58"/>
      <c r="V592" s="58"/>
      <c r="W592" s="58"/>
      <c r="X592" s="58"/>
      <c r="Y592" s="58"/>
      <c r="Z592" s="58"/>
      <c r="AA592" s="58"/>
    </row>
    <row r="593" spans="11:27">
      <c r="K593" s="51"/>
      <c r="P593" s="50"/>
      <c r="Q593" s="51"/>
      <c r="U593" s="58"/>
      <c r="V593" s="58"/>
      <c r="W593" s="58"/>
      <c r="X593" s="58"/>
      <c r="Y593" s="58"/>
      <c r="Z593" s="58"/>
      <c r="AA593" s="58"/>
    </row>
    <row r="594" spans="11:27">
      <c r="K594" s="51"/>
      <c r="P594" s="50"/>
      <c r="Q594" s="51"/>
      <c r="U594" s="58"/>
      <c r="V594" s="58"/>
      <c r="W594" s="58"/>
      <c r="X594" s="58"/>
      <c r="Y594" s="58"/>
      <c r="Z594" s="58"/>
      <c r="AA594" s="58"/>
    </row>
    <row r="595" spans="11:27">
      <c r="K595" s="51"/>
      <c r="P595" s="50"/>
      <c r="Q595" s="51"/>
      <c r="U595" s="58"/>
      <c r="V595" s="58"/>
      <c r="W595" s="58"/>
      <c r="X595" s="58"/>
      <c r="Y595" s="58"/>
      <c r="Z595" s="58"/>
      <c r="AA595" s="58"/>
    </row>
    <row r="596" spans="11:27">
      <c r="K596" s="51"/>
      <c r="P596" s="50"/>
      <c r="Q596" s="51"/>
      <c r="U596" s="58"/>
      <c r="V596" s="58"/>
      <c r="W596" s="58"/>
      <c r="X596" s="58"/>
      <c r="Y596" s="58"/>
      <c r="Z596" s="58"/>
      <c r="AA596" s="58"/>
    </row>
    <row r="597" spans="11:27">
      <c r="K597" s="51"/>
      <c r="P597" s="50"/>
      <c r="Q597" s="51"/>
      <c r="U597" s="58"/>
      <c r="V597" s="58"/>
      <c r="W597" s="58"/>
      <c r="X597" s="58"/>
      <c r="Y597" s="58"/>
      <c r="Z597" s="58"/>
      <c r="AA597" s="58"/>
    </row>
    <row r="598" spans="11:27">
      <c r="K598" s="51"/>
      <c r="P598" s="50"/>
      <c r="Q598" s="51"/>
      <c r="U598" s="58"/>
      <c r="V598" s="58"/>
      <c r="W598" s="58"/>
      <c r="X598" s="58"/>
      <c r="Y598" s="58"/>
      <c r="Z598" s="58"/>
      <c r="AA598" s="58"/>
    </row>
    <row r="599" spans="11:27">
      <c r="K599" s="51"/>
      <c r="P599" s="50"/>
      <c r="Q599" s="51"/>
      <c r="U599" s="58"/>
      <c r="V599" s="58"/>
      <c r="W599" s="58"/>
      <c r="X599" s="58"/>
      <c r="Y599" s="58"/>
      <c r="Z599" s="58"/>
      <c r="AA599" s="58"/>
    </row>
    <row r="600" spans="11:27">
      <c r="K600" s="51"/>
      <c r="P600" s="50"/>
      <c r="Q600" s="51"/>
      <c r="U600" s="58"/>
      <c r="V600" s="58"/>
      <c r="W600" s="58"/>
      <c r="X600" s="58"/>
      <c r="Y600" s="58"/>
      <c r="Z600" s="58"/>
      <c r="AA600" s="58"/>
    </row>
    <row r="601" spans="11:27">
      <c r="K601" s="51"/>
      <c r="P601" s="50"/>
      <c r="Q601" s="51"/>
      <c r="U601" s="58"/>
      <c r="V601" s="58"/>
      <c r="W601" s="58"/>
      <c r="X601" s="58"/>
      <c r="Y601" s="58"/>
      <c r="Z601" s="58"/>
      <c r="AA601" s="58"/>
    </row>
    <row r="602" spans="11:27">
      <c r="K602" s="51"/>
      <c r="P602" s="50"/>
      <c r="Q602" s="51"/>
      <c r="U602" s="58"/>
      <c r="V602" s="58"/>
      <c r="W602" s="58"/>
      <c r="X602" s="58"/>
      <c r="Y602" s="58"/>
      <c r="Z602" s="58"/>
      <c r="AA602" s="58"/>
    </row>
    <row r="603" spans="11:27">
      <c r="K603" s="51"/>
      <c r="P603" s="50"/>
      <c r="Q603" s="51"/>
      <c r="U603" s="58"/>
      <c r="V603" s="58"/>
      <c r="W603" s="58"/>
      <c r="X603" s="58"/>
      <c r="Y603" s="58"/>
      <c r="Z603" s="58"/>
      <c r="AA603" s="58"/>
    </row>
    <row r="604" spans="11:27">
      <c r="K604" s="51"/>
      <c r="P604" s="50"/>
      <c r="Q604" s="51"/>
      <c r="U604" s="58"/>
      <c r="V604" s="58"/>
      <c r="W604" s="58"/>
      <c r="X604" s="58"/>
      <c r="Y604" s="58"/>
      <c r="Z604" s="58"/>
      <c r="AA604" s="58"/>
    </row>
    <row r="605" spans="11:27">
      <c r="K605" s="51"/>
      <c r="P605" s="50"/>
      <c r="Q605" s="51"/>
      <c r="U605" s="58"/>
      <c r="V605" s="58"/>
      <c r="W605" s="58"/>
      <c r="X605" s="58"/>
      <c r="Y605" s="58"/>
      <c r="Z605" s="58"/>
      <c r="AA605" s="58"/>
    </row>
    <row r="606" spans="11:27">
      <c r="K606" s="51"/>
      <c r="P606" s="50"/>
      <c r="Q606" s="51"/>
      <c r="U606" s="58"/>
      <c r="V606" s="58"/>
      <c r="W606" s="58"/>
      <c r="X606" s="58"/>
      <c r="Y606" s="58"/>
      <c r="Z606" s="58"/>
      <c r="AA606" s="58"/>
    </row>
    <row r="607" spans="11:27">
      <c r="K607" s="51"/>
      <c r="P607" s="50"/>
      <c r="Q607" s="51"/>
      <c r="U607" s="58"/>
      <c r="V607" s="58"/>
      <c r="W607" s="58"/>
      <c r="X607" s="58"/>
      <c r="Y607" s="58"/>
      <c r="Z607" s="58"/>
      <c r="AA607" s="58"/>
    </row>
    <row r="608" spans="11:27">
      <c r="K608" s="51"/>
      <c r="P608" s="50"/>
      <c r="Q608" s="51"/>
      <c r="U608" s="58"/>
      <c r="V608" s="58"/>
      <c r="W608" s="58"/>
      <c r="X608" s="58"/>
      <c r="Y608" s="58"/>
      <c r="Z608" s="58"/>
      <c r="AA608" s="58"/>
    </row>
    <row r="609" spans="11:27">
      <c r="K609" s="51"/>
      <c r="P609" s="50"/>
      <c r="Q609" s="51"/>
      <c r="U609" s="58"/>
      <c r="V609" s="58"/>
      <c r="W609" s="58"/>
      <c r="X609" s="58"/>
      <c r="Y609" s="58"/>
      <c r="Z609" s="58"/>
      <c r="AA609" s="58"/>
    </row>
    <row r="610" spans="11:27">
      <c r="K610" s="51"/>
      <c r="P610" s="50"/>
      <c r="Q610" s="51"/>
      <c r="U610" s="58"/>
      <c r="V610" s="58"/>
      <c r="W610" s="58"/>
      <c r="X610" s="58"/>
      <c r="Y610" s="58"/>
      <c r="Z610" s="58"/>
      <c r="AA610" s="58"/>
    </row>
    <row r="611" spans="11:27">
      <c r="K611" s="51"/>
      <c r="P611" s="50"/>
      <c r="Q611" s="51"/>
      <c r="U611" s="58"/>
      <c r="V611" s="58"/>
      <c r="W611" s="58"/>
      <c r="X611" s="58"/>
      <c r="Y611" s="58"/>
      <c r="Z611" s="58"/>
      <c r="AA611" s="58"/>
    </row>
    <row r="612" spans="11:27">
      <c r="K612" s="51"/>
      <c r="P612" s="50"/>
      <c r="Q612" s="51"/>
      <c r="U612" s="58"/>
      <c r="V612" s="58"/>
      <c r="W612" s="58"/>
      <c r="X612" s="58"/>
      <c r="Y612" s="58"/>
      <c r="Z612" s="58"/>
      <c r="AA612" s="58"/>
    </row>
    <row r="613" spans="11:27">
      <c r="K613" s="51"/>
      <c r="P613" s="50"/>
      <c r="Q613" s="51"/>
      <c r="U613" s="58"/>
      <c r="V613" s="58"/>
      <c r="W613" s="58"/>
      <c r="X613" s="58"/>
      <c r="Y613" s="58"/>
      <c r="Z613" s="58"/>
      <c r="AA613" s="58"/>
    </row>
    <row r="614" spans="11:27">
      <c r="K614" s="51"/>
      <c r="P614" s="50"/>
      <c r="Q614" s="51"/>
      <c r="U614" s="58"/>
      <c r="V614" s="58"/>
      <c r="W614" s="58"/>
      <c r="X614" s="58"/>
      <c r="Y614" s="58"/>
      <c r="Z614" s="58"/>
      <c r="AA614" s="58"/>
    </row>
    <row r="615" spans="11:27">
      <c r="K615" s="51"/>
      <c r="P615" s="50"/>
      <c r="Q615" s="51"/>
      <c r="U615" s="58"/>
      <c r="V615" s="58"/>
      <c r="W615" s="58"/>
      <c r="X615" s="58"/>
      <c r="Y615" s="58"/>
      <c r="Z615" s="58"/>
      <c r="AA615" s="58"/>
    </row>
    <row r="616" spans="11:27">
      <c r="K616" s="51"/>
      <c r="P616" s="50"/>
      <c r="Q616" s="51"/>
      <c r="U616" s="58"/>
      <c r="V616" s="58"/>
      <c r="W616" s="58"/>
      <c r="X616" s="58"/>
      <c r="Y616" s="58"/>
      <c r="Z616" s="58"/>
      <c r="AA616" s="58"/>
    </row>
    <row r="617" spans="11:27">
      <c r="K617" s="51"/>
      <c r="P617" s="50"/>
      <c r="Q617" s="51"/>
      <c r="U617" s="58"/>
      <c r="V617" s="58"/>
      <c r="W617" s="58"/>
      <c r="X617" s="58"/>
      <c r="Y617" s="58"/>
      <c r="Z617" s="58"/>
      <c r="AA617" s="58"/>
    </row>
    <row r="618" spans="11:27">
      <c r="K618" s="51"/>
      <c r="P618" s="50"/>
      <c r="Q618" s="51"/>
      <c r="U618" s="58"/>
      <c r="V618" s="58"/>
      <c r="W618" s="58"/>
      <c r="X618" s="58"/>
      <c r="Y618" s="58"/>
      <c r="Z618" s="58"/>
      <c r="AA618" s="58"/>
    </row>
    <row r="619" spans="11:27">
      <c r="K619" s="51"/>
      <c r="P619" s="50"/>
      <c r="Q619" s="51"/>
      <c r="U619" s="58"/>
      <c r="V619" s="58"/>
      <c r="W619" s="58"/>
      <c r="X619" s="58"/>
      <c r="Y619" s="58"/>
      <c r="Z619" s="58"/>
      <c r="AA619" s="58"/>
    </row>
    <row r="620" spans="11:27">
      <c r="K620" s="51"/>
      <c r="P620" s="50"/>
      <c r="Q620" s="51"/>
      <c r="U620" s="58"/>
      <c r="V620" s="58"/>
      <c r="W620" s="58"/>
      <c r="X620" s="58"/>
      <c r="Y620" s="58"/>
      <c r="Z620" s="58"/>
      <c r="AA620" s="58"/>
    </row>
    <row r="621" spans="11:27">
      <c r="K621" s="51"/>
      <c r="P621" s="50"/>
      <c r="Q621" s="51"/>
      <c r="U621" s="58"/>
      <c r="V621" s="58"/>
      <c r="W621" s="58"/>
      <c r="X621" s="58"/>
      <c r="Y621" s="58"/>
      <c r="Z621" s="58"/>
      <c r="AA621" s="58"/>
    </row>
    <row r="622" spans="11:27">
      <c r="K622" s="51"/>
      <c r="P622" s="50"/>
      <c r="Q622" s="51"/>
      <c r="U622" s="58"/>
      <c r="V622" s="58"/>
      <c r="W622" s="58"/>
      <c r="X622" s="58"/>
      <c r="Y622" s="58"/>
      <c r="Z622" s="58"/>
      <c r="AA622" s="58"/>
    </row>
    <row r="623" spans="11:27">
      <c r="K623" s="51"/>
      <c r="P623" s="50"/>
      <c r="Q623" s="51"/>
      <c r="U623" s="58"/>
      <c r="V623" s="58"/>
      <c r="W623" s="58"/>
      <c r="X623" s="58"/>
      <c r="Y623" s="58"/>
      <c r="Z623" s="58"/>
      <c r="AA623" s="58"/>
    </row>
    <row r="624" spans="11:27">
      <c r="K624" s="51"/>
      <c r="P624" s="50"/>
      <c r="Q624" s="51"/>
      <c r="U624" s="58"/>
      <c r="V624" s="58"/>
      <c r="W624" s="58"/>
      <c r="X624" s="58"/>
      <c r="Y624" s="58"/>
      <c r="Z624" s="58"/>
      <c r="AA624" s="58"/>
    </row>
    <row r="625" spans="11:27">
      <c r="K625" s="51"/>
      <c r="P625" s="50"/>
      <c r="Q625" s="51"/>
      <c r="U625" s="58"/>
      <c r="V625" s="58"/>
      <c r="W625" s="58"/>
      <c r="X625" s="58"/>
      <c r="Y625" s="58"/>
      <c r="Z625" s="58"/>
      <c r="AA625" s="58"/>
    </row>
    <row r="626" spans="11:27">
      <c r="K626" s="51"/>
      <c r="P626" s="50"/>
      <c r="Q626" s="51"/>
      <c r="U626" s="58"/>
      <c r="V626" s="58"/>
      <c r="W626" s="58"/>
      <c r="X626" s="58"/>
      <c r="Y626" s="58"/>
      <c r="Z626" s="58"/>
      <c r="AA626" s="58"/>
    </row>
    <row r="627" spans="11:27">
      <c r="K627" s="51"/>
      <c r="P627" s="50"/>
      <c r="Q627" s="51"/>
      <c r="U627" s="58"/>
      <c r="V627" s="58"/>
      <c r="W627" s="58"/>
      <c r="X627" s="58"/>
      <c r="Y627" s="58"/>
      <c r="Z627" s="58"/>
      <c r="AA627" s="58"/>
    </row>
    <row r="628" spans="11:27">
      <c r="K628" s="51"/>
      <c r="P628" s="50"/>
      <c r="Q628" s="51"/>
      <c r="U628" s="58"/>
      <c r="V628" s="58"/>
      <c r="W628" s="58"/>
      <c r="X628" s="58"/>
      <c r="Y628" s="58"/>
      <c r="Z628" s="58"/>
      <c r="AA628" s="58"/>
    </row>
    <row r="629" spans="11:27">
      <c r="K629" s="51"/>
      <c r="P629" s="50"/>
      <c r="Q629" s="51"/>
      <c r="U629" s="58"/>
      <c r="V629" s="58"/>
      <c r="W629" s="58"/>
      <c r="X629" s="58"/>
      <c r="Y629" s="58"/>
      <c r="Z629" s="58"/>
      <c r="AA629" s="58"/>
    </row>
    <row r="630" spans="11:27">
      <c r="K630" s="51"/>
      <c r="P630" s="50"/>
      <c r="Q630" s="51"/>
      <c r="U630" s="58"/>
      <c r="V630" s="58"/>
      <c r="W630" s="58"/>
      <c r="X630" s="58"/>
      <c r="Y630" s="58"/>
      <c r="Z630" s="58"/>
      <c r="AA630" s="58"/>
    </row>
    <row r="631" spans="11:27">
      <c r="K631" s="51"/>
      <c r="P631" s="50"/>
      <c r="Q631" s="51"/>
      <c r="U631" s="58"/>
      <c r="V631" s="58"/>
      <c r="W631" s="58"/>
      <c r="X631" s="58"/>
      <c r="Y631" s="58"/>
      <c r="Z631" s="58"/>
      <c r="AA631" s="58"/>
    </row>
    <row r="632" spans="11:27">
      <c r="K632" s="51"/>
      <c r="P632" s="50"/>
      <c r="Q632" s="51"/>
      <c r="U632" s="58"/>
      <c r="V632" s="58"/>
      <c r="W632" s="58"/>
      <c r="X632" s="58"/>
      <c r="Y632" s="58"/>
      <c r="Z632" s="58"/>
      <c r="AA632" s="58"/>
    </row>
    <row r="633" spans="11:27">
      <c r="K633" s="51"/>
      <c r="P633" s="50"/>
      <c r="Q633" s="51"/>
      <c r="U633" s="58"/>
      <c r="V633" s="58"/>
      <c r="W633" s="58"/>
      <c r="X633" s="58"/>
      <c r="Y633" s="58"/>
      <c r="Z633" s="58"/>
      <c r="AA633" s="58"/>
    </row>
    <row r="634" spans="11:27">
      <c r="K634" s="51"/>
      <c r="P634" s="50"/>
      <c r="Q634" s="51"/>
      <c r="U634" s="58"/>
      <c r="V634" s="58"/>
      <c r="W634" s="58"/>
      <c r="X634" s="58"/>
      <c r="Y634" s="58"/>
      <c r="Z634" s="58"/>
      <c r="AA634" s="58"/>
    </row>
    <row r="635" spans="11:27">
      <c r="K635" s="51"/>
      <c r="P635" s="50"/>
      <c r="Q635" s="51"/>
      <c r="U635" s="58"/>
      <c r="V635" s="58"/>
      <c r="W635" s="58"/>
      <c r="X635" s="58"/>
      <c r="Y635" s="58"/>
      <c r="Z635" s="58"/>
      <c r="AA635" s="58"/>
    </row>
    <row r="636" spans="11:27">
      <c r="K636" s="51"/>
      <c r="P636" s="50"/>
      <c r="Q636" s="51"/>
      <c r="U636" s="58"/>
      <c r="V636" s="58"/>
      <c r="W636" s="58"/>
      <c r="X636" s="58"/>
      <c r="Y636" s="58"/>
      <c r="Z636" s="58"/>
      <c r="AA636" s="58"/>
    </row>
    <row r="637" spans="11:27">
      <c r="K637" s="51"/>
      <c r="P637" s="50"/>
      <c r="Q637" s="51"/>
      <c r="U637" s="58"/>
      <c r="V637" s="58"/>
      <c r="W637" s="58"/>
      <c r="X637" s="58"/>
      <c r="Y637" s="58"/>
      <c r="Z637" s="58"/>
      <c r="AA637" s="58"/>
    </row>
    <row r="638" spans="11:27">
      <c r="K638" s="51"/>
      <c r="P638" s="50"/>
      <c r="Q638" s="51"/>
      <c r="U638" s="58"/>
      <c r="V638" s="58"/>
      <c r="W638" s="58"/>
      <c r="X638" s="58"/>
      <c r="Y638" s="58"/>
      <c r="Z638" s="58"/>
      <c r="AA638" s="58"/>
    </row>
    <row r="639" spans="11:27">
      <c r="K639" s="51"/>
      <c r="P639" s="50"/>
      <c r="Q639" s="51"/>
      <c r="U639" s="58"/>
      <c r="V639" s="58"/>
      <c r="W639" s="58"/>
      <c r="X639" s="58"/>
      <c r="Y639" s="58"/>
      <c r="Z639" s="58"/>
      <c r="AA639" s="58"/>
    </row>
    <row r="640" spans="11:27">
      <c r="K640" s="51"/>
      <c r="P640" s="50"/>
      <c r="Q640" s="51"/>
      <c r="U640" s="58"/>
      <c r="V640" s="58"/>
      <c r="W640" s="58"/>
      <c r="X640" s="58"/>
      <c r="Y640" s="58"/>
      <c r="Z640" s="58"/>
      <c r="AA640" s="58"/>
    </row>
    <row r="641" spans="11:27">
      <c r="K641" s="51"/>
      <c r="P641" s="50"/>
      <c r="Q641" s="51"/>
      <c r="U641" s="58"/>
      <c r="V641" s="58"/>
      <c r="W641" s="58"/>
      <c r="X641" s="58"/>
      <c r="Y641" s="58"/>
      <c r="Z641" s="58"/>
      <c r="AA641" s="58"/>
    </row>
    <row r="642" spans="11:27">
      <c r="K642" s="51"/>
      <c r="P642" s="50"/>
      <c r="Q642" s="51"/>
      <c r="U642" s="58"/>
      <c r="V642" s="58"/>
      <c r="W642" s="58"/>
      <c r="X642" s="58"/>
      <c r="Y642" s="58"/>
      <c r="Z642" s="58"/>
      <c r="AA642" s="58"/>
    </row>
    <row r="643" spans="11:27">
      <c r="K643" s="51"/>
      <c r="P643" s="50"/>
      <c r="Q643" s="51"/>
      <c r="U643" s="58"/>
      <c r="V643" s="58"/>
      <c r="W643" s="58"/>
      <c r="X643" s="58"/>
      <c r="Y643" s="58"/>
      <c r="Z643" s="58"/>
      <c r="AA643" s="58"/>
    </row>
    <row r="644" spans="11:27">
      <c r="K644" s="51"/>
      <c r="P644" s="50"/>
      <c r="Q644" s="51"/>
      <c r="U644" s="58"/>
      <c r="V644" s="58"/>
      <c r="W644" s="58"/>
      <c r="X644" s="58"/>
      <c r="Y644" s="58"/>
      <c r="Z644" s="58"/>
      <c r="AA644" s="58"/>
    </row>
    <row r="645" spans="11:27">
      <c r="K645" s="51"/>
      <c r="P645" s="50"/>
      <c r="Q645" s="51"/>
      <c r="U645" s="58"/>
      <c r="V645" s="58"/>
      <c r="W645" s="58"/>
      <c r="X645" s="58"/>
      <c r="Y645" s="58"/>
      <c r="Z645" s="58"/>
      <c r="AA645" s="58"/>
    </row>
    <row r="646" spans="11:27">
      <c r="K646" s="51"/>
      <c r="P646" s="50"/>
      <c r="Q646" s="51"/>
      <c r="U646" s="58"/>
      <c r="V646" s="58"/>
      <c r="W646" s="58"/>
      <c r="X646" s="58"/>
      <c r="Y646" s="58"/>
      <c r="Z646" s="58"/>
      <c r="AA646" s="58"/>
    </row>
    <row r="647" spans="11:27">
      <c r="K647" s="51"/>
      <c r="P647" s="50"/>
      <c r="Q647" s="51"/>
      <c r="U647" s="58"/>
      <c r="V647" s="58"/>
      <c r="W647" s="58"/>
      <c r="X647" s="58"/>
      <c r="Y647" s="58"/>
      <c r="Z647" s="58"/>
      <c r="AA647" s="58"/>
    </row>
    <row r="648" spans="11:27">
      <c r="K648" s="51"/>
      <c r="P648" s="50"/>
      <c r="Q648" s="51"/>
      <c r="U648" s="58"/>
      <c r="V648" s="58"/>
      <c r="W648" s="58"/>
      <c r="X648" s="58"/>
      <c r="Y648" s="58"/>
      <c r="Z648" s="58"/>
      <c r="AA648" s="58"/>
    </row>
    <row r="649" spans="11:27">
      <c r="K649" s="51"/>
      <c r="P649" s="50"/>
      <c r="Q649" s="51"/>
      <c r="U649" s="58"/>
      <c r="V649" s="58"/>
      <c r="W649" s="58"/>
      <c r="X649" s="58"/>
      <c r="Y649" s="58"/>
      <c r="Z649" s="58"/>
      <c r="AA649" s="58"/>
    </row>
    <row r="650" spans="11:27">
      <c r="K650" s="51"/>
      <c r="P650" s="50"/>
      <c r="Q650" s="51"/>
      <c r="U650" s="58"/>
      <c r="V650" s="58"/>
      <c r="W650" s="58"/>
      <c r="X650" s="58"/>
      <c r="Y650" s="58"/>
      <c r="Z650" s="58"/>
      <c r="AA650" s="58"/>
    </row>
    <row r="651" spans="11:27">
      <c r="K651" s="51"/>
      <c r="P651" s="50"/>
      <c r="Q651" s="51"/>
      <c r="U651" s="58"/>
      <c r="V651" s="58"/>
      <c r="W651" s="58"/>
      <c r="X651" s="58"/>
      <c r="Y651" s="58"/>
      <c r="Z651" s="58"/>
      <c r="AA651" s="58"/>
    </row>
    <row r="652" spans="11:27">
      <c r="K652" s="51"/>
      <c r="P652" s="50"/>
      <c r="Q652" s="51"/>
      <c r="U652" s="58"/>
      <c r="V652" s="58"/>
      <c r="W652" s="58"/>
      <c r="X652" s="58"/>
      <c r="Y652" s="58"/>
      <c r="Z652" s="58"/>
      <c r="AA652" s="58"/>
    </row>
    <row r="653" spans="11:27">
      <c r="K653" s="51"/>
      <c r="P653" s="50"/>
      <c r="Q653" s="51"/>
      <c r="U653" s="58"/>
      <c r="V653" s="58"/>
      <c r="W653" s="58"/>
      <c r="X653" s="58"/>
      <c r="Y653" s="58"/>
      <c r="Z653" s="58"/>
      <c r="AA653" s="58"/>
    </row>
    <row r="654" spans="11:27">
      <c r="K654" s="51"/>
      <c r="P654" s="50"/>
      <c r="Q654" s="51"/>
      <c r="U654" s="58"/>
      <c r="V654" s="58"/>
      <c r="W654" s="58"/>
      <c r="X654" s="58"/>
      <c r="Y654" s="58"/>
      <c r="Z654" s="58"/>
      <c r="AA654" s="58"/>
    </row>
    <row r="655" spans="11:27">
      <c r="K655" s="51"/>
      <c r="P655" s="50"/>
      <c r="Q655" s="51"/>
      <c r="U655" s="58"/>
      <c r="V655" s="58"/>
      <c r="W655" s="58"/>
      <c r="X655" s="58"/>
      <c r="Y655" s="58"/>
      <c r="Z655" s="58"/>
      <c r="AA655" s="58"/>
    </row>
    <row r="656" spans="11:27">
      <c r="K656" s="51"/>
      <c r="P656" s="50"/>
      <c r="Q656" s="51"/>
      <c r="U656" s="58"/>
      <c r="V656" s="58"/>
      <c r="W656" s="58"/>
      <c r="X656" s="58"/>
      <c r="Y656" s="58"/>
      <c r="Z656" s="58"/>
      <c r="AA656" s="58"/>
    </row>
    <row r="657" spans="11:27">
      <c r="K657" s="51"/>
      <c r="P657" s="50"/>
      <c r="Q657" s="51"/>
      <c r="U657" s="58"/>
      <c r="V657" s="58"/>
      <c r="W657" s="58"/>
      <c r="X657" s="58"/>
      <c r="Y657" s="58"/>
      <c r="Z657" s="58"/>
      <c r="AA657" s="58"/>
    </row>
    <row r="658" spans="11:27">
      <c r="K658" s="51"/>
      <c r="P658" s="50"/>
      <c r="Q658" s="51"/>
      <c r="U658" s="58"/>
      <c r="V658" s="58"/>
      <c r="W658" s="58"/>
      <c r="X658" s="58"/>
      <c r="Y658" s="58"/>
      <c r="Z658" s="58"/>
      <c r="AA658" s="58"/>
    </row>
    <row r="659" spans="11:27">
      <c r="K659" s="51"/>
      <c r="P659" s="50"/>
      <c r="Q659" s="51"/>
      <c r="U659" s="58"/>
      <c r="V659" s="58"/>
      <c r="W659" s="58"/>
      <c r="X659" s="58"/>
      <c r="Y659" s="58"/>
      <c r="Z659" s="58"/>
      <c r="AA659" s="58"/>
    </row>
    <row r="660" spans="11:27">
      <c r="K660" s="51"/>
      <c r="P660" s="50"/>
      <c r="Q660" s="51"/>
      <c r="U660" s="58"/>
      <c r="V660" s="58"/>
      <c r="W660" s="58"/>
      <c r="X660" s="58"/>
      <c r="Y660" s="58"/>
      <c r="Z660" s="58"/>
      <c r="AA660" s="58"/>
    </row>
    <row r="661" spans="11:27">
      <c r="K661" s="51"/>
      <c r="P661" s="50"/>
      <c r="Q661" s="51"/>
      <c r="U661" s="58"/>
      <c r="V661" s="58"/>
      <c r="W661" s="58"/>
      <c r="X661" s="58"/>
      <c r="Y661" s="58"/>
      <c r="Z661" s="58"/>
      <c r="AA661" s="58"/>
    </row>
    <row r="662" spans="11:27">
      <c r="K662" s="51"/>
      <c r="P662" s="50"/>
      <c r="Q662" s="51"/>
      <c r="U662" s="58"/>
      <c r="V662" s="58"/>
      <c r="W662" s="58"/>
      <c r="X662" s="58"/>
      <c r="Y662" s="58"/>
      <c r="Z662" s="58"/>
      <c r="AA662" s="58"/>
    </row>
    <row r="663" spans="11:27">
      <c r="K663" s="51"/>
      <c r="P663" s="50"/>
      <c r="Q663" s="51"/>
      <c r="U663" s="58"/>
      <c r="V663" s="58"/>
      <c r="W663" s="58"/>
      <c r="X663" s="58"/>
      <c r="Y663" s="58"/>
      <c r="Z663" s="58"/>
      <c r="AA663" s="58"/>
    </row>
    <row r="664" spans="11:27">
      <c r="K664" s="51"/>
      <c r="P664" s="50"/>
      <c r="Q664" s="51"/>
      <c r="U664" s="58"/>
      <c r="V664" s="58"/>
      <c r="W664" s="58"/>
      <c r="X664" s="58"/>
      <c r="Y664" s="58"/>
      <c r="Z664" s="58"/>
      <c r="AA664" s="58"/>
    </row>
    <row r="665" spans="11:27">
      <c r="K665" s="51"/>
      <c r="P665" s="50"/>
      <c r="Q665" s="51"/>
      <c r="U665" s="58"/>
      <c r="V665" s="58"/>
      <c r="W665" s="58"/>
      <c r="X665" s="58"/>
      <c r="Y665" s="58"/>
      <c r="Z665" s="58"/>
      <c r="AA665" s="58"/>
    </row>
    <row r="666" spans="11:27">
      <c r="K666" s="51"/>
      <c r="P666" s="50"/>
      <c r="Q666" s="51"/>
      <c r="U666" s="58"/>
      <c r="V666" s="58"/>
      <c r="W666" s="58"/>
      <c r="X666" s="58"/>
      <c r="Y666" s="58"/>
      <c r="Z666" s="58"/>
      <c r="AA666" s="58"/>
    </row>
    <row r="667" spans="11:27">
      <c r="K667" s="51"/>
      <c r="P667" s="50"/>
      <c r="Q667" s="51"/>
      <c r="U667" s="58"/>
      <c r="V667" s="58"/>
      <c r="W667" s="58"/>
      <c r="X667" s="58"/>
      <c r="Y667" s="58"/>
      <c r="Z667" s="58"/>
      <c r="AA667" s="58"/>
    </row>
    <row r="668" spans="11:27">
      <c r="K668" s="51"/>
      <c r="P668" s="50"/>
      <c r="Q668" s="51"/>
      <c r="U668" s="58"/>
      <c r="V668" s="58"/>
      <c r="W668" s="58"/>
      <c r="X668" s="58"/>
      <c r="Y668" s="58"/>
      <c r="Z668" s="58"/>
      <c r="AA668" s="58"/>
    </row>
    <row r="669" spans="11:27">
      <c r="K669" s="51"/>
      <c r="P669" s="50"/>
      <c r="Q669" s="51"/>
      <c r="U669" s="58"/>
      <c r="V669" s="58"/>
      <c r="W669" s="58"/>
      <c r="X669" s="58"/>
      <c r="Y669" s="58"/>
      <c r="Z669" s="58"/>
      <c r="AA669" s="58"/>
    </row>
    <row r="670" spans="11:27">
      <c r="K670" s="51"/>
      <c r="P670" s="50"/>
      <c r="Q670" s="51"/>
      <c r="U670" s="58"/>
      <c r="V670" s="58"/>
      <c r="W670" s="58"/>
      <c r="X670" s="58"/>
      <c r="Y670" s="58"/>
      <c r="Z670" s="58"/>
      <c r="AA670" s="58"/>
    </row>
    <row r="671" spans="11:27">
      <c r="K671" s="51"/>
      <c r="P671" s="50"/>
      <c r="Q671" s="51"/>
      <c r="U671" s="58"/>
      <c r="V671" s="58"/>
      <c r="W671" s="58"/>
      <c r="X671" s="58"/>
      <c r="Y671" s="58"/>
      <c r="Z671" s="58"/>
      <c r="AA671" s="58"/>
    </row>
    <row r="672" spans="11:27">
      <c r="K672" s="51"/>
      <c r="P672" s="50"/>
      <c r="Q672" s="51"/>
      <c r="U672" s="58"/>
      <c r="V672" s="58"/>
      <c r="W672" s="58"/>
      <c r="X672" s="58"/>
      <c r="Y672" s="58"/>
      <c r="Z672" s="58"/>
      <c r="AA672" s="58"/>
    </row>
    <row r="673" spans="11:27">
      <c r="K673" s="51"/>
      <c r="P673" s="50"/>
      <c r="Q673" s="51"/>
      <c r="U673" s="58"/>
      <c r="V673" s="58"/>
      <c r="W673" s="58"/>
      <c r="X673" s="58"/>
      <c r="Y673" s="58"/>
      <c r="Z673" s="58"/>
      <c r="AA673" s="58"/>
    </row>
    <row r="674" spans="11:27">
      <c r="K674" s="51"/>
      <c r="P674" s="50"/>
      <c r="Q674" s="51"/>
      <c r="U674" s="58"/>
      <c r="V674" s="58"/>
      <c r="W674" s="58"/>
      <c r="X674" s="58"/>
      <c r="Y674" s="58"/>
      <c r="Z674" s="58"/>
      <c r="AA674" s="58"/>
    </row>
    <row r="675" spans="11:27">
      <c r="K675" s="51"/>
      <c r="P675" s="50"/>
      <c r="Q675" s="51"/>
      <c r="U675" s="58"/>
      <c r="V675" s="58"/>
      <c r="W675" s="58"/>
      <c r="X675" s="58"/>
      <c r="Y675" s="58"/>
      <c r="Z675" s="58"/>
      <c r="AA675" s="58"/>
    </row>
    <row r="676" spans="11:27">
      <c r="K676" s="51"/>
      <c r="P676" s="50"/>
      <c r="Q676" s="51"/>
      <c r="U676" s="58"/>
      <c r="V676" s="58"/>
      <c r="W676" s="58"/>
      <c r="X676" s="58"/>
      <c r="Y676" s="58"/>
      <c r="Z676" s="58"/>
      <c r="AA676" s="58"/>
    </row>
    <row r="677" spans="11:27">
      <c r="K677" s="51"/>
      <c r="P677" s="50"/>
      <c r="Q677" s="51"/>
      <c r="U677" s="58"/>
      <c r="V677" s="58"/>
      <c r="W677" s="58"/>
      <c r="X677" s="58"/>
      <c r="Y677" s="58"/>
      <c r="Z677" s="58"/>
      <c r="AA677" s="58"/>
    </row>
    <row r="678" spans="11:27">
      <c r="K678" s="51"/>
      <c r="P678" s="50"/>
      <c r="Q678" s="51"/>
      <c r="U678" s="58"/>
      <c r="V678" s="58"/>
      <c r="W678" s="58"/>
      <c r="X678" s="58"/>
      <c r="Y678" s="58"/>
      <c r="Z678" s="58"/>
      <c r="AA678" s="58"/>
    </row>
    <row r="679" spans="11:27">
      <c r="K679" s="51"/>
      <c r="P679" s="50"/>
      <c r="Q679" s="51"/>
      <c r="U679" s="58"/>
      <c r="V679" s="58"/>
      <c r="W679" s="58"/>
      <c r="X679" s="58"/>
      <c r="Y679" s="58"/>
      <c r="Z679" s="58"/>
      <c r="AA679" s="58"/>
    </row>
    <row r="680" spans="11:27">
      <c r="K680" s="51"/>
      <c r="P680" s="50"/>
      <c r="Q680" s="51"/>
      <c r="U680" s="58"/>
      <c r="V680" s="58"/>
      <c r="W680" s="58"/>
      <c r="X680" s="58"/>
      <c r="Y680" s="58"/>
      <c r="Z680" s="58"/>
      <c r="AA680" s="58"/>
    </row>
    <row r="681" spans="11:27">
      <c r="K681" s="51"/>
      <c r="P681" s="50"/>
      <c r="Q681" s="51"/>
      <c r="U681" s="58"/>
      <c r="V681" s="58"/>
      <c r="W681" s="58"/>
      <c r="X681" s="58"/>
      <c r="Y681" s="58"/>
      <c r="Z681" s="58"/>
      <c r="AA681" s="58"/>
    </row>
    <row r="682" spans="11:27">
      <c r="K682" s="51"/>
      <c r="P682" s="50"/>
      <c r="Q682" s="51"/>
      <c r="U682" s="58"/>
      <c r="V682" s="58"/>
      <c r="W682" s="58"/>
      <c r="X682" s="58"/>
      <c r="Y682" s="58"/>
      <c r="Z682" s="58"/>
      <c r="AA682" s="58"/>
    </row>
    <row r="683" spans="11:27">
      <c r="K683" s="51"/>
      <c r="P683" s="50"/>
      <c r="Q683" s="51"/>
      <c r="U683" s="58"/>
      <c r="V683" s="58"/>
      <c r="W683" s="58"/>
      <c r="X683" s="58"/>
      <c r="Y683" s="58"/>
      <c r="Z683" s="58"/>
      <c r="AA683" s="58"/>
    </row>
    <row r="684" spans="11:27">
      <c r="K684" s="51"/>
      <c r="P684" s="50"/>
      <c r="Q684" s="51"/>
      <c r="U684" s="58"/>
      <c r="V684" s="58"/>
      <c r="W684" s="58"/>
      <c r="X684" s="58"/>
      <c r="Y684" s="58"/>
      <c r="Z684" s="58"/>
      <c r="AA684" s="58"/>
    </row>
    <row r="685" spans="11:27">
      <c r="K685" s="51"/>
      <c r="P685" s="50"/>
      <c r="Q685" s="51"/>
      <c r="U685" s="58"/>
      <c r="V685" s="58"/>
      <c r="W685" s="58"/>
      <c r="X685" s="58"/>
      <c r="Y685" s="58"/>
      <c r="Z685" s="58"/>
      <c r="AA685" s="58"/>
    </row>
    <row r="686" spans="11:27">
      <c r="K686" s="51"/>
      <c r="P686" s="50"/>
      <c r="Q686" s="51"/>
      <c r="U686" s="58"/>
      <c r="V686" s="58"/>
      <c r="W686" s="58"/>
      <c r="X686" s="58"/>
      <c r="Y686" s="58"/>
      <c r="Z686" s="58"/>
      <c r="AA686" s="58"/>
    </row>
    <row r="687" spans="11:27">
      <c r="K687" s="51"/>
      <c r="P687" s="50"/>
      <c r="Q687" s="51"/>
      <c r="U687" s="58"/>
      <c r="V687" s="58"/>
      <c r="W687" s="58"/>
      <c r="X687" s="58"/>
      <c r="Y687" s="58"/>
      <c r="Z687" s="58"/>
      <c r="AA687" s="58"/>
    </row>
    <row r="688" spans="11:27">
      <c r="K688" s="51"/>
      <c r="P688" s="50"/>
      <c r="Q688" s="51"/>
      <c r="U688" s="58"/>
      <c r="V688" s="58"/>
      <c r="W688" s="58"/>
      <c r="X688" s="58"/>
      <c r="Y688" s="58"/>
      <c r="Z688" s="58"/>
      <c r="AA688" s="58"/>
    </row>
    <row r="689" spans="11:27">
      <c r="K689" s="51"/>
      <c r="P689" s="50"/>
      <c r="Q689" s="51"/>
      <c r="U689" s="58"/>
      <c r="V689" s="58"/>
      <c r="W689" s="58"/>
      <c r="X689" s="58"/>
      <c r="Y689" s="58"/>
      <c r="Z689" s="58"/>
      <c r="AA689" s="58"/>
    </row>
    <row r="690" spans="11:27">
      <c r="K690" s="51"/>
      <c r="P690" s="50"/>
      <c r="Q690" s="51"/>
      <c r="U690" s="58"/>
      <c r="V690" s="58"/>
      <c r="W690" s="58"/>
      <c r="X690" s="58"/>
      <c r="Y690" s="58"/>
      <c r="Z690" s="58"/>
      <c r="AA690" s="58"/>
    </row>
    <row r="691" spans="11:27">
      <c r="K691" s="51"/>
      <c r="P691" s="50"/>
      <c r="Q691" s="51"/>
      <c r="U691" s="58"/>
      <c r="V691" s="58"/>
      <c r="W691" s="58"/>
      <c r="X691" s="58"/>
      <c r="Y691" s="58"/>
      <c r="Z691" s="58"/>
      <c r="AA691" s="58"/>
    </row>
    <row r="692" spans="11:27">
      <c r="K692" s="51"/>
      <c r="P692" s="50"/>
      <c r="Q692" s="51"/>
      <c r="U692" s="58"/>
      <c r="V692" s="58"/>
      <c r="W692" s="58"/>
      <c r="X692" s="58"/>
      <c r="Y692" s="58"/>
      <c r="Z692" s="58"/>
      <c r="AA692" s="58"/>
    </row>
    <row r="693" spans="11:27">
      <c r="K693" s="51"/>
      <c r="P693" s="50"/>
      <c r="Q693" s="51"/>
      <c r="U693" s="58"/>
      <c r="V693" s="58"/>
      <c r="W693" s="58"/>
      <c r="X693" s="58"/>
      <c r="Y693" s="58"/>
      <c r="Z693" s="58"/>
      <c r="AA693" s="58"/>
    </row>
    <row r="694" spans="11:27">
      <c r="K694" s="51"/>
      <c r="P694" s="50"/>
      <c r="Q694" s="51"/>
      <c r="U694" s="58"/>
      <c r="V694" s="58"/>
      <c r="W694" s="58"/>
      <c r="X694" s="58"/>
      <c r="Y694" s="58"/>
      <c r="Z694" s="58"/>
      <c r="AA694" s="58"/>
    </row>
    <row r="695" spans="11:27">
      <c r="K695" s="51"/>
      <c r="P695" s="50"/>
      <c r="Q695" s="51"/>
      <c r="U695" s="58"/>
      <c r="V695" s="58"/>
      <c r="W695" s="58"/>
      <c r="X695" s="58"/>
      <c r="Y695" s="58"/>
      <c r="Z695" s="58"/>
      <c r="AA695" s="58"/>
    </row>
    <row r="696" spans="11:27">
      <c r="K696" s="51"/>
      <c r="P696" s="50"/>
      <c r="Q696" s="51"/>
      <c r="U696" s="58"/>
      <c r="V696" s="58"/>
      <c r="W696" s="58"/>
      <c r="X696" s="58"/>
      <c r="Y696" s="58"/>
      <c r="Z696" s="58"/>
      <c r="AA696" s="58"/>
    </row>
    <row r="697" spans="11:27">
      <c r="K697" s="51"/>
      <c r="P697" s="50"/>
      <c r="Q697" s="51"/>
      <c r="U697" s="58"/>
      <c r="V697" s="58"/>
      <c r="W697" s="58"/>
      <c r="X697" s="58"/>
      <c r="Y697" s="58"/>
      <c r="Z697" s="58"/>
      <c r="AA697" s="58"/>
    </row>
    <row r="698" spans="11:27">
      <c r="K698" s="51"/>
      <c r="P698" s="50"/>
      <c r="Q698" s="51"/>
      <c r="U698" s="58"/>
      <c r="V698" s="58"/>
      <c r="W698" s="58"/>
      <c r="X698" s="58"/>
      <c r="Y698" s="58"/>
      <c r="Z698" s="58"/>
      <c r="AA698" s="58"/>
    </row>
    <row r="699" spans="11:27">
      <c r="K699" s="51"/>
      <c r="P699" s="50"/>
      <c r="Q699" s="51"/>
      <c r="U699" s="58"/>
      <c r="V699" s="58"/>
      <c r="W699" s="58"/>
      <c r="X699" s="58"/>
      <c r="Y699" s="58"/>
      <c r="Z699" s="58"/>
      <c r="AA699" s="58"/>
    </row>
    <row r="700" spans="11:27">
      <c r="K700" s="51"/>
      <c r="P700" s="50"/>
      <c r="Q700" s="51"/>
      <c r="U700" s="58"/>
      <c r="V700" s="58"/>
      <c r="W700" s="58"/>
      <c r="X700" s="58"/>
      <c r="Y700" s="58"/>
      <c r="Z700" s="58"/>
      <c r="AA700" s="58"/>
    </row>
    <row r="701" spans="11:27">
      <c r="K701" s="51"/>
      <c r="P701" s="50"/>
      <c r="Q701" s="51"/>
      <c r="U701" s="58"/>
      <c r="V701" s="58"/>
      <c r="W701" s="58"/>
      <c r="X701" s="58"/>
      <c r="Y701" s="58"/>
      <c r="Z701" s="58"/>
      <c r="AA701" s="58"/>
    </row>
    <row r="702" spans="11:27">
      <c r="K702" s="51"/>
      <c r="P702" s="50"/>
      <c r="Q702" s="51"/>
      <c r="U702" s="58"/>
      <c r="V702" s="58"/>
      <c r="W702" s="58"/>
      <c r="X702" s="58"/>
      <c r="Y702" s="58"/>
      <c r="Z702" s="58"/>
      <c r="AA702" s="58"/>
    </row>
    <row r="703" spans="11:27">
      <c r="K703" s="51"/>
      <c r="P703" s="50"/>
      <c r="Q703" s="51"/>
      <c r="U703" s="58"/>
      <c r="V703" s="58"/>
      <c r="W703" s="58"/>
      <c r="X703" s="58"/>
      <c r="Y703" s="58"/>
      <c r="Z703" s="58"/>
      <c r="AA703" s="58"/>
    </row>
    <row r="704" spans="11:27">
      <c r="K704" s="51"/>
      <c r="P704" s="50"/>
      <c r="Q704" s="51"/>
      <c r="U704" s="58"/>
      <c r="V704" s="58"/>
      <c r="W704" s="58"/>
      <c r="X704" s="58"/>
      <c r="Y704" s="58"/>
      <c r="Z704" s="58"/>
      <c r="AA704" s="58"/>
    </row>
    <row r="705" spans="11:27">
      <c r="K705" s="51"/>
      <c r="P705" s="50"/>
      <c r="Q705" s="51"/>
      <c r="U705" s="58"/>
      <c r="V705" s="58"/>
      <c r="W705" s="58"/>
      <c r="X705" s="58"/>
      <c r="Y705" s="58"/>
      <c r="Z705" s="58"/>
      <c r="AA705" s="58"/>
    </row>
    <row r="706" spans="11:27">
      <c r="K706" s="51"/>
      <c r="P706" s="50"/>
      <c r="Q706" s="51"/>
      <c r="U706" s="58"/>
      <c r="V706" s="58"/>
      <c r="W706" s="58"/>
      <c r="X706" s="58"/>
      <c r="Y706" s="58"/>
      <c r="Z706" s="58"/>
      <c r="AA706" s="58"/>
    </row>
    <row r="707" spans="11:27">
      <c r="K707" s="51"/>
      <c r="P707" s="50"/>
      <c r="Q707" s="51"/>
      <c r="U707" s="58"/>
      <c r="V707" s="58"/>
      <c r="W707" s="58"/>
      <c r="X707" s="58"/>
      <c r="Y707" s="58"/>
      <c r="Z707" s="58"/>
      <c r="AA707" s="58"/>
    </row>
    <row r="708" spans="11:27">
      <c r="K708" s="51"/>
      <c r="P708" s="50"/>
      <c r="Q708" s="51"/>
      <c r="U708" s="58"/>
      <c r="V708" s="58"/>
      <c r="W708" s="58"/>
      <c r="X708" s="58"/>
      <c r="Y708" s="58"/>
      <c r="Z708" s="58"/>
      <c r="AA708" s="58"/>
    </row>
    <row r="709" spans="11:27">
      <c r="K709" s="51"/>
      <c r="P709" s="50"/>
      <c r="Q709" s="51"/>
      <c r="U709" s="58"/>
      <c r="V709" s="58"/>
      <c r="W709" s="58"/>
      <c r="X709" s="58"/>
      <c r="Y709" s="58"/>
      <c r="Z709" s="58"/>
      <c r="AA709" s="58"/>
    </row>
    <row r="710" spans="11:27">
      <c r="K710" s="51"/>
      <c r="P710" s="50"/>
      <c r="Q710" s="51"/>
      <c r="U710" s="58"/>
      <c r="V710" s="58"/>
      <c r="W710" s="58"/>
      <c r="X710" s="58"/>
      <c r="Y710" s="58"/>
      <c r="Z710" s="58"/>
      <c r="AA710" s="58"/>
    </row>
    <row r="711" spans="11:27">
      <c r="K711" s="51"/>
      <c r="P711" s="50"/>
      <c r="Q711" s="51"/>
      <c r="U711" s="58"/>
      <c r="V711" s="58"/>
      <c r="W711" s="58"/>
      <c r="X711" s="58"/>
      <c r="Y711" s="58"/>
      <c r="Z711" s="58"/>
      <c r="AA711" s="58"/>
    </row>
    <row r="712" spans="11:27">
      <c r="K712" s="51"/>
      <c r="P712" s="50"/>
      <c r="Q712" s="51"/>
      <c r="U712" s="58"/>
      <c r="V712" s="58"/>
      <c r="W712" s="58"/>
      <c r="X712" s="58"/>
      <c r="Y712" s="58"/>
      <c r="Z712" s="58"/>
      <c r="AA712" s="58"/>
    </row>
    <row r="713" spans="11:27">
      <c r="K713" s="51"/>
      <c r="P713" s="50"/>
      <c r="Q713" s="51"/>
      <c r="U713" s="58"/>
      <c r="V713" s="58"/>
      <c r="W713" s="58"/>
      <c r="X713" s="58"/>
      <c r="Y713" s="58"/>
      <c r="Z713" s="58"/>
      <c r="AA713" s="58"/>
    </row>
    <row r="714" spans="11:27">
      <c r="K714" s="51"/>
      <c r="P714" s="50"/>
      <c r="Q714" s="51"/>
      <c r="U714" s="58"/>
      <c r="V714" s="58"/>
      <c r="W714" s="58"/>
      <c r="X714" s="58"/>
      <c r="Y714" s="58"/>
      <c r="Z714" s="58"/>
      <c r="AA714" s="58"/>
    </row>
    <row r="715" spans="11:27">
      <c r="K715" s="51"/>
      <c r="P715" s="50"/>
      <c r="Q715" s="51"/>
      <c r="U715" s="58"/>
      <c r="V715" s="58"/>
      <c r="W715" s="58"/>
      <c r="X715" s="58"/>
      <c r="Y715" s="58"/>
      <c r="Z715" s="58"/>
      <c r="AA715" s="58"/>
    </row>
    <row r="716" spans="11:27">
      <c r="K716" s="51"/>
      <c r="P716" s="50"/>
      <c r="Q716" s="51"/>
      <c r="U716" s="58"/>
      <c r="V716" s="58"/>
      <c r="W716" s="58"/>
      <c r="X716" s="58"/>
      <c r="Y716" s="58"/>
      <c r="Z716" s="58"/>
      <c r="AA716" s="58"/>
    </row>
    <row r="717" spans="11:27">
      <c r="K717" s="51"/>
      <c r="P717" s="50"/>
      <c r="Q717" s="51"/>
      <c r="U717" s="58"/>
      <c r="V717" s="58"/>
      <c r="W717" s="58"/>
      <c r="X717" s="58"/>
      <c r="Y717" s="58"/>
      <c r="Z717" s="58"/>
      <c r="AA717" s="58"/>
    </row>
    <row r="718" spans="11:27">
      <c r="K718" s="51"/>
      <c r="P718" s="50"/>
      <c r="Q718" s="51"/>
      <c r="U718" s="58"/>
      <c r="V718" s="58"/>
      <c r="W718" s="58"/>
      <c r="X718" s="58"/>
      <c r="Y718" s="58"/>
      <c r="Z718" s="58"/>
      <c r="AA718" s="58"/>
    </row>
    <row r="719" spans="11:27">
      <c r="K719" s="51"/>
      <c r="P719" s="50"/>
      <c r="Q719" s="51"/>
      <c r="U719" s="58"/>
      <c r="V719" s="58"/>
      <c r="W719" s="58"/>
      <c r="X719" s="58"/>
      <c r="Y719" s="58"/>
      <c r="Z719" s="58"/>
      <c r="AA719" s="58"/>
    </row>
    <row r="720" spans="11:27">
      <c r="K720" s="51"/>
      <c r="P720" s="50"/>
      <c r="Q720" s="51"/>
      <c r="U720" s="58"/>
      <c r="V720" s="58"/>
      <c r="W720" s="58"/>
      <c r="X720" s="58"/>
      <c r="Y720" s="58"/>
      <c r="Z720" s="58"/>
      <c r="AA720" s="58"/>
    </row>
    <row r="721" spans="11:27">
      <c r="K721" s="51"/>
      <c r="P721" s="50"/>
      <c r="Q721" s="51"/>
      <c r="U721" s="58"/>
      <c r="V721" s="58"/>
      <c r="W721" s="58"/>
      <c r="X721" s="58"/>
      <c r="Y721" s="58"/>
      <c r="Z721" s="58"/>
      <c r="AA721" s="58"/>
    </row>
    <row r="722" spans="11:27">
      <c r="K722" s="51"/>
      <c r="P722" s="50"/>
      <c r="Q722" s="51"/>
      <c r="U722" s="58"/>
      <c r="V722" s="58"/>
      <c r="W722" s="58"/>
      <c r="X722" s="58"/>
      <c r="Y722" s="58"/>
      <c r="Z722" s="58"/>
      <c r="AA722" s="58"/>
    </row>
    <row r="723" spans="11:27">
      <c r="K723" s="51"/>
      <c r="P723" s="50"/>
      <c r="Q723" s="51"/>
      <c r="U723" s="58"/>
      <c r="V723" s="58"/>
      <c r="W723" s="58"/>
      <c r="X723" s="58"/>
      <c r="Y723" s="58"/>
      <c r="Z723" s="58"/>
      <c r="AA723" s="58"/>
    </row>
    <row r="724" spans="11:27">
      <c r="K724" s="51"/>
      <c r="P724" s="50"/>
      <c r="Q724" s="51"/>
      <c r="U724" s="58"/>
      <c r="V724" s="58"/>
      <c r="W724" s="58"/>
      <c r="X724" s="58"/>
      <c r="Y724" s="58"/>
      <c r="Z724" s="58"/>
      <c r="AA724" s="58"/>
    </row>
    <row r="725" spans="11:27">
      <c r="K725" s="51"/>
      <c r="P725" s="50"/>
      <c r="Q725" s="51"/>
      <c r="U725" s="58"/>
      <c r="V725" s="58"/>
      <c r="W725" s="58"/>
      <c r="X725" s="58"/>
      <c r="Y725" s="58"/>
      <c r="Z725" s="58"/>
      <c r="AA725" s="58"/>
    </row>
    <row r="726" spans="11:27">
      <c r="K726" s="51"/>
      <c r="P726" s="50"/>
      <c r="Q726" s="51"/>
      <c r="U726" s="58"/>
      <c r="V726" s="58"/>
      <c r="W726" s="58"/>
      <c r="X726" s="58"/>
      <c r="Y726" s="58"/>
      <c r="Z726" s="58"/>
      <c r="AA726" s="58"/>
    </row>
    <row r="727" spans="11:27">
      <c r="K727" s="51"/>
      <c r="P727" s="50"/>
      <c r="Q727" s="51"/>
      <c r="U727" s="58"/>
      <c r="V727" s="58"/>
      <c r="W727" s="58"/>
      <c r="X727" s="58"/>
      <c r="Y727" s="58"/>
      <c r="Z727" s="58"/>
      <c r="AA727" s="58"/>
    </row>
    <row r="728" spans="11:27">
      <c r="K728" s="51"/>
      <c r="P728" s="50"/>
      <c r="Q728" s="51"/>
      <c r="U728" s="58"/>
      <c r="V728" s="58"/>
      <c r="W728" s="58"/>
      <c r="X728" s="58"/>
      <c r="Y728" s="58"/>
      <c r="Z728" s="58"/>
      <c r="AA728" s="58"/>
    </row>
    <row r="729" spans="11:27">
      <c r="K729" s="51"/>
      <c r="P729" s="50"/>
      <c r="Q729" s="51"/>
      <c r="U729" s="58"/>
      <c r="V729" s="58"/>
      <c r="W729" s="58"/>
      <c r="X729" s="58"/>
      <c r="Y729" s="58"/>
      <c r="Z729" s="58"/>
      <c r="AA729" s="58"/>
    </row>
    <row r="730" spans="11:27">
      <c r="K730" s="51"/>
      <c r="P730" s="50"/>
      <c r="Q730" s="51"/>
      <c r="U730" s="58"/>
      <c r="V730" s="58"/>
      <c r="W730" s="58"/>
      <c r="X730" s="58"/>
      <c r="Y730" s="58"/>
      <c r="Z730" s="58"/>
      <c r="AA730" s="58"/>
    </row>
    <row r="731" spans="11:27">
      <c r="K731" s="51"/>
      <c r="P731" s="50"/>
      <c r="Q731" s="51"/>
      <c r="U731" s="58"/>
      <c r="V731" s="58"/>
      <c r="W731" s="58"/>
      <c r="X731" s="58"/>
      <c r="Y731" s="58"/>
      <c r="Z731" s="58"/>
      <c r="AA731" s="58"/>
    </row>
    <row r="732" spans="11:27">
      <c r="K732" s="51"/>
      <c r="P732" s="50"/>
      <c r="Q732" s="51"/>
      <c r="U732" s="58"/>
      <c r="V732" s="58"/>
      <c r="W732" s="58"/>
      <c r="X732" s="58"/>
      <c r="Y732" s="58"/>
      <c r="Z732" s="58"/>
      <c r="AA732" s="58"/>
    </row>
    <row r="733" spans="11:27">
      <c r="K733" s="51"/>
      <c r="P733" s="50"/>
      <c r="Q733" s="51"/>
      <c r="U733" s="58"/>
      <c r="V733" s="58"/>
      <c r="W733" s="58"/>
      <c r="X733" s="58"/>
      <c r="Y733" s="58"/>
      <c r="Z733" s="58"/>
      <c r="AA733" s="58"/>
    </row>
    <row r="734" spans="11:27">
      <c r="K734" s="51"/>
      <c r="P734" s="50"/>
      <c r="Q734" s="51"/>
      <c r="U734" s="58"/>
      <c r="V734" s="58"/>
      <c r="W734" s="58"/>
      <c r="X734" s="58"/>
      <c r="Y734" s="58"/>
      <c r="Z734" s="58"/>
      <c r="AA734" s="58"/>
    </row>
    <row r="735" spans="11:27">
      <c r="K735" s="51"/>
      <c r="P735" s="50"/>
      <c r="Q735" s="51"/>
      <c r="U735" s="58"/>
      <c r="V735" s="58"/>
      <c r="W735" s="58"/>
      <c r="X735" s="58"/>
      <c r="Y735" s="58"/>
      <c r="Z735" s="58"/>
      <c r="AA735" s="58"/>
    </row>
    <row r="736" spans="11:27">
      <c r="K736" s="51"/>
      <c r="P736" s="50"/>
      <c r="Q736" s="51"/>
      <c r="U736" s="58"/>
      <c r="V736" s="58"/>
      <c r="W736" s="58"/>
      <c r="X736" s="58"/>
      <c r="Y736" s="58"/>
      <c r="Z736" s="58"/>
      <c r="AA736" s="58"/>
    </row>
    <row r="737" spans="11:27">
      <c r="K737" s="51"/>
      <c r="P737" s="50"/>
      <c r="Q737" s="51"/>
      <c r="U737" s="58"/>
      <c r="V737" s="58"/>
      <c r="W737" s="58"/>
      <c r="X737" s="58"/>
      <c r="Y737" s="58"/>
      <c r="Z737" s="58"/>
      <c r="AA737" s="58"/>
    </row>
    <row r="738" spans="11:27">
      <c r="K738" s="51"/>
      <c r="P738" s="50"/>
      <c r="Q738" s="51"/>
      <c r="U738" s="58"/>
      <c r="V738" s="58"/>
      <c r="W738" s="58"/>
      <c r="X738" s="58"/>
      <c r="Y738" s="58"/>
      <c r="Z738" s="58"/>
      <c r="AA738" s="58"/>
    </row>
    <row r="739" spans="11:27">
      <c r="K739" s="51"/>
      <c r="P739" s="50"/>
      <c r="Q739" s="51"/>
      <c r="U739" s="58"/>
      <c r="V739" s="58"/>
      <c r="W739" s="58"/>
      <c r="X739" s="58"/>
      <c r="Y739" s="58"/>
      <c r="Z739" s="58"/>
      <c r="AA739" s="58"/>
    </row>
    <row r="740" spans="11:27">
      <c r="K740" s="51"/>
      <c r="P740" s="50"/>
      <c r="Q740" s="51"/>
      <c r="U740" s="58"/>
      <c r="V740" s="58"/>
      <c r="W740" s="58"/>
      <c r="X740" s="58"/>
      <c r="Y740" s="58"/>
      <c r="Z740" s="58"/>
      <c r="AA740" s="58"/>
    </row>
    <row r="741" spans="11:27">
      <c r="K741" s="51"/>
      <c r="P741" s="50"/>
      <c r="Q741" s="51"/>
      <c r="U741" s="58"/>
      <c r="V741" s="58"/>
      <c r="W741" s="58"/>
      <c r="X741" s="58"/>
      <c r="Y741" s="58"/>
      <c r="Z741" s="58"/>
      <c r="AA741" s="58"/>
    </row>
    <row r="742" spans="11:27">
      <c r="K742" s="51"/>
      <c r="P742" s="50"/>
      <c r="Q742" s="51"/>
      <c r="U742" s="58"/>
      <c r="V742" s="58"/>
      <c r="W742" s="58"/>
      <c r="X742" s="58"/>
      <c r="Y742" s="58"/>
      <c r="Z742" s="58"/>
      <c r="AA742" s="58"/>
    </row>
    <row r="743" spans="11:27">
      <c r="K743" s="51"/>
      <c r="P743" s="50"/>
      <c r="Q743" s="51"/>
      <c r="U743" s="58"/>
      <c r="V743" s="58"/>
      <c r="W743" s="58"/>
      <c r="X743" s="58"/>
      <c r="Y743" s="58"/>
      <c r="Z743" s="58"/>
      <c r="AA743" s="58"/>
    </row>
    <row r="744" spans="11:27">
      <c r="K744" s="51"/>
      <c r="P744" s="50"/>
      <c r="Q744" s="51"/>
      <c r="U744" s="58"/>
      <c r="V744" s="58"/>
      <c r="W744" s="58"/>
      <c r="X744" s="58"/>
      <c r="Y744" s="58"/>
      <c r="Z744" s="58"/>
      <c r="AA744" s="58"/>
    </row>
    <row r="745" spans="11:27">
      <c r="K745" s="51"/>
      <c r="P745" s="50"/>
      <c r="Q745" s="51"/>
      <c r="U745" s="58"/>
      <c r="V745" s="58"/>
      <c r="W745" s="58"/>
      <c r="X745" s="58"/>
      <c r="Y745" s="58"/>
      <c r="Z745" s="58"/>
      <c r="AA745" s="58"/>
    </row>
    <row r="746" spans="11:27">
      <c r="K746" s="51"/>
      <c r="P746" s="50"/>
      <c r="Q746" s="51"/>
      <c r="U746" s="58"/>
      <c r="V746" s="58"/>
      <c r="W746" s="58"/>
      <c r="X746" s="58"/>
      <c r="Y746" s="58"/>
      <c r="Z746" s="58"/>
      <c r="AA746" s="58"/>
    </row>
    <row r="747" spans="11:27">
      <c r="K747" s="51"/>
      <c r="P747" s="50"/>
      <c r="Q747" s="51"/>
      <c r="U747" s="58"/>
      <c r="V747" s="58"/>
      <c r="W747" s="58"/>
      <c r="X747" s="58"/>
      <c r="Y747" s="58"/>
      <c r="Z747" s="58"/>
      <c r="AA747" s="58"/>
    </row>
    <row r="748" spans="11:27">
      <c r="K748" s="51"/>
      <c r="P748" s="50"/>
      <c r="Q748" s="51"/>
      <c r="U748" s="58"/>
      <c r="V748" s="58"/>
      <c r="W748" s="58"/>
      <c r="X748" s="58"/>
      <c r="Y748" s="58"/>
      <c r="Z748" s="58"/>
      <c r="AA748" s="58"/>
    </row>
    <row r="749" spans="11:27">
      <c r="K749" s="51"/>
      <c r="P749" s="50"/>
      <c r="Q749" s="51"/>
      <c r="U749" s="58"/>
      <c r="V749" s="58"/>
      <c r="W749" s="58"/>
      <c r="X749" s="58"/>
      <c r="Y749" s="58"/>
      <c r="Z749" s="58"/>
      <c r="AA749" s="58"/>
    </row>
    <row r="750" spans="11:27">
      <c r="K750" s="51"/>
      <c r="P750" s="50"/>
      <c r="Q750" s="51"/>
      <c r="U750" s="58"/>
      <c r="V750" s="58"/>
      <c r="W750" s="58"/>
      <c r="X750" s="58"/>
      <c r="Y750" s="58"/>
      <c r="Z750" s="58"/>
      <c r="AA750" s="58"/>
    </row>
    <row r="751" spans="11:27">
      <c r="K751" s="51"/>
      <c r="P751" s="50"/>
      <c r="Q751" s="51"/>
      <c r="U751" s="58"/>
      <c r="V751" s="58"/>
      <c r="W751" s="58"/>
      <c r="X751" s="58"/>
      <c r="Y751" s="58"/>
      <c r="Z751" s="58"/>
      <c r="AA751" s="58"/>
    </row>
    <row r="752" spans="11:27">
      <c r="K752" s="51"/>
      <c r="P752" s="50"/>
      <c r="Q752" s="51"/>
      <c r="U752" s="58"/>
      <c r="V752" s="58"/>
      <c r="W752" s="58"/>
      <c r="X752" s="58"/>
      <c r="Y752" s="58"/>
      <c r="Z752" s="58"/>
      <c r="AA752" s="58"/>
    </row>
    <row r="753" spans="11:27">
      <c r="K753" s="51"/>
      <c r="P753" s="50"/>
      <c r="Q753" s="51"/>
      <c r="U753" s="58"/>
      <c r="V753" s="58"/>
      <c r="W753" s="58"/>
      <c r="X753" s="58"/>
      <c r="Y753" s="58"/>
      <c r="Z753" s="58"/>
      <c r="AA753" s="58"/>
    </row>
    <row r="754" spans="11:27">
      <c r="K754" s="51"/>
      <c r="P754" s="50"/>
      <c r="Q754" s="51"/>
      <c r="U754" s="58"/>
      <c r="V754" s="58"/>
      <c r="W754" s="58"/>
      <c r="X754" s="58"/>
      <c r="Y754" s="58"/>
      <c r="Z754" s="58"/>
      <c r="AA754" s="58"/>
    </row>
    <row r="755" spans="11:27">
      <c r="K755" s="51"/>
      <c r="P755" s="50"/>
      <c r="Q755" s="51"/>
      <c r="U755" s="58"/>
      <c r="V755" s="58"/>
      <c r="W755" s="58"/>
      <c r="X755" s="58"/>
      <c r="Y755" s="58"/>
      <c r="Z755" s="58"/>
      <c r="AA755" s="58"/>
    </row>
    <row r="756" spans="11:27">
      <c r="K756" s="51"/>
      <c r="P756" s="50"/>
      <c r="Q756" s="51"/>
      <c r="U756" s="58"/>
      <c r="V756" s="58"/>
      <c r="W756" s="58"/>
      <c r="X756" s="58"/>
      <c r="Y756" s="58"/>
      <c r="Z756" s="58"/>
      <c r="AA756" s="58"/>
    </row>
    <row r="757" spans="11:27">
      <c r="K757" s="51"/>
      <c r="P757" s="50"/>
      <c r="Q757" s="51"/>
      <c r="U757" s="58"/>
      <c r="V757" s="58"/>
      <c r="W757" s="58"/>
      <c r="X757" s="58"/>
      <c r="Y757" s="58"/>
      <c r="Z757" s="58"/>
      <c r="AA757" s="58"/>
    </row>
    <row r="758" spans="11:27">
      <c r="K758" s="51"/>
      <c r="P758" s="50"/>
      <c r="Q758" s="51"/>
      <c r="U758" s="58"/>
      <c r="V758" s="58"/>
      <c r="W758" s="58"/>
      <c r="X758" s="58"/>
      <c r="Y758" s="58"/>
      <c r="Z758" s="58"/>
      <c r="AA758" s="58"/>
    </row>
    <row r="759" spans="11:27">
      <c r="K759" s="51"/>
      <c r="P759" s="50"/>
      <c r="Q759" s="51"/>
      <c r="U759" s="58"/>
      <c r="V759" s="58"/>
      <c r="W759" s="58"/>
      <c r="X759" s="58"/>
      <c r="Y759" s="58"/>
      <c r="Z759" s="58"/>
      <c r="AA759" s="58"/>
    </row>
    <row r="760" spans="11:27">
      <c r="K760" s="51"/>
      <c r="P760" s="50"/>
      <c r="Q760" s="51"/>
      <c r="U760" s="58"/>
      <c r="V760" s="58"/>
      <c r="W760" s="58"/>
      <c r="X760" s="58"/>
      <c r="Y760" s="58"/>
      <c r="Z760" s="58"/>
      <c r="AA760" s="58"/>
    </row>
    <row r="761" spans="11:27">
      <c r="K761" s="51"/>
      <c r="P761" s="50"/>
      <c r="Q761" s="51"/>
      <c r="U761" s="58"/>
      <c r="V761" s="58"/>
      <c r="W761" s="58"/>
      <c r="X761" s="58"/>
      <c r="Y761" s="58"/>
      <c r="Z761" s="58"/>
      <c r="AA761" s="58"/>
    </row>
    <row r="762" spans="11:27">
      <c r="K762" s="51"/>
      <c r="P762" s="50"/>
      <c r="Q762" s="51"/>
      <c r="U762" s="58"/>
      <c r="V762" s="58"/>
      <c r="W762" s="58"/>
      <c r="X762" s="58"/>
      <c r="Y762" s="58"/>
      <c r="Z762" s="58"/>
      <c r="AA762" s="58"/>
    </row>
    <row r="763" spans="11:27">
      <c r="K763" s="51"/>
      <c r="P763" s="50"/>
      <c r="Q763" s="51"/>
      <c r="U763" s="58"/>
      <c r="V763" s="58"/>
      <c r="W763" s="58"/>
      <c r="X763" s="58"/>
      <c r="Y763" s="58"/>
      <c r="Z763" s="58"/>
      <c r="AA763" s="58"/>
    </row>
    <row r="764" spans="11:27">
      <c r="K764" s="51"/>
      <c r="P764" s="50"/>
      <c r="Q764" s="51"/>
      <c r="U764" s="58"/>
      <c r="V764" s="58"/>
      <c r="W764" s="58"/>
      <c r="X764" s="58"/>
      <c r="Y764" s="58"/>
      <c r="Z764" s="58"/>
      <c r="AA764" s="58"/>
    </row>
    <row r="765" spans="11:27">
      <c r="K765" s="51"/>
      <c r="P765" s="50"/>
      <c r="Q765" s="51"/>
      <c r="U765" s="58"/>
      <c r="V765" s="58"/>
      <c r="W765" s="58"/>
      <c r="X765" s="58"/>
      <c r="Y765" s="58"/>
      <c r="Z765" s="58"/>
      <c r="AA765" s="58"/>
    </row>
    <row r="766" spans="11:27">
      <c r="K766" s="51"/>
      <c r="P766" s="50"/>
      <c r="Q766" s="51"/>
      <c r="U766" s="58"/>
      <c r="V766" s="58"/>
      <c r="W766" s="58"/>
      <c r="X766" s="58"/>
      <c r="Y766" s="58"/>
      <c r="Z766" s="58"/>
      <c r="AA766" s="58"/>
    </row>
    <row r="767" spans="11:27">
      <c r="K767" s="51"/>
      <c r="P767" s="50"/>
      <c r="Q767" s="51"/>
      <c r="U767" s="58"/>
      <c r="V767" s="58"/>
      <c r="W767" s="58"/>
      <c r="X767" s="58"/>
      <c r="Y767" s="58"/>
      <c r="Z767" s="58"/>
      <c r="AA767" s="58"/>
    </row>
    <row r="768" spans="11:27">
      <c r="K768" s="51"/>
      <c r="P768" s="50"/>
      <c r="Q768" s="51"/>
      <c r="U768" s="58"/>
      <c r="V768" s="58"/>
      <c r="W768" s="58"/>
      <c r="X768" s="58"/>
      <c r="Y768" s="58"/>
      <c r="Z768" s="58"/>
      <c r="AA768" s="58"/>
    </row>
    <row r="769" spans="11:27">
      <c r="K769" s="51"/>
      <c r="P769" s="50"/>
      <c r="Q769" s="51"/>
      <c r="U769" s="58"/>
      <c r="V769" s="58"/>
      <c r="W769" s="58"/>
      <c r="X769" s="58"/>
      <c r="Y769" s="58"/>
      <c r="Z769" s="58"/>
      <c r="AA769" s="58"/>
    </row>
    <row r="770" spans="11:27">
      <c r="K770" s="51"/>
      <c r="P770" s="50"/>
      <c r="Q770" s="51"/>
      <c r="U770" s="58"/>
      <c r="V770" s="58"/>
      <c r="W770" s="58"/>
      <c r="X770" s="58"/>
      <c r="Y770" s="58"/>
      <c r="Z770" s="58"/>
      <c r="AA770" s="58"/>
    </row>
    <row r="771" spans="11:27">
      <c r="K771" s="51"/>
      <c r="P771" s="50"/>
      <c r="Q771" s="51"/>
      <c r="U771" s="58"/>
      <c r="V771" s="58"/>
      <c r="W771" s="58"/>
      <c r="X771" s="58"/>
      <c r="Y771" s="58"/>
      <c r="Z771" s="58"/>
      <c r="AA771" s="58"/>
    </row>
    <row r="772" spans="11:27">
      <c r="K772" s="51"/>
      <c r="P772" s="50"/>
      <c r="Q772" s="51"/>
      <c r="U772" s="58"/>
      <c r="V772" s="58"/>
      <c r="W772" s="58"/>
      <c r="X772" s="58"/>
      <c r="Y772" s="58"/>
      <c r="Z772" s="58"/>
      <c r="AA772" s="58"/>
    </row>
    <row r="773" spans="11:27">
      <c r="K773" s="51"/>
      <c r="P773" s="50"/>
      <c r="Q773" s="51"/>
      <c r="U773" s="58"/>
      <c r="V773" s="58"/>
      <c r="W773" s="58"/>
      <c r="X773" s="58"/>
      <c r="Y773" s="58"/>
      <c r="Z773" s="58"/>
      <c r="AA773" s="58"/>
    </row>
    <row r="774" spans="11:27">
      <c r="K774" s="51"/>
      <c r="P774" s="50"/>
      <c r="Q774" s="51"/>
      <c r="U774" s="58"/>
      <c r="V774" s="58"/>
      <c r="W774" s="58"/>
      <c r="X774" s="58"/>
      <c r="Y774" s="58"/>
      <c r="Z774" s="58"/>
      <c r="AA774" s="58"/>
    </row>
    <row r="775" spans="11:27">
      <c r="K775" s="51"/>
      <c r="P775" s="50"/>
      <c r="Q775" s="51"/>
      <c r="U775" s="58"/>
      <c r="V775" s="58"/>
      <c r="W775" s="58"/>
      <c r="X775" s="58"/>
      <c r="Y775" s="58"/>
      <c r="Z775" s="58"/>
      <c r="AA775" s="58"/>
    </row>
    <row r="776" spans="11:27">
      <c r="K776" s="51"/>
      <c r="P776" s="50"/>
      <c r="Q776" s="51"/>
      <c r="U776" s="58"/>
      <c r="V776" s="58"/>
      <c r="W776" s="58"/>
      <c r="X776" s="58"/>
      <c r="Y776" s="58"/>
      <c r="Z776" s="58"/>
      <c r="AA776" s="58"/>
    </row>
    <row r="777" spans="11:27">
      <c r="K777" s="51"/>
      <c r="P777" s="50"/>
      <c r="Q777" s="51"/>
      <c r="U777" s="58"/>
      <c r="V777" s="58"/>
      <c r="W777" s="58"/>
      <c r="X777" s="58"/>
      <c r="Y777" s="58"/>
      <c r="Z777" s="58"/>
      <c r="AA777" s="58"/>
    </row>
    <row r="778" spans="11:27">
      <c r="K778" s="51"/>
      <c r="P778" s="50"/>
      <c r="Q778" s="51"/>
      <c r="U778" s="58"/>
      <c r="V778" s="58"/>
      <c r="W778" s="58"/>
      <c r="X778" s="58"/>
      <c r="Y778" s="58"/>
      <c r="Z778" s="58"/>
      <c r="AA778" s="58"/>
    </row>
    <row r="779" spans="11:27">
      <c r="K779" s="51"/>
      <c r="P779" s="50"/>
      <c r="Q779" s="51"/>
      <c r="U779" s="58"/>
      <c r="V779" s="58"/>
      <c r="W779" s="58"/>
      <c r="X779" s="58"/>
      <c r="Y779" s="58"/>
      <c r="Z779" s="58"/>
      <c r="AA779" s="58"/>
    </row>
    <row r="780" spans="11:27">
      <c r="K780" s="51"/>
      <c r="P780" s="50"/>
      <c r="Q780" s="51"/>
      <c r="U780" s="58"/>
      <c r="V780" s="58"/>
      <c r="W780" s="58"/>
      <c r="X780" s="58"/>
      <c r="Y780" s="58"/>
      <c r="Z780" s="58"/>
      <c r="AA780" s="58"/>
    </row>
    <row r="781" spans="11:27">
      <c r="K781" s="51"/>
      <c r="P781" s="50"/>
      <c r="Q781" s="51"/>
      <c r="U781" s="58"/>
      <c r="V781" s="58"/>
      <c r="W781" s="58"/>
      <c r="X781" s="58"/>
      <c r="Y781" s="58"/>
      <c r="Z781" s="58"/>
      <c r="AA781" s="58"/>
    </row>
    <row r="782" spans="11:27">
      <c r="K782" s="51"/>
      <c r="P782" s="50"/>
      <c r="Q782" s="51"/>
      <c r="U782" s="58"/>
      <c r="V782" s="58"/>
      <c r="W782" s="58"/>
      <c r="X782" s="58"/>
      <c r="Y782" s="58"/>
      <c r="Z782" s="58"/>
      <c r="AA782" s="58"/>
    </row>
    <row r="783" spans="11:27">
      <c r="K783" s="51"/>
      <c r="P783" s="50"/>
      <c r="Q783" s="51"/>
      <c r="U783" s="58"/>
      <c r="V783" s="58"/>
      <c r="W783" s="58"/>
      <c r="X783" s="58"/>
      <c r="Y783" s="58"/>
      <c r="Z783" s="58"/>
      <c r="AA783" s="58"/>
    </row>
    <row r="784" spans="11:27">
      <c r="K784" s="51"/>
      <c r="P784" s="50"/>
      <c r="Q784" s="51"/>
      <c r="U784" s="58"/>
      <c r="V784" s="58"/>
      <c r="W784" s="58"/>
      <c r="X784" s="58"/>
      <c r="Y784" s="58"/>
      <c r="Z784" s="58"/>
      <c r="AA784" s="58"/>
    </row>
    <row r="785" spans="11:27">
      <c r="K785" s="51"/>
      <c r="P785" s="50"/>
      <c r="Q785" s="51"/>
      <c r="U785" s="58"/>
      <c r="V785" s="58"/>
      <c r="W785" s="58"/>
      <c r="X785" s="58"/>
      <c r="Y785" s="58"/>
      <c r="Z785" s="58"/>
      <c r="AA785" s="58"/>
    </row>
    <row r="786" spans="11:27">
      <c r="K786" s="51"/>
      <c r="P786" s="50"/>
      <c r="Q786" s="51"/>
      <c r="U786" s="58"/>
      <c r="V786" s="58"/>
      <c r="W786" s="58"/>
      <c r="X786" s="58"/>
      <c r="Y786" s="58"/>
      <c r="Z786" s="58"/>
      <c r="AA786" s="58"/>
    </row>
    <row r="787" spans="11:27">
      <c r="K787" s="51"/>
      <c r="P787" s="50"/>
      <c r="Q787" s="51"/>
      <c r="U787" s="58"/>
      <c r="V787" s="58"/>
      <c r="W787" s="58"/>
      <c r="X787" s="58"/>
      <c r="Y787" s="58"/>
      <c r="Z787" s="58"/>
      <c r="AA787" s="58"/>
    </row>
    <row r="788" spans="11:27">
      <c r="K788" s="51"/>
      <c r="P788" s="50"/>
      <c r="Q788" s="51"/>
      <c r="U788" s="58"/>
      <c r="V788" s="58"/>
      <c r="W788" s="58"/>
      <c r="X788" s="58"/>
      <c r="Y788" s="58"/>
      <c r="Z788" s="58"/>
      <c r="AA788" s="58"/>
    </row>
    <row r="789" spans="11:27">
      <c r="K789" s="51"/>
      <c r="P789" s="50"/>
      <c r="Q789" s="51"/>
      <c r="U789" s="58"/>
      <c r="V789" s="58"/>
      <c r="W789" s="58"/>
      <c r="X789" s="58"/>
      <c r="Y789" s="58"/>
      <c r="Z789" s="58"/>
      <c r="AA789" s="58"/>
    </row>
    <row r="790" spans="11:27">
      <c r="K790" s="51"/>
      <c r="P790" s="50"/>
      <c r="Q790" s="51"/>
      <c r="U790" s="58"/>
      <c r="V790" s="58"/>
      <c r="W790" s="58"/>
      <c r="X790" s="58"/>
      <c r="Y790" s="58"/>
      <c r="Z790" s="58"/>
      <c r="AA790" s="58"/>
    </row>
    <row r="791" spans="11:27">
      <c r="K791" s="51"/>
      <c r="P791" s="50"/>
      <c r="Q791" s="51"/>
      <c r="U791" s="58"/>
      <c r="V791" s="58"/>
      <c r="W791" s="58"/>
      <c r="X791" s="58"/>
      <c r="Y791" s="58"/>
      <c r="Z791" s="58"/>
      <c r="AA791" s="58"/>
    </row>
    <row r="792" spans="11:27">
      <c r="K792" s="51"/>
      <c r="P792" s="50"/>
      <c r="Q792" s="51"/>
      <c r="U792" s="58"/>
      <c r="V792" s="58"/>
      <c r="W792" s="58"/>
      <c r="X792" s="58"/>
      <c r="Y792" s="58"/>
      <c r="Z792" s="58"/>
      <c r="AA792" s="58"/>
    </row>
    <row r="793" spans="11:27">
      <c r="K793" s="51"/>
      <c r="P793" s="50"/>
      <c r="Q793" s="51"/>
      <c r="U793" s="58"/>
      <c r="V793" s="58"/>
      <c r="W793" s="58"/>
      <c r="X793" s="58"/>
      <c r="Y793" s="58"/>
      <c r="Z793" s="58"/>
      <c r="AA793" s="58"/>
    </row>
    <row r="794" spans="11:27">
      <c r="K794" s="51"/>
      <c r="P794" s="50"/>
      <c r="Q794" s="51"/>
      <c r="U794" s="58"/>
      <c r="V794" s="58"/>
      <c r="W794" s="58"/>
      <c r="X794" s="58"/>
      <c r="Y794" s="58"/>
      <c r="Z794" s="58"/>
      <c r="AA794" s="58"/>
    </row>
    <row r="795" spans="11:27">
      <c r="K795" s="51"/>
      <c r="P795" s="50"/>
      <c r="Q795" s="51"/>
      <c r="U795" s="58"/>
      <c r="V795" s="58"/>
      <c r="W795" s="58"/>
      <c r="X795" s="58"/>
      <c r="Y795" s="58"/>
      <c r="Z795" s="58"/>
      <c r="AA795" s="58"/>
    </row>
    <row r="796" spans="11:27">
      <c r="K796" s="51"/>
      <c r="P796" s="50"/>
      <c r="Q796" s="51"/>
      <c r="U796" s="58"/>
      <c r="V796" s="58"/>
      <c r="W796" s="58"/>
      <c r="X796" s="58"/>
      <c r="Y796" s="58"/>
      <c r="Z796" s="58"/>
      <c r="AA796" s="58"/>
    </row>
    <row r="797" spans="11:27">
      <c r="K797" s="51"/>
      <c r="P797" s="50"/>
      <c r="Q797" s="51"/>
      <c r="U797" s="58"/>
      <c r="V797" s="58"/>
      <c r="W797" s="58"/>
      <c r="X797" s="58"/>
      <c r="Y797" s="58"/>
      <c r="Z797" s="58"/>
      <c r="AA797" s="58"/>
    </row>
    <row r="798" spans="11:27">
      <c r="K798" s="51"/>
      <c r="P798" s="50"/>
      <c r="Q798" s="51"/>
      <c r="U798" s="58"/>
      <c r="V798" s="58"/>
      <c r="W798" s="58"/>
      <c r="X798" s="58"/>
      <c r="Y798" s="58"/>
      <c r="Z798" s="58"/>
      <c r="AA798" s="58"/>
    </row>
    <row r="799" spans="11:27">
      <c r="K799" s="51"/>
      <c r="P799" s="50"/>
      <c r="Q799" s="51"/>
      <c r="U799" s="58"/>
      <c r="V799" s="58"/>
      <c r="W799" s="58"/>
      <c r="X799" s="58"/>
      <c r="Y799" s="58"/>
      <c r="Z799" s="58"/>
      <c r="AA799" s="58"/>
    </row>
    <row r="800" spans="11:27">
      <c r="K800" s="51"/>
      <c r="P800" s="50"/>
      <c r="Q800" s="51"/>
      <c r="U800" s="58"/>
      <c r="V800" s="58"/>
      <c r="W800" s="58"/>
      <c r="X800" s="58"/>
      <c r="Y800" s="58"/>
      <c r="Z800" s="58"/>
      <c r="AA800" s="58"/>
    </row>
    <row r="801" spans="11:27">
      <c r="K801" s="51"/>
      <c r="P801" s="50"/>
      <c r="Q801" s="51"/>
      <c r="U801" s="58"/>
      <c r="V801" s="58"/>
      <c r="W801" s="58"/>
      <c r="X801" s="58"/>
      <c r="Y801" s="58"/>
      <c r="Z801" s="58"/>
      <c r="AA801" s="58"/>
    </row>
    <row r="802" spans="11:27">
      <c r="K802" s="51"/>
      <c r="P802" s="50"/>
      <c r="Q802" s="51"/>
      <c r="U802" s="58"/>
      <c r="V802" s="58"/>
      <c r="W802" s="58"/>
      <c r="X802" s="58"/>
      <c r="Y802" s="58"/>
      <c r="Z802" s="58"/>
      <c r="AA802" s="58"/>
    </row>
    <row r="803" spans="11:27">
      <c r="K803" s="51"/>
      <c r="P803" s="50"/>
      <c r="Q803" s="51"/>
      <c r="U803" s="58"/>
      <c r="V803" s="58"/>
      <c r="W803" s="58"/>
      <c r="X803" s="58"/>
      <c r="Y803" s="58"/>
      <c r="Z803" s="58"/>
      <c r="AA803" s="58"/>
    </row>
    <row r="804" spans="11:27">
      <c r="K804" s="51"/>
      <c r="P804" s="50"/>
      <c r="Q804" s="51"/>
      <c r="U804" s="58"/>
      <c r="V804" s="58"/>
      <c r="W804" s="58"/>
      <c r="X804" s="58"/>
      <c r="Y804" s="58"/>
      <c r="Z804" s="58"/>
      <c r="AA804" s="58"/>
    </row>
    <row r="805" spans="11:27">
      <c r="K805" s="51"/>
      <c r="P805" s="50"/>
      <c r="Q805" s="51"/>
      <c r="U805" s="58"/>
      <c r="V805" s="58"/>
      <c r="W805" s="58"/>
      <c r="X805" s="58"/>
      <c r="Y805" s="58"/>
      <c r="Z805" s="58"/>
      <c r="AA805" s="58"/>
    </row>
    <row r="806" spans="11:27">
      <c r="K806" s="51"/>
      <c r="P806" s="50"/>
      <c r="Q806" s="51"/>
      <c r="U806" s="58"/>
      <c r="V806" s="58"/>
      <c r="W806" s="58"/>
      <c r="X806" s="58"/>
      <c r="Y806" s="58"/>
      <c r="Z806" s="58"/>
      <c r="AA806" s="58"/>
    </row>
    <row r="807" spans="11:27">
      <c r="K807" s="51"/>
      <c r="P807" s="50"/>
      <c r="Q807" s="51"/>
      <c r="U807" s="58"/>
      <c r="V807" s="58"/>
      <c r="W807" s="58"/>
      <c r="X807" s="58"/>
      <c r="Y807" s="58"/>
      <c r="Z807" s="58"/>
      <c r="AA807" s="58"/>
    </row>
    <row r="808" spans="11:27">
      <c r="K808" s="51"/>
      <c r="P808" s="50"/>
      <c r="Q808" s="51"/>
      <c r="U808" s="58"/>
      <c r="V808" s="58"/>
      <c r="W808" s="58"/>
      <c r="X808" s="58"/>
      <c r="Y808" s="58"/>
      <c r="Z808" s="58"/>
      <c r="AA808" s="58"/>
    </row>
    <row r="809" spans="11:27">
      <c r="K809" s="51"/>
      <c r="P809" s="50"/>
      <c r="Q809" s="51"/>
      <c r="U809" s="58"/>
      <c r="V809" s="58"/>
      <c r="W809" s="58"/>
      <c r="X809" s="58"/>
      <c r="Y809" s="58"/>
      <c r="Z809" s="58"/>
      <c r="AA809" s="58"/>
    </row>
    <row r="810" spans="11:27">
      <c r="K810" s="51"/>
      <c r="P810" s="50"/>
      <c r="Q810" s="51"/>
      <c r="U810" s="58"/>
      <c r="V810" s="58"/>
      <c r="W810" s="58"/>
      <c r="X810" s="58"/>
      <c r="Y810" s="58"/>
      <c r="Z810" s="58"/>
      <c r="AA810" s="58"/>
    </row>
    <row r="811" spans="11:27">
      <c r="K811" s="51"/>
      <c r="P811" s="50"/>
      <c r="Q811" s="51"/>
      <c r="U811" s="58"/>
      <c r="V811" s="58"/>
      <c r="W811" s="58"/>
      <c r="X811" s="58"/>
      <c r="Y811" s="58"/>
      <c r="Z811" s="58"/>
      <c r="AA811" s="58"/>
    </row>
    <row r="812" spans="11:27">
      <c r="K812" s="51"/>
      <c r="P812" s="50"/>
      <c r="Q812" s="51"/>
      <c r="U812" s="58"/>
      <c r="V812" s="58"/>
      <c r="W812" s="58"/>
      <c r="X812" s="58"/>
      <c r="Y812" s="58"/>
      <c r="Z812" s="58"/>
      <c r="AA812" s="58"/>
    </row>
    <row r="813" spans="11:27">
      <c r="K813" s="51"/>
      <c r="P813" s="50"/>
      <c r="Q813" s="51"/>
      <c r="U813" s="58"/>
      <c r="V813" s="58"/>
      <c r="W813" s="58"/>
      <c r="X813" s="58"/>
      <c r="Y813" s="58"/>
      <c r="Z813" s="58"/>
      <c r="AA813" s="58"/>
    </row>
    <row r="814" spans="11:27">
      <c r="K814" s="51"/>
      <c r="P814" s="50"/>
      <c r="Q814" s="51"/>
      <c r="U814" s="58"/>
      <c r="V814" s="58"/>
      <c r="W814" s="58"/>
      <c r="X814" s="58"/>
      <c r="Y814" s="58"/>
      <c r="Z814" s="58"/>
      <c r="AA814" s="58"/>
    </row>
    <row r="815" spans="11:27">
      <c r="K815" s="51"/>
      <c r="P815" s="50"/>
      <c r="Q815" s="51"/>
      <c r="U815" s="58"/>
      <c r="V815" s="58"/>
      <c r="W815" s="58"/>
      <c r="X815" s="58"/>
      <c r="Y815" s="58"/>
      <c r="Z815" s="58"/>
      <c r="AA815" s="58"/>
    </row>
    <row r="816" spans="11:27">
      <c r="K816" s="51"/>
      <c r="P816" s="50"/>
      <c r="Q816" s="51"/>
      <c r="U816" s="58"/>
      <c r="V816" s="58"/>
      <c r="W816" s="58"/>
      <c r="X816" s="58"/>
      <c r="Y816" s="58"/>
      <c r="Z816" s="58"/>
      <c r="AA816" s="58"/>
    </row>
    <row r="817" spans="11:27">
      <c r="K817" s="51"/>
      <c r="P817" s="50"/>
      <c r="Q817" s="51"/>
      <c r="U817" s="58"/>
      <c r="V817" s="58"/>
      <c r="W817" s="58"/>
      <c r="X817" s="58"/>
      <c r="Y817" s="58"/>
      <c r="Z817" s="58"/>
      <c r="AA817" s="58"/>
    </row>
    <row r="818" spans="11:27">
      <c r="K818" s="51"/>
      <c r="P818" s="50"/>
      <c r="Q818" s="51"/>
      <c r="U818" s="58"/>
      <c r="V818" s="58"/>
      <c r="W818" s="58"/>
      <c r="X818" s="58"/>
      <c r="Y818" s="58"/>
      <c r="Z818" s="58"/>
      <c r="AA818" s="58"/>
    </row>
    <row r="819" spans="11:27">
      <c r="K819" s="51"/>
      <c r="P819" s="50"/>
      <c r="Q819" s="51"/>
      <c r="U819" s="58"/>
      <c r="V819" s="58"/>
      <c r="W819" s="58"/>
      <c r="X819" s="58"/>
      <c r="Y819" s="58"/>
      <c r="Z819" s="58"/>
      <c r="AA819" s="58"/>
    </row>
    <row r="820" spans="11:27">
      <c r="K820" s="51"/>
      <c r="P820" s="50"/>
      <c r="Q820" s="51"/>
      <c r="U820" s="58"/>
      <c r="V820" s="58"/>
      <c r="W820" s="58"/>
      <c r="X820" s="58"/>
      <c r="Y820" s="58"/>
      <c r="Z820" s="58"/>
      <c r="AA820" s="58"/>
    </row>
    <row r="821" spans="11:27">
      <c r="K821" s="51"/>
      <c r="P821" s="50"/>
      <c r="Q821" s="51"/>
      <c r="U821" s="58"/>
      <c r="V821" s="58"/>
      <c r="W821" s="58"/>
      <c r="X821" s="58"/>
      <c r="Y821" s="58"/>
      <c r="Z821" s="58"/>
      <c r="AA821" s="58"/>
    </row>
    <row r="822" spans="11:27">
      <c r="K822" s="51"/>
      <c r="P822" s="50"/>
      <c r="Q822" s="51"/>
      <c r="U822" s="58"/>
      <c r="V822" s="58"/>
      <c r="W822" s="58"/>
      <c r="X822" s="58"/>
      <c r="Y822" s="58"/>
      <c r="Z822" s="58"/>
      <c r="AA822" s="58"/>
    </row>
    <row r="823" spans="11:27">
      <c r="K823" s="51"/>
      <c r="P823" s="50"/>
      <c r="Q823" s="51"/>
      <c r="U823" s="58"/>
      <c r="V823" s="58"/>
      <c r="W823" s="58"/>
      <c r="X823" s="58"/>
      <c r="Y823" s="58"/>
      <c r="Z823" s="58"/>
      <c r="AA823" s="58"/>
    </row>
    <row r="824" spans="11:27">
      <c r="K824" s="51"/>
      <c r="P824" s="50"/>
      <c r="Q824" s="51"/>
      <c r="U824" s="58"/>
      <c r="V824" s="58"/>
      <c r="W824" s="58"/>
      <c r="X824" s="58"/>
      <c r="Y824" s="58"/>
      <c r="Z824" s="58"/>
      <c r="AA824" s="58"/>
    </row>
    <row r="825" spans="11:27">
      <c r="K825" s="51"/>
      <c r="P825" s="50"/>
      <c r="Q825" s="51"/>
      <c r="U825" s="58"/>
      <c r="V825" s="58"/>
      <c r="W825" s="58"/>
      <c r="X825" s="58"/>
      <c r="Y825" s="58"/>
      <c r="Z825" s="58"/>
      <c r="AA825" s="58"/>
    </row>
    <row r="826" spans="11:27">
      <c r="K826" s="51"/>
      <c r="P826" s="50"/>
      <c r="Q826" s="51"/>
      <c r="U826" s="58"/>
      <c r="V826" s="58"/>
      <c r="W826" s="58"/>
      <c r="X826" s="58"/>
      <c r="Y826" s="58"/>
      <c r="Z826" s="58"/>
      <c r="AA826" s="58"/>
    </row>
    <row r="827" spans="11:27">
      <c r="K827" s="51"/>
      <c r="P827" s="50"/>
      <c r="Q827" s="51"/>
      <c r="U827" s="58"/>
      <c r="V827" s="58"/>
      <c r="W827" s="58"/>
      <c r="X827" s="58"/>
      <c r="Y827" s="58"/>
      <c r="Z827" s="58"/>
      <c r="AA827" s="58"/>
    </row>
    <row r="828" spans="11:27">
      <c r="K828" s="51"/>
      <c r="P828" s="50"/>
      <c r="Q828" s="51"/>
      <c r="U828" s="58"/>
      <c r="V828" s="58"/>
      <c r="W828" s="58"/>
      <c r="X828" s="58"/>
      <c r="Y828" s="58"/>
      <c r="Z828" s="58"/>
      <c r="AA828" s="58"/>
    </row>
    <row r="829" spans="11:27">
      <c r="K829" s="51"/>
      <c r="P829" s="50"/>
      <c r="Q829" s="51"/>
      <c r="U829" s="58"/>
      <c r="V829" s="58"/>
      <c r="W829" s="58"/>
      <c r="X829" s="58"/>
      <c r="Y829" s="58"/>
      <c r="Z829" s="58"/>
      <c r="AA829" s="58"/>
    </row>
    <row r="830" spans="11:27">
      <c r="K830" s="51"/>
      <c r="P830" s="50"/>
      <c r="Q830" s="51"/>
      <c r="U830" s="58"/>
      <c r="V830" s="58"/>
      <c r="W830" s="58"/>
      <c r="X830" s="58"/>
      <c r="Y830" s="58"/>
      <c r="Z830" s="58"/>
      <c r="AA830" s="58"/>
    </row>
    <row r="831" spans="11:27">
      <c r="K831" s="51"/>
      <c r="P831" s="50"/>
      <c r="Q831" s="51"/>
      <c r="U831" s="58"/>
      <c r="V831" s="58"/>
      <c r="W831" s="58"/>
      <c r="X831" s="58"/>
      <c r="Y831" s="58"/>
      <c r="Z831" s="58"/>
      <c r="AA831" s="58"/>
    </row>
    <row r="832" spans="11:27">
      <c r="K832" s="51"/>
      <c r="P832" s="50"/>
      <c r="Q832" s="51"/>
      <c r="U832" s="58"/>
      <c r="V832" s="58"/>
      <c r="W832" s="58"/>
      <c r="X832" s="58"/>
      <c r="Y832" s="58"/>
      <c r="Z832" s="58"/>
      <c r="AA832" s="58"/>
    </row>
    <row r="833" spans="11:27">
      <c r="K833" s="51"/>
      <c r="P833" s="50"/>
      <c r="Q833" s="51"/>
      <c r="U833" s="58"/>
      <c r="V833" s="58"/>
      <c r="W833" s="58"/>
      <c r="X833" s="58"/>
      <c r="Y833" s="58"/>
      <c r="Z833" s="58"/>
      <c r="AA833" s="58"/>
    </row>
    <row r="834" spans="11:27">
      <c r="K834" s="51"/>
      <c r="P834" s="50"/>
      <c r="Q834" s="51"/>
      <c r="U834" s="58"/>
      <c r="V834" s="58"/>
      <c r="W834" s="58"/>
      <c r="X834" s="58"/>
      <c r="Y834" s="58"/>
      <c r="Z834" s="58"/>
      <c r="AA834" s="58"/>
    </row>
    <row r="835" spans="11:27">
      <c r="K835" s="51"/>
      <c r="P835" s="50"/>
      <c r="Q835" s="51"/>
      <c r="U835" s="58"/>
      <c r="V835" s="58"/>
      <c r="W835" s="58"/>
      <c r="X835" s="58"/>
      <c r="Y835" s="58"/>
      <c r="Z835" s="58"/>
      <c r="AA835" s="58"/>
    </row>
    <row r="836" spans="11:27">
      <c r="K836" s="51"/>
      <c r="P836" s="50"/>
      <c r="Q836" s="51"/>
      <c r="U836" s="58"/>
      <c r="V836" s="58"/>
      <c r="W836" s="58"/>
      <c r="X836" s="58"/>
      <c r="Y836" s="58"/>
      <c r="Z836" s="58"/>
      <c r="AA836" s="58"/>
    </row>
    <row r="837" spans="11:27">
      <c r="K837" s="51"/>
      <c r="P837" s="50"/>
      <c r="Q837" s="51"/>
      <c r="U837" s="58"/>
      <c r="V837" s="58"/>
      <c r="W837" s="58"/>
      <c r="X837" s="58"/>
      <c r="Y837" s="58"/>
      <c r="Z837" s="58"/>
      <c r="AA837" s="58"/>
    </row>
    <row r="838" spans="11:27">
      <c r="K838" s="51"/>
      <c r="P838" s="50"/>
      <c r="Q838" s="51"/>
      <c r="U838" s="58"/>
      <c r="V838" s="58"/>
      <c r="W838" s="58"/>
      <c r="X838" s="58"/>
      <c r="Y838" s="58"/>
      <c r="Z838" s="58"/>
      <c r="AA838" s="58"/>
    </row>
    <row r="839" spans="11:27">
      <c r="K839" s="51"/>
      <c r="P839" s="50"/>
      <c r="Q839" s="51"/>
      <c r="U839" s="58"/>
      <c r="V839" s="58"/>
      <c r="W839" s="58"/>
      <c r="X839" s="58"/>
      <c r="Y839" s="58"/>
      <c r="Z839" s="58"/>
      <c r="AA839" s="58"/>
    </row>
    <row r="840" spans="11:27">
      <c r="K840" s="51"/>
      <c r="P840" s="50"/>
      <c r="Q840" s="51"/>
      <c r="U840" s="58"/>
      <c r="V840" s="58"/>
      <c r="W840" s="58"/>
      <c r="X840" s="58"/>
      <c r="Y840" s="58"/>
      <c r="Z840" s="58"/>
      <c r="AA840" s="58"/>
    </row>
    <row r="841" spans="11:27">
      <c r="K841" s="51"/>
      <c r="P841" s="50"/>
      <c r="Q841" s="51"/>
      <c r="U841" s="58"/>
      <c r="V841" s="58"/>
      <c r="W841" s="58"/>
      <c r="X841" s="58"/>
      <c r="Y841" s="58"/>
      <c r="Z841" s="58"/>
      <c r="AA841" s="58"/>
    </row>
    <row r="842" spans="11:27">
      <c r="K842" s="51"/>
      <c r="P842" s="50"/>
      <c r="Q842" s="51"/>
      <c r="U842" s="58"/>
      <c r="V842" s="58"/>
      <c r="W842" s="58"/>
      <c r="X842" s="58"/>
      <c r="Y842" s="58"/>
      <c r="Z842" s="58"/>
      <c r="AA842" s="58"/>
    </row>
    <row r="843" spans="11:27">
      <c r="K843" s="51"/>
      <c r="P843" s="50"/>
      <c r="Q843" s="51"/>
      <c r="U843" s="58"/>
      <c r="V843" s="58"/>
      <c r="W843" s="58"/>
      <c r="X843" s="58"/>
      <c r="Y843" s="58"/>
      <c r="Z843" s="58"/>
      <c r="AA843" s="58"/>
    </row>
    <row r="844" spans="11:27">
      <c r="K844" s="51"/>
      <c r="P844" s="50"/>
      <c r="Q844" s="51"/>
      <c r="U844" s="58"/>
      <c r="V844" s="58"/>
      <c r="W844" s="58"/>
      <c r="X844" s="58"/>
      <c r="Y844" s="58"/>
      <c r="Z844" s="58"/>
      <c r="AA844" s="58"/>
    </row>
    <row r="845" spans="11:27">
      <c r="K845" s="51"/>
      <c r="P845" s="50"/>
      <c r="Q845" s="51"/>
      <c r="U845" s="58"/>
      <c r="V845" s="58"/>
      <c r="W845" s="58"/>
      <c r="X845" s="58"/>
      <c r="Y845" s="58"/>
      <c r="Z845" s="58"/>
      <c r="AA845" s="58"/>
    </row>
    <row r="846" spans="11:27">
      <c r="K846" s="51"/>
      <c r="P846" s="50"/>
      <c r="Q846" s="51"/>
      <c r="U846" s="58"/>
      <c r="V846" s="58"/>
      <c r="W846" s="58"/>
      <c r="X846" s="58"/>
      <c r="Y846" s="58"/>
      <c r="Z846" s="58"/>
      <c r="AA846" s="58"/>
    </row>
    <row r="847" spans="11:27">
      <c r="K847" s="51"/>
      <c r="P847" s="50"/>
      <c r="Q847" s="51"/>
      <c r="U847" s="58"/>
      <c r="V847" s="58"/>
      <c r="W847" s="58"/>
      <c r="X847" s="58"/>
      <c r="Y847" s="58"/>
      <c r="Z847" s="58"/>
      <c r="AA847" s="58"/>
    </row>
    <row r="848" spans="11:27">
      <c r="K848" s="51"/>
      <c r="P848" s="50"/>
      <c r="Q848" s="51"/>
      <c r="U848" s="58"/>
      <c r="V848" s="58"/>
      <c r="W848" s="58"/>
      <c r="X848" s="58"/>
      <c r="Y848" s="58"/>
      <c r="Z848" s="58"/>
      <c r="AA848" s="58"/>
    </row>
    <row r="849" spans="11:27">
      <c r="K849" s="51"/>
      <c r="P849" s="50"/>
      <c r="Q849" s="51"/>
      <c r="U849" s="58"/>
      <c r="V849" s="58"/>
      <c r="W849" s="58"/>
      <c r="X849" s="58"/>
      <c r="Y849" s="58"/>
      <c r="Z849" s="58"/>
      <c r="AA849" s="58"/>
    </row>
    <row r="850" spans="11:27">
      <c r="K850" s="51"/>
      <c r="P850" s="50"/>
      <c r="Q850" s="51"/>
      <c r="U850" s="58"/>
      <c r="V850" s="58"/>
      <c r="W850" s="58"/>
      <c r="X850" s="58"/>
      <c r="Y850" s="58"/>
      <c r="Z850" s="58"/>
      <c r="AA850" s="58"/>
    </row>
    <row r="851" spans="11:27">
      <c r="K851" s="51"/>
      <c r="P851" s="50"/>
      <c r="Q851" s="51"/>
      <c r="U851" s="58"/>
      <c r="V851" s="58"/>
      <c r="W851" s="58"/>
      <c r="X851" s="58"/>
      <c r="Y851" s="58"/>
      <c r="Z851" s="58"/>
      <c r="AA851" s="58"/>
    </row>
    <row r="852" spans="11:27">
      <c r="K852" s="51"/>
      <c r="P852" s="50"/>
      <c r="Q852" s="51"/>
      <c r="U852" s="58"/>
      <c r="V852" s="58"/>
      <c r="W852" s="58"/>
      <c r="X852" s="58"/>
      <c r="Y852" s="58"/>
      <c r="Z852" s="58"/>
      <c r="AA852" s="58"/>
    </row>
    <row r="853" spans="11:27">
      <c r="K853" s="51"/>
      <c r="P853" s="50"/>
      <c r="Q853" s="51"/>
      <c r="U853" s="58"/>
      <c r="V853" s="58"/>
      <c r="W853" s="58"/>
      <c r="X853" s="58"/>
      <c r="Y853" s="58"/>
      <c r="Z853" s="58"/>
      <c r="AA853" s="58"/>
    </row>
    <row r="854" spans="11:27">
      <c r="K854" s="51"/>
      <c r="P854" s="50"/>
      <c r="Q854" s="51"/>
      <c r="U854" s="58"/>
      <c r="V854" s="58"/>
      <c r="W854" s="58"/>
      <c r="X854" s="58"/>
      <c r="Y854" s="58"/>
      <c r="Z854" s="58"/>
      <c r="AA854" s="58"/>
    </row>
    <row r="855" spans="11:27">
      <c r="K855" s="51"/>
      <c r="P855" s="50"/>
      <c r="Q855" s="51"/>
      <c r="U855" s="58"/>
      <c r="V855" s="58"/>
      <c r="W855" s="58"/>
      <c r="X855" s="58"/>
      <c r="Y855" s="58"/>
      <c r="Z855" s="58"/>
      <c r="AA855" s="58"/>
    </row>
    <row r="856" spans="11:27">
      <c r="K856" s="51"/>
      <c r="P856" s="50"/>
      <c r="Q856" s="51"/>
      <c r="U856" s="58"/>
      <c r="V856" s="58"/>
      <c r="W856" s="58"/>
      <c r="X856" s="58"/>
      <c r="Y856" s="58"/>
      <c r="Z856" s="58"/>
      <c r="AA856" s="58"/>
    </row>
    <row r="857" spans="11:27">
      <c r="K857" s="51"/>
      <c r="P857" s="50"/>
      <c r="Q857" s="51"/>
      <c r="U857" s="58"/>
      <c r="V857" s="58"/>
      <c r="W857" s="58"/>
      <c r="X857" s="58"/>
      <c r="Y857" s="58"/>
      <c r="Z857" s="58"/>
      <c r="AA857" s="58"/>
    </row>
    <row r="858" spans="11:27">
      <c r="K858" s="51"/>
      <c r="P858" s="50"/>
      <c r="Q858" s="51"/>
      <c r="U858" s="58"/>
      <c r="V858" s="58"/>
      <c r="W858" s="58"/>
      <c r="X858" s="58"/>
      <c r="Y858" s="58"/>
      <c r="Z858" s="58"/>
      <c r="AA858" s="58"/>
    </row>
    <row r="859" spans="11:27">
      <c r="K859" s="51"/>
      <c r="P859" s="50"/>
      <c r="Q859" s="51"/>
      <c r="U859" s="58"/>
      <c r="V859" s="58"/>
      <c r="W859" s="58"/>
      <c r="X859" s="58"/>
      <c r="Y859" s="58"/>
      <c r="Z859" s="58"/>
      <c r="AA859" s="58"/>
    </row>
    <row r="860" spans="11:27">
      <c r="K860" s="51"/>
      <c r="P860" s="50"/>
      <c r="Q860" s="51"/>
      <c r="U860" s="58"/>
      <c r="V860" s="58"/>
      <c r="W860" s="58"/>
      <c r="X860" s="58"/>
      <c r="Y860" s="58"/>
      <c r="Z860" s="58"/>
      <c r="AA860" s="58"/>
    </row>
    <row r="861" spans="11:27">
      <c r="K861" s="51"/>
      <c r="P861" s="50"/>
      <c r="Q861" s="51"/>
      <c r="U861" s="58"/>
      <c r="V861" s="58"/>
      <c r="W861" s="58"/>
      <c r="X861" s="58"/>
      <c r="Y861" s="58"/>
      <c r="Z861" s="58"/>
      <c r="AA861" s="58"/>
    </row>
    <row r="862" spans="11:27">
      <c r="K862" s="51"/>
      <c r="P862" s="50"/>
      <c r="Q862" s="51"/>
      <c r="U862" s="58"/>
      <c r="V862" s="58"/>
      <c r="W862" s="58"/>
      <c r="X862" s="58"/>
      <c r="Y862" s="58"/>
      <c r="Z862" s="58"/>
      <c r="AA862" s="58"/>
    </row>
    <row r="863" spans="11:27">
      <c r="K863" s="51"/>
      <c r="P863" s="50"/>
      <c r="Q863" s="51"/>
      <c r="U863" s="58"/>
      <c r="V863" s="58"/>
      <c r="W863" s="58"/>
      <c r="X863" s="58"/>
      <c r="Y863" s="58"/>
      <c r="Z863" s="58"/>
      <c r="AA863" s="58"/>
    </row>
    <row r="864" spans="11:27">
      <c r="K864" s="51"/>
      <c r="P864" s="50"/>
      <c r="Q864" s="51"/>
      <c r="U864" s="58"/>
      <c r="V864" s="58"/>
      <c r="W864" s="58"/>
      <c r="X864" s="58"/>
      <c r="Y864" s="58"/>
      <c r="Z864" s="58"/>
      <c r="AA864" s="58"/>
    </row>
    <row r="865" spans="11:27">
      <c r="K865" s="51"/>
      <c r="P865" s="50"/>
      <c r="Q865" s="51"/>
      <c r="U865" s="58"/>
      <c r="V865" s="58"/>
      <c r="W865" s="58"/>
      <c r="X865" s="58"/>
      <c r="Y865" s="58"/>
      <c r="Z865" s="58"/>
      <c r="AA865" s="58"/>
    </row>
    <row r="866" spans="11:27">
      <c r="K866" s="51"/>
      <c r="P866" s="50"/>
      <c r="Q866" s="51"/>
      <c r="U866" s="58"/>
      <c r="V866" s="58"/>
      <c r="W866" s="58"/>
      <c r="X866" s="58"/>
      <c r="Y866" s="58"/>
      <c r="Z866" s="58"/>
      <c r="AA866" s="58"/>
    </row>
    <row r="867" spans="11:27">
      <c r="K867" s="51"/>
      <c r="P867" s="50"/>
      <c r="Q867" s="51"/>
      <c r="U867" s="58"/>
      <c r="V867" s="58"/>
      <c r="W867" s="58"/>
      <c r="X867" s="58"/>
      <c r="Y867" s="58"/>
      <c r="Z867" s="58"/>
      <c r="AA867" s="58"/>
    </row>
    <row r="868" spans="11:27">
      <c r="K868" s="51"/>
      <c r="P868" s="50"/>
      <c r="Q868" s="51"/>
      <c r="U868" s="58"/>
      <c r="V868" s="58"/>
      <c r="W868" s="58"/>
      <c r="X868" s="58"/>
      <c r="Y868" s="58"/>
      <c r="Z868" s="58"/>
      <c r="AA868" s="58"/>
    </row>
    <row r="869" spans="11:27">
      <c r="K869" s="51"/>
      <c r="P869" s="50"/>
      <c r="Q869" s="51"/>
      <c r="U869" s="58"/>
      <c r="V869" s="58"/>
      <c r="W869" s="58"/>
      <c r="X869" s="58"/>
      <c r="Y869" s="58"/>
      <c r="Z869" s="58"/>
      <c r="AA869" s="58"/>
    </row>
    <row r="870" spans="11:27">
      <c r="K870" s="51"/>
      <c r="P870" s="50"/>
      <c r="Q870" s="51"/>
      <c r="U870" s="58"/>
      <c r="V870" s="58"/>
      <c r="W870" s="58"/>
      <c r="X870" s="58"/>
      <c r="Y870" s="58"/>
      <c r="Z870" s="58"/>
      <c r="AA870" s="58"/>
    </row>
    <row r="871" spans="11:27">
      <c r="K871" s="51"/>
      <c r="P871" s="50"/>
      <c r="Q871" s="51"/>
      <c r="U871" s="58"/>
      <c r="V871" s="58"/>
      <c r="W871" s="58"/>
      <c r="X871" s="58"/>
      <c r="Y871" s="58"/>
      <c r="Z871" s="58"/>
      <c r="AA871" s="58"/>
    </row>
    <row r="872" spans="11:27">
      <c r="K872" s="51"/>
      <c r="P872" s="50"/>
      <c r="Q872" s="51"/>
      <c r="U872" s="58"/>
      <c r="V872" s="58"/>
      <c r="W872" s="58"/>
      <c r="X872" s="58"/>
      <c r="Y872" s="58"/>
      <c r="Z872" s="58"/>
      <c r="AA872" s="58"/>
    </row>
    <row r="873" spans="11:27">
      <c r="K873" s="51"/>
      <c r="P873" s="50"/>
      <c r="Q873" s="51"/>
      <c r="U873" s="58"/>
      <c r="V873" s="58"/>
      <c r="W873" s="58"/>
      <c r="X873" s="58"/>
      <c r="Y873" s="58"/>
      <c r="Z873" s="58"/>
      <c r="AA873" s="58"/>
    </row>
    <row r="874" spans="11:27">
      <c r="K874" s="51"/>
      <c r="P874" s="50"/>
      <c r="Q874" s="51"/>
      <c r="U874" s="58"/>
      <c r="V874" s="58"/>
      <c r="W874" s="58"/>
      <c r="X874" s="58"/>
      <c r="Y874" s="58"/>
      <c r="Z874" s="58"/>
      <c r="AA874" s="58"/>
    </row>
    <row r="875" spans="11:27">
      <c r="K875" s="51"/>
      <c r="P875" s="50"/>
      <c r="Q875" s="51"/>
      <c r="U875" s="58"/>
      <c r="V875" s="58"/>
      <c r="W875" s="58"/>
      <c r="X875" s="58"/>
      <c r="Y875" s="58"/>
      <c r="Z875" s="58"/>
      <c r="AA875" s="58"/>
    </row>
    <row r="876" spans="11:27">
      <c r="K876" s="51"/>
      <c r="P876" s="50"/>
      <c r="Q876" s="51"/>
      <c r="U876" s="58"/>
      <c r="V876" s="58"/>
      <c r="W876" s="58"/>
      <c r="X876" s="58"/>
      <c r="Y876" s="58"/>
      <c r="Z876" s="58"/>
      <c r="AA876" s="58"/>
    </row>
    <row r="877" spans="11:27">
      <c r="K877" s="51"/>
      <c r="P877" s="50"/>
      <c r="Q877" s="51"/>
      <c r="U877" s="58"/>
      <c r="V877" s="58"/>
      <c r="W877" s="58"/>
      <c r="X877" s="58"/>
      <c r="Y877" s="58"/>
      <c r="Z877" s="58"/>
      <c r="AA877" s="58"/>
    </row>
    <row r="878" spans="11:27">
      <c r="K878" s="51"/>
      <c r="P878" s="50"/>
      <c r="Q878" s="51"/>
      <c r="U878" s="58"/>
      <c r="V878" s="58"/>
      <c r="W878" s="58"/>
      <c r="X878" s="58"/>
      <c r="Y878" s="58"/>
      <c r="Z878" s="58"/>
      <c r="AA878" s="58"/>
    </row>
    <row r="879" spans="11:27">
      <c r="K879" s="51"/>
      <c r="P879" s="50"/>
      <c r="Q879" s="51"/>
      <c r="U879" s="58"/>
      <c r="V879" s="58"/>
      <c r="W879" s="58"/>
      <c r="X879" s="58"/>
      <c r="Y879" s="58"/>
      <c r="Z879" s="58"/>
      <c r="AA879" s="58"/>
    </row>
    <row r="880" spans="11:27">
      <c r="K880" s="51"/>
      <c r="P880" s="50"/>
      <c r="Q880" s="51"/>
      <c r="U880" s="58"/>
      <c r="V880" s="58"/>
      <c r="W880" s="58"/>
      <c r="X880" s="58"/>
      <c r="Y880" s="58"/>
      <c r="Z880" s="58"/>
      <c r="AA880" s="58"/>
    </row>
    <row r="881" spans="11:27">
      <c r="K881" s="51"/>
      <c r="P881" s="50"/>
      <c r="Q881" s="51"/>
      <c r="U881" s="58"/>
      <c r="V881" s="58"/>
      <c r="W881" s="58"/>
      <c r="X881" s="58"/>
      <c r="Y881" s="58"/>
      <c r="Z881" s="58"/>
      <c r="AA881" s="58"/>
    </row>
    <row r="882" spans="11:27">
      <c r="K882" s="51"/>
      <c r="P882" s="50"/>
      <c r="Q882" s="51"/>
      <c r="U882" s="58"/>
      <c r="V882" s="58"/>
      <c r="W882" s="58"/>
      <c r="X882" s="58"/>
      <c r="Y882" s="58"/>
      <c r="Z882" s="58"/>
      <c r="AA882" s="58"/>
    </row>
    <row r="883" spans="11:27">
      <c r="K883" s="51"/>
      <c r="P883" s="50"/>
      <c r="Q883" s="51"/>
      <c r="U883" s="58"/>
      <c r="V883" s="58"/>
      <c r="W883" s="58"/>
      <c r="X883" s="58"/>
      <c r="Y883" s="58"/>
      <c r="Z883" s="58"/>
      <c r="AA883" s="58"/>
    </row>
    <row r="884" spans="11:27">
      <c r="K884" s="51"/>
      <c r="P884" s="50"/>
      <c r="Q884" s="51"/>
      <c r="U884" s="58"/>
      <c r="V884" s="58"/>
      <c r="W884" s="58"/>
      <c r="X884" s="58"/>
      <c r="Y884" s="58"/>
      <c r="Z884" s="58"/>
      <c r="AA884" s="58"/>
    </row>
    <row r="885" spans="11:27">
      <c r="K885" s="51"/>
      <c r="P885" s="50"/>
      <c r="Q885" s="51"/>
      <c r="U885" s="58"/>
      <c r="V885" s="58"/>
      <c r="W885" s="58"/>
      <c r="X885" s="58"/>
      <c r="Y885" s="58"/>
      <c r="Z885" s="58"/>
      <c r="AA885" s="58"/>
    </row>
    <row r="886" spans="11:27">
      <c r="K886" s="51"/>
      <c r="P886" s="50"/>
      <c r="Q886" s="51"/>
      <c r="U886" s="58"/>
      <c r="V886" s="58"/>
      <c r="W886" s="58"/>
      <c r="X886" s="58"/>
      <c r="Y886" s="58"/>
      <c r="Z886" s="58"/>
      <c r="AA886" s="58"/>
    </row>
    <row r="887" spans="11:27">
      <c r="K887" s="51"/>
      <c r="P887" s="50"/>
      <c r="Q887" s="51"/>
      <c r="U887" s="58"/>
      <c r="V887" s="58"/>
      <c r="W887" s="58"/>
      <c r="X887" s="58"/>
      <c r="Y887" s="58"/>
      <c r="Z887" s="58"/>
      <c r="AA887" s="58"/>
    </row>
    <row r="888" spans="11:27">
      <c r="K888" s="51"/>
      <c r="P888" s="50"/>
      <c r="Q888" s="51"/>
      <c r="U888" s="58"/>
      <c r="V888" s="58"/>
      <c r="W888" s="58"/>
      <c r="X888" s="58"/>
      <c r="Y888" s="58"/>
      <c r="Z888" s="58"/>
      <c r="AA888" s="58"/>
    </row>
    <row r="889" spans="11:27">
      <c r="K889" s="51"/>
      <c r="P889" s="50"/>
      <c r="Q889" s="51"/>
      <c r="U889" s="58"/>
      <c r="V889" s="58"/>
      <c r="W889" s="58"/>
      <c r="X889" s="58"/>
      <c r="Y889" s="58"/>
      <c r="Z889" s="58"/>
      <c r="AA889" s="58"/>
    </row>
    <row r="890" spans="11:27">
      <c r="K890" s="51"/>
      <c r="P890" s="50"/>
      <c r="Q890" s="51"/>
      <c r="U890" s="58"/>
      <c r="V890" s="58"/>
      <c r="W890" s="58"/>
      <c r="X890" s="58"/>
      <c r="Y890" s="58"/>
      <c r="Z890" s="58"/>
      <c r="AA890" s="58"/>
    </row>
    <row r="891" spans="11:27">
      <c r="K891" s="51"/>
      <c r="P891" s="50"/>
      <c r="Q891" s="51"/>
      <c r="U891" s="58"/>
      <c r="V891" s="58"/>
      <c r="W891" s="58"/>
      <c r="X891" s="58"/>
      <c r="Y891" s="58"/>
      <c r="Z891" s="58"/>
      <c r="AA891" s="58"/>
    </row>
    <row r="892" spans="11:27">
      <c r="K892" s="51"/>
      <c r="P892" s="50"/>
      <c r="Q892" s="51"/>
      <c r="U892" s="58"/>
      <c r="V892" s="58"/>
      <c r="W892" s="58"/>
      <c r="X892" s="58"/>
      <c r="Y892" s="58"/>
      <c r="Z892" s="58"/>
      <c r="AA892" s="58"/>
    </row>
    <row r="893" spans="11:27">
      <c r="K893" s="51"/>
      <c r="P893" s="50"/>
      <c r="Q893" s="51"/>
      <c r="U893" s="58"/>
      <c r="V893" s="58"/>
      <c r="W893" s="58"/>
      <c r="X893" s="58"/>
      <c r="Y893" s="58"/>
      <c r="Z893" s="58"/>
      <c r="AA893" s="58"/>
    </row>
    <row r="894" spans="11:27">
      <c r="K894" s="51"/>
      <c r="P894" s="50"/>
      <c r="Q894" s="51"/>
      <c r="U894" s="58"/>
      <c r="V894" s="58"/>
      <c r="W894" s="58"/>
      <c r="X894" s="58"/>
      <c r="Y894" s="58"/>
      <c r="Z894" s="58"/>
      <c r="AA894" s="58"/>
    </row>
    <row r="895" spans="11:27">
      <c r="K895" s="51"/>
      <c r="P895" s="50"/>
      <c r="Q895" s="51"/>
      <c r="U895" s="58"/>
      <c r="V895" s="58"/>
      <c r="W895" s="58"/>
      <c r="X895" s="58"/>
      <c r="Y895" s="58"/>
      <c r="Z895" s="58"/>
      <c r="AA895" s="58"/>
    </row>
    <row r="896" spans="11:27">
      <c r="K896" s="51"/>
      <c r="P896" s="50"/>
      <c r="Q896" s="51"/>
      <c r="U896" s="58"/>
      <c r="V896" s="58"/>
      <c r="W896" s="58"/>
      <c r="X896" s="58"/>
      <c r="Y896" s="58"/>
      <c r="Z896" s="58"/>
      <c r="AA896" s="58"/>
    </row>
    <row r="897" spans="11:27">
      <c r="K897" s="51"/>
      <c r="P897" s="50"/>
      <c r="Q897" s="51"/>
      <c r="U897" s="58"/>
      <c r="V897" s="58"/>
      <c r="W897" s="58"/>
      <c r="X897" s="58"/>
      <c r="Y897" s="58"/>
      <c r="Z897" s="58"/>
      <c r="AA897" s="58"/>
    </row>
    <row r="898" spans="11:27">
      <c r="K898" s="51"/>
      <c r="P898" s="50"/>
      <c r="Q898" s="51"/>
      <c r="U898" s="58"/>
      <c r="V898" s="58"/>
      <c r="W898" s="58"/>
      <c r="X898" s="58"/>
      <c r="Y898" s="58"/>
      <c r="Z898" s="58"/>
      <c r="AA898" s="58"/>
    </row>
    <row r="899" spans="11:27">
      <c r="K899" s="51"/>
      <c r="P899" s="50"/>
      <c r="Q899" s="51"/>
      <c r="U899" s="58"/>
      <c r="V899" s="58"/>
      <c r="W899" s="58"/>
      <c r="X899" s="58"/>
      <c r="Y899" s="58"/>
      <c r="Z899" s="58"/>
      <c r="AA899" s="58"/>
    </row>
    <row r="900" spans="11:27">
      <c r="K900" s="51"/>
      <c r="P900" s="50"/>
      <c r="Q900" s="51"/>
      <c r="U900" s="58"/>
      <c r="V900" s="58"/>
      <c r="W900" s="58"/>
      <c r="X900" s="58"/>
      <c r="Y900" s="58"/>
      <c r="Z900" s="58"/>
      <c r="AA900" s="58"/>
    </row>
    <row r="901" spans="11:27">
      <c r="K901" s="51"/>
      <c r="P901" s="50"/>
      <c r="Q901" s="51"/>
      <c r="U901" s="58"/>
      <c r="V901" s="58"/>
      <c r="W901" s="58"/>
      <c r="X901" s="58"/>
      <c r="Y901" s="58"/>
      <c r="Z901" s="58"/>
      <c r="AA901" s="58"/>
    </row>
    <row r="902" spans="11:27">
      <c r="K902" s="51"/>
      <c r="P902" s="50"/>
      <c r="Q902" s="51"/>
      <c r="U902" s="58"/>
      <c r="V902" s="58"/>
      <c r="W902" s="58"/>
      <c r="X902" s="58"/>
      <c r="Y902" s="58"/>
      <c r="Z902" s="58"/>
      <c r="AA902" s="58"/>
    </row>
    <row r="903" spans="11:27">
      <c r="K903" s="51"/>
      <c r="P903" s="50"/>
      <c r="Q903" s="51"/>
      <c r="U903" s="58"/>
      <c r="V903" s="58"/>
      <c r="W903" s="58"/>
      <c r="X903" s="58"/>
      <c r="Y903" s="58"/>
      <c r="Z903" s="58"/>
      <c r="AA903" s="58"/>
    </row>
    <row r="904" spans="11:27">
      <c r="K904" s="51"/>
      <c r="P904" s="50"/>
      <c r="Q904" s="51"/>
      <c r="U904" s="58"/>
      <c r="V904" s="58"/>
      <c r="W904" s="58"/>
      <c r="X904" s="58"/>
      <c r="Y904" s="58"/>
      <c r="Z904" s="58"/>
      <c r="AA904" s="58"/>
    </row>
    <row r="905" spans="11:27">
      <c r="K905" s="51"/>
      <c r="P905" s="50"/>
      <c r="Q905" s="51"/>
      <c r="U905" s="58"/>
      <c r="V905" s="58"/>
      <c r="W905" s="58"/>
      <c r="X905" s="58"/>
      <c r="Y905" s="58"/>
      <c r="Z905" s="58"/>
      <c r="AA905" s="58"/>
    </row>
    <row r="906" spans="11:27">
      <c r="K906" s="51"/>
      <c r="P906" s="50"/>
      <c r="Q906" s="51"/>
      <c r="U906" s="58"/>
      <c r="V906" s="58"/>
      <c r="W906" s="58"/>
      <c r="X906" s="58"/>
      <c r="Y906" s="58"/>
      <c r="Z906" s="58"/>
      <c r="AA906" s="58"/>
    </row>
    <row r="907" spans="11:27">
      <c r="K907" s="51"/>
      <c r="P907" s="50"/>
      <c r="Q907" s="51"/>
      <c r="U907" s="58"/>
      <c r="V907" s="58"/>
      <c r="W907" s="58"/>
      <c r="X907" s="58"/>
      <c r="Y907" s="58"/>
      <c r="Z907" s="58"/>
      <c r="AA907" s="58"/>
    </row>
    <row r="908" spans="11:27">
      <c r="K908" s="51"/>
      <c r="P908" s="50"/>
      <c r="Q908" s="51"/>
      <c r="U908" s="58"/>
      <c r="V908" s="58"/>
      <c r="W908" s="58"/>
      <c r="X908" s="58"/>
      <c r="Y908" s="58"/>
      <c r="Z908" s="58"/>
      <c r="AA908" s="58"/>
    </row>
    <row r="909" spans="11:27">
      <c r="K909" s="51"/>
      <c r="P909" s="50"/>
      <c r="Q909" s="51"/>
      <c r="U909" s="58"/>
      <c r="V909" s="58"/>
      <c r="W909" s="58"/>
      <c r="X909" s="58"/>
      <c r="Y909" s="58"/>
      <c r="Z909" s="58"/>
      <c r="AA909" s="58"/>
    </row>
    <row r="910" spans="11:27">
      <c r="K910" s="51"/>
      <c r="P910" s="50"/>
      <c r="Q910" s="51"/>
      <c r="U910" s="58"/>
      <c r="V910" s="58"/>
      <c r="W910" s="58"/>
      <c r="X910" s="58"/>
      <c r="Y910" s="58"/>
      <c r="Z910" s="58"/>
      <c r="AA910" s="58"/>
    </row>
    <row r="911" spans="11:27">
      <c r="K911" s="51"/>
      <c r="P911" s="50"/>
      <c r="Q911" s="51"/>
      <c r="U911" s="58"/>
      <c r="V911" s="58"/>
      <c r="W911" s="58"/>
      <c r="X911" s="58"/>
      <c r="Y911" s="58"/>
      <c r="Z911" s="58"/>
      <c r="AA911" s="58"/>
    </row>
    <row r="912" spans="11:27">
      <c r="K912" s="51"/>
      <c r="P912" s="50"/>
      <c r="Q912" s="51"/>
      <c r="U912" s="58"/>
      <c r="V912" s="58"/>
      <c r="W912" s="58"/>
      <c r="X912" s="58"/>
      <c r="Y912" s="58"/>
      <c r="Z912" s="58"/>
      <c r="AA912" s="58"/>
    </row>
    <row r="913" spans="11:27">
      <c r="K913" s="51"/>
      <c r="P913" s="50"/>
      <c r="Q913" s="51"/>
      <c r="U913" s="58"/>
      <c r="V913" s="58"/>
      <c r="W913" s="58"/>
      <c r="X913" s="58"/>
      <c r="Y913" s="58"/>
      <c r="Z913" s="58"/>
      <c r="AA913" s="58"/>
    </row>
    <row r="914" spans="11:27">
      <c r="K914" s="51"/>
      <c r="P914" s="50"/>
      <c r="Q914" s="51"/>
      <c r="U914" s="58"/>
      <c r="V914" s="58"/>
      <c r="W914" s="58"/>
      <c r="X914" s="58"/>
      <c r="Y914" s="58"/>
      <c r="Z914" s="58"/>
      <c r="AA914" s="58"/>
    </row>
    <row r="915" spans="11:27">
      <c r="K915" s="51"/>
      <c r="P915" s="50"/>
      <c r="Q915" s="51"/>
      <c r="U915" s="58"/>
      <c r="V915" s="58"/>
      <c r="W915" s="58"/>
      <c r="X915" s="58"/>
      <c r="Y915" s="58"/>
      <c r="Z915" s="58"/>
      <c r="AA915" s="58"/>
    </row>
    <row r="916" spans="11:27">
      <c r="K916" s="51"/>
      <c r="P916" s="50"/>
      <c r="Q916" s="51"/>
      <c r="U916" s="58"/>
      <c r="V916" s="58"/>
      <c r="W916" s="58"/>
      <c r="X916" s="58"/>
      <c r="Y916" s="58"/>
      <c r="Z916" s="58"/>
      <c r="AA916" s="58"/>
    </row>
    <row r="917" spans="11:27">
      <c r="K917" s="51"/>
      <c r="P917" s="50"/>
      <c r="Q917" s="51"/>
      <c r="U917" s="58"/>
      <c r="V917" s="58"/>
      <c r="W917" s="58"/>
      <c r="X917" s="58"/>
      <c r="Y917" s="58"/>
      <c r="Z917" s="58"/>
      <c r="AA917" s="58"/>
    </row>
    <row r="918" spans="11:27">
      <c r="K918" s="51"/>
      <c r="P918" s="50"/>
      <c r="Q918" s="51"/>
      <c r="U918" s="58"/>
      <c r="V918" s="58"/>
      <c r="W918" s="58"/>
      <c r="X918" s="58"/>
      <c r="Y918" s="58"/>
      <c r="Z918" s="58"/>
      <c r="AA918" s="58"/>
    </row>
    <row r="919" spans="11:27">
      <c r="K919" s="51"/>
      <c r="P919" s="50"/>
      <c r="Q919" s="51"/>
      <c r="U919" s="58"/>
      <c r="V919" s="58"/>
      <c r="W919" s="58"/>
      <c r="X919" s="58"/>
      <c r="Y919" s="58"/>
      <c r="Z919" s="58"/>
      <c r="AA919" s="58"/>
    </row>
    <row r="920" spans="11:27">
      <c r="K920" s="51"/>
      <c r="P920" s="50"/>
      <c r="Q920" s="51"/>
      <c r="U920" s="58"/>
      <c r="V920" s="58"/>
      <c r="W920" s="58"/>
      <c r="X920" s="58"/>
      <c r="Y920" s="58"/>
      <c r="Z920" s="58"/>
      <c r="AA920" s="58"/>
    </row>
    <row r="921" spans="11:27">
      <c r="K921" s="51"/>
      <c r="P921" s="50"/>
      <c r="Q921" s="51"/>
      <c r="U921" s="58"/>
      <c r="V921" s="58"/>
      <c r="W921" s="58"/>
      <c r="X921" s="58"/>
      <c r="Y921" s="58"/>
      <c r="Z921" s="58"/>
      <c r="AA921" s="58"/>
    </row>
    <row r="922" spans="11:27">
      <c r="K922" s="51"/>
      <c r="P922" s="50"/>
      <c r="Q922" s="51"/>
      <c r="U922" s="58"/>
      <c r="V922" s="58"/>
      <c r="W922" s="58"/>
      <c r="X922" s="58"/>
      <c r="Y922" s="58"/>
      <c r="Z922" s="58"/>
      <c r="AA922" s="58"/>
    </row>
    <row r="923" spans="11:27">
      <c r="K923" s="51"/>
      <c r="P923" s="50"/>
      <c r="Q923" s="51"/>
      <c r="U923" s="58"/>
      <c r="V923" s="58"/>
      <c r="W923" s="58"/>
      <c r="X923" s="58"/>
      <c r="Y923" s="58"/>
      <c r="Z923" s="58"/>
      <c r="AA923" s="58"/>
    </row>
    <row r="924" spans="11:27">
      <c r="K924" s="51"/>
      <c r="P924" s="50"/>
      <c r="Q924" s="51"/>
      <c r="U924" s="58"/>
      <c r="V924" s="58"/>
      <c r="W924" s="58"/>
      <c r="X924" s="58"/>
      <c r="Y924" s="58"/>
      <c r="Z924" s="58"/>
      <c r="AA924" s="58"/>
    </row>
    <row r="925" spans="11:27">
      <c r="K925" s="51"/>
      <c r="P925" s="50"/>
      <c r="Q925" s="51"/>
      <c r="U925" s="58"/>
      <c r="V925" s="58"/>
      <c r="W925" s="58"/>
      <c r="X925" s="58"/>
      <c r="Y925" s="58"/>
      <c r="Z925" s="58"/>
      <c r="AA925" s="58"/>
    </row>
    <row r="926" spans="11:27">
      <c r="K926" s="51"/>
      <c r="P926" s="50"/>
      <c r="Q926" s="51"/>
      <c r="U926" s="58"/>
      <c r="V926" s="58"/>
      <c r="W926" s="58"/>
      <c r="X926" s="58"/>
      <c r="Y926" s="58"/>
      <c r="Z926" s="58"/>
      <c r="AA926" s="58"/>
    </row>
    <row r="927" spans="11:27">
      <c r="K927" s="51"/>
      <c r="P927" s="50"/>
      <c r="Q927" s="51"/>
      <c r="U927" s="58"/>
      <c r="V927" s="58"/>
      <c r="W927" s="58"/>
      <c r="X927" s="58"/>
      <c r="Y927" s="58"/>
      <c r="Z927" s="58"/>
      <c r="AA927" s="58"/>
    </row>
    <row r="928" spans="11:27">
      <c r="K928" s="51"/>
      <c r="P928" s="50"/>
      <c r="Q928" s="51"/>
      <c r="U928" s="58"/>
      <c r="V928" s="58"/>
      <c r="W928" s="58"/>
      <c r="X928" s="58"/>
      <c r="Y928" s="58"/>
      <c r="Z928" s="58"/>
      <c r="AA928" s="58"/>
    </row>
    <row r="929" spans="11:27">
      <c r="K929" s="51"/>
      <c r="P929" s="50"/>
      <c r="Q929" s="51"/>
      <c r="U929" s="58"/>
      <c r="V929" s="58"/>
      <c r="W929" s="58"/>
      <c r="X929" s="58"/>
      <c r="Y929" s="58"/>
      <c r="Z929" s="58"/>
      <c r="AA929" s="58"/>
    </row>
    <row r="930" spans="11:27">
      <c r="K930" s="51"/>
      <c r="P930" s="50"/>
      <c r="Q930" s="51"/>
      <c r="U930" s="58"/>
      <c r="V930" s="58"/>
      <c r="W930" s="58"/>
      <c r="X930" s="58"/>
      <c r="Y930" s="58"/>
      <c r="Z930" s="58"/>
      <c r="AA930" s="58"/>
    </row>
    <row r="931" spans="11:27">
      <c r="K931" s="51"/>
      <c r="P931" s="50"/>
      <c r="Q931" s="51"/>
      <c r="U931" s="58"/>
      <c r="V931" s="58"/>
      <c r="W931" s="58"/>
      <c r="X931" s="58"/>
      <c r="Y931" s="58"/>
      <c r="Z931" s="58"/>
      <c r="AA931" s="58"/>
    </row>
    <row r="932" spans="11:27">
      <c r="K932" s="51"/>
      <c r="P932" s="50"/>
      <c r="Q932" s="51"/>
      <c r="U932" s="58"/>
      <c r="V932" s="58"/>
      <c r="W932" s="58"/>
      <c r="X932" s="58"/>
      <c r="Y932" s="58"/>
      <c r="Z932" s="58"/>
      <c r="AA932" s="58"/>
    </row>
    <row r="933" spans="11:27">
      <c r="K933" s="51"/>
      <c r="P933" s="50"/>
      <c r="Q933" s="51"/>
      <c r="U933" s="58"/>
      <c r="V933" s="58"/>
      <c r="W933" s="58"/>
      <c r="X933" s="58"/>
      <c r="Y933" s="58"/>
      <c r="Z933" s="58"/>
      <c r="AA933" s="58"/>
    </row>
    <row r="934" spans="11:27">
      <c r="K934" s="51"/>
      <c r="P934" s="50"/>
      <c r="Q934" s="51"/>
      <c r="U934" s="58"/>
      <c r="V934" s="58"/>
      <c r="W934" s="58"/>
      <c r="X934" s="58"/>
      <c r="Y934" s="58"/>
      <c r="Z934" s="58"/>
      <c r="AA934" s="58"/>
    </row>
    <row r="935" spans="11:27">
      <c r="K935" s="51"/>
      <c r="P935" s="50"/>
      <c r="Q935" s="51"/>
      <c r="U935" s="58"/>
      <c r="V935" s="58"/>
      <c r="W935" s="58"/>
      <c r="X935" s="58"/>
      <c r="Y935" s="58"/>
      <c r="Z935" s="58"/>
      <c r="AA935" s="58"/>
    </row>
    <row r="936" spans="11:27">
      <c r="K936" s="51"/>
      <c r="P936" s="50"/>
      <c r="Q936" s="51"/>
      <c r="U936" s="58"/>
      <c r="V936" s="58"/>
      <c r="W936" s="58"/>
      <c r="X936" s="58"/>
      <c r="Y936" s="58"/>
      <c r="Z936" s="58"/>
      <c r="AA936" s="58"/>
    </row>
    <row r="937" spans="11:27">
      <c r="K937" s="51"/>
      <c r="P937" s="50"/>
      <c r="Q937" s="51"/>
      <c r="U937" s="58"/>
      <c r="V937" s="58"/>
      <c r="W937" s="58"/>
      <c r="X937" s="58"/>
      <c r="Y937" s="58"/>
      <c r="Z937" s="58"/>
      <c r="AA937" s="58"/>
    </row>
    <row r="938" spans="11:27">
      <c r="K938" s="51"/>
      <c r="P938" s="50"/>
      <c r="Q938" s="51"/>
      <c r="U938" s="58"/>
      <c r="V938" s="58"/>
      <c r="W938" s="58"/>
      <c r="X938" s="58"/>
      <c r="Y938" s="58"/>
      <c r="Z938" s="58"/>
      <c r="AA938" s="58"/>
    </row>
    <row r="939" spans="11:27">
      <c r="K939" s="51"/>
      <c r="P939" s="50"/>
      <c r="Q939" s="51"/>
      <c r="U939" s="58"/>
      <c r="V939" s="58"/>
      <c r="W939" s="58"/>
      <c r="X939" s="58"/>
      <c r="Y939" s="58"/>
      <c r="Z939" s="58"/>
      <c r="AA939" s="58"/>
    </row>
    <row r="940" spans="11:27">
      <c r="K940" s="51"/>
      <c r="P940" s="50"/>
      <c r="Q940" s="51"/>
      <c r="U940" s="58"/>
      <c r="V940" s="58"/>
      <c r="W940" s="58"/>
      <c r="X940" s="58"/>
      <c r="Y940" s="58"/>
      <c r="Z940" s="58"/>
      <c r="AA940" s="58"/>
    </row>
    <row r="941" spans="11:27">
      <c r="K941" s="51"/>
      <c r="P941" s="50"/>
      <c r="Q941" s="51"/>
      <c r="U941" s="58"/>
      <c r="V941" s="58"/>
      <c r="W941" s="58"/>
      <c r="X941" s="58"/>
      <c r="Y941" s="58"/>
      <c r="Z941" s="58"/>
      <c r="AA941" s="58"/>
    </row>
    <row r="942" spans="11:27">
      <c r="K942" s="51"/>
      <c r="P942" s="50"/>
      <c r="Q942" s="51"/>
      <c r="U942" s="58"/>
      <c r="V942" s="58"/>
      <c r="W942" s="58"/>
      <c r="X942" s="58"/>
      <c r="Y942" s="58"/>
      <c r="Z942" s="58"/>
      <c r="AA942" s="58"/>
    </row>
    <row r="943" spans="11:27">
      <c r="K943" s="51"/>
      <c r="P943" s="50"/>
      <c r="Q943" s="51"/>
      <c r="U943" s="58"/>
      <c r="V943" s="58"/>
      <c r="W943" s="58"/>
      <c r="X943" s="58"/>
      <c r="Y943" s="58"/>
      <c r="Z943" s="58"/>
      <c r="AA943" s="58"/>
    </row>
    <row r="944" spans="11:27">
      <c r="K944" s="51"/>
      <c r="P944" s="50"/>
      <c r="Q944" s="51"/>
      <c r="U944" s="58"/>
      <c r="V944" s="58"/>
      <c r="W944" s="58"/>
      <c r="X944" s="58"/>
      <c r="Y944" s="58"/>
      <c r="Z944" s="58"/>
      <c r="AA944" s="58"/>
    </row>
    <row r="945" spans="11:27">
      <c r="K945" s="51"/>
      <c r="P945" s="50"/>
      <c r="Q945" s="51"/>
      <c r="U945" s="58"/>
      <c r="V945" s="58"/>
      <c r="W945" s="58"/>
      <c r="X945" s="58"/>
      <c r="Y945" s="58"/>
      <c r="Z945" s="58"/>
      <c r="AA945" s="58"/>
    </row>
    <row r="946" spans="11:27">
      <c r="K946" s="51"/>
      <c r="P946" s="50"/>
      <c r="Q946" s="51"/>
      <c r="U946" s="58"/>
      <c r="V946" s="58"/>
      <c r="W946" s="58"/>
      <c r="X946" s="58"/>
      <c r="Y946" s="58"/>
      <c r="Z946" s="58"/>
      <c r="AA946" s="58"/>
    </row>
    <row r="947" spans="11:27">
      <c r="K947" s="51"/>
      <c r="P947" s="50"/>
      <c r="Q947" s="51"/>
      <c r="U947" s="58"/>
      <c r="V947" s="58"/>
      <c r="W947" s="58"/>
      <c r="X947" s="58"/>
      <c r="Y947" s="58"/>
      <c r="Z947" s="58"/>
      <c r="AA947" s="58"/>
    </row>
    <row r="948" spans="11:27">
      <c r="K948" s="51"/>
      <c r="P948" s="50"/>
      <c r="Q948" s="51"/>
      <c r="U948" s="58"/>
      <c r="V948" s="58"/>
      <c r="W948" s="58"/>
      <c r="X948" s="58"/>
      <c r="Y948" s="58"/>
      <c r="Z948" s="58"/>
      <c r="AA948" s="58"/>
    </row>
    <row r="949" spans="11:27">
      <c r="K949" s="51"/>
      <c r="P949" s="50"/>
      <c r="Q949" s="51"/>
      <c r="U949" s="58"/>
      <c r="V949" s="58"/>
      <c r="W949" s="58"/>
      <c r="X949" s="58"/>
      <c r="Y949" s="58"/>
      <c r="Z949" s="58"/>
      <c r="AA949" s="58"/>
    </row>
    <row r="950" spans="11:27">
      <c r="K950" s="51"/>
      <c r="P950" s="50"/>
      <c r="Q950" s="51"/>
      <c r="U950" s="58"/>
      <c r="V950" s="58"/>
      <c r="W950" s="58"/>
      <c r="X950" s="58"/>
      <c r="Y950" s="58"/>
      <c r="Z950" s="58"/>
      <c r="AA950" s="58"/>
    </row>
    <row r="951" spans="11:27">
      <c r="K951" s="51"/>
      <c r="P951" s="50"/>
      <c r="Q951" s="51"/>
      <c r="U951" s="58"/>
      <c r="V951" s="58"/>
      <c r="W951" s="58"/>
      <c r="X951" s="58"/>
      <c r="Y951" s="58"/>
      <c r="Z951" s="58"/>
      <c r="AA951" s="58"/>
    </row>
    <row r="952" spans="11:27">
      <c r="K952" s="51"/>
      <c r="P952" s="50"/>
      <c r="Q952" s="51"/>
      <c r="U952" s="58"/>
      <c r="V952" s="58"/>
      <c r="W952" s="58"/>
      <c r="X952" s="58"/>
      <c r="Y952" s="58"/>
      <c r="Z952" s="58"/>
      <c r="AA952" s="58"/>
    </row>
    <row r="953" spans="11:27">
      <c r="K953" s="51"/>
      <c r="P953" s="50"/>
      <c r="Q953" s="51"/>
      <c r="U953" s="58"/>
      <c r="V953" s="58"/>
      <c r="W953" s="58"/>
      <c r="X953" s="58"/>
      <c r="Y953" s="58"/>
      <c r="Z953" s="58"/>
      <c r="AA953" s="58"/>
    </row>
    <row r="954" spans="11:27">
      <c r="K954" s="51"/>
      <c r="P954" s="50"/>
      <c r="Q954" s="51"/>
      <c r="U954" s="58"/>
      <c r="V954" s="58"/>
      <c r="W954" s="58"/>
      <c r="X954" s="58"/>
      <c r="Y954" s="58"/>
      <c r="Z954" s="58"/>
      <c r="AA954" s="58"/>
    </row>
    <row r="955" spans="11:27">
      <c r="K955" s="51"/>
      <c r="P955" s="50"/>
      <c r="Q955" s="51"/>
      <c r="U955" s="58"/>
      <c r="V955" s="58"/>
      <c r="W955" s="58"/>
      <c r="X955" s="58"/>
      <c r="Y955" s="58"/>
      <c r="Z955" s="58"/>
      <c r="AA955" s="58"/>
    </row>
    <row r="956" spans="11:27">
      <c r="K956" s="51"/>
      <c r="P956" s="50"/>
      <c r="Q956" s="51"/>
      <c r="U956" s="58"/>
      <c r="V956" s="58"/>
      <c r="W956" s="58"/>
      <c r="X956" s="58"/>
      <c r="Y956" s="58"/>
      <c r="Z956" s="58"/>
      <c r="AA956" s="58"/>
    </row>
    <row r="957" spans="11:27">
      <c r="K957" s="51"/>
      <c r="P957" s="50"/>
      <c r="Q957" s="51"/>
      <c r="U957" s="58"/>
      <c r="V957" s="58"/>
      <c r="W957" s="58"/>
      <c r="X957" s="58"/>
      <c r="Y957" s="58"/>
      <c r="Z957" s="58"/>
      <c r="AA957" s="58"/>
    </row>
    <row r="958" spans="11:27">
      <c r="K958" s="51"/>
      <c r="P958" s="50"/>
      <c r="Q958" s="51"/>
      <c r="U958" s="58"/>
      <c r="V958" s="58"/>
      <c r="W958" s="58"/>
      <c r="X958" s="58"/>
      <c r="Y958" s="58"/>
      <c r="Z958" s="58"/>
      <c r="AA958" s="58"/>
    </row>
    <row r="959" spans="11:27">
      <c r="K959" s="51"/>
      <c r="P959" s="50"/>
      <c r="Q959" s="51"/>
      <c r="U959" s="58"/>
      <c r="V959" s="58"/>
      <c r="W959" s="58"/>
      <c r="X959" s="58"/>
      <c r="Y959" s="58"/>
      <c r="Z959" s="58"/>
      <c r="AA959" s="58"/>
    </row>
    <row r="960" spans="11:27">
      <c r="K960" s="51"/>
      <c r="P960" s="50"/>
      <c r="Q960" s="51"/>
      <c r="U960" s="58"/>
      <c r="V960" s="58"/>
      <c r="W960" s="58"/>
      <c r="X960" s="58"/>
      <c r="Y960" s="58"/>
      <c r="Z960" s="58"/>
      <c r="AA960" s="58"/>
    </row>
    <row r="961" spans="11:27">
      <c r="K961" s="51"/>
      <c r="P961" s="50"/>
      <c r="Q961" s="51"/>
      <c r="U961" s="58"/>
      <c r="V961" s="58"/>
      <c r="W961" s="58"/>
      <c r="X961" s="58"/>
      <c r="Y961" s="58"/>
      <c r="Z961" s="58"/>
      <c r="AA961" s="58"/>
    </row>
    <row r="962" spans="11:27">
      <c r="K962" s="51"/>
      <c r="P962" s="50"/>
      <c r="Q962" s="51"/>
      <c r="U962" s="58"/>
      <c r="V962" s="58"/>
      <c r="W962" s="58"/>
      <c r="X962" s="58"/>
      <c r="Y962" s="58"/>
      <c r="Z962" s="58"/>
      <c r="AA962" s="58"/>
    </row>
    <row r="963" spans="11:27">
      <c r="K963" s="51"/>
      <c r="P963" s="50"/>
      <c r="Q963" s="51"/>
      <c r="U963" s="58"/>
      <c r="V963" s="58"/>
      <c r="W963" s="58"/>
      <c r="X963" s="58"/>
      <c r="Y963" s="58"/>
      <c r="Z963" s="58"/>
      <c r="AA963" s="58"/>
    </row>
    <row r="964" spans="11:27">
      <c r="K964" s="51"/>
      <c r="P964" s="50"/>
      <c r="Q964" s="51"/>
      <c r="U964" s="58"/>
      <c r="V964" s="58"/>
      <c r="W964" s="58"/>
      <c r="X964" s="58"/>
      <c r="Y964" s="58"/>
      <c r="Z964" s="58"/>
      <c r="AA964" s="58"/>
    </row>
    <row r="965" spans="11:27">
      <c r="K965" s="51"/>
      <c r="P965" s="50"/>
      <c r="Q965" s="51"/>
      <c r="U965" s="58"/>
      <c r="V965" s="58"/>
      <c r="W965" s="58"/>
      <c r="X965" s="58"/>
      <c r="Y965" s="58"/>
      <c r="Z965" s="58"/>
      <c r="AA965" s="58"/>
    </row>
    <row r="966" spans="11:27">
      <c r="K966" s="51"/>
      <c r="P966" s="50"/>
      <c r="Q966" s="51"/>
      <c r="U966" s="58"/>
      <c r="V966" s="58"/>
      <c r="W966" s="58"/>
      <c r="X966" s="58"/>
      <c r="Y966" s="58"/>
      <c r="Z966" s="58"/>
      <c r="AA966" s="58"/>
    </row>
    <row r="967" spans="11:27">
      <c r="K967" s="51"/>
      <c r="P967" s="50"/>
      <c r="Q967" s="51"/>
      <c r="U967" s="58"/>
      <c r="V967" s="58"/>
      <c r="W967" s="58"/>
      <c r="X967" s="58"/>
      <c r="Y967" s="58"/>
      <c r="Z967" s="58"/>
      <c r="AA967" s="58"/>
    </row>
    <row r="968" spans="11:27">
      <c r="K968" s="51"/>
      <c r="P968" s="50"/>
      <c r="Q968" s="51"/>
      <c r="U968" s="58"/>
      <c r="V968" s="58"/>
      <c r="W968" s="58"/>
      <c r="X968" s="58"/>
      <c r="Y968" s="58"/>
      <c r="Z968" s="58"/>
      <c r="AA968" s="58"/>
    </row>
    <row r="969" spans="11:27">
      <c r="K969" s="51"/>
      <c r="P969" s="50"/>
      <c r="Q969" s="51"/>
      <c r="U969" s="58"/>
      <c r="V969" s="58"/>
      <c r="W969" s="58"/>
      <c r="X969" s="58"/>
      <c r="Y969" s="58"/>
      <c r="Z969" s="58"/>
      <c r="AA969" s="58"/>
    </row>
    <row r="970" spans="11:27">
      <c r="K970" s="51"/>
      <c r="P970" s="50"/>
      <c r="Q970" s="51"/>
      <c r="U970" s="58"/>
      <c r="V970" s="58"/>
      <c r="W970" s="58"/>
      <c r="X970" s="58"/>
      <c r="Y970" s="58"/>
      <c r="Z970" s="58"/>
      <c r="AA970" s="58"/>
    </row>
    <row r="971" spans="11:27">
      <c r="K971" s="51"/>
      <c r="P971" s="50"/>
      <c r="Q971" s="51"/>
      <c r="U971" s="58"/>
      <c r="V971" s="58"/>
      <c r="W971" s="58"/>
      <c r="X971" s="58"/>
      <c r="Y971" s="58"/>
      <c r="Z971" s="58"/>
      <c r="AA971" s="58"/>
    </row>
    <row r="972" spans="11:27">
      <c r="K972" s="51"/>
      <c r="P972" s="50"/>
      <c r="Q972" s="51"/>
      <c r="U972" s="58"/>
      <c r="V972" s="58"/>
      <c r="W972" s="58"/>
      <c r="X972" s="58"/>
      <c r="Y972" s="58"/>
      <c r="Z972" s="58"/>
      <c r="AA972" s="58"/>
    </row>
    <row r="973" spans="11:27">
      <c r="K973" s="51"/>
      <c r="P973" s="50"/>
      <c r="Q973" s="51"/>
      <c r="U973" s="58"/>
      <c r="V973" s="58"/>
      <c r="W973" s="58"/>
      <c r="X973" s="58"/>
      <c r="Y973" s="58"/>
      <c r="Z973" s="58"/>
      <c r="AA973" s="58"/>
    </row>
    <row r="974" spans="11:27">
      <c r="K974" s="51"/>
      <c r="P974" s="50"/>
      <c r="Q974" s="51"/>
      <c r="U974" s="58"/>
      <c r="V974" s="58"/>
      <c r="W974" s="58"/>
      <c r="X974" s="58"/>
      <c r="Y974" s="58"/>
      <c r="Z974" s="58"/>
      <c r="AA974" s="58"/>
    </row>
    <row r="975" spans="11:27">
      <c r="K975" s="51"/>
      <c r="P975" s="50"/>
      <c r="Q975" s="51"/>
      <c r="U975" s="58"/>
      <c r="V975" s="58"/>
      <c r="W975" s="58"/>
      <c r="X975" s="58"/>
      <c r="Y975" s="58"/>
      <c r="Z975" s="58"/>
      <c r="AA975" s="58"/>
    </row>
    <row r="976" spans="11:27">
      <c r="K976" s="51"/>
      <c r="P976" s="50"/>
      <c r="Q976" s="51"/>
      <c r="U976" s="58"/>
      <c r="V976" s="58"/>
      <c r="W976" s="58"/>
      <c r="X976" s="58"/>
      <c r="Y976" s="58"/>
      <c r="Z976" s="58"/>
      <c r="AA976" s="58"/>
    </row>
    <row r="977" spans="11:27">
      <c r="K977" s="51"/>
      <c r="P977" s="50"/>
      <c r="Q977" s="51"/>
      <c r="U977" s="58"/>
      <c r="V977" s="58"/>
      <c r="W977" s="58"/>
      <c r="X977" s="58"/>
      <c r="Y977" s="58"/>
      <c r="Z977" s="58"/>
      <c r="AA977" s="58"/>
    </row>
    <row r="978" spans="11:27">
      <c r="K978" s="51"/>
      <c r="P978" s="50"/>
      <c r="Q978" s="51"/>
      <c r="U978" s="58"/>
      <c r="V978" s="58"/>
      <c r="W978" s="58"/>
      <c r="X978" s="58"/>
      <c r="Y978" s="58"/>
      <c r="Z978" s="58"/>
      <c r="AA978" s="58"/>
    </row>
    <row r="979" spans="11:27">
      <c r="K979" s="51"/>
      <c r="P979" s="50"/>
      <c r="Q979" s="51"/>
      <c r="U979" s="58"/>
      <c r="V979" s="58"/>
      <c r="W979" s="58"/>
      <c r="X979" s="58"/>
      <c r="Y979" s="58"/>
      <c r="Z979" s="58"/>
      <c r="AA979" s="58"/>
    </row>
    <row r="980" spans="11:27">
      <c r="K980" s="51"/>
      <c r="P980" s="50"/>
      <c r="Q980" s="51"/>
      <c r="U980" s="58"/>
      <c r="V980" s="58"/>
      <c r="W980" s="58"/>
      <c r="X980" s="58"/>
      <c r="Y980" s="58"/>
      <c r="Z980" s="58"/>
      <c r="AA980" s="58"/>
    </row>
    <row r="981" spans="11:27">
      <c r="K981" s="51"/>
      <c r="P981" s="50"/>
      <c r="Q981" s="51"/>
      <c r="U981" s="58"/>
      <c r="V981" s="58"/>
      <c r="W981" s="58"/>
      <c r="X981" s="58"/>
      <c r="Y981" s="58"/>
      <c r="Z981" s="58"/>
      <c r="AA981" s="58"/>
    </row>
    <row r="982" spans="11:27">
      <c r="K982" s="51"/>
      <c r="P982" s="50"/>
      <c r="Q982" s="51"/>
      <c r="U982" s="58"/>
      <c r="V982" s="58"/>
      <c r="W982" s="58"/>
      <c r="X982" s="58"/>
      <c r="Y982" s="58"/>
      <c r="Z982" s="58"/>
      <c r="AA982" s="58"/>
    </row>
    <row r="983" spans="11:27">
      <c r="K983" s="51"/>
      <c r="P983" s="50"/>
      <c r="Q983" s="51"/>
      <c r="U983" s="58"/>
      <c r="V983" s="58"/>
      <c r="W983" s="58"/>
      <c r="X983" s="58"/>
      <c r="Y983" s="58"/>
      <c r="Z983" s="58"/>
      <c r="AA983" s="58"/>
    </row>
    <row r="984" spans="11:27">
      <c r="K984" s="51"/>
      <c r="P984" s="50"/>
      <c r="Q984" s="51"/>
      <c r="U984" s="58"/>
      <c r="V984" s="58"/>
      <c r="W984" s="58"/>
      <c r="X984" s="58"/>
      <c r="Y984" s="58"/>
      <c r="Z984" s="58"/>
      <c r="AA984" s="58"/>
    </row>
    <row r="985" spans="11:27">
      <c r="K985" s="51"/>
      <c r="P985" s="50"/>
      <c r="Q985" s="51"/>
      <c r="U985" s="58"/>
      <c r="V985" s="58"/>
      <c r="W985" s="58"/>
      <c r="X985" s="58"/>
      <c r="Y985" s="58"/>
      <c r="Z985" s="58"/>
      <c r="AA985" s="58"/>
    </row>
    <row r="986" spans="11:27">
      <c r="K986" s="51"/>
      <c r="P986" s="50"/>
      <c r="Q986" s="51"/>
      <c r="U986" s="58"/>
      <c r="V986" s="58"/>
      <c r="W986" s="58"/>
      <c r="X986" s="58"/>
      <c r="Y986" s="58"/>
      <c r="Z986" s="58"/>
      <c r="AA986" s="58"/>
    </row>
    <row r="987" spans="11:27">
      <c r="K987" s="51"/>
      <c r="P987" s="50"/>
      <c r="Q987" s="51"/>
      <c r="U987" s="58"/>
      <c r="V987" s="58"/>
      <c r="W987" s="58"/>
      <c r="X987" s="58"/>
      <c r="Y987" s="58"/>
      <c r="Z987" s="58"/>
      <c r="AA987" s="58"/>
    </row>
    <row r="988" spans="11:27">
      <c r="K988" s="51"/>
      <c r="P988" s="50"/>
      <c r="Q988" s="51"/>
      <c r="U988" s="58"/>
      <c r="V988" s="58"/>
      <c r="W988" s="58"/>
      <c r="X988" s="58"/>
      <c r="Y988" s="58"/>
      <c r="Z988" s="58"/>
      <c r="AA988" s="58"/>
    </row>
    <row r="989" spans="11:27">
      <c r="K989" s="51"/>
      <c r="P989" s="50"/>
      <c r="Q989" s="51"/>
      <c r="U989" s="58"/>
      <c r="V989" s="58"/>
      <c r="W989" s="58"/>
      <c r="X989" s="58"/>
      <c r="Y989" s="58"/>
      <c r="Z989" s="58"/>
      <c r="AA989" s="58"/>
    </row>
    <row r="990" spans="11:27">
      <c r="K990" s="51"/>
      <c r="P990" s="50"/>
      <c r="Q990" s="51"/>
      <c r="U990" s="58"/>
      <c r="V990" s="58"/>
      <c r="W990" s="58"/>
      <c r="X990" s="58"/>
      <c r="Y990" s="58"/>
      <c r="Z990" s="58"/>
      <c r="AA990" s="58"/>
    </row>
    <row r="991" spans="11:27">
      <c r="K991" s="51"/>
      <c r="P991" s="50"/>
      <c r="Q991" s="51"/>
      <c r="U991" s="58"/>
      <c r="V991" s="58"/>
      <c r="W991" s="58"/>
      <c r="X991" s="58"/>
      <c r="Y991" s="58"/>
      <c r="Z991" s="58"/>
      <c r="AA991" s="58"/>
    </row>
    <row r="992" spans="11:27">
      <c r="K992" s="51"/>
      <c r="P992" s="50"/>
      <c r="Q992" s="51"/>
      <c r="U992" s="58"/>
      <c r="V992" s="58"/>
      <c r="W992" s="58"/>
      <c r="X992" s="58"/>
      <c r="Y992" s="58"/>
      <c r="Z992" s="58"/>
      <c r="AA992" s="58"/>
    </row>
    <row r="993" spans="11:27">
      <c r="K993" s="51"/>
      <c r="P993" s="50"/>
      <c r="Q993" s="51"/>
      <c r="U993" s="58"/>
      <c r="V993" s="58"/>
      <c r="W993" s="58"/>
      <c r="X993" s="58"/>
      <c r="Y993" s="58"/>
      <c r="Z993" s="58"/>
      <c r="AA993" s="58"/>
    </row>
    <row r="994" spans="11:27">
      <c r="K994" s="51"/>
      <c r="P994" s="50"/>
      <c r="Q994" s="51"/>
      <c r="U994" s="58"/>
      <c r="V994" s="58"/>
      <c r="W994" s="58"/>
      <c r="X994" s="58"/>
      <c r="Y994" s="58"/>
      <c r="Z994" s="58"/>
      <c r="AA994" s="58"/>
    </row>
    <row r="995" spans="11:27">
      <c r="K995" s="51"/>
      <c r="P995" s="50"/>
      <c r="Q995" s="51"/>
      <c r="U995" s="58"/>
      <c r="V995" s="58"/>
      <c r="W995" s="58"/>
      <c r="X995" s="58"/>
      <c r="Y995" s="58"/>
      <c r="Z995" s="58"/>
      <c r="AA995" s="58"/>
    </row>
    <row r="996" spans="11:27">
      <c r="K996" s="51"/>
      <c r="P996" s="50"/>
      <c r="Q996" s="51"/>
      <c r="U996" s="58"/>
      <c r="V996" s="58"/>
      <c r="W996" s="58"/>
      <c r="X996" s="58"/>
      <c r="Y996" s="58"/>
      <c r="Z996" s="58"/>
      <c r="AA996" s="58"/>
    </row>
    <row r="997" spans="11:27">
      <c r="K997" s="51"/>
      <c r="P997" s="50"/>
      <c r="Q997" s="51"/>
      <c r="U997" s="58"/>
      <c r="V997" s="58"/>
      <c r="W997" s="58"/>
      <c r="X997" s="58"/>
      <c r="Y997" s="58"/>
      <c r="Z997" s="58"/>
      <c r="AA997" s="58"/>
    </row>
    <row r="998" spans="11:27">
      <c r="K998" s="51"/>
      <c r="P998" s="50"/>
      <c r="Q998" s="51"/>
      <c r="U998" s="58"/>
      <c r="V998" s="58"/>
      <c r="W998" s="58"/>
      <c r="X998" s="58"/>
      <c r="Y998" s="58"/>
      <c r="Z998" s="58"/>
      <c r="AA998" s="58"/>
    </row>
    <row r="999" spans="11:27">
      <c r="K999" s="51"/>
      <c r="P999" s="50"/>
      <c r="Q999" s="51"/>
      <c r="U999" s="58"/>
      <c r="V999" s="58"/>
      <c r="W999" s="58"/>
      <c r="X999" s="58"/>
      <c r="Y999" s="58"/>
      <c r="Z999" s="58"/>
      <c r="AA999" s="58"/>
    </row>
    <row r="1000" spans="11:27">
      <c r="K1000" s="51"/>
      <c r="P1000" s="50"/>
      <c r="Q1000" s="51"/>
      <c r="U1000" s="58"/>
      <c r="V1000" s="58"/>
      <c r="W1000" s="58"/>
      <c r="X1000" s="58"/>
      <c r="Y1000" s="58"/>
      <c r="Z1000" s="58"/>
      <c r="AA1000" s="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08984375" customWidth="1"/>
    <col min="16" max="16" width="24.0898437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10">
        <v>6331628401699</v>
      </c>
      <c r="F2" s="10">
        <v>7725601132423</v>
      </c>
      <c r="G2" s="10">
        <f t="shared" ref="G2:G34" si="0">I2-H2</f>
        <v>956508963121</v>
      </c>
      <c r="H2" s="10">
        <v>1547711915701</v>
      </c>
      <c r="I2" s="10">
        <v>2504220878822</v>
      </c>
      <c r="J2" s="10">
        <v>5221380253601</v>
      </c>
      <c r="K2" s="8">
        <v>3000000000</v>
      </c>
      <c r="L2" s="10">
        <v>897612636308</v>
      </c>
      <c r="M2" s="10">
        <v>406766397197</v>
      </c>
      <c r="N2" s="10">
        <f>198367075354+153007062236</f>
        <v>351374137590</v>
      </c>
      <c r="O2" s="10">
        <v>146006831186</v>
      </c>
      <c r="P2" s="50">
        <v>0</v>
      </c>
      <c r="Q2" s="51">
        <v>8300</v>
      </c>
      <c r="R2" s="51">
        <f t="shared" ref="R2:R34" si="1">D2/G2</f>
        <v>1.2022612064467675</v>
      </c>
      <c r="S2" s="58">
        <f t="shared" ref="S2:S34" si="2">H2/J2</f>
        <v>0.29641815775313402</v>
      </c>
      <c r="T2" s="51">
        <f t="shared" ref="T2:T34" si="3">O2/F2</f>
        <v>1.8899090010385703E-2</v>
      </c>
      <c r="U2" s="51">
        <f t="shared" ref="U2:U34" si="4">O2/J2</f>
        <v>2.796326336993064E-2</v>
      </c>
      <c r="V2" s="51">
        <f t="shared" ref="V2:V34" si="5">O2/L2</f>
        <v>0.16266129205415991</v>
      </c>
      <c r="W2" s="51">
        <f t="shared" ref="W2:W34" si="6">(P2/K2)/Q2</f>
        <v>0</v>
      </c>
      <c r="X2" s="51">
        <f t="shared" ref="X2:X34" si="7">P2/O2</f>
        <v>0</v>
      </c>
      <c r="Y2" s="51">
        <f t="shared" ref="Y2:Y34" si="8">Q2/(O2/K2)</f>
        <v>170.53996582036334</v>
      </c>
      <c r="Z2" s="51">
        <f t="shared" ref="Z2:Z34" si="9">Q2/(J2/K2)</f>
        <v>4.7688539793337892</v>
      </c>
      <c r="AA2" s="52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10">
        <v>7157600562179</v>
      </c>
      <c r="F3" s="10">
        <v>8893030992719</v>
      </c>
      <c r="G3" s="10">
        <f t="shared" si="0"/>
        <v>993021427528</v>
      </c>
      <c r="H3" s="10">
        <v>2097290824729</v>
      </c>
      <c r="I3" s="10">
        <v>3090312252257</v>
      </c>
      <c r="J3" s="10">
        <v>5802718740462</v>
      </c>
      <c r="K3" s="8">
        <v>3000000000</v>
      </c>
      <c r="L3" s="10">
        <v>1087963086355</v>
      </c>
      <c r="M3" s="10">
        <v>539141827323</v>
      </c>
      <c r="N3" s="10">
        <f>170930067640+231683666926</f>
        <v>402613734566</v>
      </c>
      <c r="O3" s="10">
        <v>128831147635</v>
      </c>
      <c r="P3" s="50">
        <v>0</v>
      </c>
      <c r="Q3" s="51">
        <v>6525</v>
      </c>
      <c r="R3" s="51">
        <f t="shared" si="1"/>
        <v>1.4739308888606333</v>
      </c>
      <c r="S3" s="58">
        <f t="shared" si="2"/>
        <v>0.36143244546814246</v>
      </c>
      <c r="T3" s="51">
        <f t="shared" si="3"/>
        <v>1.4486753474768957E-2</v>
      </c>
      <c r="U3" s="51">
        <f t="shared" si="4"/>
        <v>2.2201859748374214E-2</v>
      </c>
      <c r="V3" s="51">
        <f t="shared" si="5"/>
        <v>0.11841499886418268</v>
      </c>
      <c r="W3" s="51">
        <f t="shared" si="6"/>
        <v>0</v>
      </c>
      <c r="X3" s="51">
        <f t="shared" si="7"/>
        <v>0</v>
      </c>
      <c r="Y3" s="51">
        <f t="shared" si="8"/>
        <v>151.94306935353256</v>
      </c>
      <c r="Z3" s="51">
        <f t="shared" si="9"/>
        <v>3.3734187155246271</v>
      </c>
      <c r="AA3" s="52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10">
        <v>7475267546394</v>
      </c>
      <c r="F4" s="10">
        <v>10412826253217</v>
      </c>
      <c r="G4" s="10">
        <f t="shared" si="0"/>
        <v>1194454114708</v>
      </c>
      <c r="H4" s="10">
        <v>3016521818693</v>
      </c>
      <c r="I4" s="10">
        <v>4210975933401</v>
      </c>
      <c r="J4" s="10">
        <v>6201850319816</v>
      </c>
      <c r="K4" s="8">
        <v>3000000000</v>
      </c>
      <c r="L4" s="10">
        <v>1122276247134</v>
      </c>
      <c r="M4" s="10">
        <v>566680887698</v>
      </c>
      <c r="N4" s="10">
        <f>177263065242+366069282337</f>
        <v>543332347579</v>
      </c>
      <c r="O4" s="10">
        <v>67204167744</v>
      </c>
      <c r="P4" s="50">
        <v>0</v>
      </c>
      <c r="Q4" s="51">
        <v>7250</v>
      </c>
      <c r="R4" s="51">
        <f t="shared" si="1"/>
        <v>1.1553468760500367</v>
      </c>
      <c r="S4" s="58">
        <f t="shared" si="2"/>
        <v>0.4863906194341201</v>
      </c>
      <c r="T4" s="51">
        <f t="shared" si="3"/>
        <v>6.4539795546129991E-3</v>
      </c>
      <c r="U4" s="51">
        <f t="shared" si="4"/>
        <v>1.0836147968497545E-2</v>
      </c>
      <c r="V4" s="51">
        <f t="shared" si="5"/>
        <v>5.9882019169185723E-2</v>
      </c>
      <c r="W4" s="51">
        <f t="shared" si="6"/>
        <v>0</v>
      </c>
      <c r="X4" s="51">
        <f t="shared" si="7"/>
        <v>0</v>
      </c>
      <c r="Y4" s="51">
        <f t="shared" si="8"/>
        <v>323.64064209309169</v>
      </c>
      <c r="Z4" s="51">
        <f t="shared" si="9"/>
        <v>3.5070178863402965</v>
      </c>
      <c r="AA4" s="52">
        <v>4</v>
      </c>
    </row>
    <row r="5" spans="1:27">
      <c r="A5" s="6">
        <v>2018</v>
      </c>
      <c r="B5" s="6" t="s">
        <v>440</v>
      </c>
      <c r="C5" s="7" t="s">
        <v>441</v>
      </c>
      <c r="D5" s="10">
        <v>2027465000000</v>
      </c>
      <c r="E5" s="10">
        <v>21878608000000</v>
      </c>
      <c r="F5" s="10">
        <v>29113747000000</v>
      </c>
      <c r="G5" s="10">
        <f t="shared" si="0"/>
        <v>6424937000000</v>
      </c>
      <c r="H5" s="10">
        <v>19009245000000</v>
      </c>
      <c r="I5" s="10">
        <v>25434182000000</v>
      </c>
      <c r="J5" s="10">
        <v>3679565000000</v>
      </c>
      <c r="K5" s="8">
        <v>14420120000</v>
      </c>
      <c r="L5" s="10">
        <v>4318137000000</v>
      </c>
      <c r="M5" s="10">
        <v>784082000000</v>
      </c>
      <c r="N5" s="10">
        <v>381463000000</v>
      </c>
      <c r="O5" s="12">
        <v>702632000000</v>
      </c>
      <c r="P5" s="50">
        <v>760910000000</v>
      </c>
      <c r="Q5" s="51">
        <v>3600</v>
      </c>
      <c r="R5" s="51">
        <f t="shared" si="1"/>
        <v>0.31556184908894824</v>
      </c>
      <c r="S5" s="58">
        <f t="shared" si="2"/>
        <v>5.1661663810803722</v>
      </c>
      <c r="T5" s="51">
        <f t="shared" si="3"/>
        <v>2.4134028505502916E-2</v>
      </c>
      <c r="U5" s="51">
        <f t="shared" si="4"/>
        <v>0.19095518084338775</v>
      </c>
      <c r="V5" s="51">
        <f t="shared" si="5"/>
        <v>0.1627164677730234</v>
      </c>
      <c r="W5" s="51">
        <f t="shared" si="6"/>
        <v>1.4657567959828968E-2</v>
      </c>
      <c r="X5" s="51">
        <f t="shared" si="7"/>
        <v>1.0829424222067883</v>
      </c>
      <c r="Y5" s="51">
        <f t="shared" si="8"/>
        <v>73.882817748124197</v>
      </c>
      <c r="Z5" s="51">
        <f t="shared" si="9"/>
        <v>14.108306824312114</v>
      </c>
      <c r="AA5" s="52">
        <v>4</v>
      </c>
    </row>
    <row r="6" spans="1:27">
      <c r="A6" s="6">
        <v>2019</v>
      </c>
      <c r="B6" s="6" t="s">
        <v>440</v>
      </c>
      <c r="C6" s="7" t="s">
        <v>441</v>
      </c>
      <c r="D6" s="9">
        <v>2376740000000</v>
      </c>
      <c r="E6" s="10">
        <v>24649294000000</v>
      </c>
      <c r="F6" s="10">
        <v>30871710000000</v>
      </c>
      <c r="G6" s="10">
        <f t="shared" si="0"/>
        <v>4513623000000</v>
      </c>
      <c r="H6" s="9">
        <v>20834803000000</v>
      </c>
      <c r="I6" s="10">
        <v>25348426000000</v>
      </c>
      <c r="J6" s="10">
        <v>5523284000000</v>
      </c>
      <c r="K6" s="8">
        <v>72100600000</v>
      </c>
      <c r="L6" s="10">
        <v>4698742000000</v>
      </c>
      <c r="M6" s="10">
        <v>903454000000</v>
      </c>
      <c r="N6" s="10">
        <v>426434000000</v>
      </c>
      <c r="O6" s="12">
        <v>866121000000</v>
      </c>
      <c r="P6" s="50">
        <f>9197000000+600000000000</f>
        <v>609197000000</v>
      </c>
      <c r="Q6" s="51">
        <v>1230</v>
      </c>
      <c r="R6" s="51">
        <f t="shared" si="1"/>
        <v>0.52657034050030316</v>
      </c>
      <c r="S6" s="58">
        <f t="shared" si="2"/>
        <v>3.7721766615658368</v>
      </c>
      <c r="T6" s="51">
        <f t="shared" si="3"/>
        <v>2.8055491581127186E-2</v>
      </c>
      <c r="U6" s="51">
        <f t="shared" si="4"/>
        <v>0.15681268607589252</v>
      </c>
      <c r="V6" s="51">
        <f t="shared" si="5"/>
        <v>0.18433040162664815</v>
      </c>
      <c r="W6" s="51">
        <f t="shared" si="6"/>
        <v>6.8693202805682361E-3</v>
      </c>
      <c r="X6" s="51">
        <f t="shared" si="7"/>
        <v>0.70336246321241491</v>
      </c>
      <c r="Y6" s="51">
        <f t="shared" si="8"/>
        <v>102.39185748873426</v>
      </c>
      <c r="Z6" s="51">
        <f t="shared" si="9"/>
        <v>16.056342205108411</v>
      </c>
      <c r="AA6" s="52">
        <v>4</v>
      </c>
    </row>
    <row r="7" spans="1:27">
      <c r="A7" s="6">
        <v>2020</v>
      </c>
      <c r="B7" s="6" t="s">
        <v>440</v>
      </c>
      <c r="C7" s="7" t="s">
        <v>441</v>
      </c>
      <c r="D7" s="50">
        <v>3227394000000</v>
      </c>
      <c r="E7" s="10">
        <v>28738362000000</v>
      </c>
      <c r="F7" s="10">
        <v>36521303000000</v>
      </c>
      <c r="G7" s="10">
        <f t="shared" si="0"/>
        <v>13777876000000</v>
      </c>
      <c r="H7" s="10">
        <v>13439589000000</v>
      </c>
      <c r="I7" s="10">
        <v>27217465000000</v>
      </c>
      <c r="J7" s="10">
        <v>9303838000000</v>
      </c>
      <c r="K7" s="8">
        <v>72100600000</v>
      </c>
      <c r="L7" s="10">
        <v>5327689000000</v>
      </c>
      <c r="M7" s="10">
        <v>1093065000000</v>
      </c>
      <c r="N7" s="10">
        <v>418623000000</v>
      </c>
      <c r="O7" s="12">
        <v>1066576000000</v>
      </c>
      <c r="P7" s="50">
        <f>11055000000+605670000000</f>
        <v>616725000000</v>
      </c>
      <c r="Q7" s="51">
        <v>1630</v>
      </c>
      <c r="R7" s="51">
        <f t="shared" si="1"/>
        <v>0.23424466877187747</v>
      </c>
      <c r="S7" s="58">
        <f t="shared" si="2"/>
        <v>1.4445209600597086</v>
      </c>
      <c r="T7" s="51">
        <f t="shared" si="3"/>
        <v>2.9204215413672397E-2</v>
      </c>
      <c r="U7" s="51">
        <f t="shared" si="4"/>
        <v>0.11463828153499664</v>
      </c>
      <c r="V7" s="51">
        <f t="shared" si="5"/>
        <v>0.20019486873201495</v>
      </c>
      <c r="W7" s="51">
        <f t="shared" si="6"/>
        <v>5.2476525258530644E-3</v>
      </c>
      <c r="X7" s="51">
        <f t="shared" si="7"/>
        <v>0.5782288369511408</v>
      </c>
      <c r="Y7" s="51">
        <f t="shared" si="8"/>
        <v>110.18809536310587</v>
      </c>
      <c r="Z7" s="51">
        <f t="shared" si="9"/>
        <v>12.631773898040789</v>
      </c>
      <c r="AA7" s="52">
        <v>4</v>
      </c>
    </row>
    <row r="8" spans="1:27">
      <c r="A8" s="6">
        <v>2018</v>
      </c>
      <c r="B8" s="6" t="s">
        <v>407</v>
      </c>
      <c r="C8" s="7" t="s">
        <v>408</v>
      </c>
      <c r="D8" s="9">
        <v>1616000000</v>
      </c>
      <c r="E8" s="10">
        <v>724000000</v>
      </c>
      <c r="F8" s="10">
        <v>713505000000</v>
      </c>
      <c r="G8" s="10">
        <f t="shared" si="0"/>
        <v>10096465000000</v>
      </c>
      <c r="H8" s="9">
        <v>6036283000000</v>
      </c>
      <c r="I8" s="10">
        <v>16132748000000</v>
      </c>
      <c r="J8" s="10">
        <v>15419243000000</v>
      </c>
      <c r="K8" s="8">
        <f t="shared" ref="K8:K10" si="10">10000000000+87111652195</f>
        <v>97111652195</v>
      </c>
      <c r="L8" s="10">
        <v>8526000000</v>
      </c>
      <c r="M8" s="10">
        <v>4720000000</v>
      </c>
      <c r="N8" s="9">
        <f>40856000000+690929000000</f>
        <v>731785000000</v>
      </c>
      <c r="O8" s="12">
        <v>-720575000000</v>
      </c>
      <c r="P8" s="50">
        <v>0</v>
      </c>
      <c r="Q8" s="51">
        <v>50</v>
      </c>
      <c r="R8" s="51">
        <f t="shared" si="1"/>
        <v>1.6005601960686241E-4</v>
      </c>
      <c r="S8" s="58">
        <f t="shared" si="2"/>
        <v>0.39147725994071175</v>
      </c>
      <c r="T8" s="51">
        <f t="shared" si="3"/>
        <v>-1.0099088303515742</v>
      </c>
      <c r="U8" s="51">
        <f t="shared" si="4"/>
        <v>-4.6732190419464824E-2</v>
      </c>
      <c r="V8" s="51">
        <f t="shared" si="5"/>
        <v>-84.51501290171241</v>
      </c>
      <c r="W8" s="51">
        <f t="shared" si="6"/>
        <v>0</v>
      </c>
      <c r="X8" s="51">
        <f t="shared" si="7"/>
        <v>0</v>
      </c>
      <c r="Y8" s="51">
        <f t="shared" si="8"/>
        <v>-6.7384833081219853</v>
      </c>
      <c r="Z8" s="51">
        <f t="shared" si="9"/>
        <v>0.31490408509354184</v>
      </c>
      <c r="AA8" s="52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10">
        <v>425000000</v>
      </c>
      <c r="F9" s="10">
        <v>11234000000</v>
      </c>
      <c r="G9" s="10">
        <f t="shared" si="0"/>
        <v>9240180000000</v>
      </c>
      <c r="H9" s="10">
        <v>5723346000000</v>
      </c>
      <c r="I9" s="10">
        <v>14963526000000</v>
      </c>
      <c r="J9" s="10">
        <v>14952292000000</v>
      </c>
      <c r="K9" s="8">
        <f t="shared" si="10"/>
        <v>97111652195</v>
      </c>
      <c r="L9" s="10">
        <v>10275000000</v>
      </c>
      <c r="M9" s="10">
        <v>6251000000</v>
      </c>
      <c r="N9" s="9">
        <f>3423000000+8619000000+353000000+165192000000+15000000</f>
        <v>177602000000</v>
      </c>
      <c r="O9" s="19">
        <v>7280000000</v>
      </c>
      <c r="P9" s="50">
        <v>0</v>
      </c>
      <c r="Q9" s="51">
        <v>50</v>
      </c>
      <c r="R9" s="51">
        <f t="shared" si="1"/>
        <v>4.3072753993969815E-4</v>
      </c>
      <c r="S9" s="58">
        <f t="shared" si="2"/>
        <v>0.38277382490925138</v>
      </c>
      <c r="T9" s="51">
        <f t="shared" si="3"/>
        <v>0.64803275769983981</v>
      </c>
      <c r="U9" s="51">
        <f t="shared" si="4"/>
        <v>4.8688187737371637E-4</v>
      </c>
      <c r="V9" s="51">
        <f t="shared" si="5"/>
        <v>0.70851581508515815</v>
      </c>
      <c r="W9" s="51">
        <f t="shared" si="6"/>
        <v>0</v>
      </c>
      <c r="X9" s="51">
        <f t="shared" si="7"/>
        <v>0</v>
      </c>
      <c r="Y9" s="51">
        <f t="shared" si="8"/>
        <v>666.97563320741767</v>
      </c>
      <c r="Z9" s="51">
        <f t="shared" si="9"/>
        <v>0.32473834845855071</v>
      </c>
      <c r="AA9" s="52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10">
        <v>61000000</v>
      </c>
      <c r="F10" s="10">
        <v>3266000000</v>
      </c>
      <c r="G10" s="10">
        <f t="shared" si="0"/>
        <v>881184000000</v>
      </c>
      <c r="H10" s="10">
        <v>10425635000000</v>
      </c>
      <c r="I10" s="10">
        <v>11306819000000</v>
      </c>
      <c r="J10" s="10">
        <v>11303553000000</v>
      </c>
      <c r="K10" s="8">
        <f t="shared" si="10"/>
        <v>97111652195</v>
      </c>
      <c r="L10" s="10">
        <v>10537000000</v>
      </c>
      <c r="M10" s="10">
        <v>6569000000</v>
      </c>
      <c r="N10" s="9">
        <f>132000000+8317000000+95000000+5963000000+ 89807000000</f>
        <v>104314000000</v>
      </c>
      <c r="O10" s="12">
        <v>-108137000000</v>
      </c>
      <c r="P10" s="50">
        <v>0</v>
      </c>
      <c r="Q10" s="51">
        <v>50</v>
      </c>
      <c r="R10" s="51">
        <f t="shared" si="1"/>
        <v>2.4217416566801033E-3</v>
      </c>
      <c r="S10" s="58">
        <f t="shared" si="2"/>
        <v>0.92233256215988013</v>
      </c>
      <c r="T10" s="51">
        <f t="shared" si="3"/>
        <v>-33.109920391916717</v>
      </c>
      <c r="U10" s="51">
        <f t="shared" si="4"/>
        <v>-9.5666380296531538E-3</v>
      </c>
      <c r="V10" s="51">
        <f t="shared" si="5"/>
        <v>-10.262598462560501</v>
      </c>
      <c r="W10" s="51">
        <f t="shared" si="6"/>
        <v>0</v>
      </c>
      <c r="X10" s="51">
        <f t="shared" si="7"/>
        <v>0</v>
      </c>
      <c r="Y10" s="51">
        <f t="shared" si="8"/>
        <v>-44.902139043528116</v>
      </c>
      <c r="Z10" s="51">
        <f t="shared" si="9"/>
        <v>0.42956251098658982</v>
      </c>
      <c r="AA10" s="52">
        <v>4</v>
      </c>
    </row>
    <row r="11" spans="1:27">
      <c r="A11" s="6">
        <v>2018</v>
      </c>
      <c r="B11" s="6" t="s">
        <v>411</v>
      </c>
      <c r="C11" s="7" t="s">
        <v>412</v>
      </c>
      <c r="D11" s="9">
        <v>7058652000000</v>
      </c>
      <c r="E11" s="10">
        <v>36759530000000</v>
      </c>
      <c r="F11" s="10">
        <v>57613954000000</v>
      </c>
      <c r="G11" s="10">
        <f t="shared" si="0"/>
        <v>15733294000000</v>
      </c>
      <c r="H11" s="10">
        <v>23537562000000</v>
      </c>
      <c r="I11" s="10">
        <f>23537562000000+15733294000000</f>
        <v>39270856000000</v>
      </c>
      <c r="J11" s="10">
        <v>18343098000000</v>
      </c>
      <c r="K11" s="8">
        <v>22650000000</v>
      </c>
      <c r="L11" s="10">
        <v>22938812000000</v>
      </c>
      <c r="M11" s="10">
        <v>25710191000000</v>
      </c>
      <c r="N11" s="9">
        <f>1037244000000+2038624000000+1037244000000</f>
        <v>4113112000000</v>
      </c>
      <c r="O11" s="12">
        <v>-3296890000000</v>
      </c>
      <c r="P11" s="50">
        <v>0</v>
      </c>
      <c r="Q11" s="51">
        <v>1980</v>
      </c>
      <c r="R11" s="51">
        <f t="shared" si="1"/>
        <v>0.44864425720386336</v>
      </c>
      <c r="S11" s="58">
        <f t="shared" si="2"/>
        <v>1.2831835712811435</v>
      </c>
      <c r="T11" s="51">
        <f t="shared" si="3"/>
        <v>-5.7223810745570425E-2</v>
      </c>
      <c r="U11" s="51">
        <f t="shared" si="4"/>
        <v>-0.17973463370255122</v>
      </c>
      <c r="V11" s="51">
        <f t="shared" si="5"/>
        <v>-0.1437254030417966</v>
      </c>
      <c r="W11" s="51">
        <f t="shared" si="6"/>
        <v>0</v>
      </c>
      <c r="X11" s="51">
        <f t="shared" si="7"/>
        <v>0</v>
      </c>
      <c r="Y11" s="51">
        <f t="shared" si="8"/>
        <v>-13.602819626981791</v>
      </c>
      <c r="Z11" s="51">
        <f t="shared" si="9"/>
        <v>2.4448978029774469</v>
      </c>
      <c r="AA11" s="52">
        <v>4</v>
      </c>
    </row>
    <row r="12" spans="1:27">
      <c r="A12" s="6">
        <v>2019</v>
      </c>
      <c r="B12" s="6" t="s">
        <v>411</v>
      </c>
      <c r="C12" s="7" t="s">
        <v>412</v>
      </c>
      <c r="D12" s="9">
        <v>7145648000000</v>
      </c>
      <c r="E12" s="10">
        <v>42081680000000</v>
      </c>
      <c r="F12" s="10">
        <v>62725242000000</v>
      </c>
      <c r="G12" s="10">
        <f t="shared" si="0"/>
        <v>21292684000000</v>
      </c>
      <c r="H12" s="10">
        <v>22310592000000</v>
      </c>
      <c r="I12" s="10">
        <f>H12+21292684000000</f>
        <v>43603276000000</v>
      </c>
      <c r="J12" s="10">
        <v>19121966000000</v>
      </c>
      <c r="K12" s="8">
        <v>22650000000</v>
      </c>
      <c r="L12" s="10">
        <v>25132628000000</v>
      </c>
      <c r="M12" s="10">
        <v>21858139000000</v>
      </c>
      <c r="N12" s="9">
        <f>1970279000000+1279376000000+531193000000</f>
        <v>3780848000000</v>
      </c>
      <c r="O12" s="12">
        <v>712579000000</v>
      </c>
      <c r="P12" s="50">
        <v>0</v>
      </c>
      <c r="Q12" s="51">
        <v>3150</v>
      </c>
      <c r="R12" s="51">
        <f t="shared" si="1"/>
        <v>0.33559169900797853</v>
      </c>
      <c r="S12" s="58">
        <f t="shared" si="2"/>
        <v>1.1667519961075132</v>
      </c>
      <c r="T12" s="51">
        <f t="shared" si="3"/>
        <v>1.1360322850567879E-2</v>
      </c>
      <c r="U12" s="51">
        <f t="shared" si="4"/>
        <v>3.7264944410004705E-2</v>
      </c>
      <c r="V12" s="51">
        <f t="shared" si="5"/>
        <v>2.8352745283939267E-2</v>
      </c>
      <c r="W12" s="51">
        <f t="shared" si="6"/>
        <v>0</v>
      </c>
      <c r="X12" s="51">
        <f t="shared" si="7"/>
        <v>0</v>
      </c>
      <c r="Y12" s="51">
        <f t="shared" si="8"/>
        <v>100.12574044421741</v>
      </c>
      <c r="Z12" s="51">
        <f t="shared" si="9"/>
        <v>3.7311801516643213</v>
      </c>
      <c r="AA12" s="52">
        <v>4</v>
      </c>
    </row>
    <row r="13" spans="1:27">
      <c r="A13" s="6">
        <v>2020</v>
      </c>
      <c r="B13" s="6" t="s">
        <v>411</v>
      </c>
      <c r="C13" s="7" t="s">
        <v>412</v>
      </c>
      <c r="D13" s="50">
        <v>7571123000000</v>
      </c>
      <c r="E13" s="10">
        <v>47162250000000</v>
      </c>
      <c r="F13" s="10">
        <v>67744797000000</v>
      </c>
      <c r="G13" s="10">
        <f t="shared" si="0"/>
        <v>18857026000000</v>
      </c>
      <c r="H13" s="10">
        <v>29750405000000</v>
      </c>
      <c r="I13" s="10">
        <f>H13+18857026000000</f>
        <v>48607431000000</v>
      </c>
      <c r="J13" s="10">
        <v>19137366000000</v>
      </c>
      <c r="K13" s="8">
        <v>22650000000</v>
      </c>
      <c r="L13" s="10">
        <v>26009095000000</v>
      </c>
      <c r="M13" s="10">
        <v>23377010000000</v>
      </c>
      <c r="N13" s="9">
        <f>1805207000000+1274264000000+335218000000</f>
        <v>3414689000000</v>
      </c>
      <c r="O13" s="12">
        <v>371598000000</v>
      </c>
      <c r="P13" s="50">
        <v>213024000000</v>
      </c>
      <c r="Q13" s="51">
        <v>2730</v>
      </c>
      <c r="R13" s="51">
        <f t="shared" si="1"/>
        <v>0.40150143506192332</v>
      </c>
      <c r="S13" s="58">
        <f t="shared" si="2"/>
        <v>1.5545715643417177</v>
      </c>
      <c r="T13" s="51">
        <f t="shared" si="3"/>
        <v>5.4852625803868005E-3</v>
      </c>
      <c r="U13" s="51">
        <f t="shared" si="4"/>
        <v>1.9417405718216395E-2</v>
      </c>
      <c r="V13" s="51">
        <f t="shared" si="5"/>
        <v>1.4287232985230743E-2</v>
      </c>
      <c r="W13" s="51">
        <f t="shared" si="6"/>
        <v>3.4450670742061473E-3</v>
      </c>
      <c r="X13" s="51">
        <f t="shared" si="7"/>
        <v>0.57326465696801387</v>
      </c>
      <c r="Y13" s="51">
        <f t="shared" si="8"/>
        <v>166.40159527231037</v>
      </c>
      <c r="Z13" s="51">
        <f t="shared" si="9"/>
        <v>3.2310872875608898</v>
      </c>
      <c r="AA13" s="52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10">
        <v>16747033996892</v>
      </c>
      <c r="F14" s="10">
        <v>26213595077036</v>
      </c>
      <c r="G14" s="10">
        <f t="shared" si="0"/>
        <v>6113366615810</v>
      </c>
      <c r="H14" s="10">
        <v>6652222637584</v>
      </c>
      <c r="I14" s="10">
        <v>12765589253394</v>
      </c>
      <c r="J14" s="10">
        <v>12448005823642</v>
      </c>
      <c r="K14" s="8">
        <f t="shared" ref="K14:K16" si="11">1011793622+6793548068+541828646880</f>
        <v>549633988570</v>
      </c>
      <c r="L14" s="10">
        <v>5490311128559</v>
      </c>
      <c r="M14" s="10">
        <v>3621087413155</v>
      </c>
      <c r="N14" s="10">
        <f>648487185301+7330018167414</f>
        <v>7978505352715</v>
      </c>
      <c r="O14" s="12">
        <v>-3532729249240</v>
      </c>
      <c r="P14" s="50">
        <v>0</v>
      </c>
      <c r="Q14" s="51">
        <v>78</v>
      </c>
      <c r="R14" s="51">
        <f t="shared" si="1"/>
        <v>0.32512083905091499</v>
      </c>
      <c r="S14" s="58">
        <f t="shared" si="2"/>
        <v>0.53440066881634163</v>
      </c>
      <c r="T14" s="51">
        <f t="shared" si="3"/>
        <v>-0.13476706414584053</v>
      </c>
      <c r="U14" s="51">
        <f t="shared" si="4"/>
        <v>-0.28379881077260011</v>
      </c>
      <c r="V14" s="51">
        <f t="shared" si="5"/>
        <v>-0.64344791515799005</v>
      </c>
      <c r="W14" s="51">
        <f t="shared" si="6"/>
        <v>0</v>
      </c>
      <c r="X14" s="51">
        <f t="shared" si="7"/>
        <v>0</v>
      </c>
      <c r="Y14" s="51">
        <f t="shared" si="8"/>
        <v>-12.135504332148574</v>
      </c>
      <c r="Z14" s="51">
        <f t="shared" si="9"/>
        <v>3.4440416975895016</v>
      </c>
      <c r="AA14" s="52">
        <v>4</v>
      </c>
    </row>
    <row r="15" spans="1:27">
      <c r="A15" s="6">
        <v>2019</v>
      </c>
      <c r="B15" s="6" t="s">
        <v>413</v>
      </c>
      <c r="C15" s="7" t="s">
        <v>414</v>
      </c>
      <c r="D15" s="9">
        <v>1774596661176</v>
      </c>
      <c r="E15" s="10">
        <v>19894482043118</v>
      </c>
      <c r="F15" s="10">
        <v>27650462178339</v>
      </c>
      <c r="G15" s="10">
        <f t="shared" si="0"/>
        <v>6119936082173</v>
      </c>
      <c r="H15" s="10">
        <v>8795039298147</v>
      </c>
      <c r="I15" s="10">
        <v>14914975380320</v>
      </c>
      <c r="J15" s="10">
        <v>12735486798019</v>
      </c>
      <c r="K15" s="8">
        <f t="shared" si="11"/>
        <v>549633988570</v>
      </c>
      <c r="L15" s="10">
        <v>6987804620572</v>
      </c>
      <c r="M15" s="10">
        <v>9290093435878</v>
      </c>
      <c r="N15" s="10">
        <f>939362411828+8093594926155</f>
        <v>9032957337983</v>
      </c>
      <c r="O15" s="12">
        <v>-2197474419923</v>
      </c>
      <c r="P15" s="50">
        <v>0</v>
      </c>
      <c r="Q15" s="51">
        <v>138</v>
      </c>
      <c r="R15" s="51">
        <f t="shared" si="1"/>
        <v>0.28996980317250237</v>
      </c>
      <c r="S15" s="58">
        <f t="shared" si="2"/>
        <v>0.69059309923787637</v>
      </c>
      <c r="T15" s="51">
        <f t="shared" si="3"/>
        <v>-7.9473334143559879E-2</v>
      </c>
      <c r="U15" s="51">
        <f t="shared" si="4"/>
        <v>-0.17254734387262027</v>
      </c>
      <c r="V15" s="51">
        <f t="shared" si="5"/>
        <v>-0.31447279070363038</v>
      </c>
      <c r="W15" s="51">
        <f t="shared" si="6"/>
        <v>0</v>
      </c>
      <c r="X15" s="51">
        <f t="shared" si="7"/>
        <v>0</v>
      </c>
      <c r="Y15" s="51">
        <f t="shared" si="8"/>
        <v>-34.516665921106735</v>
      </c>
      <c r="Z15" s="51">
        <f t="shared" si="9"/>
        <v>5.9557590240255571</v>
      </c>
      <c r="AA15" s="52">
        <v>4</v>
      </c>
    </row>
    <row r="16" spans="1:27">
      <c r="A16" s="6">
        <v>2020</v>
      </c>
      <c r="B16" s="6" t="s">
        <v>413</v>
      </c>
      <c r="C16" s="7" t="s">
        <v>414</v>
      </c>
      <c r="D16" s="10">
        <v>2646319224796</v>
      </c>
      <c r="E16" s="10">
        <v>29672953182374</v>
      </c>
      <c r="F16" s="10">
        <v>38684276546076</v>
      </c>
      <c r="G16" s="10">
        <f t="shared" si="0"/>
        <v>8417955655404</v>
      </c>
      <c r="H16" s="10">
        <v>17900388499822</v>
      </c>
      <c r="I16" s="10">
        <v>26318344155226</v>
      </c>
      <c r="J16" s="10">
        <v>12365932390850</v>
      </c>
      <c r="K16" s="8">
        <f t="shared" si="11"/>
        <v>549633988570</v>
      </c>
      <c r="L16" s="10">
        <v>9407882876396</v>
      </c>
      <c r="M16" s="10">
        <v>10192558145177</v>
      </c>
      <c r="N16" s="10">
        <f>1254597841997+8466286109995+14327760523</f>
        <v>9735211712515</v>
      </c>
      <c r="O16" s="12">
        <v>-1499720500328</v>
      </c>
      <c r="P16" s="50">
        <v>0</v>
      </c>
      <c r="Q16" s="51">
        <v>67</v>
      </c>
      <c r="R16" s="51">
        <f t="shared" si="1"/>
        <v>0.31436602105371819</v>
      </c>
      <c r="S16" s="58">
        <f t="shared" si="2"/>
        <v>1.4475567174430894</v>
      </c>
      <c r="T16" s="51">
        <f t="shared" si="3"/>
        <v>-3.8768218879360855E-2</v>
      </c>
      <c r="U16" s="51">
        <f t="shared" si="4"/>
        <v>-0.1212784004413365</v>
      </c>
      <c r="V16" s="51">
        <f t="shared" si="5"/>
        <v>-0.15941105135255654</v>
      </c>
      <c r="W16" s="51">
        <f t="shared" si="6"/>
        <v>0</v>
      </c>
      <c r="X16" s="51">
        <f t="shared" si="7"/>
        <v>0</v>
      </c>
      <c r="Y16" s="51">
        <f t="shared" si="8"/>
        <v>-24.554893545921388</v>
      </c>
      <c r="Z16" s="51">
        <f t="shared" si="9"/>
        <v>2.9779782122566432</v>
      </c>
      <c r="AA16" s="52">
        <v>4</v>
      </c>
    </row>
    <row r="17" spans="1:27">
      <c r="A17" s="6">
        <v>2018</v>
      </c>
      <c r="B17" s="6" t="s">
        <v>415</v>
      </c>
      <c r="C17" s="7" t="s">
        <v>416</v>
      </c>
      <c r="D17" s="10">
        <v>7906525000000</v>
      </c>
      <c r="E17" s="10">
        <v>36899330000000</v>
      </c>
      <c r="F17" s="10">
        <v>53139587000000</v>
      </c>
      <c r="G17" s="10">
        <f t="shared" si="0"/>
        <v>21040365000000</v>
      </c>
      <c r="H17" s="10">
        <v>19962975000000</v>
      </c>
      <c r="I17" s="10">
        <v>41003340000000</v>
      </c>
      <c r="J17" s="10">
        <v>12136247000000</v>
      </c>
      <c r="K17" s="8">
        <v>20000000000</v>
      </c>
      <c r="L17" s="9">
        <v>23139551000000</v>
      </c>
      <c r="M17" s="10">
        <v>12043307000000</v>
      </c>
      <c r="N17" s="10">
        <f>2238310000000+1228930000000+1128860000000</f>
        <v>4596100000000</v>
      </c>
      <c r="O17" s="12">
        <v>-2085059000000</v>
      </c>
      <c r="P17" s="50">
        <f>79619000000+396677000000</f>
        <v>476296000000</v>
      </c>
      <c r="Q17" s="51">
        <v>1685</v>
      </c>
      <c r="R17" s="51">
        <f t="shared" si="1"/>
        <v>0.37577888976735907</v>
      </c>
      <c r="S17" s="58">
        <f t="shared" si="2"/>
        <v>1.6449051341819263</v>
      </c>
      <c r="T17" s="51">
        <f t="shared" si="3"/>
        <v>-3.9237395653827722E-2</v>
      </c>
      <c r="U17" s="51">
        <f t="shared" si="4"/>
        <v>-0.17180426535484983</v>
      </c>
      <c r="V17" s="51">
        <f t="shared" si="5"/>
        <v>-9.0108014628287297E-2</v>
      </c>
      <c r="W17" s="51">
        <f t="shared" si="6"/>
        <v>1.4133412462908014E-2</v>
      </c>
      <c r="X17" s="51">
        <f t="shared" si="7"/>
        <v>-0.22843286448968592</v>
      </c>
      <c r="Y17" s="51">
        <f t="shared" si="8"/>
        <v>-16.16261218507486</v>
      </c>
      <c r="Z17" s="51">
        <f t="shared" si="9"/>
        <v>2.7768057126721297</v>
      </c>
      <c r="AA17" s="52">
        <v>4</v>
      </c>
    </row>
    <row r="18" spans="1:27">
      <c r="A18" s="6">
        <v>2019</v>
      </c>
      <c r="B18" s="6" t="s">
        <v>415</v>
      </c>
      <c r="C18" s="7" t="s">
        <v>416</v>
      </c>
      <c r="D18" s="10">
        <v>12444795000000</v>
      </c>
      <c r="E18" s="10">
        <v>42753285000000</v>
      </c>
      <c r="F18" s="10">
        <v>62813000000000</v>
      </c>
      <c r="G18" s="10">
        <f t="shared" si="0"/>
        <v>22129440000000</v>
      </c>
      <c r="H18" s="10">
        <v>26976367000000</v>
      </c>
      <c r="I18" s="10">
        <v>49105807000000</v>
      </c>
      <c r="J18" s="10">
        <v>13707193000000</v>
      </c>
      <c r="K18" s="8">
        <v>20000000000</v>
      </c>
      <c r="L18" s="10">
        <v>26117533000000</v>
      </c>
      <c r="M18" s="10">
        <v>12342653000000</v>
      </c>
      <c r="N18" s="10">
        <f>1934024000000+1145457000000+839338000000</f>
        <v>3918819000000</v>
      </c>
      <c r="O18" s="12">
        <v>1630372000000</v>
      </c>
      <c r="P18" s="50">
        <v>38273000000</v>
      </c>
      <c r="Q18" s="51">
        <v>2910</v>
      </c>
      <c r="R18" s="51">
        <f t="shared" si="1"/>
        <v>0.56236375615469714</v>
      </c>
      <c r="S18" s="58">
        <f t="shared" si="2"/>
        <v>1.9680445879765462</v>
      </c>
      <c r="T18" s="51">
        <f t="shared" si="3"/>
        <v>2.5955964529635583E-2</v>
      </c>
      <c r="U18" s="51">
        <f t="shared" si="4"/>
        <v>0.1189428061602401</v>
      </c>
      <c r="V18" s="51">
        <f t="shared" si="5"/>
        <v>6.2424425767931453E-2</v>
      </c>
      <c r="W18" s="51">
        <f t="shared" si="6"/>
        <v>6.5761168384879725E-4</v>
      </c>
      <c r="X18" s="51">
        <f t="shared" si="7"/>
        <v>2.3475010611075264E-2</v>
      </c>
      <c r="Y18" s="51">
        <f t="shared" si="8"/>
        <v>35.69737458690409</v>
      </c>
      <c r="Z18" s="51">
        <f t="shared" si="9"/>
        <v>4.2459459059196147</v>
      </c>
      <c r="AA18" s="52">
        <v>4</v>
      </c>
    </row>
    <row r="19" spans="1:27">
      <c r="A19" s="6">
        <v>2020</v>
      </c>
      <c r="B19" s="6" t="s">
        <v>415</v>
      </c>
      <c r="C19" s="7" t="s">
        <v>416</v>
      </c>
      <c r="D19" s="10">
        <v>9594951000000</v>
      </c>
      <c r="E19" s="10">
        <v>46522054000000</v>
      </c>
      <c r="F19" s="10">
        <v>62778740000000</v>
      </c>
      <c r="G19" s="10">
        <f t="shared" si="0"/>
        <v>22658094000000</v>
      </c>
      <c r="H19" s="10">
        <v>27207250000000</v>
      </c>
      <c r="I19" s="10">
        <v>49865344000000</v>
      </c>
      <c r="J19" s="10">
        <v>12913396000000</v>
      </c>
      <c r="K19" s="8">
        <v>20000000000</v>
      </c>
      <c r="L19" s="10">
        <v>27925661000000</v>
      </c>
      <c r="M19" s="10">
        <v>12165540000000</v>
      </c>
      <c r="N19" s="10">
        <f>2578463000000+1082774000000+665727000000</f>
        <v>4326964000000</v>
      </c>
      <c r="O19" s="12">
        <v>-630160000000</v>
      </c>
      <c r="P19" s="50">
        <v>22226000000</v>
      </c>
      <c r="Q19" s="51">
        <v>5050</v>
      </c>
      <c r="R19" s="51">
        <f t="shared" si="1"/>
        <v>0.42346681940678682</v>
      </c>
      <c r="S19" s="58">
        <f t="shared" si="2"/>
        <v>2.1069012365143918</v>
      </c>
      <c r="T19" s="51">
        <f t="shared" si="3"/>
        <v>-1.0037793049048133E-2</v>
      </c>
      <c r="U19" s="51">
        <f t="shared" si="4"/>
        <v>-4.8798937165715352E-2</v>
      </c>
      <c r="V19" s="51">
        <f t="shared" si="5"/>
        <v>-2.2565625214744246E-2</v>
      </c>
      <c r="W19" s="51">
        <f t="shared" si="6"/>
        <v>2.2005940594059406E-4</v>
      </c>
      <c r="X19" s="51">
        <f t="shared" si="7"/>
        <v>-3.5270407515551605E-2</v>
      </c>
      <c r="Y19" s="51">
        <f t="shared" si="8"/>
        <v>-160.27675510981339</v>
      </c>
      <c r="Z19" s="51">
        <f t="shared" si="9"/>
        <v>7.8213353017285305</v>
      </c>
      <c r="AA19" s="52">
        <v>4</v>
      </c>
    </row>
    <row r="20" spans="1:27">
      <c r="A20" s="6">
        <v>2018</v>
      </c>
      <c r="B20" s="6" t="s">
        <v>417</v>
      </c>
      <c r="C20" s="7" t="s">
        <v>418</v>
      </c>
      <c r="D20" s="10">
        <v>206196000000000</v>
      </c>
      <c r="E20" s="10">
        <v>143248000000000</v>
      </c>
      <c r="F20" s="10">
        <v>206196000000000</v>
      </c>
      <c r="G20" s="10">
        <f t="shared" si="0"/>
        <v>46261000000000</v>
      </c>
      <c r="H20" s="10">
        <v>42632000000000</v>
      </c>
      <c r="I20" s="10">
        <v>88893000000000</v>
      </c>
      <c r="J20" s="10">
        <v>117303000000000</v>
      </c>
      <c r="K20" s="8">
        <v>99062216600</v>
      </c>
      <c r="L20" s="10">
        <v>130784000000000</v>
      </c>
      <c r="M20" s="10">
        <f>130784000000000-38845000000000</f>
        <v>91939000000000</v>
      </c>
      <c r="N20" s="10">
        <v>6137000000000</v>
      </c>
      <c r="O20" s="12">
        <v>26979000000000</v>
      </c>
      <c r="P20" s="50">
        <f>16609000000000+10134000000000</f>
        <v>26743000000000</v>
      </c>
      <c r="Q20" s="51">
        <v>3750</v>
      </c>
      <c r="R20" s="51">
        <f t="shared" si="1"/>
        <v>4.4572317935193793</v>
      </c>
      <c r="S20" s="58">
        <f t="shared" si="2"/>
        <v>0.36343486526346303</v>
      </c>
      <c r="T20" s="51">
        <f t="shared" si="3"/>
        <v>0.13084152941861141</v>
      </c>
      <c r="U20" s="51">
        <f t="shared" si="4"/>
        <v>0.22999411779749879</v>
      </c>
      <c r="V20" s="51">
        <f t="shared" si="5"/>
        <v>0.20628670173721556</v>
      </c>
      <c r="W20" s="51">
        <f t="shared" si="6"/>
        <v>7.1989774824669797E-2</v>
      </c>
      <c r="X20" s="51">
        <f t="shared" si="7"/>
        <v>0.99125245561362541</v>
      </c>
      <c r="Y20" s="51">
        <f t="shared" si="8"/>
        <v>13.769350689425108</v>
      </c>
      <c r="Z20" s="51">
        <f t="shared" si="9"/>
        <v>3.1668696644587091</v>
      </c>
      <c r="AA20" s="52">
        <v>4</v>
      </c>
    </row>
    <row r="21" spans="1:27">
      <c r="A21" s="6">
        <v>2019</v>
      </c>
      <c r="B21" s="6" t="s">
        <v>417</v>
      </c>
      <c r="C21" s="7" t="s">
        <v>418</v>
      </c>
      <c r="D21" s="10">
        <v>221208000000000</v>
      </c>
      <c r="E21" s="10">
        <v>156973000000000</v>
      </c>
      <c r="F21" s="10">
        <v>221208000000000</v>
      </c>
      <c r="G21" s="10">
        <f t="shared" si="0"/>
        <v>58369000000000</v>
      </c>
      <c r="H21" s="10">
        <v>45589000000000</v>
      </c>
      <c r="I21" s="10">
        <v>103958000000000</v>
      </c>
      <c r="J21" s="10">
        <v>117250000000000</v>
      </c>
      <c r="K21" s="8">
        <v>99062216600</v>
      </c>
      <c r="L21" s="10">
        <v>135567000000000</v>
      </c>
      <c r="M21" s="10">
        <f>L21-42394000000000</f>
        <v>93173000000000</v>
      </c>
      <c r="N21" s="10">
        <v>6696000000000</v>
      </c>
      <c r="O21" s="12">
        <v>27592000000000</v>
      </c>
      <c r="P21" s="50">
        <f>16229000000000+9618000000000</f>
        <v>25847000000000</v>
      </c>
      <c r="Q21" s="51">
        <v>3970</v>
      </c>
      <c r="R21" s="51">
        <f t="shared" si="1"/>
        <v>3.7898199386660729</v>
      </c>
      <c r="S21" s="58">
        <f t="shared" si="2"/>
        <v>0.388818763326226</v>
      </c>
      <c r="T21" s="51">
        <f t="shared" si="3"/>
        <v>0.12473328270225309</v>
      </c>
      <c r="U21" s="51">
        <f t="shared" si="4"/>
        <v>0.23532622601279318</v>
      </c>
      <c r="V21" s="51">
        <f t="shared" si="5"/>
        <v>0.20353035768291694</v>
      </c>
      <c r="W21" s="51">
        <f t="shared" si="6"/>
        <v>6.5722124625749209E-2</v>
      </c>
      <c r="X21" s="51">
        <f t="shared" si="7"/>
        <v>0.93675703102348507</v>
      </c>
      <c r="Y21" s="51">
        <f t="shared" si="8"/>
        <v>14.253298053856192</v>
      </c>
      <c r="Z21" s="51">
        <f t="shared" si="9"/>
        <v>3.3541748392494668</v>
      </c>
      <c r="AA21" s="52">
        <v>4</v>
      </c>
    </row>
    <row r="22" spans="1:27">
      <c r="A22" s="6">
        <v>2020</v>
      </c>
      <c r="B22" s="6" t="s">
        <v>417</v>
      </c>
      <c r="C22" s="7" t="s">
        <v>418</v>
      </c>
      <c r="D22" s="10">
        <v>246943000000000</v>
      </c>
      <c r="E22" s="10">
        <v>160923000000000</v>
      </c>
      <c r="F22" s="10">
        <v>246943000000000</v>
      </c>
      <c r="G22" s="10">
        <f t="shared" si="0"/>
        <v>69093000000000</v>
      </c>
      <c r="H22" s="10">
        <v>56961000000000</v>
      </c>
      <c r="I22" s="10">
        <v>126054000000000</v>
      </c>
      <c r="J22" s="10">
        <v>120889000000000</v>
      </c>
      <c r="K22" s="8">
        <v>99062216600</v>
      </c>
      <c r="L22" s="10">
        <v>136462000000000</v>
      </c>
      <c r="M22" s="10">
        <f>L22-43505000000000</f>
        <v>92957000000000</v>
      </c>
      <c r="N22" s="10">
        <v>6511000000000</v>
      </c>
      <c r="O22" s="12">
        <v>29563000000000</v>
      </c>
      <c r="P22" s="50">
        <f>15262000000000+7778000000000</f>
        <v>23040000000000</v>
      </c>
      <c r="Q22" s="51">
        <v>3310</v>
      </c>
      <c r="R22" s="51">
        <f t="shared" si="1"/>
        <v>3.5740668374509719</v>
      </c>
      <c r="S22" s="58">
        <f t="shared" si="2"/>
        <v>0.47118430957324486</v>
      </c>
      <c r="T22" s="51">
        <f t="shared" si="3"/>
        <v>0.11971588585220071</v>
      </c>
      <c r="U22" s="51">
        <f t="shared" si="4"/>
        <v>0.24454665023285824</v>
      </c>
      <c r="V22" s="51">
        <f t="shared" si="5"/>
        <v>0.21663906435491198</v>
      </c>
      <c r="W22" s="51">
        <f t="shared" si="6"/>
        <v>7.0266195472237197E-2</v>
      </c>
      <c r="X22" s="51">
        <f t="shared" si="7"/>
        <v>0.7793525690897406</v>
      </c>
      <c r="Y22" s="51">
        <f t="shared" si="8"/>
        <v>11.091429724520514</v>
      </c>
      <c r="Z22" s="51">
        <f t="shared" si="9"/>
        <v>2.7123719854246455</v>
      </c>
      <c r="AA22" s="52">
        <v>4</v>
      </c>
    </row>
    <row r="23" spans="1:27">
      <c r="A23" s="49">
        <v>2018</v>
      </c>
      <c r="B23" s="59" t="s">
        <v>499</v>
      </c>
      <c r="C23" s="49" t="s">
        <v>500</v>
      </c>
      <c r="D23" s="10">
        <v>48775196690</v>
      </c>
      <c r="E23" s="10">
        <v>580053780</v>
      </c>
      <c r="F23" s="10">
        <v>48775196690</v>
      </c>
      <c r="G23" s="10">
        <f t="shared" si="0"/>
        <v>326647510</v>
      </c>
      <c r="H23" s="10">
        <v>337721000</v>
      </c>
      <c r="I23" s="10">
        <v>664368510</v>
      </c>
      <c r="J23" s="10">
        <v>48110828180</v>
      </c>
      <c r="K23" s="8">
        <v>358600000</v>
      </c>
      <c r="L23" s="10">
        <v>22829336499</v>
      </c>
      <c r="M23" s="10">
        <v>20373044769</v>
      </c>
      <c r="N23" s="10">
        <v>3483073937</v>
      </c>
      <c r="O23" s="50">
        <v>-758342670</v>
      </c>
      <c r="P23" s="50">
        <v>0</v>
      </c>
      <c r="Q23" s="51">
        <v>368</v>
      </c>
      <c r="R23" s="51">
        <f t="shared" si="1"/>
        <v>149.32058318766917</v>
      </c>
      <c r="S23" s="58">
        <f t="shared" si="2"/>
        <v>7.0196463618639789E-3</v>
      </c>
      <c r="T23" s="51">
        <f t="shared" si="3"/>
        <v>-1.5547711161879888E-2</v>
      </c>
      <c r="U23" s="51">
        <f t="shared" si="4"/>
        <v>-1.5762411471337927E-2</v>
      </c>
      <c r="V23" s="51">
        <f t="shared" si="5"/>
        <v>-3.3217902326386835E-2</v>
      </c>
      <c r="W23" s="51">
        <f t="shared" si="6"/>
        <v>0</v>
      </c>
      <c r="X23" s="51">
        <f t="shared" si="7"/>
        <v>0</v>
      </c>
      <c r="Y23" s="51">
        <f t="shared" si="8"/>
        <v>-174.01737396631</v>
      </c>
      <c r="Z23" s="51">
        <f t="shared" si="9"/>
        <v>2.7429334516186663</v>
      </c>
      <c r="AA23" s="52">
        <v>4</v>
      </c>
    </row>
    <row r="24" spans="1:27">
      <c r="A24" s="49">
        <v>2019</v>
      </c>
      <c r="B24" s="59" t="s">
        <v>499</v>
      </c>
      <c r="C24" s="49" t="s">
        <v>500</v>
      </c>
      <c r="D24" s="10">
        <v>46929335290</v>
      </c>
      <c r="E24" s="10">
        <v>430537309</v>
      </c>
      <c r="F24" s="10">
        <v>47359872599</v>
      </c>
      <c r="G24" s="10">
        <f t="shared" si="0"/>
        <v>292435975</v>
      </c>
      <c r="H24" s="10">
        <v>635723000</v>
      </c>
      <c r="I24" s="10">
        <v>928158975</v>
      </c>
      <c r="J24" s="10">
        <v>46431713624</v>
      </c>
      <c r="K24" s="8">
        <v>358600000</v>
      </c>
      <c r="L24" s="10">
        <v>16875355000</v>
      </c>
      <c r="M24" s="10">
        <v>15373079022</v>
      </c>
      <c r="N24" s="50">
        <v>769656280</v>
      </c>
      <c r="O24" s="50">
        <v>-1671122556</v>
      </c>
      <c r="P24" s="50">
        <v>0</v>
      </c>
      <c r="Q24" s="51">
        <v>420</v>
      </c>
      <c r="R24" s="51">
        <f t="shared" si="1"/>
        <v>160.47729862921278</v>
      </c>
      <c r="S24" s="58">
        <f t="shared" si="2"/>
        <v>1.3691568765866146E-2</v>
      </c>
      <c r="T24" s="51">
        <f t="shared" si="3"/>
        <v>-3.5285621862827514E-2</v>
      </c>
      <c r="U24" s="51">
        <f t="shared" si="4"/>
        <v>-3.5990973099390769E-2</v>
      </c>
      <c r="V24" s="51">
        <f t="shared" si="5"/>
        <v>-9.9027401556885761E-2</v>
      </c>
      <c r="W24" s="51">
        <f t="shared" si="6"/>
        <v>0</v>
      </c>
      <c r="X24" s="51">
        <f t="shared" si="7"/>
        <v>0</v>
      </c>
      <c r="Y24" s="51">
        <f t="shared" si="8"/>
        <v>-90.12624445720185</v>
      </c>
      <c r="Z24" s="51">
        <f t="shared" si="9"/>
        <v>3.2437312398082687</v>
      </c>
      <c r="AA24" s="52">
        <v>4</v>
      </c>
    </row>
    <row r="25" spans="1:27">
      <c r="A25" s="49">
        <v>2020</v>
      </c>
      <c r="B25" s="59" t="s">
        <v>499</v>
      </c>
      <c r="C25" s="49" t="s">
        <v>500</v>
      </c>
      <c r="D25" s="10">
        <v>46434428090</v>
      </c>
      <c r="E25" s="10">
        <v>321732709</v>
      </c>
      <c r="F25" s="10">
        <v>46840047799</v>
      </c>
      <c r="G25" s="10">
        <f t="shared" si="0"/>
        <v>113188050</v>
      </c>
      <c r="H25" s="10">
        <v>315928000</v>
      </c>
      <c r="I25" s="10">
        <v>429116050</v>
      </c>
      <c r="J25" s="10">
        <v>46410931749</v>
      </c>
      <c r="K25" s="8">
        <v>358600000</v>
      </c>
      <c r="L25" s="10">
        <v>1211712320</v>
      </c>
      <c r="M25" s="10">
        <v>858716337</v>
      </c>
      <c r="N25" s="10">
        <v>1748051253</v>
      </c>
      <c r="O25" s="50">
        <v>-468118875</v>
      </c>
      <c r="P25" s="50">
        <v>0</v>
      </c>
      <c r="Q25" s="51">
        <v>368</v>
      </c>
      <c r="R25" s="51">
        <f t="shared" si="1"/>
        <v>410.24143529285999</v>
      </c>
      <c r="S25" s="58">
        <f t="shared" si="2"/>
        <v>6.8071893429893738E-3</v>
      </c>
      <c r="T25" s="51">
        <f t="shared" si="3"/>
        <v>-9.9939879867072638E-3</v>
      </c>
      <c r="U25" s="51">
        <f t="shared" si="4"/>
        <v>-1.0086392523461597E-2</v>
      </c>
      <c r="V25" s="51">
        <f t="shared" si="5"/>
        <v>-0.38632839435023653</v>
      </c>
      <c r="W25" s="51">
        <f t="shared" si="6"/>
        <v>0</v>
      </c>
      <c r="X25" s="51">
        <f t="shared" si="7"/>
        <v>0</v>
      </c>
      <c r="Y25" s="51">
        <f t="shared" si="8"/>
        <v>-281.90446283542832</v>
      </c>
      <c r="Z25" s="51">
        <f t="shared" si="9"/>
        <v>2.843399066273721</v>
      </c>
      <c r="AA25" s="52">
        <v>4</v>
      </c>
    </row>
    <row r="26" spans="1:27">
      <c r="A26" s="49">
        <v>2018</v>
      </c>
      <c r="B26" s="59" t="s">
        <v>501</v>
      </c>
      <c r="C26" s="49" t="s">
        <v>502</v>
      </c>
      <c r="D26" s="10">
        <v>45955010000</v>
      </c>
      <c r="E26" s="10">
        <v>439201752000</v>
      </c>
      <c r="F26" s="10">
        <v>485156762000</v>
      </c>
      <c r="G26" s="10">
        <f t="shared" si="0"/>
        <v>63527586000</v>
      </c>
      <c r="H26" s="10">
        <v>29472212000</v>
      </c>
      <c r="I26" s="10">
        <v>92999798000</v>
      </c>
      <c r="J26" s="10">
        <v>392156964000</v>
      </c>
      <c r="K26" s="8">
        <v>152882000</v>
      </c>
      <c r="L26" s="10">
        <v>108699906000</v>
      </c>
      <c r="M26" s="10">
        <v>23419229000</v>
      </c>
      <c r="N26" s="50">
        <v>11392100000</v>
      </c>
      <c r="O26" s="50">
        <v>49423302000</v>
      </c>
      <c r="P26" s="50">
        <v>0</v>
      </c>
      <c r="Q26" s="51">
        <v>1320</v>
      </c>
      <c r="R26" s="51">
        <f t="shared" si="1"/>
        <v>0.72338668747778323</v>
      </c>
      <c r="S26" s="58">
        <f t="shared" si="2"/>
        <v>7.5154121195205911E-2</v>
      </c>
      <c r="T26" s="51">
        <f t="shared" si="3"/>
        <v>0.10187078872457311</v>
      </c>
      <c r="U26" s="51">
        <f t="shared" si="4"/>
        <v>0.12602938755921214</v>
      </c>
      <c r="V26" s="51">
        <f t="shared" si="5"/>
        <v>0.45467658454092869</v>
      </c>
      <c r="W26" s="51">
        <f t="shared" si="6"/>
        <v>0</v>
      </c>
      <c r="X26" s="51">
        <f t="shared" si="7"/>
        <v>0</v>
      </c>
      <c r="Y26" s="51">
        <f t="shared" si="8"/>
        <v>4.0831800351987813</v>
      </c>
      <c r="Z26" s="51">
        <f t="shared" si="9"/>
        <v>0.51460067913010465</v>
      </c>
      <c r="AA26" s="52">
        <v>4</v>
      </c>
    </row>
    <row r="27" spans="1:27">
      <c r="A27" s="49">
        <v>2019</v>
      </c>
      <c r="B27" s="59" t="s">
        <v>501</v>
      </c>
      <c r="C27" s="49" t="s">
        <v>502</v>
      </c>
      <c r="D27" s="10">
        <v>41885488000</v>
      </c>
      <c r="E27" s="10">
        <v>698547749000</v>
      </c>
      <c r="F27" s="10">
        <v>740433237000</v>
      </c>
      <c r="G27" s="10">
        <f t="shared" si="0"/>
        <v>62828314000</v>
      </c>
      <c r="H27" s="10">
        <v>76296298000</v>
      </c>
      <c r="I27" s="10">
        <v>139124612000</v>
      </c>
      <c r="J27" s="10">
        <v>601308625000</v>
      </c>
      <c r="K27" s="8">
        <v>152882000</v>
      </c>
      <c r="L27" s="10">
        <v>115935417000</v>
      </c>
      <c r="M27" s="10">
        <v>22558554000</v>
      </c>
      <c r="N27" s="10">
        <v>11696467000</v>
      </c>
      <c r="O27" s="50">
        <v>63509234000</v>
      </c>
      <c r="P27" s="50">
        <v>7425000000</v>
      </c>
      <c r="Q27" s="51">
        <v>1650</v>
      </c>
      <c r="R27" s="51">
        <f t="shared" si="1"/>
        <v>0.66666579657063529</v>
      </c>
      <c r="S27" s="58">
        <f t="shared" si="2"/>
        <v>0.12688375790385512</v>
      </c>
      <c r="T27" s="51">
        <f t="shared" si="3"/>
        <v>8.5773072880033344E-2</v>
      </c>
      <c r="U27" s="51">
        <f t="shared" si="4"/>
        <v>0.10561836527789702</v>
      </c>
      <c r="V27" s="51">
        <f t="shared" si="5"/>
        <v>0.54779838330162733</v>
      </c>
      <c r="W27" s="51">
        <f t="shared" si="6"/>
        <v>2.9434465797150745E-2</v>
      </c>
      <c r="X27" s="51">
        <f t="shared" si="7"/>
        <v>0.11691213280890776</v>
      </c>
      <c r="Y27" s="51">
        <f t="shared" si="8"/>
        <v>3.9719468195758747</v>
      </c>
      <c r="Z27" s="51">
        <f t="shared" si="9"/>
        <v>0.41951053005434602</v>
      </c>
      <c r="AA27" s="52">
        <v>4</v>
      </c>
    </row>
    <row r="28" spans="1:27">
      <c r="A28" s="49">
        <v>2020</v>
      </c>
      <c r="B28" s="59" t="s">
        <v>501</v>
      </c>
      <c r="C28" s="49" t="s">
        <v>502</v>
      </c>
      <c r="D28" s="10">
        <v>37262521000</v>
      </c>
      <c r="E28" s="10">
        <v>723989944000</v>
      </c>
      <c r="F28" s="10">
        <v>827628586000</v>
      </c>
      <c r="G28" s="10">
        <f t="shared" si="0"/>
        <v>112293182000</v>
      </c>
      <c r="H28" s="10">
        <v>45489063000</v>
      </c>
      <c r="I28" s="10">
        <v>157782245000</v>
      </c>
      <c r="J28" s="10">
        <v>669846341000</v>
      </c>
      <c r="K28" s="8">
        <v>152882000</v>
      </c>
      <c r="L28" s="10">
        <v>143056438000</v>
      </c>
      <c r="M28" s="10">
        <v>29580907000</v>
      </c>
      <c r="N28" s="10">
        <v>12199753000</v>
      </c>
      <c r="O28" s="50">
        <v>77752839000</v>
      </c>
      <c r="P28" s="50">
        <v>11000000000</v>
      </c>
      <c r="Q28" s="51">
        <v>1765</v>
      </c>
      <c r="R28" s="51">
        <f t="shared" si="1"/>
        <v>0.33183244375424326</v>
      </c>
      <c r="S28" s="58">
        <f t="shared" si="2"/>
        <v>6.7909698412460237E-2</v>
      </c>
      <c r="T28" s="51">
        <f t="shared" si="3"/>
        <v>9.3946536302940115E-2</v>
      </c>
      <c r="U28" s="51">
        <f t="shared" si="4"/>
        <v>0.11607563442673191</v>
      </c>
      <c r="V28" s="51">
        <f t="shared" si="5"/>
        <v>0.54351163839267413</v>
      </c>
      <c r="W28" s="51">
        <f t="shared" si="6"/>
        <v>4.0765391724099237E-2</v>
      </c>
      <c r="X28" s="51">
        <f t="shared" si="7"/>
        <v>0.1414739338328212</v>
      </c>
      <c r="Y28" s="51">
        <f t="shared" si="8"/>
        <v>3.4704421532440763</v>
      </c>
      <c r="Z28" s="51">
        <f t="shared" si="9"/>
        <v>0.40283377467907971</v>
      </c>
      <c r="AA28" s="52">
        <v>4</v>
      </c>
    </row>
    <row r="29" spans="1:27">
      <c r="A29" s="49">
        <v>2018</v>
      </c>
      <c r="B29" s="59" t="s">
        <v>503</v>
      </c>
      <c r="C29" s="49" t="s">
        <v>504</v>
      </c>
      <c r="D29" s="10">
        <v>32978084524</v>
      </c>
      <c r="E29" s="50">
        <v>45967447032</v>
      </c>
      <c r="F29" s="50">
        <v>89916165514</v>
      </c>
      <c r="G29" s="1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1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49">
        <v>0</v>
      </c>
      <c r="R29" s="51">
        <f t="shared" si="1"/>
        <v>0.41348587041168938</v>
      </c>
      <c r="S29" s="58">
        <f t="shared" si="2"/>
        <v>0.189262074723025</v>
      </c>
      <c r="T29" s="51">
        <f t="shared" si="3"/>
        <v>6.1145323252735521E-2</v>
      </c>
      <c r="U29" s="51">
        <f t="shared" si="4"/>
        <v>0.14533058649395969</v>
      </c>
      <c r="V29" s="51">
        <f t="shared" si="5"/>
        <v>4.9193074707882187E-2</v>
      </c>
      <c r="W29" s="51" t="e">
        <f t="shared" si="6"/>
        <v>#DIV/0!</v>
      </c>
      <c r="X29" s="51">
        <f t="shared" si="7"/>
        <v>0.36377175247175986</v>
      </c>
      <c r="Y29" s="51">
        <f t="shared" si="8"/>
        <v>0</v>
      </c>
      <c r="Z29" s="51">
        <f t="shared" si="9"/>
        <v>0</v>
      </c>
      <c r="AA29" s="52">
        <v>4</v>
      </c>
    </row>
    <row r="30" spans="1:27">
      <c r="A30" s="49">
        <v>2019</v>
      </c>
      <c r="B30" s="59" t="s">
        <v>503</v>
      </c>
      <c r="C30" s="49" t="s">
        <v>504</v>
      </c>
      <c r="D30" s="10">
        <v>73376899889</v>
      </c>
      <c r="E30" s="50">
        <v>67255822588</v>
      </c>
      <c r="F30" s="50">
        <v>148855269670</v>
      </c>
      <c r="G30" s="1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1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1">
        <v>1425</v>
      </c>
      <c r="R30" s="51">
        <f t="shared" si="1"/>
        <v>0.8186966599080685</v>
      </c>
      <c r="S30" s="58">
        <f t="shared" si="2"/>
        <v>0.65984357712909347</v>
      </c>
      <c r="T30" s="51">
        <f t="shared" si="3"/>
        <v>-2.6374678677507649E-2</v>
      </c>
      <c r="U30" s="51">
        <f t="shared" si="4"/>
        <v>-4.373806115656128E-2</v>
      </c>
      <c r="V30" s="51">
        <f t="shared" si="5"/>
        <v>-3.8058966326046169E-2</v>
      </c>
      <c r="W30" s="51">
        <f t="shared" si="6"/>
        <v>0</v>
      </c>
      <c r="X30" s="51">
        <f t="shared" si="7"/>
        <v>0</v>
      </c>
      <c r="Y30" s="51">
        <f t="shared" si="8"/>
        <v>-264.55494089510967</v>
      </c>
      <c r="Z30" s="51">
        <f t="shared" si="9"/>
        <v>11.571120184140762</v>
      </c>
      <c r="AA30" s="52">
        <v>4</v>
      </c>
    </row>
    <row r="31" spans="1:27">
      <c r="A31" s="49">
        <v>2020</v>
      </c>
      <c r="B31" s="59" t="s">
        <v>503</v>
      </c>
      <c r="C31" s="49" t="s">
        <v>504</v>
      </c>
      <c r="D31" s="10">
        <v>60757202496</v>
      </c>
      <c r="E31" s="50">
        <v>32166580006</v>
      </c>
      <c r="F31" s="50">
        <v>114094419513</v>
      </c>
      <c r="G31" s="10">
        <f t="shared" si="0"/>
        <v>52688677813</v>
      </c>
      <c r="H31" s="50">
        <v>5566416965</v>
      </c>
      <c r="I31" s="50">
        <v>58255094778</v>
      </c>
      <c r="J31" s="50">
        <v>55839324735</v>
      </c>
      <c r="K31" s="51">
        <v>728873908</v>
      </c>
      <c r="L31" s="50">
        <v>61431175244</v>
      </c>
      <c r="M31" s="50">
        <v>37447597131</v>
      </c>
      <c r="N31" s="50">
        <v>32024663642</v>
      </c>
      <c r="O31" s="50">
        <v>-14321581869</v>
      </c>
      <c r="P31" s="50">
        <v>0</v>
      </c>
      <c r="Q31" s="51">
        <v>252</v>
      </c>
      <c r="R31" s="51">
        <f t="shared" si="1"/>
        <v>1.1531358352099175</v>
      </c>
      <c r="S31" s="58">
        <f t="shared" si="2"/>
        <v>9.9686323060260415E-2</v>
      </c>
      <c r="T31" s="51">
        <f t="shared" si="3"/>
        <v>-0.12552394700924166</v>
      </c>
      <c r="U31" s="51">
        <f t="shared" si="4"/>
        <v>-0.25647842155983763</v>
      </c>
      <c r="V31" s="51">
        <f t="shared" si="5"/>
        <v>-0.23313214849163727</v>
      </c>
      <c r="W31" s="51">
        <f t="shared" si="6"/>
        <v>0</v>
      </c>
      <c r="X31" s="51">
        <f t="shared" si="7"/>
        <v>0</v>
      </c>
      <c r="Y31" s="51">
        <f t="shared" si="8"/>
        <v>-12.825135274587174</v>
      </c>
      <c r="Z31" s="51">
        <f t="shared" si="9"/>
        <v>3.2893704515175131</v>
      </c>
      <c r="AA31" s="52">
        <v>4</v>
      </c>
    </row>
    <row r="32" spans="1:27">
      <c r="A32" s="49">
        <v>2018</v>
      </c>
      <c r="B32" s="59" t="s">
        <v>505</v>
      </c>
      <c r="C32" s="49" t="s">
        <v>506</v>
      </c>
      <c r="D32" s="10">
        <v>2275390000000</v>
      </c>
      <c r="E32" s="50">
        <v>15980147000000</v>
      </c>
      <c r="F32" s="50">
        <v>22959618000000</v>
      </c>
      <c r="G32" s="1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1">
        <v>50970846956</v>
      </c>
      <c r="L32" s="50">
        <v>5867860000000</v>
      </c>
      <c r="M32" s="50">
        <v>1541885000000</v>
      </c>
      <c r="N32" s="50">
        <f>109271000000+399251000000+27376000000</f>
        <v>535898000000</v>
      </c>
      <c r="O32" s="50">
        <v>2200060000000</v>
      </c>
      <c r="P32" s="50">
        <f>1205798000000+6000000</f>
        <v>1205804000000</v>
      </c>
      <c r="Q32" s="51">
        <v>690</v>
      </c>
      <c r="R32" s="51">
        <f t="shared" si="1"/>
        <v>0.4788479147169673</v>
      </c>
      <c r="S32" s="58">
        <f t="shared" si="2"/>
        <v>1.266548284137986</v>
      </c>
      <c r="T32" s="51">
        <f t="shared" si="3"/>
        <v>9.5823022839491498E-2</v>
      </c>
      <c r="U32" s="51">
        <f t="shared" si="4"/>
        <v>0.27386820825366476</v>
      </c>
      <c r="V32" s="51">
        <f t="shared" si="5"/>
        <v>0.37493396229630566</v>
      </c>
      <c r="W32" s="51">
        <f t="shared" si="6"/>
        <v>3.4285128330201239E-2</v>
      </c>
      <c r="X32" s="51">
        <f t="shared" si="7"/>
        <v>0.5480777796969174</v>
      </c>
      <c r="Y32" s="51">
        <f t="shared" si="8"/>
        <v>15.9858751123333</v>
      </c>
      <c r="Z32" s="51">
        <f t="shared" si="9"/>
        <v>4.3780229743815724</v>
      </c>
      <c r="AA32" s="52">
        <v>4</v>
      </c>
    </row>
    <row r="33" spans="1:27">
      <c r="A33" s="49">
        <v>2019</v>
      </c>
      <c r="B33" s="59" t="s">
        <v>505</v>
      </c>
      <c r="C33" s="49" t="s">
        <v>506</v>
      </c>
      <c r="D33" s="10">
        <v>2474389000000</v>
      </c>
      <c r="E33" s="50">
        <v>19648004000000</v>
      </c>
      <c r="F33" s="50">
        <v>27665695000000</v>
      </c>
      <c r="G33" s="1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1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0">
        <f>1187069000000+4500000000</f>
        <v>1191569000000</v>
      </c>
      <c r="Q33" s="51">
        <v>805</v>
      </c>
      <c r="R33" s="51">
        <f t="shared" si="1"/>
        <v>0.54202248185364454</v>
      </c>
      <c r="S33" s="58">
        <f t="shared" si="2"/>
        <v>1.6368668385494589</v>
      </c>
      <c r="T33" s="51">
        <f t="shared" si="3"/>
        <v>8.5054396789959547E-2</v>
      </c>
      <c r="U33" s="51">
        <f t="shared" si="4"/>
        <v>0.26859842470071471</v>
      </c>
      <c r="V33" s="51">
        <f t="shared" si="5"/>
        <v>0.36457683572909977</v>
      </c>
      <c r="W33" s="51">
        <f t="shared" si="6"/>
        <v>2.9374579042829054E-2</v>
      </c>
      <c r="X33" s="51">
        <f t="shared" si="7"/>
        <v>0.50638501136166125</v>
      </c>
      <c r="Y33" s="51">
        <f t="shared" si="8"/>
        <v>17.238885725760905</v>
      </c>
      <c r="Z33" s="51">
        <f t="shared" si="9"/>
        <v>4.6303375495350156</v>
      </c>
      <c r="AA33" s="52">
        <v>4</v>
      </c>
    </row>
    <row r="34" spans="1:27">
      <c r="A34" s="49">
        <v>2020</v>
      </c>
      <c r="B34" s="59" t="s">
        <v>505</v>
      </c>
      <c r="C34" s="49" t="s">
        <v>506</v>
      </c>
      <c r="D34" s="10">
        <v>3002332000000</v>
      </c>
      <c r="E34" s="50">
        <v>22757823000000</v>
      </c>
      <c r="F34" s="50">
        <v>34249550000000</v>
      </c>
      <c r="G34" s="1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1">
        <v>50148387851</v>
      </c>
      <c r="L34" s="50">
        <v>7445426000000</v>
      </c>
      <c r="M34" s="50">
        <v>2059254000000</v>
      </c>
      <c r="N34" s="50">
        <f>145996000000+47927000000+194279000000</f>
        <v>388202000000</v>
      </c>
      <c r="O34" s="50">
        <v>2853617000000</v>
      </c>
      <c r="P34" s="50">
        <f>1174043000000+23700000000</f>
        <v>1197743000000</v>
      </c>
      <c r="Q34" s="51">
        <v>960</v>
      </c>
      <c r="R34" s="51">
        <f t="shared" si="1"/>
        <v>-0.20800758665689514</v>
      </c>
      <c r="S34" s="58">
        <f t="shared" si="2"/>
        <v>1.653597272911518</v>
      </c>
      <c r="T34" s="51">
        <f t="shared" si="3"/>
        <v>8.331837936556831E-2</v>
      </c>
      <c r="U34" s="51">
        <f t="shared" si="4"/>
        <v>0.28020459055181202</v>
      </c>
      <c r="V34" s="51">
        <f t="shared" si="5"/>
        <v>0.38327115197975242</v>
      </c>
      <c r="W34" s="51">
        <f t="shared" si="6"/>
        <v>2.4879143912668256E-2</v>
      </c>
      <c r="X34" s="51">
        <f t="shared" si="7"/>
        <v>0.41972801535735171</v>
      </c>
      <c r="Y34" s="51">
        <f t="shared" si="8"/>
        <v>16.870677577600638</v>
      </c>
      <c r="Z34" s="51">
        <f t="shared" si="9"/>
        <v>4.7272413029632219</v>
      </c>
      <c r="AA34" s="52">
        <v>4</v>
      </c>
    </row>
    <row r="35" spans="1:27">
      <c r="K35" s="51"/>
      <c r="P35" s="50"/>
      <c r="W35" s="53"/>
      <c r="X35" s="53"/>
      <c r="Y35" s="51"/>
      <c r="Z35" s="51"/>
      <c r="AA35" s="51"/>
    </row>
    <row r="36" spans="1:27">
      <c r="K36" s="51"/>
      <c r="P36" s="50"/>
      <c r="W36" s="53"/>
      <c r="X36" s="53"/>
      <c r="Y36" s="51"/>
      <c r="Z36" s="51"/>
      <c r="AA36" s="51"/>
    </row>
    <row r="37" spans="1:27">
      <c r="K37" s="51"/>
      <c r="P37" s="50"/>
      <c r="W37" s="53"/>
      <c r="X37" s="53"/>
      <c r="Y37" s="51"/>
      <c r="Z37" s="51"/>
      <c r="AA37" s="51"/>
    </row>
    <row r="38" spans="1:27">
      <c r="K38" s="51"/>
      <c r="P38" s="50"/>
      <c r="W38" s="53"/>
      <c r="X38" s="53"/>
      <c r="Y38" s="51"/>
      <c r="Z38" s="51"/>
      <c r="AA38" s="51"/>
    </row>
    <row r="39" spans="1:27">
      <c r="K39" s="51"/>
      <c r="P39" s="50"/>
      <c r="W39" s="53"/>
      <c r="X39" s="53"/>
      <c r="Y39" s="51"/>
      <c r="Z39" s="51"/>
      <c r="AA39" s="51"/>
    </row>
    <row r="40" spans="1:27">
      <c r="K40" s="51"/>
      <c r="P40" s="50"/>
      <c r="W40" s="53"/>
      <c r="X40" s="53"/>
      <c r="Y40" s="51"/>
      <c r="Z40" s="51"/>
      <c r="AA40" s="51"/>
    </row>
    <row r="41" spans="1:27">
      <c r="K41" s="51"/>
      <c r="P41" s="50"/>
      <c r="W41" s="53"/>
      <c r="X41" s="53"/>
      <c r="Y41" s="51"/>
      <c r="Z41" s="51"/>
      <c r="AA41" s="51"/>
    </row>
    <row r="42" spans="1:27">
      <c r="K42" s="51"/>
      <c r="P42" s="50"/>
      <c r="W42" s="53"/>
      <c r="X42" s="53"/>
      <c r="Y42" s="51"/>
      <c r="Z42" s="51"/>
      <c r="AA42" s="51"/>
    </row>
    <row r="43" spans="1:27">
      <c r="K43" s="51"/>
      <c r="P43" s="50"/>
      <c r="W43" s="53"/>
      <c r="X43" s="53"/>
      <c r="Y43" s="51"/>
      <c r="Z43" s="51"/>
      <c r="AA43" s="51"/>
    </row>
    <row r="44" spans="1:27">
      <c r="K44" s="51"/>
      <c r="P44" s="50"/>
      <c r="W44" s="53"/>
      <c r="X44" s="53"/>
      <c r="Y44" s="51"/>
      <c r="Z44" s="51"/>
      <c r="AA44" s="51"/>
    </row>
    <row r="45" spans="1:27">
      <c r="K45" s="51"/>
      <c r="P45" s="50"/>
      <c r="W45" s="53"/>
      <c r="X45" s="53"/>
      <c r="Y45" s="51"/>
      <c r="Z45" s="51"/>
      <c r="AA45" s="51"/>
    </row>
    <row r="46" spans="1:27">
      <c r="K46" s="51"/>
      <c r="P46" s="50"/>
      <c r="W46" s="53"/>
      <c r="X46" s="53"/>
      <c r="Y46" s="51"/>
      <c r="Z46" s="51"/>
      <c r="AA46" s="51"/>
    </row>
    <row r="47" spans="1:27">
      <c r="K47" s="51"/>
      <c r="P47" s="50"/>
      <c r="W47" s="53"/>
      <c r="X47" s="53"/>
      <c r="Y47" s="51"/>
      <c r="Z47" s="51"/>
      <c r="AA47" s="51"/>
    </row>
    <row r="48" spans="1:27">
      <c r="K48" s="51"/>
      <c r="P48" s="50"/>
      <c r="W48" s="53"/>
      <c r="X48" s="53"/>
      <c r="Y48" s="51"/>
      <c r="Z48" s="51"/>
      <c r="AA48" s="51"/>
    </row>
    <row r="49" spans="11:27">
      <c r="K49" s="51"/>
      <c r="P49" s="50"/>
      <c r="W49" s="53"/>
      <c r="X49" s="53"/>
      <c r="Y49" s="51"/>
      <c r="Z49" s="51"/>
      <c r="AA49" s="51"/>
    </row>
    <row r="50" spans="11:27">
      <c r="K50" s="51"/>
      <c r="P50" s="50"/>
      <c r="W50" s="53"/>
      <c r="X50" s="53"/>
      <c r="Y50" s="51"/>
      <c r="Z50" s="51"/>
      <c r="AA50" s="51"/>
    </row>
    <row r="51" spans="11:27">
      <c r="K51" s="51"/>
      <c r="P51" s="50"/>
      <c r="W51" s="53"/>
      <c r="X51" s="53"/>
      <c r="Y51" s="51"/>
      <c r="Z51" s="51"/>
      <c r="AA51" s="51"/>
    </row>
    <row r="52" spans="11:27">
      <c r="K52" s="51"/>
      <c r="P52" s="50"/>
      <c r="W52" s="53"/>
      <c r="X52" s="53"/>
      <c r="Y52" s="51"/>
      <c r="Z52" s="51"/>
      <c r="AA52" s="51"/>
    </row>
    <row r="53" spans="11:27">
      <c r="K53" s="51"/>
      <c r="P53" s="50"/>
      <c r="W53" s="53"/>
      <c r="X53" s="53"/>
      <c r="Y53" s="51"/>
      <c r="Z53" s="51"/>
      <c r="AA53" s="51"/>
    </row>
    <row r="54" spans="11:27">
      <c r="K54" s="51"/>
      <c r="P54" s="50"/>
      <c r="W54" s="53"/>
      <c r="X54" s="53"/>
      <c r="Y54" s="51"/>
      <c r="Z54" s="51"/>
      <c r="AA54" s="51"/>
    </row>
    <row r="55" spans="11:27">
      <c r="K55" s="51"/>
      <c r="P55" s="50"/>
      <c r="W55" s="53"/>
      <c r="X55" s="53"/>
      <c r="Y55" s="51"/>
      <c r="Z55" s="51"/>
      <c r="AA55" s="51"/>
    </row>
    <row r="56" spans="11:27">
      <c r="K56" s="51"/>
      <c r="P56" s="50"/>
      <c r="W56" s="53"/>
      <c r="X56" s="53"/>
      <c r="Y56" s="51"/>
      <c r="Z56" s="51"/>
      <c r="AA56" s="51"/>
    </row>
    <row r="57" spans="11:27">
      <c r="K57" s="51"/>
      <c r="P57" s="50"/>
      <c r="W57" s="53"/>
      <c r="X57" s="53"/>
      <c r="Y57" s="51"/>
      <c r="Z57" s="51"/>
      <c r="AA57" s="51"/>
    </row>
    <row r="58" spans="11:27">
      <c r="K58" s="51"/>
      <c r="P58" s="50"/>
      <c r="W58" s="53"/>
      <c r="X58" s="53"/>
      <c r="Y58" s="51"/>
      <c r="Z58" s="51"/>
      <c r="AA58" s="51"/>
    </row>
    <row r="59" spans="11:27">
      <c r="K59" s="51"/>
      <c r="P59" s="50"/>
      <c r="W59" s="53"/>
      <c r="X59" s="53"/>
      <c r="Y59" s="51"/>
      <c r="Z59" s="51"/>
      <c r="AA59" s="51"/>
    </row>
    <row r="60" spans="11:27">
      <c r="K60" s="51"/>
      <c r="P60" s="50"/>
      <c r="W60" s="53"/>
      <c r="X60" s="53"/>
      <c r="Y60" s="51"/>
      <c r="Z60" s="51"/>
      <c r="AA60" s="51"/>
    </row>
    <row r="61" spans="11:27">
      <c r="K61" s="51"/>
      <c r="P61" s="50"/>
      <c r="W61" s="53"/>
      <c r="X61" s="53"/>
      <c r="Y61" s="51"/>
      <c r="Z61" s="51"/>
      <c r="AA61" s="51"/>
    </row>
    <row r="62" spans="11:27">
      <c r="K62" s="51"/>
      <c r="P62" s="50"/>
      <c r="W62" s="53"/>
      <c r="X62" s="53"/>
      <c r="Y62" s="51"/>
      <c r="Z62" s="51"/>
      <c r="AA62" s="51"/>
    </row>
    <row r="63" spans="11:27">
      <c r="K63" s="51"/>
      <c r="P63" s="50"/>
      <c r="W63" s="53"/>
      <c r="X63" s="53"/>
      <c r="Y63" s="51"/>
      <c r="Z63" s="51"/>
      <c r="AA63" s="51"/>
    </row>
    <row r="64" spans="11:27">
      <c r="K64" s="51"/>
      <c r="P64" s="50"/>
      <c r="W64" s="53"/>
      <c r="X64" s="53"/>
      <c r="Y64" s="51"/>
      <c r="Z64" s="51"/>
      <c r="AA64" s="51"/>
    </row>
    <row r="65" spans="11:27">
      <c r="K65" s="51"/>
      <c r="P65" s="50"/>
      <c r="W65" s="53"/>
      <c r="X65" s="53"/>
      <c r="Y65" s="51"/>
      <c r="Z65" s="51"/>
      <c r="AA65" s="51"/>
    </row>
    <row r="66" spans="11:27">
      <c r="K66" s="51"/>
      <c r="P66" s="50"/>
      <c r="W66" s="53"/>
      <c r="X66" s="53"/>
      <c r="Y66" s="51"/>
      <c r="Z66" s="51"/>
      <c r="AA66" s="51"/>
    </row>
    <row r="67" spans="11:27">
      <c r="K67" s="51"/>
      <c r="P67" s="50"/>
      <c r="W67" s="53"/>
      <c r="X67" s="53"/>
      <c r="Y67" s="51"/>
      <c r="Z67" s="51"/>
      <c r="AA67" s="51"/>
    </row>
    <row r="68" spans="11:27">
      <c r="K68" s="51"/>
      <c r="P68" s="50"/>
      <c r="W68" s="53"/>
      <c r="X68" s="53"/>
      <c r="Y68" s="51"/>
      <c r="Z68" s="51"/>
      <c r="AA68" s="51"/>
    </row>
    <row r="69" spans="11:27">
      <c r="K69" s="51"/>
      <c r="P69" s="50"/>
      <c r="W69" s="53"/>
      <c r="X69" s="53"/>
      <c r="Y69" s="51"/>
      <c r="Z69" s="51"/>
      <c r="AA69" s="51"/>
    </row>
    <row r="70" spans="11:27">
      <c r="K70" s="51"/>
      <c r="P70" s="50"/>
      <c r="W70" s="53"/>
      <c r="X70" s="53"/>
      <c r="Y70" s="51"/>
      <c r="Z70" s="51"/>
      <c r="AA70" s="51"/>
    </row>
    <row r="71" spans="11:27">
      <c r="K71" s="51"/>
      <c r="P71" s="50"/>
      <c r="W71" s="53"/>
      <c r="X71" s="53"/>
      <c r="Y71" s="51"/>
      <c r="Z71" s="51"/>
      <c r="AA71" s="51"/>
    </row>
    <row r="72" spans="11:27">
      <c r="K72" s="51"/>
      <c r="P72" s="50"/>
      <c r="W72" s="53"/>
      <c r="X72" s="53"/>
      <c r="Y72" s="51"/>
      <c r="Z72" s="51"/>
      <c r="AA72" s="51"/>
    </row>
    <row r="73" spans="11:27">
      <c r="K73" s="51"/>
      <c r="P73" s="50"/>
      <c r="W73" s="53"/>
      <c r="X73" s="53"/>
      <c r="Y73" s="51"/>
      <c r="Z73" s="51"/>
      <c r="AA73" s="51"/>
    </row>
    <row r="74" spans="11:27">
      <c r="K74" s="51"/>
      <c r="P74" s="50"/>
      <c r="W74" s="53"/>
      <c r="X74" s="53"/>
      <c r="Y74" s="51"/>
      <c r="Z74" s="51"/>
      <c r="AA74" s="51"/>
    </row>
    <row r="75" spans="11:27">
      <c r="K75" s="51"/>
      <c r="P75" s="50"/>
      <c r="W75" s="53"/>
      <c r="X75" s="53"/>
      <c r="Y75" s="51"/>
      <c r="Z75" s="51"/>
      <c r="AA75" s="51"/>
    </row>
    <row r="76" spans="11:27">
      <c r="K76" s="51"/>
      <c r="P76" s="50"/>
      <c r="W76" s="53"/>
      <c r="X76" s="53"/>
      <c r="Y76" s="51"/>
      <c r="Z76" s="51"/>
      <c r="AA76" s="51"/>
    </row>
    <row r="77" spans="11:27">
      <c r="K77" s="51"/>
      <c r="P77" s="50"/>
      <c r="W77" s="53"/>
      <c r="X77" s="53"/>
      <c r="Y77" s="51"/>
      <c r="Z77" s="51"/>
      <c r="AA77" s="51"/>
    </row>
    <row r="78" spans="11:27">
      <c r="K78" s="51"/>
      <c r="P78" s="50"/>
      <c r="W78" s="53"/>
      <c r="X78" s="53"/>
      <c r="Y78" s="51"/>
      <c r="Z78" s="51"/>
      <c r="AA78" s="51"/>
    </row>
    <row r="79" spans="11:27">
      <c r="K79" s="51"/>
      <c r="P79" s="50"/>
      <c r="W79" s="53"/>
      <c r="X79" s="53"/>
      <c r="Y79" s="51"/>
      <c r="Z79" s="51"/>
      <c r="AA79" s="51"/>
    </row>
    <row r="80" spans="11:27">
      <c r="K80" s="51"/>
      <c r="P80" s="50"/>
      <c r="W80" s="53"/>
      <c r="X80" s="53"/>
      <c r="Y80" s="51"/>
      <c r="Z80" s="51"/>
      <c r="AA80" s="51"/>
    </row>
    <row r="81" spans="11:27">
      <c r="K81" s="51"/>
      <c r="P81" s="50"/>
      <c r="W81" s="53"/>
      <c r="X81" s="53"/>
      <c r="Y81" s="51"/>
      <c r="Z81" s="51"/>
      <c r="AA81" s="51"/>
    </row>
    <row r="82" spans="11:27">
      <c r="K82" s="51"/>
      <c r="P82" s="50"/>
      <c r="W82" s="53"/>
      <c r="X82" s="53"/>
      <c r="Y82" s="51"/>
      <c r="Z82" s="51"/>
      <c r="AA82" s="51"/>
    </row>
    <row r="83" spans="11:27">
      <c r="K83" s="51"/>
      <c r="P83" s="50"/>
      <c r="W83" s="53"/>
      <c r="X83" s="53"/>
      <c r="Y83" s="51"/>
      <c r="Z83" s="51"/>
      <c r="AA83" s="51"/>
    </row>
    <row r="84" spans="11:27">
      <c r="K84" s="51"/>
      <c r="P84" s="50"/>
      <c r="W84" s="53"/>
      <c r="X84" s="53"/>
      <c r="Y84" s="51"/>
      <c r="Z84" s="51"/>
      <c r="AA84" s="51"/>
    </row>
    <row r="85" spans="11:27">
      <c r="K85" s="51"/>
      <c r="P85" s="50"/>
      <c r="W85" s="53"/>
      <c r="X85" s="53"/>
      <c r="Y85" s="51"/>
      <c r="Z85" s="51"/>
      <c r="AA85" s="51"/>
    </row>
    <row r="86" spans="11:27">
      <c r="K86" s="51"/>
      <c r="P86" s="50"/>
      <c r="W86" s="53"/>
      <c r="X86" s="53"/>
      <c r="Y86" s="51"/>
      <c r="Z86" s="51"/>
      <c r="AA86" s="51"/>
    </row>
    <row r="87" spans="11:27">
      <c r="K87" s="51"/>
      <c r="P87" s="50"/>
      <c r="W87" s="53"/>
      <c r="X87" s="53"/>
      <c r="Y87" s="51"/>
      <c r="Z87" s="51"/>
      <c r="AA87" s="51"/>
    </row>
    <row r="88" spans="11:27">
      <c r="K88" s="51"/>
      <c r="P88" s="50"/>
      <c r="W88" s="53"/>
      <c r="X88" s="53"/>
      <c r="Y88" s="51"/>
      <c r="Z88" s="51"/>
      <c r="AA88" s="51"/>
    </row>
    <row r="89" spans="11:27">
      <c r="K89" s="51"/>
      <c r="P89" s="50"/>
      <c r="W89" s="53"/>
      <c r="X89" s="53"/>
      <c r="Y89" s="51"/>
      <c r="Z89" s="51"/>
      <c r="AA89" s="51"/>
    </row>
    <row r="90" spans="11:27">
      <c r="K90" s="51"/>
      <c r="P90" s="50"/>
      <c r="W90" s="53"/>
      <c r="X90" s="53"/>
      <c r="Y90" s="51"/>
      <c r="Z90" s="51"/>
      <c r="AA90" s="51"/>
    </row>
    <row r="91" spans="11:27">
      <c r="K91" s="51"/>
      <c r="P91" s="50"/>
      <c r="W91" s="53"/>
      <c r="X91" s="53"/>
      <c r="Y91" s="51"/>
      <c r="Z91" s="51"/>
      <c r="AA91" s="51"/>
    </row>
    <row r="92" spans="11:27">
      <c r="K92" s="51"/>
      <c r="P92" s="50"/>
      <c r="W92" s="53"/>
      <c r="X92" s="53"/>
      <c r="Y92" s="51"/>
      <c r="Z92" s="51"/>
      <c r="AA92" s="51"/>
    </row>
    <row r="93" spans="11:27">
      <c r="K93" s="51"/>
      <c r="P93" s="50"/>
      <c r="W93" s="53"/>
      <c r="X93" s="53"/>
      <c r="Y93" s="51"/>
      <c r="Z93" s="51"/>
      <c r="AA93" s="51"/>
    </row>
    <row r="94" spans="11:27">
      <c r="K94" s="51"/>
      <c r="P94" s="50"/>
      <c r="W94" s="53"/>
      <c r="X94" s="53"/>
      <c r="Y94" s="51"/>
      <c r="Z94" s="51"/>
      <c r="AA94" s="51"/>
    </row>
    <row r="95" spans="11:27">
      <c r="K95" s="51"/>
      <c r="P95" s="50"/>
      <c r="W95" s="53"/>
      <c r="X95" s="53"/>
      <c r="Y95" s="51"/>
      <c r="Z95" s="51"/>
      <c r="AA95" s="51"/>
    </row>
    <row r="96" spans="11:27">
      <c r="K96" s="51"/>
      <c r="P96" s="50"/>
      <c r="W96" s="53"/>
      <c r="X96" s="53"/>
      <c r="Y96" s="51"/>
      <c r="Z96" s="51"/>
      <c r="AA96" s="51"/>
    </row>
    <row r="97" spans="11:27">
      <c r="K97" s="51"/>
      <c r="P97" s="50"/>
      <c r="W97" s="53"/>
      <c r="X97" s="53"/>
      <c r="Y97" s="51"/>
      <c r="Z97" s="51"/>
      <c r="AA97" s="51"/>
    </row>
    <row r="98" spans="11:27">
      <c r="K98" s="51"/>
      <c r="P98" s="50"/>
      <c r="W98" s="53"/>
      <c r="X98" s="53"/>
      <c r="Y98" s="51"/>
      <c r="Z98" s="51"/>
      <c r="AA98" s="51"/>
    </row>
    <row r="99" spans="11:27">
      <c r="K99" s="51"/>
      <c r="P99" s="50"/>
      <c r="W99" s="53"/>
      <c r="X99" s="53"/>
      <c r="Y99" s="51"/>
      <c r="Z99" s="51"/>
      <c r="AA99" s="51"/>
    </row>
    <row r="100" spans="11:27">
      <c r="K100" s="51"/>
      <c r="P100" s="50"/>
      <c r="W100" s="53"/>
      <c r="X100" s="53"/>
      <c r="Y100" s="51"/>
      <c r="Z100" s="51"/>
      <c r="AA100" s="51"/>
    </row>
    <row r="101" spans="11:27">
      <c r="K101" s="51"/>
      <c r="P101" s="50"/>
      <c r="W101" s="53"/>
      <c r="X101" s="53"/>
      <c r="Y101" s="51"/>
      <c r="Z101" s="51"/>
      <c r="AA101" s="51"/>
    </row>
    <row r="102" spans="11:27">
      <c r="K102" s="51"/>
      <c r="P102" s="50"/>
      <c r="W102" s="53"/>
      <c r="X102" s="53"/>
      <c r="Y102" s="51"/>
      <c r="Z102" s="51"/>
      <c r="AA102" s="51"/>
    </row>
    <row r="103" spans="11:27">
      <c r="K103" s="51"/>
      <c r="P103" s="50"/>
      <c r="W103" s="53"/>
      <c r="X103" s="53"/>
      <c r="Y103" s="51"/>
      <c r="Z103" s="51"/>
      <c r="AA103" s="51"/>
    </row>
    <row r="104" spans="11:27">
      <c r="K104" s="51"/>
      <c r="P104" s="50"/>
      <c r="W104" s="53"/>
      <c r="X104" s="53"/>
      <c r="Y104" s="51"/>
      <c r="Z104" s="51"/>
      <c r="AA104" s="51"/>
    </row>
    <row r="105" spans="11:27">
      <c r="K105" s="51"/>
      <c r="P105" s="50"/>
      <c r="W105" s="53"/>
      <c r="X105" s="53"/>
      <c r="Y105" s="51"/>
      <c r="Z105" s="51"/>
      <c r="AA105" s="51"/>
    </row>
    <row r="106" spans="11:27">
      <c r="K106" s="51"/>
      <c r="P106" s="50"/>
      <c r="W106" s="53"/>
      <c r="X106" s="53"/>
      <c r="Y106" s="51"/>
      <c r="Z106" s="51"/>
      <c r="AA106" s="51"/>
    </row>
    <row r="107" spans="11:27">
      <c r="K107" s="51"/>
      <c r="P107" s="50"/>
      <c r="W107" s="53"/>
      <c r="X107" s="53"/>
      <c r="Y107" s="51"/>
      <c r="Z107" s="51"/>
      <c r="AA107" s="51"/>
    </row>
    <row r="108" spans="11:27">
      <c r="K108" s="51"/>
      <c r="P108" s="50"/>
      <c r="W108" s="53"/>
      <c r="X108" s="53"/>
      <c r="Y108" s="51"/>
      <c r="Z108" s="51"/>
      <c r="AA108" s="51"/>
    </row>
    <row r="109" spans="11:27">
      <c r="K109" s="51"/>
      <c r="P109" s="50"/>
      <c r="W109" s="53"/>
      <c r="X109" s="53"/>
      <c r="Y109" s="51"/>
      <c r="Z109" s="51"/>
      <c r="AA109" s="51"/>
    </row>
    <row r="110" spans="11:27">
      <c r="K110" s="51"/>
      <c r="P110" s="50"/>
      <c r="W110" s="53"/>
      <c r="X110" s="53"/>
      <c r="Y110" s="51"/>
      <c r="Z110" s="51"/>
      <c r="AA110" s="51"/>
    </row>
    <row r="111" spans="11:27">
      <c r="K111" s="51"/>
      <c r="P111" s="50"/>
      <c r="W111" s="53"/>
      <c r="X111" s="53"/>
      <c r="Y111" s="51"/>
      <c r="Z111" s="51"/>
      <c r="AA111" s="51"/>
    </row>
    <row r="112" spans="11:27">
      <c r="K112" s="51"/>
      <c r="P112" s="50"/>
      <c r="W112" s="53"/>
      <c r="X112" s="53"/>
      <c r="Y112" s="51"/>
      <c r="Z112" s="51"/>
      <c r="AA112" s="51"/>
    </row>
    <row r="113" spans="11:27">
      <c r="K113" s="51"/>
      <c r="P113" s="50"/>
      <c r="W113" s="53"/>
      <c r="X113" s="53"/>
      <c r="Y113" s="51"/>
      <c r="Z113" s="51"/>
      <c r="AA113" s="51"/>
    </row>
    <row r="114" spans="11:27">
      <c r="K114" s="51"/>
      <c r="P114" s="50"/>
      <c r="W114" s="53"/>
      <c r="X114" s="53"/>
      <c r="Y114" s="51"/>
      <c r="Z114" s="51"/>
      <c r="AA114" s="51"/>
    </row>
    <row r="115" spans="11:27">
      <c r="K115" s="51"/>
      <c r="P115" s="50"/>
      <c r="W115" s="53"/>
      <c r="X115" s="53"/>
      <c r="Y115" s="51"/>
      <c r="Z115" s="51"/>
      <c r="AA115" s="51"/>
    </row>
    <row r="116" spans="11:27">
      <c r="K116" s="51"/>
      <c r="P116" s="50"/>
      <c r="W116" s="53"/>
      <c r="X116" s="53"/>
      <c r="Y116" s="51"/>
      <c r="Z116" s="51"/>
      <c r="AA116" s="51"/>
    </row>
    <row r="117" spans="11:27">
      <c r="K117" s="51"/>
      <c r="P117" s="50"/>
      <c r="W117" s="53"/>
      <c r="X117" s="53"/>
      <c r="Y117" s="51"/>
      <c r="Z117" s="51"/>
      <c r="AA117" s="51"/>
    </row>
    <row r="118" spans="11:27">
      <c r="K118" s="51"/>
      <c r="P118" s="50"/>
      <c r="W118" s="53"/>
      <c r="X118" s="53"/>
      <c r="Y118" s="51"/>
      <c r="Z118" s="51"/>
      <c r="AA118" s="51"/>
    </row>
    <row r="119" spans="11:27">
      <c r="K119" s="51"/>
      <c r="P119" s="50"/>
      <c r="W119" s="53"/>
      <c r="X119" s="53"/>
      <c r="Y119" s="51"/>
      <c r="Z119" s="51"/>
      <c r="AA119" s="51"/>
    </row>
    <row r="120" spans="11:27">
      <c r="K120" s="51"/>
      <c r="P120" s="50"/>
      <c r="W120" s="53"/>
      <c r="X120" s="53"/>
      <c r="Y120" s="51"/>
      <c r="Z120" s="51"/>
      <c r="AA120" s="51"/>
    </row>
    <row r="121" spans="11:27">
      <c r="K121" s="51"/>
      <c r="P121" s="50"/>
      <c r="W121" s="53"/>
      <c r="X121" s="53"/>
      <c r="Y121" s="51"/>
      <c r="Z121" s="51"/>
      <c r="AA121" s="51"/>
    </row>
    <row r="122" spans="11:27">
      <c r="K122" s="51"/>
      <c r="P122" s="50"/>
      <c r="W122" s="53"/>
      <c r="X122" s="53"/>
      <c r="Y122" s="51"/>
      <c r="Z122" s="51"/>
      <c r="AA122" s="51"/>
    </row>
    <row r="123" spans="11:27">
      <c r="K123" s="51"/>
      <c r="P123" s="50"/>
      <c r="W123" s="53"/>
      <c r="X123" s="53"/>
      <c r="Y123" s="51"/>
      <c r="Z123" s="51"/>
      <c r="AA123" s="51"/>
    </row>
    <row r="124" spans="11:27">
      <c r="K124" s="51"/>
      <c r="P124" s="50"/>
      <c r="W124" s="53"/>
      <c r="X124" s="53"/>
      <c r="Y124" s="51"/>
      <c r="Z124" s="51"/>
      <c r="AA124" s="51"/>
    </row>
    <row r="125" spans="11:27">
      <c r="K125" s="51"/>
      <c r="P125" s="50"/>
      <c r="W125" s="53"/>
      <c r="X125" s="53"/>
      <c r="Y125" s="51"/>
      <c r="Z125" s="51"/>
      <c r="AA125" s="51"/>
    </row>
    <row r="126" spans="11:27">
      <c r="K126" s="51"/>
      <c r="P126" s="50"/>
      <c r="W126" s="53"/>
      <c r="X126" s="53"/>
      <c r="Y126" s="51"/>
      <c r="Z126" s="51"/>
      <c r="AA126" s="51"/>
    </row>
    <row r="127" spans="11:27">
      <c r="K127" s="51"/>
      <c r="P127" s="50"/>
      <c r="W127" s="53"/>
      <c r="X127" s="53"/>
      <c r="Y127" s="51"/>
      <c r="Z127" s="51"/>
      <c r="AA127" s="51"/>
    </row>
    <row r="128" spans="11:27">
      <c r="K128" s="51"/>
      <c r="P128" s="50"/>
      <c r="W128" s="53"/>
      <c r="X128" s="53"/>
      <c r="Y128" s="51"/>
      <c r="Z128" s="51"/>
      <c r="AA128" s="51"/>
    </row>
    <row r="129" spans="11:27">
      <c r="K129" s="51"/>
      <c r="P129" s="50"/>
      <c r="W129" s="53"/>
      <c r="X129" s="53"/>
      <c r="Y129" s="51"/>
      <c r="Z129" s="51"/>
      <c r="AA129" s="51"/>
    </row>
    <row r="130" spans="11:27">
      <c r="K130" s="51"/>
      <c r="P130" s="50"/>
      <c r="W130" s="53"/>
      <c r="X130" s="53"/>
      <c r="Y130" s="51"/>
      <c r="Z130" s="51"/>
      <c r="AA130" s="51"/>
    </row>
    <row r="131" spans="11:27">
      <c r="K131" s="51"/>
      <c r="P131" s="50"/>
      <c r="W131" s="53"/>
      <c r="X131" s="53"/>
      <c r="Y131" s="51"/>
      <c r="Z131" s="51"/>
      <c r="AA131" s="51"/>
    </row>
    <row r="132" spans="11:27">
      <c r="K132" s="51"/>
      <c r="P132" s="50"/>
      <c r="W132" s="53"/>
      <c r="X132" s="53"/>
      <c r="Y132" s="51"/>
      <c r="Z132" s="51"/>
      <c r="AA132" s="51"/>
    </row>
    <row r="133" spans="11:27">
      <c r="K133" s="51"/>
      <c r="P133" s="50"/>
      <c r="W133" s="53"/>
      <c r="X133" s="53"/>
      <c r="Y133" s="51"/>
      <c r="Z133" s="51"/>
      <c r="AA133" s="51"/>
    </row>
    <row r="134" spans="11:27">
      <c r="K134" s="51"/>
      <c r="P134" s="50"/>
      <c r="W134" s="53"/>
      <c r="X134" s="53"/>
      <c r="Y134" s="51"/>
      <c r="Z134" s="51"/>
      <c r="AA134" s="51"/>
    </row>
    <row r="135" spans="11:27">
      <c r="K135" s="51"/>
      <c r="P135" s="50"/>
      <c r="W135" s="53"/>
      <c r="X135" s="53"/>
      <c r="Y135" s="51"/>
      <c r="Z135" s="51"/>
      <c r="AA135" s="51"/>
    </row>
    <row r="136" spans="11:27">
      <c r="K136" s="51"/>
      <c r="P136" s="50"/>
      <c r="W136" s="53"/>
      <c r="X136" s="53"/>
      <c r="Y136" s="51"/>
      <c r="Z136" s="51"/>
      <c r="AA136" s="51"/>
    </row>
    <row r="137" spans="11:27">
      <c r="K137" s="51"/>
      <c r="P137" s="50"/>
      <c r="W137" s="53"/>
      <c r="X137" s="53"/>
      <c r="Y137" s="51"/>
      <c r="Z137" s="51"/>
      <c r="AA137" s="51"/>
    </row>
    <row r="138" spans="11:27">
      <c r="K138" s="51"/>
      <c r="P138" s="50"/>
      <c r="W138" s="53"/>
      <c r="X138" s="53"/>
      <c r="Y138" s="51"/>
      <c r="Z138" s="51"/>
      <c r="AA138" s="51"/>
    </row>
    <row r="139" spans="11:27">
      <c r="K139" s="51"/>
      <c r="P139" s="50"/>
      <c r="W139" s="53"/>
      <c r="X139" s="53"/>
      <c r="Y139" s="51"/>
      <c r="Z139" s="51"/>
      <c r="AA139" s="51"/>
    </row>
    <row r="140" spans="11:27">
      <c r="K140" s="51"/>
      <c r="P140" s="50"/>
      <c r="W140" s="53"/>
      <c r="X140" s="53"/>
      <c r="Y140" s="51"/>
      <c r="Z140" s="51"/>
      <c r="AA140" s="51"/>
    </row>
    <row r="141" spans="11:27">
      <c r="K141" s="51"/>
      <c r="P141" s="50"/>
      <c r="W141" s="53"/>
      <c r="X141" s="53"/>
      <c r="Y141" s="51"/>
      <c r="Z141" s="51"/>
      <c r="AA141" s="51"/>
    </row>
    <row r="142" spans="11:27">
      <c r="K142" s="51"/>
      <c r="P142" s="50"/>
      <c r="W142" s="53"/>
      <c r="X142" s="53"/>
      <c r="Y142" s="51"/>
      <c r="Z142" s="51"/>
      <c r="AA142" s="51"/>
    </row>
    <row r="143" spans="11:27">
      <c r="K143" s="51"/>
      <c r="P143" s="50"/>
      <c r="W143" s="53"/>
      <c r="X143" s="53"/>
      <c r="Y143" s="51"/>
      <c r="Z143" s="51"/>
      <c r="AA143" s="51"/>
    </row>
    <row r="144" spans="11:27">
      <c r="K144" s="51"/>
      <c r="P144" s="50"/>
      <c r="W144" s="53"/>
      <c r="X144" s="53"/>
      <c r="Y144" s="51"/>
      <c r="Z144" s="51"/>
      <c r="AA144" s="51"/>
    </row>
    <row r="145" spans="11:27">
      <c r="K145" s="51"/>
      <c r="P145" s="50"/>
      <c r="W145" s="53"/>
      <c r="X145" s="53"/>
      <c r="Y145" s="51"/>
      <c r="Z145" s="51"/>
      <c r="AA145" s="51"/>
    </row>
    <row r="146" spans="11:27">
      <c r="K146" s="51"/>
      <c r="P146" s="50"/>
      <c r="W146" s="53"/>
      <c r="X146" s="53"/>
      <c r="Y146" s="51"/>
      <c r="Z146" s="51"/>
      <c r="AA146" s="51"/>
    </row>
    <row r="147" spans="11:27">
      <c r="K147" s="51"/>
      <c r="P147" s="50"/>
      <c r="W147" s="53"/>
      <c r="X147" s="53"/>
      <c r="Y147" s="51"/>
      <c r="Z147" s="51"/>
      <c r="AA147" s="51"/>
    </row>
    <row r="148" spans="11:27">
      <c r="K148" s="51"/>
      <c r="P148" s="50"/>
      <c r="W148" s="53"/>
      <c r="X148" s="53"/>
      <c r="Y148" s="51"/>
      <c r="Z148" s="51"/>
      <c r="AA148" s="51"/>
    </row>
    <row r="149" spans="11:27">
      <c r="K149" s="51"/>
      <c r="P149" s="50"/>
      <c r="W149" s="53"/>
      <c r="X149" s="53"/>
      <c r="Y149" s="51"/>
      <c r="Z149" s="51"/>
      <c r="AA149" s="51"/>
    </row>
    <row r="150" spans="11:27">
      <c r="K150" s="51"/>
      <c r="P150" s="50"/>
      <c r="W150" s="53"/>
      <c r="X150" s="53"/>
      <c r="Y150" s="51"/>
      <c r="Z150" s="51"/>
      <c r="AA150" s="51"/>
    </row>
    <row r="151" spans="11:27">
      <c r="K151" s="51"/>
      <c r="P151" s="50"/>
      <c r="W151" s="53"/>
      <c r="X151" s="53"/>
      <c r="Y151" s="51"/>
      <c r="Z151" s="51"/>
      <c r="AA151" s="51"/>
    </row>
    <row r="152" spans="11:27">
      <c r="K152" s="51"/>
      <c r="P152" s="50"/>
      <c r="W152" s="53"/>
      <c r="X152" s="53"/>
      <c r="Y152" s="51"/>
      <c r="Z152" s="51"/>
      <c r="AA152" s="51"/>
    </row>
    <row r="153" spans="11:27">
      <c r="K153" s="51"/>
      <c r="P153" s="50"/>
      <c r="W153" s="53"/>
      <c r="X153" s="53"/>
      <c r="Y153" s="51"/>
      <c r="Z153" s="51"/>
      <c r="AA153" s="51"/>
    </row>
    <row r="154" spans="11:27">
      <c r="K154" s="51"/>
      <c r="P154" s="50"/>
      <c r="W154" s="53"/>
      <c r="X154" s="53"/>
      <c r="Y154" s="51"/>
      <c r="Z154" s="51"/>
      <c r="AA154" s="51"/>
    </row>
    <row r="155" spans="11:27">
      <c r="K155" s="51"/>
      <c r="P155" s="50"/>
      <c r="W155" s="53"/>
      <c r="X155" s="53"/>
      <c r="Y155" s="51"/>
      <c r="Z155" s="51"/>
      <c r="AA155" s="51"/>
    </row>
    <row r="156" spans="11:27">
      <c r="K156" s="51"/>
      <c r="P156" s="50"/>
      <c r="W156" s="53"/>
      <c r="X156" s="53"/>
      <c r="Y156" s="51"/>
      <c r="Z156" s="51"/>
      <c r="AA156" s="51"/>
    </row>
    <row r="157" spans="11:27">
      <c r="K157" s="51"/>
      <c r="P157" s="50"/>
      <c r="W157" s="53"/>
      <c r="X157" s="53"/>
      <c r="Y157" s="51"/>
      <c r="Z157" s="51"/>
      <c r="AA157" s="51"/>
    </row>
    <row r="158" spans="11:27">
      <c r="K158" s="51"/>
      <c r="P158" s="50"/>
      <c r="W158" s="53"/>
      <c r="X158" s="53"/>
      <c r="Y158" s="51"/>
      <c r="Z158" s="51"/>
      <c r="AA158" s="51"/>
    </row>
    <row r="159" spans="11:27">
      <c r="K159" s="51"/>
      <c r="P159" s="50"/>
      <c r="W159" s="53"/>
      <c r="X159" s="53"/>
      <c r="Y159" s="51"/>
      <c r="Z159" s="51"/>
      <c r="AA159" s="51"/>
    </row>
    <row r="160" spans="11:27">
      <c r="K160" s="51"/>
      <c r="P160" s="50"/>
      <c r="W160" s="53"/>
      <c r="X160" s="53"/>
      <c r="Y160" s="51"/>
      <c r="Z160" s="51"/>
      <c r="AA160" s="51"/>
    </row>
    <row r="161" spans="11:27">
      <c r="K161" s="51"/>
      <c r="P161" s="50"/>
      <c r="W161" s="53"/>
      <c r="X161" s="53"/>
      <c r="Y161" s="51"/>
      <c r="Z161" s="51"/>
      <c r="AA161" s="51"/>
    </row>
    <row r="162" spans="11:27">
      <c r="K162" s="51"/>
      <c r="P162" s="50"/>
      <c r="W162" s="53"/>
      <c r="X162" s="53"/>
      <c r="Y162" s="51"/>
      <c r="Z162" s="51"/>
      <c r="AA162" s="51"/>
    </row>
    <row r="163" spans="11:27">
      <c r="K163" s="51"/>
      <c r="P163" s="50"/>
      <c r="W163" s="53"/>
      <c r="X163" s="53"/>
      <c r="Y163" s="51"/>
      <c r="Z163" s="51"/>
      <c r="AA163" s="51"/>
    </row>
    <row r="164" spans="11:27">
      <c r="K164" s="51"/>
      <c r="P164" s="50"/>
      <c r="W164" s="53"/>
      <c r="X164" s="53"/>
      <c r="Y164" s="51"/>
      <c r="Z164" s="51"/>
      <c r="AA164" s="51"/>
    </row>
    <row r="165" spans="11:27">
      <c r="K165" s="51"/>
      <c r="P165" s="50"/>
      <c r="W165" s="53"/>
      <c r="X165" s="53"/>
      <c r="Y165" s="51"/>
      <c r="Z165" s="51"/>
      <c r="AA165" s="51"/>
    </row>
    <row r="166" spans="11:27">
      <c r="K166" s="51"/>
      <c r="P166" s="50"/>
      <c r="W166" s="53"/>
      <c r="X166" s="53"/>
      <c r="Y166" s="51"/>
      <c r="Z166" s="51"/>
      <c r="AA166" s="51"/>
    </row>
    <row r="167" spans="11:27">
      <c r="K167" s="51"/>
      <c r="P167" s="50"/>
      <c r="W167" s="53"/>
      <c r="X167" s="53"/>
      <c r="Y167" s="51"/>
      <c r="Z167" s="51"/>
      <c r="AA167" s="51"/>
    </row>
    <row r="168" spans="11:27">
      <c r="K168" s="51"/>
      <c r="P168" s="50"/>
      <c r="W168" s="53"/>
      <c r="X168" s="53"/>
      <c r="Y168" s="51"/>
      <c r="Z168" s="51"/>
      <c r="AA168" s="51"/>
    </row>
    <row r="169" spans="11:27">
      <c r="K169" s="51"/>
      <c r="P169" s="50"/>
      <c r="W169" s="53"/>
      <c r="X169" s="53"/>
      <c r="Y169" s="51"/>
      <c r="Z169" s="51"/>
      <c r="AA169" s="51"/>
    </row>
    <row r="170" spans="11:27">
      <c r="K170" s="51"/>
      <c r="P170" s="50"/>
      <c r="W170" s="53"/>
      <c r="X170" s="53"/>
      <c r="Y170" s="51"/>
      <c r="Z170" s="51"/>
      <c r="AA170" s="51"/>
    </row>
    <row r="171" spans="11:27">
      <c r="K171" s="51"/>
      <c r="P171" s="50"/>
      <c r="W171" s="53"/>
      <c r="X171" s="53"/>
      <c r="Y171" s="51"/>
      <c r="Z171" s="51"/>
      <c r="AA171" s="51"/>
    </row>
    <row r="172" spans="11:27">
      <c r="K172" s="51"/>
      <c r="P172" s="50"/>
      <c r="W172" s="53"/>
      <c r="X172" s="53"/>
      <c r="Y172" s="51"/>
      <c r="Z172" s="51"/>
      <c r="AA172" s="51"/>
    </row>
    <row r="173" spans="11:27">
      <c r="K173" s="51"/>
      <c r="P173" s="50"/>
      <c r="W173" s="53"/>
      <c r="X173" s="53"/>
      <c r="Y173" s="51"/>
      <c r="Z173" s="51"/>
      <c r="AA173" s="51"/>
    </row>
    <row r="174" spans="11:27">
      <c r="K174" s="51"/>
      <c r="P174" s="50"/>
      <c r="W174" s="53"/>
      <c r="X174" s="53"/>
      <c r="Y174" s="51"/>
      <c r="Z174" s="51"/>
      <c r="AA174" s="51"/>
    </row>
    <row r="175" spans="11:27">
      <c r="K175" s="51"/>
      <c r="P175" s="50"/>
      <c r="W175" s="53"/>
      <c r="X175" s="53"/>
      <c r="Y175" s="51"/>
      <c r="Z175" s="51"/>
      <c r="AA175" s="51"/>
    </row>
    <row r="176" spans="11:27">
      <c r="K176" s="51"/>
      <c r="P176" s="50"/>
      <c r="W176" s="53"/>
      <c r="X176" s="53"/>
      <c r="Y176" s="51"/>
      <c r="Z176" s="51"/>
      <c r="AA176" s="51"/>
    </row>
    <row r="177" spans="11:27">
      <c r="K177" s="51"/>
      <c r="P177" s="50"/>
      <c r="W177" s="53"/>
      <c r="X177" s="53"/>
      <c r="Y177" s="51"/>
      <c r="Z177" s="51"/>
      <c r="AA177" s="51"/>
    </row>
    <row r="178" spans="11:27">
      <c r="K178" s="51"/>
      <c r="P178" s="50"/>
      <c r="W178" s="53"/>
      <c r="X178" s="53"/>
      <c r="Y178" s="51"/>
      <c r="Z178" s="51"/>
      <c r="AA178" s="51"/>
    </row>
    <row r="179" spans="11:27">
      <c r="K179" s="51"/>
      <c r="P179" s="50"/>
      <c r="W179" s="53"/>
      <c r="X179" s="53"/>
      <c r="Y179" s="51"/>
      <c r="Z179" s="51"/>
      <c r="AA179" s="51"/>
    </row>
    <row r="180" spans="11:27">
      <c r="K180" s="51"/>
      <c r="P180" s="50"/>
      <c r="W180" s="53"/>
      <c r="X180" s="53"/>
      <c r="Y180" s="51"/>
      <c r="Z180" s="51"/>
      <c r="AA180" s="51"/>
    </row>
    <row r="181" spans="11:27">
      <c r="K181" s="51"/>
      <c r="P181" s="50"/>
      <c r="W181" s="53"/>
      <c r="X181" s="53"/>
      <c r="Y181" s="51"/>
      <c r="Z181" s="51"/>
      <c r="AA181" s="51"/>
    </row>
    <row r="182" spans="11:27">
      <c r="K182" s="51"/>
      <c r="P182" s="50"/>
      <c r="W182" s="53"/>
      <c r="X182" s="53"/>
      <c r="Y182" s="51"/>
      <c r="Z182" s="51"/>
      <c r="AA182" s="51"/>
    </row>
    <row r="183" spans="11:27">
      <c r="K183" s="51"/>
      <c r="P183" s="50"/>
      <c r="W183" s="53"/>
      <c r="X183" s="53"/>
      <c r="Y183" s="51"/>
      <c r="Z183" s="51"/>
      <c r="AA183" s="51"/>
    </row>
    <row r="184" spans="11:27">
      <c r="K184" s="51"/>
      <c r="P184" s="50"/>
      <c r="W184" s="53"/>
      <c r="X184" s="53"/>
      <c r="Y184" s="51"/>
      <c r="Z184" s="51"/>
      <c r="AA184" s="51"/>
    </row>
    <row r="185" spans="11:27">
      <c r="K185" s="51"/>
      <c r="P185" s="50"/>
      <c r="W185" s="53"/>
      <c r="X185" s="53"/>
      <c r="Y185" s="51"/>
      <c r="Z185" s="51"/>
      <c r="AA185" s="51"/>
    </row>
    <row r="186" spans="11:27">
      <c r="K186" s="51"/>
      <c r="P186" s="50"/>
      <c r="W186" s="53"/>
      <c r="X186" s="53"/>
      <c r="Y186" s="51"/>
      <c r="Z186" s="51"/>
      <c r="AA186" s="51"/>
    </row>
    <row r="187" spans="11:27">
      <c r="K187" s="51"/>
      <c r="P187" s="50"/>
      <c r="W187" s="53"/>
      <c r="X187" s="53"/>
      <c r="Y187" s="51"/>
      <c r="Z187" s="51"/>
      <c r="AA187" s="51"/>
    </row>
    <row r="188" spans="11:27">
      <c r="K188" s="51"/>
      <c r="P188" s="50"/>
      <c r="W188" s="53"/>
      <c r="X188" s="53"/>
      <c r="Y188" s="51"/>
      <c r="Z188" s="51"/>
      <c r="AA188" s="51"/>
    </row>
    <row r="189" spans="11:27">
      <c r="K189" s="51"/>
      <c r="P189" s="50"/>
      <c r="W189" s="53"/>
      <c r="X189" s="53"/>
      <c r="Y189" s="51"/>
      <c r="Z189" s="51"/>
      <c r="AA189" s="51"/>
    </row>
    <row r="190" spans="11:27">
      <c r="K190" s="51"/>
      <c r="P190" s="50"/>
      <c r="W190" s="53"/>
      <c r="X190" s="53"/>
      <c r="Y190" s="51"/>
      <c r="Z190" s="51"/>
      <c r="AA190" s="51"/>
    </row>
    <row r="191" spans="11:27">
      <c r="K191" s="51"/>
      <c r="P191" s="50"/>
      <c r="W191" s="53"/>
      <c r="X191" s="53"/>
      <c r="Y191" s="51"/>
      <c r="Z191" s="51"/>
      <c r="AA191" s="51"/>
    </row>
    <row r="192" spans="11:27">
      <c r="K192" s="51"/>
      <c r="P192" s="50"/>
      <c r="W192" s="53"/>
      <c r="X192" s="53"/>
      <c r="Y192" s="51"/>
      <c r="Z192" s="51"/>
      <c r="AA192" s="51"/>
    </row>
    <row r="193" spans="11:27">
      <c r="K193" s="51"/>
      <c r="P193" s="50"/>
      <c r="W193" s="53"/>
      <c r="X193" s="53"/>
      <c r="Y193" s="51"/>
      <c r="Z193" s="51"/>
      <c r="AA193" s="51"/>
    </row>
    <row r="194" spans="11:27">
      <c r="K194" s="51"/>
      <c r="P194" s="50"/>
      <c r="W194" s="53"/>
      <c r="X194" s="53"/>
      <c r="Y194" s="51"/>
      <c r="Z194" s="51"/>
      <c r="AA194" s="51"/>
    </row>
    <row r="195" spans="11:27">
      <c r="K195" s="51"/>
      <c r="P195" s="50"/>
      <c r="W195" s="53"/>
      <c r="X195" s="53"/>
      <c r="Y195" s="51"/>
      <c r="Z195" s="51"/>
      <c r="AA195" s="51"/>
    </row>
    <row r="196" spans="11:27">
      <c r="K196" s="51"/>
      <c r="P196" s="50"/>
      <c r="W196" s="53"/>
      <c r="X196" s="53"/>
      <c r="Y196" s="51"/>
      <c r="Z196" s="51"/>
      <c r="AA196" s="51"/>
    </row>
    <row r="197" spans="11:27">
      <c r="K197" s="51"/>
      <c r="P197" s="50"/>
      <c r="W197" s="53"/>
      <c r="X197" s="53"/>
      <c r="Y197" s="51"/>
      <c r="Z197" s="51"/>
      <c r="AA197" s="51"/>
    </row>
    <row r="198" spans="11:27">
      <c r="K198" s="51"/>
      <c r="P198" s="50"/>
      <c r="W198" s="53"/>
      <c r="X198" s="53"/>
      <c r="Y198" s="51"/>
      <c r="Z198" s="51"/>
      <c r="AA198" s="51"/>
    </row>
    <row r="199" spans="11:27">
      <c r="K199" s="51"/>
      <c r="P199" s="50"/>
      <c r="W199" s="53"/>
      <c r="X199" s="53"/>
      <c r="Y199" s="51"/>
      <c r="Z199" s="51"/>
      <c r="AA199" s="51"/>
    </row>
    <row r="200" spans="11:27">
      <c r="K200" s="51"/>
      <c r="P200" s="50"/>
      <c r="W200" s="53"/>
      <c r="X200" s="53"/>
      <c r="Y200" s="51"/>
      <c r="Z200" s="51"/>
      <c r="AA200" s="51"/>
    </row>
    <row r="201" spans="11:27">
      <c r="K201" s="51"/>
      <c r="P201" s="50"/>
      <c r="W201" s="53"/>
      <c r="X201" s="53"/>
      <c r="Y201" s="51"/>
      <c r="Z201" s="51"/>
      <c r="AA201" s="51"/>
    </row>
    <row r="202" spans="11:27">
      <c r="K202" s="51"/>
      <c r="P202" s="50"/>
      <c r="W202" s="53"/>
      <c r="X202" s="53"/>
      <c r="Y202" s="51"/>
      <c r="Z202" s="51"/>
      <c r="AA202" s="51"/>
    </row>
    <row r="203" spans="11:27">
      <c r="K203" s="51"/>
      <c r="P203" s="50"/>
      <c r="W203" s="53"/>
      <c r="X203" s="53"/>
      <c r="Y203" s="51"/>
      <c r="Z203" s="51"/>
      <c r="AA203" s="51"/>
    </row>
    <row r="204" spans="11:27">
      <c r="K204" s="51"/>
      <c r="P204" s="50"/>
      <c r="W204" s="53"/>
      <c r="X204" s="53"/>
      <c r="Y204" s="51"/>
      <c r="Z204" s="51"/>
      <c r="AA204" s="51"/>
    </row>
    <row r="205" spans="11:27">
      <c r="K205" s="51"/>
      <c r="P205" s="50"/>
      <c r="W205" s="53"/>
      <c r="X205" s="53"/>
      <c r="Y205" s="51"/>
      <c r="Z205" s="51"/>
      <c r="AA205" s="51"/>
    </row>
    <row r="206" spans="11:27">
      <c r="K206" s="51"/>
      <c r="P206" s="50"/>
      <c r="W206" s="53"/>
      <c r="X206" s="53"/>
      <c r="Y206" s="51"/>
      <c r="Z206" s="51"/>
      <c r="AA206" s="51"/>
    </row>
    <row r="207" spans="11:27">
      <c r="K207" s="51"/>
      <c r="P207" s="50"/>
      <c r="W207" s="53"/>
      <c r="X207" s="53"/>
      <c r="Y207" s="51"/>
      <c r="Z207" s="51"/>
      <c r="AA207" s="51"/>
    </row>
    <row r="208" spans="11:27">
      <c r="K208" s="51"/>
      <c r="P208" s="50"/>
      <c r="W208" s="53"/>
      <c r="X208" s="53"/>
      <c r="Y208" s="51"/>
      <c r="Z208" s="51"/>
      <c r="AA208" s="51"/>
    </row>
    <row r="209" spans="11:27">
      <c r="K209" s="51"/>
      <c r="P209" s="50"/>
      <c r="W209" s="53"/>
      <c r="X209" s="53"/>
      <c r="Y209" s="51"/>
      <c r="Z209" s="51"/>
      <c r="AA209" s="51"/>
    </row>
    <row r="210" spans="11:27">
      <c r="K210" s="51"/>
      <c r="P210" s="50"/>
      <c r="W210" s="53"/>
      <c r="X210" s="53"/>
      <c r="Y210" s="51"/>
      <c r="Z210" s="51"/>
      <c r="AA210" s="51"/>
    </row>
    <row r="211" spans="11:27">
      <c r="K211" s="51"/>
      <c r="P211" s="50"/>
      <c r="W211" s="53"/>
      <c r="X211" s="53"/>
      <c r="Y211" s="51"/>
      <c r="Z211" s="51"/>
      <c r="AA211" s="51"/>
    </row>
    <row r="212" spans="11:27">
      <c r="K212" s="51"/>
      <c r="P212" s="50"/>
      <c r="W212" s="53"/>
      <c r="X212" s="53"/>
      <c r="Y212" s="51"/>
      <c r="Z212" s="51"/>
      <c r="AA212" s="51"/>
    </row>
    <row r="213" spans="11:27">
      <c r="K213" s="51"/>
      <c r="P213" s="50"/>
      <c r="W213" s="53"/>
      <c r="X213" s="53"/>
      <c r="Y213" s="51"/>
      <c r="Z213" s="51"/>
      <c r="AA213" s="51"/>
    </row>
    <row r="214" spans="11:27">
      <c r="K214" s="51"/>
      <c r="P214" s="50"/>
      <c r="W214" s="53"/>
      <c r="X214" s="53"/>
      <c r="Y214" s="51"/>
      <c r="Z214" s="51"/>
      <c r="AA214" s="51"/>
    </row>
    <row r="215" spans="11:27">
      <c r="K215" s="51"/>
      <c r="P215" s="50"/>
      <c r="W215" s="53"/>
      <c r="X215" s="53"/>
      <c r="Y215" s="51"/>
      <c r="Z215" s="51"/>
      <c r="AA215" s="51"/>
    </row>
    <row r="216" spans="11:27">
      <c r="K216" s="51"/>
      <c r="P216" s="50"/>
      <c r="W216" s="53"/>
      <c r="X216" s="53"/>
      <c r="Y216" s="51"/>
      <c r="Z216" s="51"/>
      <c r="AA216" s="51"/>
    </row>
    <row r="217" spans="11:27">
      <c r="K217" s="51"/>
      <c r="P217" s="50"/>
      <c r="W217" s="53"/>
      <c r="X217" s="53"/>
      <c r="Y217" s="51"/>
      <c r="Z217" s="51"/>
      <c r="AA217" s="51"/>
    </row>
    <row r="218" spans="11:27">
      <c r="K218" s="51"/>
      <c r="P218" s="50"/>
      <c r="W218" s="53"/>
      <c r="X218" s="53"/>
      <c r="Y218" s="51"/>
      <c r="Z218" s="51"/>
      <c r="AA218" s="51"/>
    </row>
    <row r="219" spans="11:27">
      <c r="K219" s="51"/>
      <c r="P219" s="50"/>
      <c r="W219" s="53"/>
      <c r="X219" s="53"/>
      <c r="Y219" s="51"/>
      <c r="Z219" s="51"/>
      <c r="AA219" s="51"/>
    </row>
    <row r="220" spans="11:27">
      <c r="K220" s="51"/>
      <c r="P220" s="50"/>
      <c r="W220" s="53"/>
      <c r="X220" s="53"/>
      <c r="Y220" s="51"/>
      <c r="Z220" s="51"/>
      <c r="AA220" s="51"/>
    </row>
    <row r="221" spans="11:27">
      <c r="K221" s="51"/>
      <c r="P221" s="50"/>
      <c r="W221" s="53"/>
      <c r="X221" s="53"/>
      <c r="Y221" s="51"/>
      <c r="Z221" s="51"/>
      <c r="AA221" s="51"/>
    </row>
    <row r="222" spans="11:27">
      <c r="K222" s="51"/>
      <c r="P222" s="50"/>
      <c r="W222" s="53"/>
      <c r="X222" s="53"/>
      <c r="Y222" s="51"/>
      <c r="Z222" s="51"/>
      <c r="AA222" s="51"/>
    </row>
    <row r="223" spans="11:27">
      <c r="K223" s="51"/>
      <c r="P223" s="50"/>
      <c r="W223" s="53"/>
      <c r="X223" s="53"/>
      <c r="Y223" s="51"/>
      <c r="Z223" s="51"/>
      <c r="AA223" s="51"/>
    </row>
    <row r="224" spans="11:27">
      <c r="K224" s="51"/>
      <c r="P224" s="50"/>
      <c r="W224" s="53"/>
      <c r="X224" s="53"/>
      <c r="Y224" s="51"/>
      <c r="Z224" s="51"/>
      <c r="AA224" s="51"/>
    </row>
    <row r="225" spans="11:27">
      <c r="K225" s="51"/>
      <c r="P225" s="50"/>
      <c r="W225" s="53"/>
      <c r="X225" s="53"/>
      <c r="Y225" s="51"/>
      <c r="Z225" s="51"/>
      <c r="AA225" s="51"/>
    </row>
    <row r="226" spans="11:27">
      <c r="K226" s="51"/>
      <c r="P226" s="50"/>
      <c r="W226" s="53"/>
      <c r="X226" s="53"/>
      <c r="Y226" s="51"/>
      <c r="Z226" s="51"/>
      <c r="AA226" s="51"/>
    </row>
    <row r="227" spans="11:27">
      <c r="K227" s="51"/>
      <c r="P227" s="50"/>
      <c r="W227" s="53"/>
      <c r="X227" s="53"/>
      <c r="Y227" s="51"/>
      <c r="Z227" s="51"/>
      <c r="AA227" s="51"/>
    </row>
    <row r="228" spans="11:27">
      <c r="K228" s="51"/>
      <c r="P228" s="50"/>
      <c r="W228" s="53"/>
      <c r="X228" s="53"/>
      <c r="Y228" s="51"/>
      <c r="Z228" s="51"/>
      <c r="AA228" s="51"/>
    </row>
    <row r="229" spans="11:27">
      <c r="K229" s="51"/>
      <c r="P229" s="50"/>
      <c r="W229" s="53"/>
      <c r="X229" s="53"/>
      <c r="Y229" s="51"/>
      <c r="Z229" s="51"/>
      <c r="AA229" s="51"/>
    </row>
    <row r="230" spans="11:27">
      <c r="K230" s="51"/>
      <c r="P230" s="50"/>
      <c r="W230" s="53"/>
      <c r="X230" s="53"/>
      <c r="Y230" s="51"/>
      <c r="Z230" s="51"/>
      <c r="AA230" s="51"/>
    </row>
    <row r="231" spans="11:27">
      <c r="K231" s="51"/>
      <c r="P231" s="50"/>
      <c r="W231" s="53"/>
      <c r="X231" s="53"/>
      <c r="Y231" s="51"/>
      <c r="Z231" s="51"/>
      <c r="AA231" s="51"/>
    </row>
    <row r="232" spans="11:27">
      <c r="K232" s="51"/>
      <c r="P232" s="50"/>
      <c r="W232" s="53"/>
      <c r="X232" s="53"/>
      <c r="Y232" s="51"/>
      <c r="Z232" s="51"/>
      <c r="AA232" s="51"/>
    </row>
    <row r="233" spans="11:27">
      <c r="K233" s="51"/>
      <c r="P233" s="50"/>
      <c r="W233" s="53"/>
      <c r="X233" s="53"/>
      <c r="Y233" s="51"/>
      <c r="Z233" s="51"/>
      <c r="AA233" s="51"/>
    </row>
    <row r="234" spans="11:27">
      <c r="K234" s="51"/>
      <c r="P234" s="50"/>
      <c r="W234" s="53"/>
      <c r="X234" s="53"/>
      <c r="Y234" s="51"/>
      <c r="Z234" s="51"/>
      <c r="AA234" s="51"/>
    </row>
    <row r="235" spans="11:27">
      <c r="K235" s="51"/>
      <c r="P235" s="50"/>
      <c r="W235" s="53"/>
      <c r="X235" s="53"/>
      <c r="Y235" s="51"/>
      <c r="Z235" s="51"/>
      <c r="AA235" s="51"/>
    </row>
    <row r="236" spans="11:27">
      <c r="K236" s="51"/>
      <c r="P236" s="50"/>
      <c r="W236" s="53"/>
      <c r="X236" s="53"/>
      <c r="Y236" s="51"/>
      <c r="Z236" s="51"/>
      <c r="AA236" s="51"/>
    </row>
    <row r="237" spans="11:27">
      <c r="K237" s="51"/>
      <c r="P237" s="50"/>
      <c r="W237" s="53"/>
      <c r="X237" s="53"/>
      <c r="Y237" s="51"/>
      <c r="Z237" s="51"/>
      <c r="AA237" s="51"/>
    </row>
    <row r="238" spans="11:27">
      <c r="K238" s="51"/>
      <c r="P238" s="50"/>
      <c r="W238" s="53"/>
      <c r="X238" s="53"/>
      <c r="Y238" s="51"/>
      <c r="Z238" s="51"/>
      <c r="AA238" s="51"/>
    </row>
    <row r="239" spans="11:27">
      <c r="K239" s="51"/>
      <c r="P239" s="50"/>
      <c r="W239" s="53"/>
      <c r="X239" s="53"/>
      <c r="Y239" s="51"/>
      <c r="Z239" s="51"/>
      <c r="AA239" s="51"/>
    </row>
    <row r="240" spans="11:27">
      <c r="K240" s="51"/>
      <c r="P240" s="50"/>
      <c r="W240" s="53"/>
      <c r="X240" s="53"/>
      <c r="Y240" s="51"/>
      <c r="Z240" s="51"/>
      <c r="AA240" s="51"/>
    </row>
    <row r="241" spans="11:27">
      <c r="K241" s="51"/>
      <c r="P241" s="50"/>
      <c r="W241" s="53"/>
      <c r="X241" s="53"/>
      <c r="Y241" s="51"/>
      <c r="Z241" s="51"/>
      <c r="AA241" s="51"/>
    </row>
    <row r="242" spans="11:27">
      <c r="K242" s="51"/>
      <c r="P242" s="50"/>
      <c r="W242" s="53"/>
      <c r="X242" s="53"/>
      <c r="Y242" s="51"/>
      <c r="Z242" s="51"/>
      <c r="AA242" s="51"/>
    </row>
    <row r="243" spans="11:27">
      <c r="K243" s="51"/>
      <c r="P243" s="50"/>
      <c r="W243" s="53"/>
      <c r="X243" s="53"/>
      <c r="Y243" s="51"/>
      <c r="Z243" s="51"/>
      <c r="AA243" s="51"/>
    </row>
    <row r="244" spans="11:27">
      <c r="K244" s="51"/>
      <c r="P244" s="50"/>
      <c r="W244" s="53"/>
      <c r="X244" s="53"/>
      <c r="Y244" s="51"/>
      <c r="Z244" s="51"/>
      <c r="AA244" s="51"/>
    </row>
    <row r="245" spans="11:27">
      <c r="K245" s="51"/>
      <c r="P245" s="50"/>
      <c r="W245" s="53"/>
      <c r="X245" s="53"/>
      <c r="Y245" s="51"/>
      <c r="Z245" s="51"/>
      <c r="AA245" s="51"/>
    </row>
    <row r="246" spans="11:27">
      <c r="K246" s="51"/>
      <c r="P246" s="50"/>
      <c r="W246" s="53"/>
      <c r="X246" s="53"/>
      <c r="Y246" s="51"/>
      <c r="Z246" s="51"/>
      <c r="AA246" s="51"/>
    </row>
    <row r="247" spans="11:27">
      <c r="K247" s="51"/>
      <c r="P247" s="50"/>
      <c r="W247" s="53"/>
      <c r="X247" s="53"/>
      <c r="Y247" s="51"/>
      <c r="Z247" s="51"/>
      <c r="AA247" s="51"/>
    </row>
    <row r="248" spans="11:27">
      <c r="K248" s="51"/>
      <c r="P248" s="50"/>
      <c r="W248" s="53"/>
      <c r="X248" s="53"/>
      <c r="Y248" s="51"/>
      <c r="Z248" s="51"/>
      <c r="AA248" s="51"/>
    </row>
    <row r="249" spans="11:27">
      <c r="K249" s="51"/>
      <c r="P249" s="50"/>
      <c r="W249" s="53"/>
      <c r="X249" s="53"/>
      <c r="Y249" s="51"/>
      <c r="Z249" s="51"/>
      <c r="AA249" s="51"/>
    </row>
    <row r="250" spans="11:27">
      <c r="K250" s="51"/>
      <c r="P250" s="50"/>
      <c r="W250" s="53"/>
      <c r="X250" s="53"/>
      <c r="Y250" s="51"/>
      <c r="Z250" s="51"/>
      <c r="AA250" s="51"/>
    </row>
    <row r="251" spans="11:27">
      <c r="K251" s="51"/>
      <c r="P251" s="50"/>
      <c r="W251" s="53"/>
      <c r="X251" s="53"/>
      <c r="Y251" s="51"/>
      <c r="Z251" s="51"/>
      <c r="AA251" s="51"/>
    </row>
    <row r="252" spans="11:27">
      <c r="K252" s="51"/>
      <c r="P252" s="50"/>
      <c r="W252" s="53"/>
      <c r="X252" s="53"/>
      <c r="Y252" s="51"/>
      <c r="Z252" s="51"/>
      <c r="AA252" s="51"/>
    </row>
    <row r="253" spans="11:27">
      <c r="K253" s="51"/>
      <c r="P253" s="50"/>
      <c r="W253" s="53"/>
      <c r="X253" s="53"/>
      <c r="Y253" s="51"/>
      <c r="Z253" s="51"/>
      <c r="AA253" s="51"/>
    </row>
    <row r="254" spans="11:27">
      <c r="K254" s="51"/>
      <c r="P254" s="50"/>
      <c r="W254" s="53"/>
      <c r="X254" s="53"/>
      <c r="Y254" s="51"/>
      <c r="Z254" s="51"/>
      <c r="AA254" s="51"/>
    </row>
    <row r="255" spans="11:27">
      <c r="K255" s="51"/>
      <c r="P255" s="50"/>
      <c r="W255" s="53"/>
      <c r="X255" s="53"/>
      <c r="Y255" s="51"/>
      <c r="Z255" s="51"/>
      <c r="AA255" s="51"/>
    </row>
    <row r="256" spans="11:27">
      <c r="K256" s="51"/>
      <c r="P256" s="50"/>
      <c r="W256" s="53"/>
      <c r="X256" s="53"/>
      <c r="Y256" s="51"/>
      <c r="Z256" s="51"/>
      <c r="AA256" s="51"/>
    </row>
    <row r="257" spans="11:27">
      <c r="K257" s="51"/>
      <c r="P257" s="50"/>
      <c r="W257" s="53"/>
      <c r="X257" s="53"/>
      <c r="Y257" s="51"/>
      <c r="Z257" s="51"/>
      <c r="AA257" s="51"/>
    </row>
    <row r="258" spans="11:27">
      <c r="K258" s="51"/>
      <c r="P258" s="50"/>
      <c r="W258" s="53"/>
      <c r="X258" s="53"/>
      <c r="Y258" s="51"/>
      <c r="Z258" s="51"/>
      <c r="AA258" s="51"/>
    </row>
    <row r="259" spans="11:27">
      <c r="K259" s="51"/>
      <c r="P259" s="50"/>
      <c r="W259" s="53"/>
      <c r="X259" s="53"/>
      <c r="Y259" s="51"/>
      <c r="Z259" s="51"/>
      <c r="AA259" s="51"/>
    </row>
    <row r="260" spans="11:27">
      <c r="K260" s="51"/>
      <c r="P260" s="50"/>
      <c r="W260" s="53"/>
      <c r="X260" s="53"/>
      <c r="Y260" s="51"/>
      <c r="Z260" s="51"/>
      <c r="AA260" s="51"/>
    </row>
    <row r="261" spans="11:27">
      <c r="K261" s="51"/>
      <c r="P261" s="50"/>
      <c r="W261" s="53"/>
      <c r="X261" s="53"/>
      <c r="Y261" s="51"/>
      <c r="Z261" s="51"/>
      <c r="AA261" s="51"/>
    </row>
    <row r="262" spans="11:27">
      <c r="K262" s="51"/>
      <c r="P262" s="50"/>
      <c r="W262" s="53"/>
      <c r="X262" s="53"/>
      <c r="Y262" s="51"/>
      <c r="Z262" s="51"/>
      <c r="AA262" s="51"/>
    </row>
    <row r="263" spans="11:27">
      <c r="K263" s="51"/>
      <c r="P263" s="50"/>
      <c r="W263" s="53"/>
      <c r="X263" s="53"/>
      <c r="Y263" s="51"/>
      <c r="Z263" s="51"/>
      <c r="AA263" s="51"/>
    </row>
    <row r="264" spans="11:27">
      <c r="K264" s="51"/>
      <c r="P264" s="50"/>
      <c r="W264" s="53"/>
      <c r="X264" s="53"/>
      <c r="Y264" s="51"/>
      <c r="Z264" s="51"/>
      <c r="AA264" s="51"/>
    </row>
    <row r="265" spans="11:27">
      <c r="K265" s="51"/>
      <c r="P265" s="50"/>
      <c r="W265" s="53"/>
      <c r="X265" s="53"/>
      <c r="Y265" s="51"/>
      <c r="Z265" s="51"/>
      <c r="AA265" s="51"/>
    </row>
    <row r="266" spans="11:27">
      <c r="K266" s="51"/>
      <c r="P266" s="50"/>
      <c r="W266" s="53"/>
      <c r="X266" s="53"/>
      <c r="Y266" s="51"/>
      <c r="Z266" s="51"/>
      <c r="AA266" s="51"/>
    </row>
    <row r="267" spans="11:27">
      <c r="K267" s="51"/>
      <c r="P267" s="50"/>
      <c r="W267" s="53"/>
      <c r="X267" s="53"/>
      <c r="Y267" s="51"/>
      <c r="Z267" s="51"/>
      <c r="AA267" s="51"/>
    </row>
    <row r="268" spans="11:27">
      <c r="K268" s="51"/>
      <c r="P268" s="50"/>
      <c r="W268" s="53"/>
      <c r="X268" s="53"/>
      <c r="Y268" s="51"/>
      <c r="Z268" s="51"/>
      <c r="AA268" s="51"/>
    </row>
    <row r="269" spans="11:27">
      <c r="K269" s="51"/>
      <c r="P269" s="50"/>
      <c r="W269" s="53"/>
      <c r="X269" s="53"/>
      <c r="Y269" s="51"/>
      <c r="Z269" s="51"/>
      <c r="AA269" s="51"/>
    </row>
    <row r="270" spans="11:27">
      <c r="K270" s="51"/>
      <c r="P270" s="50"/>
      <c r="W270" s="53"/>
      <c r="X270" s="53"/>
      <c r="Y270" s="51"/>
      <c r="Z270" s="51"/>
      <c r="AA270" s="51"/>
    </row>
    <row r="271" spans="11:27">
      <c r="K271" s="51"/>
      <c r="P271" s="50"/>
      <c r="W271" s="53"/>
      <c r="X271" s="53"/>
      <c r="Y271" s="51"/>
      <c r="Z271" s="51"/>
      <c r="AA271" s="51"/>
    </row>
    <row r="272" spans="11:27">
      <c r="K272" s="51"/>
      <c r="P272" s="50"/>
      <c r="W272" s="53"/>
      <c r="X272" s="53"/>
      <c r="Y272" s="51"/>
      <c r="Z272" s="51"/>
      <c r="AA272" s="51"/>
    </row>
    <row r="273" spans="11:27">
      <c r="K273" s="51"/>
      <c r="P273" s="50"/>
      <c r="W273" s="53"/>
      <c r="X273" s="53"/>
      <c r="Y273" s="51"/>
      <c r="Z273" s="51"/>
      <c r="AA273" s="51"/>
    </row>
    <row r="274" spans="11:27">
      <c r="K274" s="51"/>
      <c r="P274" s="50"/>
      <c r="W274" s="53"/>
      <c r="X274" s="53"/>
      <c r="Y274" s="51"/>
      <c r="Z274" s="51"/>
      <c r="AA274" s="51"/>
    </row>
    <row r="275" spans="11:27">
      <c r="K275" s="51"/>
      <c r="P275" s="50"/>
      <c r="W275" s="53"/>
      <c r="X275" s="53"/>
      <c r="Y275" s="51"/>
      <c r="Z275" s="51"/>
      <c r="AA275" s="51"/>
    </row>
    <row r="276" spans="11:27">
      <c r="K276" s="51"/>
      <c r="P276" s="50"/>
      <c r="W276" s="53"/>
      <c r="X276" s="53"/>
      <c r="Y276" s="51"/>
      <c r="Z276" s="51"/>
      <c r="AA276" s="51"/>
    </row>
    <row r="277" spans="11:27">
      <c r="K277" s="51"/>
      <c r="P277" s="50"/>
      <c r="W277" s="53"/>
      <c r="X277" s="53"/>
      <c r="Y277" s="51"/>
      <c r="Z277" s="51"/>
      <c r="AA277" s="51"/>
    </row>
    <row r="278" spans="11:27">
      <c r="K278" s="51"/>
      <c r="P278" s="50"/>
      <c r="W278" s="53"/>
      <c r="X278" s="53"/>
      <c r="Y278" s="51"/>
      <c r="Z278" s="51"/>
      <c r="AA278" s="51"/>
    </row>
    <row r="279" spans="11:27">
      <c r="K279" s="51"/>
      <c r="P279" s="50"/>
      <c r="W279" s="53"/>
      <c r="X279" s="53"/>
      <c r="Y279" s="51"/>
      <c r="Z279" s="51"/>
      <c r="AA279" s="51"/>
    </row>
    <row r="280" spans="11:27">
      <c r="K280" s="51"/>
      <c r="P280" s="50"/>
      <c r="W280" s="53"/>
      <c r="X280" s="53"/>
      <c r="Y280" s="51"/>
      <c r="Z280" s="51"/>
      <c r="AA280" s="51"/>
    </row>
    <row r="281" spans="11:27">
      <c r="K281" s="51"/>
      <c r="P281" s="50"/>
      <c r="W281" s="53"/>
      <c r="X281" s="53"/>
      <c r="Y281" s="51"/>
      <c r="Z281" s="51"/>
      <c r="AA281" s="51"/>
    </row>
    <row r="282" spans="11:27">
      <c r="K282" s="51"/>
      <c r="P282" s="50"/>
      <c r="W282" s="53"/>
      <c r="X282" s="53"/>
      <c r="Y282" s="51"/>
      <c r="Z282" s="51"/>
      <c r="AA282" s="51"/>
    </row>
    <row r="283" spans="11:27">
      <c r="K283" s="51"/>
      <c r="P283" s="50"/>
      <c r="W283" s="53"/>
      <c r="X283" s="53"/>
      <c r="Y283" s="51"/>
      <c r="Z283" s="51"/>
      <c r="AA283" s="51"/>
    </row>
    <row r="284" spans="11:27">
      <c r="K284" s="51"/>
      <c r="P284" s="50"/>
      <c r="W284" s="53"/>
      <c r="X284" s="53"/>
      <c r="Y284" s="51"/>
      <c r="Z284" s="51"/>
      <c r="AA284" s="51"/>
    </row>
    <row r="285" spans="11:27">
      <c r="K285" s="51"/>
      <c r="P285" s="50"/>
      <c r="W285" s="53"/>
      <c r="X285" s="53"/>
      <c r="Y285" s="51"/>
      <c r="Z285" s="51"/>
      <c r="AA285" s="51"/>
    </row>
    <row r="286" spans="11:27">
      <c r="K286" s="51"/>
      <c r="P286" s="50"/>
      <c r="W286" s="53"/>
      <c r="X286" s="53"/>
      <c r="Y286" s="51"/>
      <c r="Z286" s="51"/>
      <c r="AA286" s="51"/>
    </row>
    <row r="287" spans="11:27">
      <c r="K287" s="51"/>
      <c r="P287" s="50"/>
      <c r="W287" s="53"/>
      <c r="X287" s="53"/>
      <c r="Y287" s="51"/>
      <c r="Z287" s="51"/>
      <c r="AA287" s="51"/>
    </row>
    <row r="288" spans="11:27">
      <c r="K288" s="51"/>
      <c r="P288" s="50"/>
      <c r="W288" s="53"/>
      <c r="X288" s="53"/>
      <c r="Y288" s="51"/>
      <c r="Z288" s="51"/>
      <c r="AA288" s="51"/>
    </row>
    <row r="289" spans="11:27">
      <c r="K289" s="51"/>
      <c r="P289" s="50"/>
      <c r="W289" s="53"/>
      <c r="X289" s="53"/>
      <c r="Y289" s="51"/>
      <c r="Z289" s="51"/>
      <c r="AA289" s="51"/>
    </row>
    <row r="290" spans="11:27">
      <c r="K290" s="51"/>
      <c r="P290" s="50"/>
      <c r="W290" s="53"/>
      <c r="X290" s="53"/>
      <c r="Y290" s="51"/>
      <c r="Z290" s="51"/>
      <c r="AA290" s="51"/>
    </row>
    <row r="291" spans="11:27">
      <c r="K291" s="51"/>
      <c r="P291" s="50"/>
      <c r="W291" s="53"/>
      <c r="X291" s="53"/>
      <c r="Y291" s="51"/>
      <c r="Z291" s="51"/>
      <c r="AA291" s="51"/>
    </row>
    <row r="292" spans="11:27">
      <c r="K292" s="51"/>
      <c r="P292" s="50"/>
      <c r="W292" s="53"/>
      <c r="X292" s="53"/>
      <c r="Y292" s="51"/>
      <c r="Z292" s="51"/>
      <c r="AA292" s="51"/>
    </row>
    <row r="293" spans="11:27">
      <c r="K293" s="51"/>
      <c r="P293" s="50"/>
      <c r="W293" s="53"/>
      <c r="X293" s="53"/>
      <c r="Y293" s="51"/>
      <c r="Z293" s="51"/>
      <c r="AA293" s="51"/>
    </row>
    <row r="294" spans="11:27">
      <c r="K294" s="51"/>
      <c r="P294" s="50"/>
      <c r="W294" s="53"/>
      <c r="X294" s="53"/>
      <c r="Y294" s="51"/>
      <c r="Z294" s="51"/>
      <c r="AA294" s="51"/>
    </row>
    <row r="295" spans="11:27">
      <c r="K295" s="51"/>
      <c r="P295" s="50"/>
      <c r="W295" s="53"/>
      <c r="X295" s="53"/>
      <c r="Y295" s="51"/>
      <c r="Z295" s="51"/>
      <c r="AA295" s="51"/>
    </row>
    <row r="296" spans="11:27">
      <c r="K296" s="51"/>
      <c r="P296" s="50"/>
      <c r="W296" s="53"/>
      <c r="X296" s="53"/>
      <c r="Y296" s="51"/>
      <c r="Z296" s="51"/>
      <c r="AA296" s="51"/>
    </row>
    <row r="297" spans="11:27">
      <c r="K297" s="51"/>
      <c r="P297" s="50"/>
      <c r="W297" s="53"/>
      <c r="X297" s="53"/>
      <c r="Y297" s="51"/>
      <c r="Z297" s="51"/>
      <c r="AA297" s="51"/>
    </row>
    <row r="298" spans="11:27">
      <c r="K298" s="51"/>
      <c r="P298" s="50"/>
      <c r="W298" s="53"/>
      <c r="X298" s="53"/>
      <c r="Y298" s="51"/>
      <c r="Z298" s="51"/>
      <c r="AA298" s="51"/>
    </row>
    <row r="299" spans="11:27">
      <c r="K299" s="51"/>
      <c r="P299" s="50"/>
      <c r="W299" s="53"/>
      <c r="X299" s="53"/>
      <c r="Y299" s="51"/>
      <c r="Z299" s="51"/>
      <c r="AA299" s="51"/>
    </row>
    <row r="300" spans="11:27">
      <c r="K300" s="51"/>
      <c r="P300" s="50"/>
      <c r="W300" s="53"/>
      <c r="X300" s="53"/>
      <c r="Y300" s="51"/>
      <c r="Z300" s="51"/>
      <c r="AA300" s="51"/>
    </row>
    <row r="301" spans="11:27">
      <c r="K301" s="51"/>
      <c r="P301" s="50"/>
      <c r="W301" s="53"/>
      <c r="X301" s="53"/>
      <c r="Y301" s="51"/>
      <c r="Z301" s="51"/>
      <c r="AA301" s="51"/>
    </row>
    <row r="302" spans="11:27">
      <c r="K302" s="51"/>
      <c r="P302" s="50"/>
      <c r="W302" s="53"/>
      <c r="X302" s="53"/>
      <c r="Y302" s="51"/>
      <c r="Z302" s="51"/>
      <c r="AA302" s="51"/>
    </row>
    <row r="303" spans="11:27">
      <c r="K303" s="51"/>
      <c r="P303" s="50"/>
      <c r="W303" s="53"/>
      <c r="X303" s="53"/>
      <c r="Y303" s="51"/>
      <c r="Z303" s="51"/>
      <c r="AA303" s="51"/>
    </row>
    <row r="304" spans="11:27">
      <c r="K304" s="51"/>
      <c r="P304" s="50"/>
      <c r="W304" s="53"/>
      <c r="X304" s="53"/>
      <c r="Y304" s="51"/>
      <c r="Z304" s="51"/>
      <c r="AA304" s="51"/>
    </row>
    <row r="305" spans="11:27">
      <c r="K305" s="51"/>
      <c r="P305" s="50"/>
      <c r="W305" s="53"/>
      <c r="X305" s="53"/>
      <c r="Y305" s="51"/>
      <c r="Z305" s="51"/>
      <c r="AA305" s="51"/>
    </row>
    <row r="306" spans="11:27">
      <c r="K306" s="51"/>
      <c r="P306" s="50"/>
      <c r="W306" s="53"/>
      <c r="X306" s="53"/>
      <c r="Y306" s="51"/>
      <c r="Z306" s="51"/>
      <c r="AA306" s="51"/>
    </row>
    <row r="307" spans="11:27">
      <c r="K307" s="51"/>
      <c r="P307" s="50"/>
      <c r="W307" s="53"/>
      <c r="X307" s="53"/>
      <c r="Y307" s="51"/>
      <c r="Z307" s="51"/>
      <c r="AA307" s="51"/>
    </row>
    <row r="308" spans="11:27">
      <c r="K308" s="51"/>
      <c r="P308" s="50"/>
      <c r="W308" s="53"/>
      <c r="X308" s="53"/>
      <c r="Y308" s="51"/>
      <c r="Z308" s="51"/>
      <c r="AA308" s="51"/>
    </row>
    <row r="309" spans="11:27">
      <c r="K309" s="51"/>
      <c r="P309" s="50"/>
      <c r="W309" s="53"/>
      <c r="X309" s="53"/>
      <c r="Y309" s="51"/>
      <c r="Z309" s="51"/>
      <c r="AA309" s="51"/>
    </row>
    <row r="310" spans="11:27">
      <c r="K310" s="51"/>
      <c r="P310" s="50"/>
      <c r="W310" s="53"/>
      <c r="X310" s="53"/>
      <c r="Y310" s="51"/>
      <c r="Z310" s="51"/>
      <c r="AA310" s="51"/>
    </row>
    <row r="311" spans="11:27">
      <c r="K311" s="51"/>
      <c r="P311" s="50"/>
      <c r="W311" s="53"/>
      <c r="X311" s="53"/>
      <c r="Y311" s="51"/>
      <c r="Z311" s="51"/>
      <c r="AA311" s="51"/>
    </row>
    <row r="312" spans="11:27">
      <c r="K312" s="51"/>
      <c r="P312" s="50"/>
      <c r="W312" s="53"/>
      <c r="X312" s="53"/>
      <c r="Y312" s="51"/>
      <c r="Z312" s="51"/>
      <c r="AA312" s="51"/>
    </row>
    <row r="313" spans="11:27">
      <c r="K313" s="51"/>
      <c r="P313" s="50"/>
      <c r="W313" s="53"/>
      <c r="X313" s="53"/>
      <c r="Y313" s="51"/>
      <c r="Z313" s="51"/>
      <c r="AA313" s="51"/>
    </row>
    <row r="314" spans="11:27">
      <c r="K314" s="51"/>
      <c r="P314" s="50"/>
      <c r="W314" s="53"/>
      <c r="X314" s="53"/>
      <c r="Y314" s="51"/>
      <c r="Z314" s="51"/>
      <c r="AA314" s="51"/>
    </row>
    <row r="315" spans="11:27">
      <c r="K315" s="51"/>
      <c r="P315" s="50"/>
      <c r="W315" s="53"/>
      <c r="X315" s="53"/>
      <c r="Y315" s="51"/>
      <c r="Z315" s="51"/>
      <c r="AA315" s="51"/>
    </row>
    <row r="316" spans="11:27">
      <c r="K316" s="51"/>
      <c r="P316" s="50"/>
      <c r="W316" s="53"/>
      <c r="X316" s="53"/>
      <c r="Y316" s="51"/>
      <c r="Z316" s="51"/>
      <c r="AA316" s="51"/>
    </row>
    <row r="317" spans="11:27">
      <c r="K317" s="51"/>
      <c r="P317" s="50"/>
      <c r="W317" s="53"/>
      <c r="X317" s="53"/>
      <c r="Y317" s="51"/>
      <c r="Z317" s="51"/>
      <c r="AA317" s="51"/>
    </row>
    <row r="318" spans="11:27">
      <c r="K318" s="51"/>
      <c r="P318" s="50"/>
      <c r="W318" s="53"/>
      <c r="X318" s="53"/>
      <c r="Y318" s="51"/>
      <c r="Z318" s="51"/>
      <c r="AA318" s="51"/>
    </row>
    <row r="319" spans="11:27">
      <c r="K319" s="51"/>
      <c r="P319" s="50"/>
      <c r="W319" s="53"/>
      <c r="X319" s="53"/>
      <c r="Y319" s="51"/>
      <c r="Z319" s="51"/>
      <c r="AA319" s="51"/>
    </row>
    <row r="320" spans="11:27">
      <c r="K320" s="51"/>
      <c r="P320" s="50"/>
      <c r="W320" s="53"/>
      <c r="X320" s="53"/>
      <c r="Y320" s="51"/>
      <c r="Z320" s="51"/>
      <c r="AA320" s="51"/>
    </row>
    <row r="321" spans="11:27">
      <c r="K321" s="51"/>
      <c r="P321" s="50"/>
      <c r="W321" s="53"/>
      <c r="X321" s="53"/>
      <c r="Y321" s="51"/>
      <c r="Z321" s="51"/>
      <c r="AA321" s="51"/>
    </row>
    <row r="322" spans="11:27">
      <c r="K322" s="51"/>
      <c r="P322" s="50"/>
      <c r="W322" s="53"/>
      <c r="X322" s="53"/>
      <c r="Y322" s="51"/>
      <c r="Z322" s="51"/>
      <c r="AA322" s="51"/>
    </row>
    <row r="323" spans="11:27">
      <c r="K323" s="51"/>
      <c r="P323" s="50"/>
      <c r="W323" s="53"/>
      <c r="X323" s="53"/>
      <c r="Y323" s="51"/>
      <c r="Z323" s="51"/>
      <c r="AA323" s="51"/>
    </row>
    <row r="324" spans="11:27">
      <c r="K324" s="51"/>
      <c r="P324" s="50"/>
      <c r="W324" s="53"/>
      <c r="X324" s="53"/>
      <c r="Y324" s="51"/>
      <c r="Z324" s="51"/>
      <c r="AA324" s="51"/>
    </row>
    <row r="325" spans="11:27">
      <c r="K325" s="51"/>
      <c r="P325" s="50"/>
      <c r="W325" s="53"/>
      <c r="X325" s="53"/>
      <c r="Y325" s="51"/>
      <c r="Z325" s="51"/>
      <c r="AA325" s="51"/>
    </row>
    <row r="326" spans="11:27">
      <c r="K326" s="51"/>
      <c r="P326" s="50"/>
      <c r="W326" s="53"/>
      <c r="X326" s="53"/>
      <c r="Y326" s="51"/>
      <c r="Z326" s="51"/>
      <c r="AA326" s="51"/>
    </row>
    <row r="327" spans="11:27">
      <c r="K327" s="51"/>
      <c r="P327" s="50"/>
      <c r="W327" s="53"/>
      <c r="X327" s="53"/>
      <c r="Y327" s="51"/>
      <c r="Z327" s="51"/>
      <c r="AA327" s="51"/>
    </row>
    <row r="328" spans="11:27">
      <c r="K328" s="51"/>
      <c r="P328" s="50"/>
      <c r="W328" s="53"/>
      <c r="X328" s="53"/>
      <c r="Y328" s="51"/>
      <c r="Z328" s="51"/>
      <c r="AA328" s="51"/>
    </row>
    <row r="329" spans="11:27">
      <c r="K329" s="51"/>
      <c r="P329" s="50"/>
      <c r="W329" s="53"/>
      <c r="X329" s="53"/>
      <c r="Y329" s="51"/>
      <c r="Z329" s="51"/>
      <c r="AA329" s="51"/>
    </row>
    <row r="330" spans="11:27">
      <c r="K330" s="51"/>
      <c r="P330" s="50"/>
      <c r="W330" s="53"/>
      <c r="X330" s="53"/>
      <c r="Y330" s="51"/>
      <c r="Z330" s="51"/>
      <c r="AA330" s="51"/>
    </row>
    <row r="331" spans="11:27">
      <c r="K331" s="51"/>
      <c r="P331" s="50"/>
      <c r="W331" s="53"/>
      <c r="X331" s="53"/>
      <c r="Y331" s="51"/>
      <c r="Z331" s="51"/>
      <c r="AA331" s="51"/>
    </row>
    <row r="332" spans="11:27">
      <c r="K332" s="51"/>
      <c r="P332" s="50"/>
      <c r="W332" s="53"/>
      <c r="X332" s="53"/>
      <c r="Y332" s="51"/>
      <c r="Z332" s="51"/>
      <c r="AA332" s="51"/>
    </row>
    <row r="333" spans="11:27">
      <c r="K333" s="51"/>
      <c r="P333" s="50"/>
      <c r="W333" s="53"/>
      <c r="X333" s="53"/>
      <c r="Y333" s="51"/>
      <c r="Z333" s="51"/>
      <c r="AA333" s="51"/>
    </row>
    <row r="334" spans="11:27">
      <c r="K334" s="51"/>
      <c r="P334" s="50"/>
      <c r="W334" s="53"/>
      <c r="X334" s="53"/>
      <c r="Y334" s="51"/>
      <c r="Z334" s="51"/>
      <c r="AA334" s="51"/>
    </row>
    <row r="335" spans="11:27">
      <c r="K335" s="51"/>
      <c r="P335" s="50"/>
      <c r="W335" s="53"/>
      <c r="X335" s="53"/>
      <c r="Y335" s="51"/>
      <c r="Z335" s="51"/>
      <c r="AA335" s="51"/>
    </row>
    <row r="336" spans="11:27">
      <c r="K336" s="51"/>
      <c r="P336" s="50"/>
      <c r="W336" s="53"/>
      <c r="X336" s="53"/>
      <c r="Y336" s="51"/>
      <c r="Z336" s="51"/>
      <c r="AA336" s="51"/>
    </row>
    <row r="337" spans="11:27">
      <c r="K337" s="51"/>
      <c r="P337" s="50"/>
      <c r="W337" s="53"/>
      <c r="X337" s="53"/>
      <c r="Y337" s="51"/>
      <c r="Z337" s="51"/>
      <c r="AA337" s="51"/>
    </row>
    <row r="338" spans="11:27">
      <c r="K338" s="51"/>
      <c r="P338" s="50"/>
      <c r="W338" s="53"/>
      <c r="X338" s="53"/>
      <c r="Y338" s="51"/>
      <c r="Z338" s="51"/>
      <c r="AA338" s="51"/>
    </row>
    <row r="339" spans="11:27">
      <c r="K339" s="51"/>
      <c r="P339" s="50"/>
      <c r="W339" s="53"/>
      <c r="X339" s="53"/>
      <c r="Y339" s="51"/>
      <c r="Z339" s="51"/>
      <c r="AA339" s="51"/>
    </row>
    <row r="340" spans="11:27">
      <c r="K340" s="51"/>
      <c r="P340" s="50"/>
      <c r="W340" s="53"/>
      <c r="X340" s="53"/>
      <c r="Y340" s="51"/>
      <c r="Z340" s="51"/>
      <c r="AA340" s="51"/>
    </row>
    <row r="341" spans="11:27">
      <c r="K341" s="51"/>
      <c r="P341" s="50"/>
      <c r="W341" s="53"/>
      <c r="X341" s="53"/>
      <c r="Y341" s="51"/>
      <c r="Z341" s="51"/>
      <c r="AA341" s="51"/>
    </row>
    <row r="342" spans="11:27">
      <c r="K342" s="51"/>
      <c r="P342" s="50"/>
      <c r="W342" s="53"/>
      <c r="X342" s="53"/>
      <c r="Y342" s="51"/>
      <c r="Z342" s="51"/>
      <c r="AA342" s="51"/>
    </row>
    <row r="343" spans="11:27">
      <c r="K343" s="51"/>
      <c r="P343" s="50"/>
      <c r="W343" s="53"/>
      <c r="X343" s="53"/>
      <c r="Y343" s="51"/>
      <c r="Z343" s="51"/>
      <c r="AA343" s="51"/>
    </row>
    <row r="344" spans="11:27">
      <c r="K344" s="51"/>
      <c r="P344" s="50"/>
      <c r="W344" s="53"/>
      <c r="X344" s="53"/>
      <c r="Y344" s="51"/>
      <c r="Z344" s="51"/>
      <c r="AA344" s="51"/>
    </row>
    <row r="345" spans="11:27">
      <c r="K345" s="51"/>
      <c r="P345" s="50"/>
      <c r="W345" s="53"/>
      <c r="X345" s="53"/>
      <c r="Y345" s="51"/>
      <c r="Z345" s="51"/>
      <c r="AA345" s="51"/>
    </row>
    <row r="346" spans="11:27">
      <c r="K346" s="51"/>
      <c r="P346" s="50"/>
      <c r="W346" s="53"/>
      <c r="X346" s="53"/>
      <c r="Y346" s="51"/>
      <c r="Z346" s="51"/>
      <c r="AA346" s="51"/>
    </row>
    <row r="347" spans="11:27">
      <c r="K347" s="51"/>
      <c r="P347" s="50"/>
      <c r="W347" s="53"/>
      <c r="X347" s="53"/>
      <c r="Y347" s="51"/>
      <c r="Z347" s="51"/>
      <c r="AA347" s="51"/>
    </row>
    <row r="348" spans="11:27">
      <c r="K348" s="51"/>
      <c r="P348" s="50"/>
      <c r="W348" s="53"/>
      <c r="X348" s="53"/>
      <c r="Y348" s="51"/>
      <c r="Z348" s="51"/>
      <c r="AA348" s="51"/>
    </row>
    <row r="349" spans="11:27">
      <c r="K349" s="51"/>
      <c r="P349" s="50"/>
      <c r="W349" s="53"/>
      <c r="X349" s="53"/>
      <c r="Y349" s="51"/>
      <c r="Z349" s="51"/>
      <c r="AA349" s="51"/>
    </row>
    <row r="350" spans="11:27">
      <c r="K350" s="51"/>
      <c r="P350" s="50"/>
      <c r="W350" s="53"/>
      <c r="X350" s="53"/>
      <c r="Y350" s="51"/>
      <c r="Z350" s="51"/>
      <c r="AA350" s="51"/>
    </row>
    <row r="351" spans="11:27">
      <c r="K351" s="51"/>
      <c r="P351" s="50"/>
      <c r="W351" s="53"/>
      <c r="X351" s="53"/>
      <c r="Y351" s="51"/>
      <c r="Z351" s="51"/>
      <c r="AA351" s="51"/>
    </row>
    <row r="352" spans="11:27">
      <c r="K352" s="51"/>
      <c r="P352" s="50"/>
      <c r="W352" s="53"/>
      <c r="X352" s="53"/>
      <c r="Y352" s="51"/>
      <c r="Z352" s="51"/>
      <c r="AA352" s="51"/>
    </row>
    <row r="353" spans="11:27">
      <c r="K353" s="51"/>
      <c r="P353" s="50"/>
      <c r="W353" s="53"/>
      <c r="X353" s="53"/>
      <c r="Y353" s="51"/>
      <c r="Z353" s="51"/>
      <c r="AA353" s="51"/>
    </row>
    <row r="354" spans="11:27">
      <c r="K354" s="51"/>
      <c r="P354" s="50"/>
      <c r="W354" s="53"/>
      <c r="X354" s="53"/>
      <c r="Y354" s="51"/>
      <c r="Z354" s="51"/>
      <c r="AA354" s="51"/>
    </row>
    <row r="355" spans="11:27">
      <c r="K355" s="51"/>
      <c r="P355" s="50"/>
      <c r="W355" s="53"/>
      <c r="X355" s="53"/>
      <c r="Y355" s="51"/>
      <c r="Z355" s="51"/>
      <c r="AA355" s="51"/>
    </row>
    <row r="356" spans="11:27">
      <c r="K356" s="51"/>
      <c r="P356" s="50"/>
      <c r="W356" s="53"/>
      <c r="X356" s="53"/>
      <c r="Y356" s="51"/>
      <c r="Z356" s="51"/>
      <c r="AA356" s="51"/>
    </row>
    <row r="357" spans="11:27">
      <c r="K357" s="51"/>
      <c r="P357" s="50"/>
      <c r="W357" s="53"/>
      <c r="X357" s="53"/>
      <c r="Y357" s="51"/>
      <c r="Z357" s="51"/>
      <c r="AA357" s="51"/>
    </row>
    <row r="358" spans="11:27">
      <c r="K358" s="51"/>
      <c r="P358" s="50"/>
      <c r="W358" s="53"/>
      <c r="X358" s="53"/>
      <c r="Y358" s="51"/>
      <c r="Z358" s="51"/>
      <c r="AA358" s="51"/>
    </row>
    <row r="359" spans="11:27">
      <c r="K359" s="51"/>
      <c r="P359" s="50"/>
      <c r="W359" s="53"/>
      <c r="X359" s="53"/>
      <c r="Y359" s="51"/>
      <c r="Z359" s="51"/>
      <c r="AA359" s="51"/>
    </row>
    <row r="360" spans="11:27">
      <c r="K360" s="51"/>
      <c r="P360" s="50"/>
      <c r="W360" s="53"/>
      <c r="X360" s="53"/>
      <c r="Y360" s="51"/>
      <c r="Z360" s="51"/>
      <c r="AA360" s="51"/>
    </row>
    <row r="361" spans="11:27">
      <c r="K361" s="51"/>
      <c r="P361" s="50"/>
      <c r="W361" s="53"/>
      <c r="X361" s="53"/>
      <c r="Y361" s="51"/>
      <c r="Z361" s="51"/>
      <c r="AA361" s="51"/>
    </row>
    <row r="362" spans="11:27">
      <c r="K362" s="51"/>
      <c r="P362" s="50"/>
      <c r="W362" s="53"/>
      <c r="X362" s="53"/>
      <c r="Y362" s="51"/>
      <c r="Z362" s="51"/>
      <c r="AA362" s="51"/>
    </row>
    <row r="363" spans="11:27">
      <c r="K363" s="51"/>
      <c r="P363" s="50"/>
      <c r="W363" s="53"/>
      <c r="X363" s="53"/>
      <c r="Y363" s="51"/>
      <c r="Z363" s="51"/>
      <c r="AA363" s="51"/>
    </row>
    <row r="364" spans="11:27">
      <c r="K364" s="51"/>
      <c r="P364" s="50"/>
      <c r="W364" s="53"/>
      <c r="X364" s="53"/>
      <c r="Y364" s="51"/>
      <c r="Z364" s="51"/>
      <c r="AA364" s="51"/>
    </row>
    <row r="365" spans="11:27">
      <c r="K365" s="51"/>
      <c r="P365" s="50"/>
      <c r="W365" s="53"/>
      <c r="X365" s="53"/>
      <c r="Y365" s="51"/>
      <c r="Z365" s="51"/>
      <c r="AA365" s="51"/>
    </row>
    <row r="366" spans="11:27">
      <c r="K366" s="51"/>
      <c r="P366" s="50"/>
      <c r="W366" s="53"/>
      <c r="X366" s="53"/>
      <c r="Y366" s="51"/>
      <c r="Z366" s="51"/>
      <c r="AA366" s="51"/>
    </row>
    <row r="367" spans="11:27">
      <c r="K367" s="51"/>
      <c r="P367" s="50"/>
      <c r="W367" s="53"/>
      <c r="X367" s="53"/>
      <c r="Y367" s="51"/>
      <c r="Z367" s="51"/>
      <c r="AA367" s="51"/>
    </row>
    <row r="368" spans="11:27">
      <c r="K368" s="51"/>
      <c r="P368" s="50"/>
      <c r="W368" s="53"/>
      <c r="X368" s="53"/>
      <c r="Y368" s="51"/>
      <c r="Z368" s="51"/>
      <c r="AA368" s="51"/>
    </row>
    <row r="369" spans="11:27">
      <c r="K369" s="51"/>
      <c r="P369" s="50"/>
      <c r="W369" s="53"/>
      <c r="X369" s="53"/>
      <c r="Y369" s="51"/>
      <c r="Z369" s="51"/>
      <c r="AA369" s="51"/>
    </row>
    <row r="370" spans="11:27">
      <c r="K370" s="51"/>
      <c r="P370" s="50"/>
      <c r="W370" s="53"/>
      <c r="X370" s="53"/>
      <c r="Y370" s="51"/>
      <c r="Z370" s="51"/>
      <c r="AA370" s="51"/>
    </row>
    <row r="371" spans="11:27">
      <c r="K371" s="51"/>
      <c r="P371" s="50"/>
      <c r="W371" s="53"/>
      <c r="X371" s="53"/>
      <c r="Y371" s="51"/>
      <c r="Z371" s="51"/>
      <c r="AA371" s="51"/>
    </row>
    <row r="372" spans="11:27">
      <c r="K372" s="51"/>
      <c r="P372" s="50"/>
      <c r="W372" s="53"/>
      <c r="X372" s="53"/>
      <c r="Y372" s="51"/>
      <c r="Z372" s="51"/>
      <c r="AA372" s="51"/>
    </row>
    <row r="373" spans="11:27">
      <c r="K373" s="51"/>
      <c r="P373" s="50"/>
      <c r="W373" s="53"/>
      <c r="X373" s="53"/>
      <c r="Y373" s="51"/>
      <c r="Z373" s="51"/>
      <c r="AA373" s="51"/>
    </row>
    <row r="374" spans="11:27">
      <c r="K374" s="51"/>
      <c r="P374" s="50"/>
      <c r="W374" s="53"/>
      <c r="X374" s="53"/>
      <c r="Y374" s="51"/>
      <c r="Z374" s="51"/>
      <c r="AA374" s="51"/>
    </row>
    <row r="375" spans="11:27">
      <c r="K375" s="51"/>
      <c r="P375" s="50"/>
      <c r="W375" s="53"/>
      <c r="X375" s="53"/>
      <c r="Y375" s="51"/>
      <c r="Z375" s="51"/>
      <c r="AA375" s="51"/>
    </row>
    <row r="376" spans="11:27">
      <c r="K376" s="51"/>
      <c r="P376" s="50"/>
      <c r="W376" s="53"/>
      <c r="X376" s="53"/>
      <c r="Y376" s="51"/>
      <c r="Z376" s="51"/>
      <c r="AA376" s="51"/>
    </row>
    <row r="377" spans="11:27">
      <c r="K377" s="51"/>
      <c r="P377" s="50"/>
      <c r="W377" s="53"/>
      <c r="X377" s="53"/>
      <c r="Y377" s="51"/>
      <c r="Z377" s="51"/>
      <c r="AA377" s="51"/>
    </row>
    <row r="378" spans="11:27">
      <c r="K378" s="51"/>
      <c r="P378" s="50"/>
      <c r="W378" s="53"/>
      <c r="X378" s="53"/>
      <c r="Y378" s="51"/>
      <c r="Z378" s="51"/>
      <c r="AA378" s="51"/>
    </row>
    <row r="379" spans="11:27">
      <c r="K379" s="51"/>
      <c r="P379" s="50"/>
      <c r="W379" s="53"/>
      <c r="X379" s="53"/>
      <c r="Y379" s="51"/>
      <c r="Z379" s="51"/>
      <c r="AA379" s="51"/>
    </row>
    <row r="380" spans="11:27">
      <c r="K380" s="51"/>
      <c r="P380" s="50"/>
      <c r="W380" s="53"/>
      <c r="X380" s="53"/>
      <c r="Y380" s="51"/>
      <c r="Z380" s="51"/>
      <c r="AA380" s="51"/>
    </row>
    <row r="381" spans="11:27">
      <c r="K381" s="51"/>
      <c r="P381" s="50"/>
      <c r="W381" s="53"/>
      <c r="X381" s="53"/>
      <c r="Y381" s="51"/>
      <c r="Z381" s="51"/>
      <c r="AA381" s="51"/>
    </row>
    <row r="382" spans="11:27">
      <c r="K382" s="51"/>
      <c r="P382" s="50"/>
      <c r="W382" s="53"/>
      <c r="X382" s="53"/>
      <c r="Y382" s="51"/>
      <c r="Z382" s="51"/>
      <c r="AA382" s="51"/>
    </row>
    <row r="383" spans="11:27">
      <c r="K383" s="51"/>
      <c r="P383" s="50"/>
      <c r="W383" s="53"/>
      <c r="X383" s="53"/>
      <c r="Y383" s="51"/>
      <c r="Z383" s="51"/>
      <c r="AA383" s="51"/>
    </row>
    <row r="384" spans="11:27">
      <c r="K384" s="51"/>
      <c r="P384" s="50"/>
      <c r="W384" s="53"/>
      <c r="X384" s="53"/>
      <c r="Y384" s="51"/>
      <c r="Z384" s="51"/>
      <c r="AA384" s="51"/>
    </row>
    <row r="385" spans="11:27">
      <c r="K385" s="51"/>
      <c r="P385" s="50"/>
      <c r="W385" s="53"/>
      <c r="X385" s="53"/>
      <c r="Y385" s="51"/>
      <c r="Z385" s="51"/>
      <c r="AA385" s="51"/>
    </row>
    <row r="386" spans="11:27">
      <c r="K386" s="51"/>
      <c r="P386" s="50"/>
      <c r="W386" s="53"/>
      <c r="X386" s="53"/>
      <c r="Y386" s="51"/>
      <c r="Z386" s="51"/>
      <c r="AA386" s="51"/>
    </row>
    <row r="387" spans="11:27">
      <c r="K387" s="51"/>
      <c r="P387" s="50"/>
      <c r="W387" s="53"/>
      <c r="X387" s="53"/>
      <c r="Y387" s="51"/>
      <c r="Z387" s="51"/>
      <c r="AA387" s="51"/>
    </row>
    <row r="388" spans="11:27">
      <c r="K388" s="51"/>
      <c r="P388" s="50"/>
      <c r="W388" s="53"/>
      <c r="X388" s="53"/>
      <c r="Y388" s="51"/>
      <c r="Z388" s="51"/>
      <c r="AA388" s="51"/>
    </row>
    <row r="389" spans="11:27">
      <c r="K389" s="51"/>
      <c r="P389" s="50"/>
      <c r="W389" s="53"/>
      <c r="X389" s="53"/>
      <c r="Y389" s="51"/>
      <c r="Z389" s="51"/>
      <c r="AA389" s="51"/>
    </row>
    <row r="390" spans="11:27">
      <c r="K390" s="51"/>
      <c r="P390" s="50"/>
      <c r="W390" s="53"/>
      <c r="X390" s="53"/>
      <c r="Y390" s="51"/>
      <c r="Z390" s="51"/>
      <c r="AA390" s="51"/>
    </row>
    <row r="391" spans="11:27">
      <c r="K391" s="51"/>
      <c r="P391" s="50"/>
      <c r="W391" s="53"/>
      <c r="X391" s="53"/>
      <c r="Y391" s="51"/>
      <c r="Z391" s="51"/>
      <c r="AA391" s="51"/>
    </row>
    <row r="392" spans="11:27">
      <c r="K392" s="51"/>
      <c r="P392" s="50"/>
      <c r="W392" s="53"/>
      <c r="X392" s="53"/>
      <c r="Y392" s="51"/>
      <c r="Z392" s="51"/>
      <c r="AA392" s="51"/>
    </row>
    <row r="393" spans="11:27">
      <c r="K393" s="51"/>
      <c r="P393" s="50"/>
      <c r="W393" s="53"/>
      <c r="X393" s="53"/>
      <c r="Y393" s="51"/>
      <c r="Z393" s="51"/>
      <c r="AA393" s="51"/>
    </row>
    <row r="394" spans="11:27">
      <c r="K394" s="51"/>
      <c r="P394" s="50"/>
      <c r="W394" s="53"/>
      <c r="X394" s="53"/>
      <c r="Y394" s="51"/>
      <c r="Z394" s="51"/>
      <c r="AA394" s="51"/>
    </row>
    <row r="395" spans="11:27">
      <c r="K395" s="51"/>
      <c r="P395" s="50"/>
      <c r="W395" s="53"/>
      <c r="X395" s="53"/>
      <c r="Y395" s="51"/>
      <c r="Z395" s="51"/>
      <c r="AA395" s="51"/>
    </row>
    <row r="396" spans="11:27">
      <c r="K396" s="51"/>
      <c r="P396" s="50"/>
      <c r="W396" s="53"/>
      <c r="X396" s="53"/>
      <c r="Y396" s="51"/>
      <c r="Z396" s="51"/>
      <c r="AA396" s="51"/>
    </row>
    <row r="397" spans="11:27">
      <c r="K397" s="51"/>
      <c r="P397" s="50"/>
      <c r="W397" s="53"/>
      <c r="X397" s="53"/>
      <c r="Y397" s="51"/>
      <c r="Z397" s="51"/>
      <c r="AA397" s="51"/>
    </row>
    <row r="398" spans="11:27">
      <c r="K398" s="51"/>
      <c r="P398" s="50"/>
      <c r="W398" s="53"/>
      <c r="X398" s="53"/>
      <c r="Y398" s="51"/>
      <c r="Z398" s="51"/>
      <c r="AA398" s="51"/>
    </row>
    <row r="399" spans="11:27">
      <c r="K399" s="51"/>
      <c r="P399" s="50"/>
      <c r="W399" s="53"/>
      <c r="X399" s="53"/>
      <c r="Y399" s="51"/>
      <c r="Z399" s="51"/>
      <c r="AA399" s="51"/>
    </row>
    <row r="400" spans="11:27">
      <c r="K400" s="51"/>
      <c r="P400" s="50"/>
      <c r="W400" s="53"/>
      <c r="X400" s="53"/>
      <c r="Y400" s="51"/>
      <c r="Z400" s="51"/>
      <c r="AA400" s="51"/>
    </row>
    <row r="401" spans="11:27">
      <c r="K401" s="51"/>
      <c r="P401" s="50"/>
      <c r="W401" s="53"/>
      <c r="X401" s="53"/>
      <c r="Y401" s="51"/>
      <c r="Z401" s="51"/>
      <c r="AA401" s="51"/>
    </row>
    <row r="402" spans="11:27">
      <c r="K402" s="51"/>
      <c r="P402" s="50"/>
      <c r="W402" s="53"/>
      <c r="X402" s="53"/>
      <c r="Y402" s="51"/>
      <c r="Z402" s="51"/>
      <c r="AA402" s="51"/>
    </row>
    <row r="403" spans="11:27">
      <c r="K403" s="51"/>
      <c r="P403" s="50"/>
      <c r="W403" s="53"/>
      <c r="X403" s="53"/>
      <c r="Y403" s="51"/>
      <c r="Z403" s="51"/>
      <c r="AA403" s="51"/>
    </row>
    <row r="404" spans="11:27">
      <c r="K404" s="51"/>
      <c r="P404" s="50"/>
      <c r="W404" s="53"/>
      <c r="X404" s="53"/>
      <c r="Y404" s="51"/>
      <c r="Z404" s="51"/>
      <c r="AA404" s="51"/>
    </row>
    <row r="405" spans="11:27">
      <c r="K405" s="51"/>
      <c r="P405" s="50"/>
      <c r="W405" s="53"/>
      <c r="X405" s="53"/>
      <c r="Y405" s="51"/>
      <c r="Z405" s="51"/>
      <c r="AA405" s="51"/>
    </row>
    <row r="406" spans="11:27">
      <c r="K406" s="51"/>
      <c r="P406" s="50"/>
      <c r="W406" s="53"/>
      <c r="X406" s="53"/>
      <c r="Y406" s="51"/>
      <c r="Z406" s="51"/>
      <c r="AA406" s="51"/>
    </row>
    <row r="407" spans="11:27">
      <c r="K407" s="51"/>
      <c r="P407" s="50"/>
      <c r="W407" s="53"/>
      <c r="X407" s="53"/>
      <c r="Y407" s="51"/>
      <c r="Z407" s="51"/>
      <c r="AA407" s="51"/>
    </row>
    <row r="408" spans="11:27">
      <c r="K408" s="51"/>
      <c r="P408" s="50"/>
      <c r="W408" s="53"/>
      <c r="X408" s="53"/>
      <c r="Y408" s="51"/>
      <c r="Z408" s="51"/>
      <c r="AA408" s="51"/>
    </row>
    <row r="409" spans="11:27">
      <c r="K409" s="51"/>
      <c r="P409" s="50"/>
      <c r="W409" s="53"/>
      <c r="X409" s="53"/>
      <c r="Y409" s="51"/>
      <c r="Z409" s="51"/>
      <c r="AA409" s="51"/>
    </row>
    <row r="410" spans="11:27">
      <c r="K410" s="51"/>
      <c r="P410" s="50"/>
      <c r="W410" s="53"/>
      <c r="X410" s="53"/>
      <c r="Y410" s="51"/>
      <c r="Z410" s="51"/>
      <c r="AA410" s="51"/>
    </row>
    <row r="411" spans="11:27">
      <c r="K411" s="51"/>
      <c r="P411" s="50"/>
      <c r="W411" s="53"/>
      <c r="X411" s="53"/>
      <c r="Y411" s="51"/>
      <c r="Z411" s="51"/>
      <c r="AA411" s="51"/>
    </row>
    <row r="412" spans="11:27">
      <c r="K412" s="51"/>
      <c r="P412" s="50"/>
      <c r="W412" s="53"/>
      <c r="X412" s="53"/>
      <c r="Y412" s="51"/>
      <c r="Z412" s="51"/>
      <c r="AA412" s="51"/>
    </row>
    <row r="413" spans="11:27">
      <c r="K413" s="51"/>
      <c r="P413" s="50"/>
      <c r="W413" s="53"/>
      <c r="X413" s="53"/>
      <c r="Y413" s="51"/>
      <c r="Z413" s="51"/>
      <c r="AA413" s="51"/>
    </row>
    <row r="414" spans="11:27">
      <c r="K414" s="51"/>
      <c r="P414" s="50"/>
      <c r="W414" s="53"/>
      <c r="X414" s="53"/>
      <c r="Y414" s="51"/>
      <c r="Z414" s="51"/>
      <c r="AA414" s="51"/>
    </row>
    <row r="415" spans="11:27">
      <c r="K415" s="51"/>
      <c r="P415" s="50"/>
      <c r="W415" s="53"/>
      <c r="X415" s="53"/>
      <c r="Y415" s="51"/>
      <c r="Z415" s="51"/>
      <c r="AA415" s="51"/>
    </row>
    <row r="416" spans="11:27">
      <c r="K416" s="51"/>
      <c r="P416" s="50"/>
      <c r="W416" s="53"/>
      <c r="X416" s="53"/>
      <c r="Y416" s="51"/>
      <c r="Z416" s="51"/>
      <c r="AA416" s="51"/>
    </row>
    <row r="417" spans="11:27">
      <c r="K417" s="51"/>
      <c r="P417" s="50"/>
      <c r="W417" s="53"/>
      <c r="X417" s="53"/>
      <c r="Y417" s="51"/>
      <c r="Z417" s="51"/>
      <c r="AA417" s="51"/>
    </row>
    <row r="418" spans="11:27">
      <c r="K418" s="51"/>
      <c r="P418" s="50"/>
      <c r="W418" s="53"/>
      <c r="X418" s="53"/>
      <c r="Y418" s="51"/>
      <c r="Z418" s="51"/>
      <c r="AA418" s="51"/>
    </row>
    <row r="419" spans="11:27">
      <c r="K419" s="51"/>
      <c r="P419" s="50"/>
      <c r="W419" s="53"/>
      <c r="X419" s="53"/>
      <c r="Y419" s="51"/>
      <c r="Z419" s="51"/>
      <c r="AA419" s="51"/>
    </row>
    <row r="420" spans="11:27">
      <c r="K420" s="51"/>
      <c r="P420" s="50"/>
      <c r="W420" s="53"/>
      <c r="X420" s="53"/>
      <c r="Y420" s="51"/>
      <c r="Z420" s="51"/>
      <c r="AA420" s="51"/>
    </row>
    <row r="421" spans="11:27">
      <c r="K421" s="51"/>
      <c r="P421" s="50"/>
      <c r="W421" s="53"/>
      <c r="X421" s="53"/>
      <c r="Y421" s="51"/>
      <c r="Z421" s="51"/>
      <c r="AA421" s="51"/>
    </row>
    <row r="422" spans="11:27">
      <c r="K422" s="51"/>
      <c r="P422" s="50"/>
      <c r="W422" s="53"/>
      <c r="X422" s="53"/>
      <c r="Y422" s="51"/>
      <c r="Z422" s="51"/>
      <c r="AA422" s="51"/>
    </row>
    <row r="423" spans="11:27">
      <c r="K423" s="51"/>
      <c r="P423" s="50"/>
      <c r="W423" s="53"/>
      <c r="X423" s="53"/>
      <c r="Y423" s="51"/>
      <c r="Z423" s="51"/>
      <c r="AA423" s="51"/>
    </row>
    <row r="424" spans="11:27">
      <c r="K424" s="51"/>
      <c r="P424" s="50"/>
      <c r="W424" s="53"/>
      <c r="X424" s="53"/>
      <c r="Y424" s="51"/>
      <c r="Z424" s="51"/>
      <c r="AA424" s="51"/>
    </row>
    <row r="425" spans="11:27">
      <c r="K425" s="51"/>
      <c r="P425" s="50"/>
      <c r="W425" s="53"/>
      <c r="X425" s="53"/>
      <c r="Y425" s="51"/>
      <c r="Z425" s="51"/>
      <c r="AA425" s="51"/>
    </row>
    <row r="426" spans="11:27">
      <c r="K426" s="51"/>
      <c r="P426" s="50"/>
      <c r="W426" s="53"/>
      <c r="X426" s="53"/>
      <c r="Y426" s="51"/>
      <c r="Z426" s="51"/>
      <c r="AA426" s="51"/>
    </row>
    <row r="427" spans="11:27">
      <c r="K427" s="51"/>
      <c r="P427" s="50"/>
      <c r="W427" s="53"/>
      <c r="X427" s="53"/>
      <c r="Y427" s="51"/>
      <c r="Z427" s="51"/>
      <c r="AA427" s="51"/>
    </row>
    <row r="428" spans="11:27">
      <c r="K428" s="51"/>
      <c r="P428" s="50"/>
      <c r="W428" s="53"/>
      <c r="X428" s="53"/>
      <c r="Y428" s="51"/>
      <c r="Z428" s="51"/>
      <c r="AA428" s="51"/>
    </row>
    <row r="429" spans="11:27">
      <c r="K429" s="51"/>
      <c r="P429" s="50"/>
      <c r="W429" s="53"/>
      <c r="X429" s="53"/>
      <c r="Y429" s="51"/>
      <c r="Z429" s="51"/>
      <c r="AA429" s="51"/>
    </row>
    <row r="430" spans="11:27">
      <c r="K430" s="51"/>
      <c r="P430" s="50"/>
      <c r="W430" s="53"/>
      <c r="X430" s="53"/>
      <c r="Y430" s="51"/>
      <c r="Z430" s="51"/>
      <c r="AA430" s="51"/>
    </row>
    <row r="431" spans="11:27">
      <c r="K431" s="51"/>
      <c r="P431" s="50"/>
      <c r="W431" s="53"/>
      <c r="X431" s="53"/>
      <c r="Y431" s="51"/>
      <c r="Z431" s="51"/>
      <c r="AA431" s="51"/>
    </row>
    <row r="432" spans="11:27">
      <c r="K432" s="51"/>
      <c r="P432" s="50"/>
      <c r="W432" s="53"/>
      <c r="X432" s="53"/>
      <c r="Y432" s="51"/>
      <c r="Z432" s="51"/>
      <c r="AA432" s="51"/>
    </row>
    <row r="433" spans="11:27">
      <c r="K433" s="51"/>
      <c r="P433" s="50"/>
      <c r="W433" s="53"/>
      <c r="X433" s="53"/>
      <c r="Y433" s="51"/>
      <c r="Z433" s="51"/>
      <c r="AA433" s="51"/>
    </row>
    <row r="434" spans="11:27">
      <c r="K434" s="51"/>
      <c r="P434" s="50"/>
      <c r="W434" s="53"/>
      <c r="X434" s="53"/>
      <c r="Y434" s="51"/>
      <c r="Z434" s="51"/>
      <c r="AA434" s="51"/>
    </row>
    <row r="435" spans="11:27">
      <c r="K435" s="51"/>
      <c r="P435" s="50"/>
      <c r="W435" s="53"/>
      <c r="X435" s="53"/>
      <c r="Y435" s="51"/>
      <c r="Z435" s="51"/>
      <c r="AA435" s="51"/>
    </row>
    <row r="436" spans="11:27">
      <c r="K436" s="51"/>
      <c r="P436" s="50"/>
      <c r="W436" s="53"/>
      <c r="X436" s="53"/>
      <c r="Y436" s="51"/>
      <c r="Z436" s="51"/>
      <c r="AA436" s="51"/>
    </row>
    <row r="437" spans="11:27">
      <c r="K437" s="51"/>
      <c r="P437" s="50"/>
      <c r="W437" s="53"/>
      <c r="X437" s="53"/>
      <c r="Y437" s="51"/>
      <c r="Z437" s="51"/>
      <c r="AA437" s="51"/>
    </row>
    <row r="438" spans="11:27">
      <c r="K438" s="51"/>
      <c r="P438" s="50"/>
      <c r="W438" s="53"/>
      <c r="X438" s="53"/>
      <c r="Y438" s="51"/>
      <c r="Z438" s="51"/>
      <c r="AA438" s="51"/>
    </row>
    <row r="439" spans="11:27">
      <c r="K439" s="51"/>
      <c r="P439" s="50"/>
      <c r="W439" s="53"/>
      <c r="X439" s="53"/>
      <c r="Y439" s="51"/>
      <c r="Z439" s="51"/>
      <c r="AA439" s="51"/>
    </row>
    <row r="440" spans="11:27">
      <c r="K440" s="51"/>
      <c r="P440" s="50"/>
      <c r="W440" s="53"/>
      <c r="X440" s="53"/>
      <c r="Y440" s="51"/>
      <c r="Z440" s="51"/>
      <c r="AA440" s="51"/>
    </row>
    <row r="441" spans="11:27">
      <c r="K441" s="51"/>
      <c r="P441" s="50"/>
      <c r="W441" s="53"/>
      <c r="X441" s="53"/>
      <c r="Y441" s="51"/>
      <c r="Z441" s="51"/>
      <c r="AA441" s="51"/>
    </row>
    <row r="442" spans="11:27">
      <c r="K442" s="51"/>
      <c r="P442" s="50"/>
      <c r="W442" s="53"/>
      <c r="X442" s="53"/>
      <c r="Y442" s="51"/>
      <c r="Z442" s="51"/>
      <c r="AA442" s="51"/>
    </row>
    <row r="443" spans="11:27">
      <c r="K443" s="51"/>
      <c r="P443" s="50"/>
      <c r="W443" s="53"/>
      <c r="X443" s="53"/>
      <c r="Y443" s="51"/>
      <c r="Z443" s="51"/>
      <c r="AA443" s="51"/>
    </row>
    <row r="444" spans="11:27">
      <c r="K444" s="51"/>
      <c r="P444" s="50"/>
      <c r="W444" s="53"/>
      <c r="X444" s="53"/>
      <c r="Y444" s="51"/>
      <c r="Z444" s="51"/>
      <c r="AA444" s="51"/>
    </row>
    <row r="445" spans="11:27">
      <c r="K445" s="51"/>
      <c r="P445" s="50"/>
      <c r="W445" s="53"/>
      <c r="X445" s="53"/>
      <c r="Y445" s="51"/>
      <c r="Z445" s="51"/>
      <c r="AA445" s="51"/>
    </row>
    <row r="446" spans="11:27">
      <c r="K446" s="51"/>
      <c r="P446" s="50"/>
      <c r="W446" s="53"/>
      <c r="X446" s="53"/>
      <c r="Y446" s="51"/>
      <c r="Z446" s="51"/>
      <c r="AA446" s="51"/>
    </row>
    <row r="447" spans="11:27">
      <c r="K447" s="51"/>
      <c r="P447" s="50"/>
      <c r="W447" s="53"/>
      <c r="X447" s="53"/>
      <c r="Y447" s="51"/>
      <c r="Z447" s="51"/>
      <c r="AA447" s="51"/>
    </row>
    <row r="448" spans="11:27">
      <c r="K448" s="51"/>
      <c r="P448" s="50"/>
      <c r="W448" s="53"/>
      <c r="X448" s="53"/>
      <c r="Y448" s="51"/>
      <c r="Z448" s="51"/>
      <c r="AA448" s="51"/>
    </row>
    <row r="449" spans="11:27">
      <c r="K449" s="51"/>
      <c r="P449" s="50"/>
      <c r="W449" s="53"/>
      <c r="X449" s="53"/>
      <c r="Y449" s="51"/>
      <c r="Z449" s="51"/>
      <c r="AA449" s="51"/>
    </row>
    <row r="450" spans="11:27">
      <c r="K450" s="51"/>
      <c r="P450" s="50"/>
      <c r="W450" s="53"/>
      <c r="X450" s="53"/>
      <c r="Y450" s="51"/>
      <c r="Z450" s="51"/>
      <c r="AA450" s="51"/>
    </row>
    <row r="451" spans="11:27">
      <c r="K451" s="51"/>
      <c r="P451" s="50"/>
      <c r="W451" s="53"/>
      <c r="X451" s="53"/>
      <c r="Y451" s="51"/>
      <c r="Z451" s="51"/>
      <c r="AA451" s="51"/>
    </row>
    <row r="452" spans="11:27">
      <c r="K452" s="51"/>
      <c r="P452" s="50"/>
      <c r="W452" s="53"/>
      <c r="X452" s="53"/>
      <c r="Y452" s="51"/>
      <c r="Z452" s="51"/>
      <c r="AA452" s="51"/>
    </row>
    <row r="453" spans="11:27">
      <c r="K453" s="51"/>
      <c r="P453" s="50"/>
      <c r="W453" s="53"/>
      <c r="X453" s="53"/>
      <c r="Y453" s="51"/>
      <c r="Z453" s="51"/>
      <c r="AA453" s="51"/>
    </row>
    <row r="454" spans="11:27">
      <c r="K454" s="51"/>
      <c r="P454" s="50"/>
      <c r="W454" s="53"/>
      <c r="X454" s="53"/>
      <c r="Y454" s="51"/>
      <c r="Z454" s="51"/>
      <c r="AA454" s="51"/>
    </row>
    <row r="455" spans="11:27">
      <c r="K455" s="51"/>
      <c r="P455" s="50"/>
      <c r="W455" s="53"/>
      <c r="X455" s="53"/>
      <c r="Y455" s="51"/>
      <c r="Z455" s="51"/>
      <c r="AA455" s="51"/>
    </row>
    <row r="456" spans="11:27">
      <c r="K456" s="51"/>
      <c r="P456" s="50"/>
      <c r="W456" s="53"/>
      <c r="X456" s="53"/>
      <c r="Y456" s="51"/>
      <c r="Z456" s="51"/>
      <c r="AA456" s="51"/>
    </row>
    <row r="457" spans="11:27">
      <c r="K457" s="51"/>
      <c r="P457" s="50"/>
      <c r="W457" s="53"/>
      <c r="X457" s="53"/>
      <c r="Y457" s="51"/>
      <c r="Z457" s="51"/>
      <c r="AA457" s="51"/>
    </row>
    <row r="458" spans="11:27">
      <c r="K458" s="51"/>
      <c r="P458" s="50"/>
      <c r="W458" s="53"/>
      <c r="X458" s="53"/>
      <c r="Y458" s="51"/>
      <c r="Z458" s="51"/>
      <c r="AA458" s="51"/>
    </row>
    <row r="459" spans="11:27">
      <c r="K459" s="51"/>
      <c r="P459" s="50"/>
      <c r="W459" s="53"/>
      <c r="X459" s="53"/>
      <c r="Y459" s="51"/>
      <c r="Z459" s="51"/>
      <c r="AA459" s="51"/>
    </row>
    <row r="460" spans="11:27">
      <c r="K460" s="51"/>
      <c r="P460" s="50"/>
      <c r="W460" s="53"/>
      <c r="X460" s="53"/>
      <c r="Y460" s="51"/>
      <c r="Z460" s="51"/>
      <c r="AA460" s="51"/>
    </row>
    <row r="461" spans="11:27">
      <c r="K461" s="51"/>
      <c r="P461" s="50"/>
      <c r="W461" s="53"/>
      <c r="X461" s="53"/>
      <c r="Y461" s="51"/>
      <c r="Z461" s="51"/>
      <c r="AA461" s="51"/>
    </row>
    <row r="462" spans="11:27">
      <c r="K462" s="51"/>
      <c r="P462" s="50"/>
      <c r="W462" s="53"/>
      <c r="X462" s="53"/>
      <c r="Y462" s="51"/>
      <c r="Z462" s="51"/>
      <c r="AA462" s="51"/>
    </row>
    <row r="463" spans="11:27">
      <c r="K463" s="51"/>
      <c r="P463" s="50"/>
      <c r="W463" s="53"/>
      <c r="X463" s="53"/>
      <c r="Y463" s="51"/>
      <c r="Z463" s="51"/>
      <c r="AA463" s="51"/>
    </row>
    <row r="464" spans="11:27">
      <c r="K464" s="51"/>
      <c r="P464" s="50"/>
      <c r="W464" s="53"/>
      <c r="X464" s="53"/>
      <c r="Y464" s="51"/>
      <c r="Z464" s="51"/>
      <c r="AA464" s="51"/>
    </row>
    <row r="465" spans="11:27">
      <c r="K465" s="51"/>
      <c r="P465" s="50"/>
      <c r="W465" s="53"/>
      <c r="X465" s="53"/>
      <c r="Y465" s="51"/>
      <c r="Z465" s="51"/>
      <c r="AA465" s="51"/>
    </row>
    <row r="466" spans="11:27">
      <c r="K466" s="51"/>
      <c r="P466" s="50"/>
      <c r="W466" s="53"/>
      <c r="X466" s="53"/>
      <c r="Y466" s="51"/>
      <c r="Z466" s="51"/>
      <c r="AA466" s="51"/>
    </row>
    <row r="467" spans="11:27">
      <c r="K467" s="51"/>
      <c r="P467" s="50"/>
      <c r="W467" s="53"/>
      <c r="X467" s="53"/>
      <c r="Y467" s="51"/>
      <c r="Z467" s="51"/>
      <c r="AA467" s="51"/>
    </row>
    <row r="468" spans="11:27">
      <c r="K468" s="51"/>
      <c r="P468" s="50"/>
      <c r="W468" s="53"/>
      <c r="X468" s="53"/>
      <c r="Y468" s="51"/>
      <c r="Z468" s="51"/>
      <c r="AA468" s="51"/>
    </row>
    <row r="469" spans="11:27">
      <c r="K469" s="51"/>
      <c r="P469" s="50"/>
      <c r="W469" s="53"/>
      <c r="X469" s="53"/>
      <c r="Y469" s="51"/>
      <c r="Z469" s="51"/>
      <c r="AA469" s="51"/>
    </row>
    <row r="470" spans="11:27">
      <c r="K470" s="51"/>
      <c r="P470" s="50"/>
      <c r="W470" s="53"/>
      <c r="X470" s="53"/>
      <c r="Y470" s="51"/>
      <c r="Z470" s="51"/>
      <c r="AA470" s="51"/>
    </row>
    <row r="471" spans="11:27">
      <c r="K471" s="51"/>
      <c r="P471" s="50"/>
      <c r="W471" s="53"/>
      <c r="X471" s="53"/>
      <c r="Y471" s="51"/>
      <c r="Z471" s="51"/>
      <c r="AA471" s="51"/>
    </row>
    <row r="472" spans="11:27">
      <c r="K472" s="51"/>
      <c r="P472" s="50"/>
      <c r="W472" s="53"/>
      <c r="X472" s="53"/>
      <c r="Y472" s="51"/>
      <c r="Z472" s="51"/>
      <c r="AA472" s="51"/>
    </row>
    <row r="473" spans="11:27">
      <c r="K473" s="51"/>
      <c r="P473" s="50"/>
      <c r="W473" s="53"/>
      <c r="X473" s="53"/>
      <c r="Y473" s="51"/>
      <c r="Z473" s="51"/>
      <c r="AA473" s="51"/>
    </row>
    <row r="474" spans="11:27">
      <c r="K474" s="51"/>
      <c r="P474" s="50"/>
      <c r="W474" s="53"/>
      <c r="X474" s="53"/>
      <c r="Y474" s="51"/>
      <c r="Z474" s="51"/>
      <c r="AA474" s="51"/>
    </row>
    <row r="475" spans="11:27">
      <c r="K475" s="51"/>
      <c r="P475" s="50"/>
      <c r="W475" s="53"/>
      <c r="X475" s="53"/>
      <c r="Y475" s="51"/>
      <c r="Z475" s="51"/>
      <c r="AA475" s="51"/>
    </row>
    <row r="476" spans="11:27">
      <c r="K476" s="51"/>
      <c r="P476" s="50"/>
      <c r="W476" s="53"/>
      <c r="X476" s="53"/>
      <c r="Y476" s="51"/>
      <c r="Z476" s="51"/>
      <c r="AA476" s="51"/>
    </row>
    <row r="477" spans="11:27">
      <c r="K477" s="51"/>
      <c r="P477" s="50"/>
      <c r="W477" s="53"/>
      <c r="X477" s="53"/>
      <c r="Y477" s="51"/>
      <c r="Z477" s="51"/>
      <c r="AA477" s="51"/>
    </row>
    <row r="478" spans="11:27">
      <c r="K478" s="51"/>
      <c r="P478" s="50"/>
      <c r="W478" s="53"/>
      <c r="X478" s="53"/>
      <c r="Y478" s="51"/>
      <c r="Z478" s="51"/>
      <c r="AA478" s="51"/>
    </row>
    <row r="479" spans="11:27">
      <c r="K479" s="51"/>
      <c r="P479" s="50"/>
      <c r="W479" s="53"/>
      <c r="X479" s="53"/>
      <c r="Y479" s="51"/>
      <c r="Z479" s="51"/>
      <c r="AA479" s="51"/>
    </row>
    <row r="480" spans="11:27">
      <c r="K480" s="51"/>
      <c r="P480" s="50"/>
      <c r="W480" s="53"/>
      <c r="X480" s="53"/>
      <c r="Y480" s="51"/>
      <c r="Z480" s="51"/>
      <c r="AA480" s="51"/>
    </row>
    <row r="481" spans="11:27">
      <c r="K481" s="51"/>
      <c r="P481" s="50"/>
      <c r="W481" s="53"/>
      <c r="X481" s="53"/>
      <c r="Y481" s="51"/>
      <c r="Z481" s="51"/>
      <c r="AA481" s="51"/>
    </row>
    <row r="482" spans="11:27">
      <c r="K482" s="51"/>
      <c r="P482" s="50"/>
      <c r="W482" s="53"/>
      <c r="X482" s="53"/>
      <c r="Y482" s="51"/>
      <c r="Z482" s="51"/>
      <c r="AA482" s="51"/>
    </row>
    <row r="483" spans="11:27">
      <c r="K483" s="51"/>
      <c r="P483" s="50"/>
      <c r="W483" s="53"/>
      <c r="X483" s="53"/>
      <c r="Y483" s="51"/>
      <c r="Z483" s="51"/>
      <c r="AA483" s="51"/>
    </row>
    <row r="484" spans="11:27">
      <c r="K484" s="51"/>
      <c r="P484" s="50"/>
      <c r="W484" s="53"/>
      <c r="X484" s="53"/>
      <c r="Y484" s="51"/>
      <c r="Z484" s="51"/>
      <c r="AA484" s="51"/>
    </row>
    <row r="485" spans="11:27">
      <c r="K485" s="51"/>
      <c r="P485" s="50"/>
      <c r="W485" s="53"/>
      <c r="X485" s="53"/>
      <c r="Y485" s="51"/>
      <c r="Z485" s="51"/>
      <c r="AA485" s="51"/>
    </row>
    <row r="486" spans="11:27">
      <c r="K486" s="51"/>
      <c r="P486" s="50"/>
      <c r="W486" s="53"/>
      <c r="X486" s="53"/>
      <c r="Y486" s="51"/>
      <c r="Z486" s="51"/>
      <c r="AA486" s="51"/>
    </row>
    <row r="487" spans="11:27">
      <c r="K487" s="51"/>
      <c r="P487" s="50"/>
      <c r="W487" s="53"/>
      <c r="X487" s="53"/>
      <c r="Y487" s="51"/>
      <c r="Z487" s="51"/>
      <c r="AA487" s="51"/>
    </row>
    <row r="488" spans="11:27">
      <c r="K488" s="51"/>
      <c r="P488" s="50"/>
      <c r="W488" s="53"/>
      <c r="X488" s="53"/>
      <c r="Y488" s="51"/>
      <c r="Z488" s="51"/>
      <c r="AA488" s="51"/>
    </row>
    <row r="489" spans="11:27">
      <c r="K489" s="51"/>
      <c r="P489" s="50"/>
      <c r="W489" s="53"/>
      <c r="X489" s="53"/>
      <c r="Y489" s="51"/>
      <c r="Z489" s="51"/>
      <c r="AA489" s="51"/>
    </row>
    <row r="490" spans="11:27">
      <c r="K490" s="51"/>
      <c r="P490" s="50"/>
      <c r="W490" s="53"/>
      <c r="X490" s="53"/>
      <c r="Y490" s="51"/>
      <c r="Z490" s="51"/>
      <c r="AA490" s="51"/>
    </row>
    <row r="491" spans="11:27">
      <c r="K491" s="51"/>
      <c r="P491" s="50"/>
      <c r="W491" s="53"/>
      <c r="X491" s="53"/>
      <c r="Y491" s="51"/>
      <c r="Z491" s="51"/>
      <c r="AA491" s="51"/>
    </row>
    <row r="492" spans="11:27">
      <c r="K492" s="51"/>
      <c r="P492" s="50"/>
      <c r="W492" s="53"/>
      <c r="X492" s="53"/>
      <c r="Y492" s="51"/>
      <c r="Z492" s="51"/>
      <c r="AA492" s="51"/>
    </row>
    <row r="493" spans="11:27">
      <c r="K493" s="51"/>
      <c r="P493" s="50"/>
      <c r="W493" s="53"/>
      <c r="X493" s="53"/>
      <c r="Y493" s="51"/>
      <c r="Z493" s="51"/>
      <c r="AA493" s="51"/>
    </row>
    <row r="494" spans="11:27">
      <c r="K494" s="51"/>
      <c r="P494" s="50"/>
      <c r="W494" s="53"/>
      <c r="X494" s="53"/>
      <c r="Y494" s="51"/>
      <c r="Z494" s="51"/>
      <c r="AA494" s="51"/>
    </row>
    <row r="495" spans="11:27">
      <c r="K495" s="51"/>
      <c r="P495" s="50"/>
      <c r="W495" s="53"/>
      <c r="X495" s="53"/>
      <c r="Y495" s="51"/>
      <c r="Z495" s="51"/>
      <c r="AA495" s="51"/>
    </row>
    <row r="496" spans="11:27">
      <c r="K496" s="51"/>
      <c r="P496" s="50"/>
      <c r="W496" s="53"/>
      <c r="X496" s="53"/>
      <c r="Y496" s="51"/>
      <c r="Z496" s="51"/>
      <c r="AA496" s="51"/>
    </row>
    <row r="497" spans="11:27">
      <c r="K497" s="51"/>
      <c r="P497" s="50"/>
      <c r="W497" s="53"/>
      <c r="X497" s="53"/>
      <c r="Y497" s="51"/>
      <c r="Z497" s="51"/>
      <c r="AA497" s="51"/>
    </row>
    <row r="498" spans="11:27">
      <c r="K498" s="51"/>
      <c r="P498" s="50"/>
      <c r="W498" s="53"/>
      <c r="X498" s="53"/>
      <c r="Y498" s="51"/>
      <c r="Z498" s="51"/>
      <c r="AA498" s="51"/>
    </row>
    <row r="499" spans="11:27">
      <c r="K499" s="51"/>
      <c r="P499" s="50"/>
      <c r="W499" s="53"/>
      <c r="X499" s="53"/>
      <c r="Y499" s="51"/>
      <c r="Z499" s="51"/>
      <c r="AA499" s="51"/>
    </row>
    <row r="500" spans="11:27">
      <c r="K500" s="51"/>
      <c r="P500" s="50"/>
      <c r="W500" s="53"/>
      <c r="X500" s="53"/>
      <c r="Y500" s="51"/>
      <c r="Z500" s="51"/>
      <c r="AA500" s="51"/>
    </row>
    <row r="501" spans="11:27">
      <c r="K501" s="51"/>
      <c r="P501" s="50"/>
      <c r="W501" s="53"/>
      <c r="X501" s="53"/>
      <c r="Y501" s="51"/>
      <c r="Z501" s="51"/>
      <c r="AA501" s="51"/>
    </row>
    <row r="502" spans="11:27">
      <c r="K502" s="51"/>
      <c r="P502" s="50"/>
      <c r="W502" s="53"/>
      <c r="X502" s="53"/>
      <c r="Y502" s="51"/>
      <c r="Z502" s="51"/>
      <c r="AA502" s="51"/>
    </row>
    <row r="503" spans="11:27">
      <c r="K503" s="51"/>
      <c r="P503" s="50"/>
      <c r="W503" s="53"/>
      <c r="X503" s="53"/>
      <c r="Y503" s="51"/>
      <c r="Z503" s="51"/>
      <c r="AA503" s="51"/>
    </row>
    <row r="504" spans="11:27">
      <c r="K504" s="51"/>
      <c r="P504" s="50"/>
      <c r="W504" s="53"/>
      <c r="X504" s="53"/>
      <c r="Y504" s="51"/>
      <c r="Z504" s="51"/>
      <c r="AA504" s="51"/>
    </row>
    <row r="505" spans="11:27">
      <c r="K505" s="51"/>
      <c r="P505" s="50"/>
      <c r="W505" s="53"/>
      <c r="X505" s="53"/>
      <c r="Y505" s="51"/>
      <c r="Z505" s="51"/>
      <c r="AA505" s="51"/>
    </row>
    <row r="506" spans="11:27">
      <c r="K506" s="51"/>
      <c r="P506" s="50"/>
      <c r="W506" s="53"/>
      <c r="X506" s="53"/>
      <c r="Y506" s="51"/>
      <c r="Z506" s="51"/>
      <c r="AA506" s="51"/>
    </row>
    <row r="507" spans="11:27">
      <c r="K507" s="51"/>
      <c r="P507" s="50"/>
      <c r="W507" s="53"/>
      <c r="X507" s="53"/>
      <c r="Y507" s="51"/>
      <c r="Z507" s="51"/>
      <c r="AA507" s="51"/>
    </row>
    <row r="508" spans="11:27">
      <c r="K508" s="51"/>
      <c r="P508" s="50"/>
      <c r="W508" s="53"/>
      <c r="X508" s="53"/>
      <c r="Y508" s="51"/>
      <c r="Z508" s="51"/>
      <c r="AA508" s="51"/>
    </row>
    <row r="509" spans="11:27">
      <c r="K509" s="51"/>
      <c r="P509" s="50"/>
      <c r="W509" s="53"/>
      <c r="X509" s="53"/>
      <c r="Y509" s="51"/>
      <c r="Z509" s="51"/>
      <c r="AA509" s="51"/>
    </row>
    <row r="510" spans="11:27">
      <c r="K510" s="51"/>
      <c r="P510" s="50"/>
      <c r="W510" s="53"/>
      <c r="X510" s="53"/>
      <c r="Y510" s="51"/>
      <c r="Z510" s="51"/>
      <c r="AA510" s="51"/>
    </row>
    <row r="511" spans="11:27">
      <c r="K511" s="51"/>
      <c r="P511" s="50"/>
      <c r="W511" s="53"/>
      <c r="X511" s="53"/>
      <c r="Y511" s="51"/>
      <c r="Z511" s="51"/>
      <c r="AA511" s="51"/>
    </row>
    <row r="512" spans="11:27">
      <c r="K512" s="51"/>
      <c r="P512" s="50"/>
      <c r="W512" s="53"/>
      <c r="X512" s="53"/>
      <c r="Y512" s="51"/>
      <c r="Z512" s="51"/>
      <c r="AA512" s="51"/>
    </row>
    <row r="513" spans="11:27">
      <c r="K513" s="51"/>
      <c r="P513" s="50"/>
      <c r="W513" s="53"/>
      <c r="X513" s="53"/>
      <c r="Y513" s="51"/>
      <c r="Z513" s="51"/>
      <c r="AA513" s="51"/>
    </row>
    <row r="514" spans="11:27">
      <c r="K514" s="51"/>
      <c r="P514" s="50"/>
      <c r="W514" s="53"/>
      <c r="X514" s="53"/>
      <c r="Y514" s="51"/>
      <c r="Z514" s="51"/>
      <c r="AA514" s="51"/>
    </row>
    <row r="515" spans="11:27">
      <c r="K515" s="51"/>
      <c r="P515" s="50"/>
      <c r="W515" s="53"/>
      <c r="X515" s="53"/>
      <c r="Y515" s="51"/>
      <c r="Z515" s="51"/>
      <c r="AA515" s="51"/>
    </row>
    <row r="516" spans="11:27">
      <c r="K516" s="51"/>
      <c r="P516" s="50"/>
      <c r="W516" s="53"/>
      <c r="X516" s="53"/>
      <c r="Y516" s="51"/>
      <c r="Z516" s="51"/>
      <c r="AA516" s="51"/>
    </row>
    <row r="517" spans="11:27">
      <c r="K517" s="51"/>
      <c r="P517" s="50"/>
      <c r="W517" s="53"/>
      <c r="X517" s="53"/>
      <c r="Y517" s="51"/>
      <c r="Z517" s="51"/>
      <c r="AA517" s="51"/>
    </row>
    <row r="518" spans="11:27">
      <c r="K518" s="51"/>
      <c r="P518" s="50"/>
      <c r="W518" s="53"/>
      <c r="X518" s="53"/>
      <c r="Y518" s="51"/>
      <c r="Z518" s="51"/>
      <c r="AA518" s="51"/>
    </row>
    <row r="519" spans="11:27">
      <c r="K519" s="51"/>
      <c r="P519" s="50"/>
      <c r="W519" s="53"/>
      <c r="X519" s="53"/>
      <c r="Y519" s="51"/>
      <c r="Z519" s="51"/>
      <c r="AA519" s="51"/>
    </row>
    <row r="520" spans="11:27">
      <c r="K520" s="51"/>
      <c r="P520" s="50"/>
      <c r="W520" s="53"/>
      <c r="X520" s="53"/>
      <c r="Y520" s="51"/>
      <c r="Z520" s="51"/>
      <c r="AA520" s="51"/>
    </row>
    <row r="521" spans="11:27">
      <c r="K521" s="51"/>
      <c r="P521" s="50"/>
      <c r="W521" s="53"/>
      <c r="X521" s="53"/>
      <c r="Y521" s="51"/>
      <c r="Z521" s="51"/>
      <c r="AA521" s="51"/>
    </row>
    <row r="522" spans="11:27">
      <c r="K522" s="51"/>
      <c r="P522" s="50"/>
      <c r="W522" s="53"/>
      <c r="X522" s="53"/>
      <c r="Y522" s="51"/>
      <c r="Z522" s="51"/>
      <c r="AA522" s="51"/>
    </row>
    <row r="523" spans="11:27">
      <c r="K523" s="51"/>
      <c r="P523" s="50"/>
      <c r="W523" s="53"/>
      <c r="X523" s="53"/>
      <c r="Y523" s="51"/>
      <c r="Z523" s="51"/>
      <c r="AA523" s="51"/>
    </row>
    <row r="524" spans="11:27">
      <c r="K524" s="51"/>
      <c r="P524" s="50"/>
      <c r="W524" s="53"/>
      <c r="X524" s="53"/>
      <c r="Y524" s="51"/>
      <c r="Z524" s="51"/>
      <c r="AA524" s="51"/>
    </row>
    <row r="525" spans="11:27">
      <c r="K525" s="51"/>
      <c r="P525" s="50"/>
      <c r="W525" s="53"/>
      <c r="X525" s="53"/>
      <c r="Y525" s="51"/>
      <c r="Z525" s="51"/>
      <c r="AA525" s="51"/>
    </row>
    <row r="526" spans="11:27">
      <c r="K526" s="51"/>
      <c r="P526" s="50"/>
      <c r="W526" s="53"/>
      <c r="X526" s="53"/>
      <c r="Y526" s="51"/>
      <c r="Z526" s="51"/>
      <c r="AA526" s="51"/>
    </row>
    <row r="527" spans="11:27">
      <c r="K527" s="51"/>
      <c r="P527" s="50"/>
      <c r="W527" s="53"/>
      <c r="X527" s="53"/>
      <c r="Y527" s="51"/>
      <c r="Z527" s="51"/>
      <c r="AA527" s="51"/>
    </row>
    <row r="528" spans="11:27">
      <c r="K528" s="51"/>
      <c r="P528" s="50"/>
      <c r="W528" s="53"/>
      <c r="X528" s="53"/>
      <c r="Y528" s="51"/>
      <c r="Z528" s="51"/>
      <c r="AA528" s="51"/>
    </row>
    <row r="529" spans="11:27">
      <c r="K529" s="51"/>
      <c r="P529" s="50"/>
      <c r="W529" s="53"/>
      <c r="X529" s="53"/>
      <c r="Y529" s="51"/>
      <c r="Z529" s="51"/>
      <c r="AA529" s="51"/>
    </row>
    <row r="530" spans="11:27">
      <c r="K530" s="51"/>
      <c r="P530" s="50"/>
      <c r="W530" s="53"/>
      <c r="X530" s="53"/>
      <c r="Y530" s="51"/>
      <c r="Z530" s="51"/>
      <c r="AA530" s="51"/>
    </row>
    <row r="531" spans="11:27">
      <c r="K531" s="51"/>
      <c r="P531" s="50"/>
      <c r="W531" s="53"/>
      <c r="X531" s="53"/>
      <c r="Y531" s="51"/>
      <c r="Z531" s="51"/>
      <c r="AA531" s="51"/>
    </row>
    <row r="532" spans="11:27">
      <c r="K532" s="51"/>
      <c r="P532" s="50"/>
      <c r="W532" s="53"/>
      <c r="X532" s="53"/>
      <c r="Y532" s="51"/>
      <c r="Z532" s="51"/>
      <c r="AA532" s="51"/>
    </row>
    <row r="533" spans="11:27">
      <c r="K533" s="51"/>
      <c r="P533" s="50"/>
      <c r="W533" s="53"/>
      <c r="X533" s="53"/>
      <c r="Y533" s="51"/>
      <c r="Z533" s="51"/>
      <c r="AA533" s="51"/>
    </row>
    <row r="534" spans="11:27">
      <c r="K534" s="51"/>
      <c r="P534" s="50"/>
      <c r="W534" s="53"/>
      <c r="X534" s="53"/>
      <c r="Y534" s="51"/>
      <c r="Z534" s="51"/>
      <c r="AA534" s="51"/>
    </row>
    <row r="535" spans="11:27">
      <c r="K535" s="51"/>
      <c r="P535" s="50"/>
      <c r="W535" s="53"/>
      <c r="X535" s="53"/>
      <c r="Y535" s="51"/>
      <c r="Z535" s="51"/>
      <c r="AA535" s="51"/>
    </row>
    <row r="536" spans="11:27">
      <c r="K536" s="51"/>
      <c r="P536" s="50"/>
      <c r="W536" s="53"/>
      <c r="X536" s="53"/>
      <c r="Y536" s="51"/>
      <c r="Z536" s="51"/>
      <c r="AA536" s="51"/>
    </row>
    <row r="537" spans="11:27">
      <c r="K537" s="51"/>
      <c r="P537" s="50"/>
      <c r="W537" s="53"/>
      <c r="X537" s="53"/>
      <c r="Y537" s="51"/>
      <c r="Z537" s="51"/>
      <c r="AA537" s="51"/>
    </row>
    <row r="538" spans="11:27">
      <c r="K538" s="51"/>
      <c r="P538" s="50"/>
      <c r="W538" s="53"/>
      <c r="X538" s="53"/>
      <c r="Y538" s="51"/>
      <c r="Z538" s="51"/>
      <c r="AA538" s="51"/>
    </row>
    <row r="539" spans="11:27">
      <c r="K539" s="51"/>
      <c r="P539" s="50"/>
      <c r="W539" s="53"/>
      <c r="X539" s="53"/>
      <c r="Y539" s="51"/>
      <c r="Z539" s="51"/>
      <c r="AA539" s="51"/>
    </row>
    <row r="540" spans="11:27">
      <c r="K540" s="51"/>
      <c r="P540" s="50"/>
      <c r="W540" s="53"/>
      <c r="X540" s="53"/>
      <c r="Y540" s="51"/>
      <c r="Z540" s="51"/>
      <c r="AA540" s="51"/>
    </row>
    <row r="541" spans="11:27">
      <c r="K541" s="51"/>
      <c r="P541" s="50"/>
      <c r="W541" s="53"/>
      <c r="X541" s="53"/>
      <c r="Y541" s="51"/>
      <c r="Z541" s="51"/>
      <c r="AA541" s="51"/>
    </row>
    <row r="542" spans="11:27">
      <c r="K542" s="51"/>
      <c r="P542" s="50"/>
      <c r="W542" s="53"/>
      <c r="X542" s="53"/>
      <c r="Y542" s="51"/>
      <c r="Z542" s="51"/>
      <c r="AA542" s="51"/>
    </row>
    <row r="543" spans="11:27">
      <c r="K543" s="51"/>
      <c r="P543" s="50"/>
      <c r="W543" s="53"/>
      <c r="X543" s="53"/>
      <c r="Y543" s="51"/>
      <c r="Z543" s="51"/>
      <c r="AA543" s="51"/>
    </row>
    <row r="544" spans="11:27">
      <c r="K544" s="51"/>
      <c r="P544" s="50"/>
      <c r="W544" s="53"/>
      <c r="X544" s="53"/>
      <c r="Y544" s="51"/>
      <c r="Z544" s="51"/>
      <c r="AA544" s="51"/>
    </row>
    <row r="545" spans="11:27">
      <c r="K545" s="51"/>
      <c r="P545" s="50"/>
      <c r="W545" s="53"/>
      <c r="X545" s="53"/>
      <c r="Y545" s="51"/>
      <c r="Z545" s="51"/>
      <c r="AA545" s="51"/>
    </row>
    <row r="546" spans="11:27">
      <c r="K546" s="51"/>
      <c r="P546" s="50"/>
      <c r="W546" s="53"/>
      <c r="X546" s="53"/>
      <c r="Y546" s="51"/>
      <c r="Z546" s="51"/>
      <c r="AA546" s="51"/>
    </row>
    <row r="547" spans="11:27">
      <c r="K547" s="51"/>
      <c r="P547" s="50"/>
      <c r="W547" s="53"/>
      <c r="X547" s="53"/>
      <c r="Y547" s="51"/>
      <c r="Z547" s="51"/>
      <c r="AA547" s="51"/>
    </row>
    <row r="548" spans="11:27">
      <c r="K548" s="51"/>
      <c r="P548" s="50"/>
      <c r="W548" s="53"/>
      <c r="X548" s="53"/>
      <c r="Y548" s="51"/>
      <c r="Z548" s="51"/>
      <c r="AA548" s="51"/>
    </row>
    <row r="549" spans="11:27">
      <c r="K549" s="51"/>
      <c r="P549" s="50"/>
      <c r="W549" s="53"/>
      <c r="X549" s="53"/>
      <c r="Y549" s="51"/>
      <c r="Z549" s="51"/>
      <c r="AA549" s="51"/>
    </row>
    <row r="550" spans="11:27">
      <c r="K550" s="51"/>
      <c r="P550" s="50"/>
      <c r="W550" s="53"/>
      <c r="X550" s="53"/>
      <c r="Y550" s="51"/>
      <c r="Z550" s="51"/>
      <c r="AA550" s="51"/>
    </row>
    <row r="551" spans="11:27">
      <c r="K551" s="51"/>
      <c r="P551" s="50"/>
      <c r="W551" s="53"/>
      <c r="X551" s="53"/>
      <c r="Y551" s="51"/>
      <c r="Z551" s="51"/>
      <c r="AA551" s="51"/>
    </row>
    <row r="552" spans="11:27">
      <c r="K552" s="51"/>
      <c r="P552" s="50"/>
      <c r="W552" s="53"/>
      <c r="X552" s="53"/>
      <c r="Y552" s="51"/>
      <c r="Z552" s="51"/>
      <c r="AA552" s="51"/>
    </row>
    <row r="553" spans="11:27">
      <c r="K553" s="51"/>
      <c r="P553" s="50"/>
      <c r="W553" s="53"/>
      <c r="X553" s="53"/>
      <c r="Y553" s="51"/>
      <c r="Z553" s="51"/>
      <c r="AA553" s="51"/>
    </row>
    <row r="554" spans="11:27">
      <c r="K554" s="51"/>
      <c r="P554" s="50"/>
      <c r="W554" s="53"/>
      <c r="X554" s="53"/>
      <c r="Y554" s="51"/>
      <c r="Z554" s="51"/>
      <c r="AA554" s="51"/>
    </row>
    <row r="555" spans="11:27">
      <c r="K555" s="51"/>
      <c r="P555" s="50"/>
      <c r="W555" s="53"/>
      <c r="X555" s="53"/>
      <c r="Y555" s="51"/>
      <c r="Z555" s="51"/>
      <c r="AA555" s="51"/>
    </row>
    <row r="556" spans="11:27">
      <c r="K556" s="51"/>
      <c r="P556" s="50"/>
      <c r="W556" s="53"/>
      <c r="X556" s="53"/>
      <c r="Y556" s="51"/>
      <c r="Z556" s="51"/>
      <c r="AA556" s="51"/>
    </row>
    <row r="557" spans="11:27">
      <c r="K557" s="51"/>
      <c r="P557" s="50"/>
      <c r="W557" s="53"/>
      <c r="X557" s="53"/>
      <c r="Y557" s="51"/>
      <c r="Z557" s="51"/>
      <c r="AA557" s="51"/>
    </row>
    <row r="558" spans="11:27">
      <c r="K558" s="51"/>
      <c r="P558" s="50"/>
      <c r="W558" s="53"/>
      <c r="X558" s="53"/>
      <c r="Y558" s="51"/>
      <c r="Z558" s="51"/>
      <c r="AA558" s="51"/>
    </row>
    <row r="559" spans="11:27">
      <c r="K559" s="51"/>
      <c r="P559" s="50"/>
      <c r="W559" s="53"/>
      <c r="X559" s="53"/>
      <c r="Y559" s="51"/>
      <c r="Z559" s="51"/>
      <c r="AA559" s="51"/>
    </row>
    <row r="560" spans="11:27">
      <c r="K560" s="51"/>
      <c r="P560" s="50"/>
      <c r="W560" s="53"/>
      <c r="X560" s="53"/>
      <c r="Y560" s="51"/>
      <c r="Z560" s="51"/>
      <c r="AA560" s="51"/>
    </row>
    <row r="561" spans="11:27">
      <c r="K561" s="51"/>
      <c r="P561" s="50"/>
      <c r="W561" s="53"/>
      <c r="X561" s="53"/>
      <c r="Y561" s="51"/>
      <c r="Z561" s="51"/>
      <c r="AA561" s="51"/>
    </row>
    <row r="562" spans="11:27">
      <c r="K562" s="51"/>
      <c r="P562" s="50"/>
      <c r="W562" s="53"/>
      <c r="X562" s="53"/>
      <c r="Y562" s="51"/>
      <c r="Z562" s="51"/>
      <c r="AA562" s="51"/>
    </row>
    <row r="563" spans="11:27">
      <c r="K563" s="51"/>
      <c r="P563" s="50"/>
      <c r="W563" s="53"/>
      <c r="X563" s="53"/>
      <c r="Y563" s="51"/>
      <c r="Z563" s="51"/>
      <c r="AA563" s="51"/>
    </row>
    <row r="564" spans="11:27">
      <c r="K564" s="51"/>
      <c r="P564" s="50"/>
      <c r="W564" s="53"/>
      <c r="X564" s="53"/>
      <c r="Y564" s="51"/>
      <c r="Z564" s="51"/>
      <c r="AA564" s="51"/>
    </row>
    <row r="565" spans="11:27">
      <c r="K565" s="51"/>
      <c r="P565" s="50"/>
      <c r="W565" s="53"/>
      <c r="X565" s="53"/>
      <c r="Y565" s="51"/>
      <c r="Z565" s="51"/>
      <c r="AA565" s="51"/>
    </row>
    <row r="566" spans="11:27">
      <c r="K566" s="51"/>
      <c r="P566" s="50"/>
      <c r="W566" s="53"/>
      <c r="X566" s="53"/>
      <c r="Y566" s="51"/>
      <c r="Z566" s="51"/>
      <c r="AA566" s="51"/>
    </row>
    <row r="567" spans="11:27">
      <c r="K567" s="51"/>
      <c r="P567" s="50"/>
      <c r="W567" s="53"/>
      <c r="X567" s="53"/>
      <c r="Y567" s="51"/>
      <c r="Z567" s="51"/>
      <c r="AA567" s="51"/>
    </row>
    <row r="568" spans="11:27">
      <c r="K568" s="51"/>
      <c r="P568" s="50"/>
      <c r="W568" s="53"/>
      <c r="X568" s="53"/>
      <c r="Y568" s="51"/>
      <c r="Z568" s="51"/>
      <c r="AA568" s="51"/>
    </row>
    <row r="569" spans="11:27">
      <c r="K569" s="51"/>
      <c r="P569" s="50"/>
      <c r="W569" s="53"/>
      <c r="X569" s="53"/>
      <c r="Y569" s="51"/>
      <c r="Z569" s="51"/>
      <c r="AA569" s="51"/>
    </row>
    <row r="570" spans="11:27">
      <c r="K570" s="51"/>
      <c r="P570" s="50"/>
      <c r="W570" s="53"/>
      <c r="X570" s="53"/>
      <c r="Y570" s="51"/>
      <c r="Z570" s="51"/>
      <c r="AA570" s="51"/>
    </row>
    <row r="571" spans="11:27">
      <c r="K571" s="51"/>
      <c r="P571" s="50"/>
      <c r="W571" s="53"/>
      <c r="X571" s="53"/>
      <c r="Y571" s="51"/>
      <c r="Z571" s="51"/>
      <c r="AA571" s="51"/>
    </row>
    <row r="572" spans="11:27">
      <c r="K572" s="51"/>
      <c r="P572" s="50"/>
      <c r="W572" s="53"/>
      <c r="X572" s="53"/>
      <c r="Y572" s="51"/>
      <c r="Z572" s="51"/>
      <c r="AA572" s="51"/>
    </row>
    <row r="573" spans="11:27">
      <c r="K573" s="51"/>
      <c r="P573" s="50"/>
      <c r="W573" s="53"/>
      <c r="X573" s="53"/>
      <c r="Y573" s="51"/>
      <c r="Z573" s="51"/>
      <c r="AA573" s="51"/>
    </row>
    <row r="574" spans="11:27">
      <c r="K574" s="51"/>
      <c r="P574" s="50"/>
      <c r="W574" s="53"/>
      <c r="X574" s="53"/>
      <c r="Y574" s="51"/>
      <c r="Z574" s="51"/>
      <c r="AA574" s="51"/>
    </row>
    <row r="575" spans="11:27">
      <c r="K575" s="51"/>
      <c r="P575" s="50"/>
      <c r="W575" s="53"/>
      <c r="X575" s="53"/>
      <c r="Y575" s="51"/>
      <c r="Z575" s="51"/>
      <c r="AA575" s="51"/>
    </row>
    <row r="576" spans="11:27">
      <c r="K576" s="51"/>
      <c r="P576" s="50"/>
      <c r="W576" s="53"/>
      <c r="X576" s="53"/>
      <c r="Y576" s="51"/>
      <c r="Z576" s="51"/>
      <c r="AA576" s="51"/>
    </row>
    <row r="577" spans="11:27">
      <c r="K577" s="51"/>
      <c r="P577" s="50"/>
      <c r="W577" s="53"/>
      <c r="X577" s="53"/>
      <c r="Y577" s="51"/>
      <c r="Z577" s="51"/>
      <c r="AA577" s="51"/>
    </row>
    <row r="578" spans="11:27">
      <c r="K578" s="51"/>
      <c r="P578" s="50"/>
      <c r="W578" s="53"/>
      <c r="X578" s="53"/>
      <c r="Y578" s="51"/>
      <c r="Z578" s="51"/>
      <c r="AA578" s="51"/>
    </row>
    <row r="579" spans="11:27">
      <c r="K579" s="51"/>
      <c r="P579" s="50"/>
      <c r="W579" s="53"/>
      <c r="X579" s="53"/>
      <c r="Y579" s="51"/>
      <c r="Z579" s="51"/>
      <c r="AA579" s="51"/>
    </row>
    <row r="580" spans="11:27">
      <c r="K580" s="51"/>
      <c r="P580" s="50"/>
      <c r="W580" s="53"/>
      <c r="X580" s="53"/>
      <c r="Y580" s="51"/>
      <c r="Z580" s="51"/>
      <c r="AA580" s="51"/>
    </row>
    <row r="581" spans="11:27">
      <c r="K581" s="51"/>
      <c r="P581" s="50"/>
      <c r="W581" s="53"/>
      <c r="X581" s="53"/>
      <c r="Y581" s="51"/>
      <c r="Z581" s="51"/>
      <c r="AA581" s="51"/>
    </row>
    <row r="582" spans="11:27">
      <c r="K582" s="51"/>
      <c r="P582" s="50"/>
      <c r="W582" s="53"/>
      <c r="X582" s="53"/>
      <c r="Y582" s="51"/>
      <c r="Z582" s="51"/>
      <c r="AA582" s="51"/>
    </row>
    <row r="583" spans="11:27">
      <c r="K583" s="51"/>
      <c r="P583" s="50"/>
      <c r="W583" s="53"/>
      <c r="X583" s="53"/>
      <c r="Y583" s="51"/>
      <c r="Z583" s="51"/>
      <c r="AA583" s="51"/>
    </row>
    <row r="584" spans="11:27">
      <c r="K584" s="51"/>
      <c r="P584" s="50"/>
      <c r="W584" s="53"/>
      <c r="X584" s="53"/>
      <c r="Y584" s="51"/>
      <c r="Z584" s="51"/>
      <c r="AA584" s="51"/>
    </row>
    <row r="585" spans="11:27">
      <c r="K585" s="51"/>
      <c r="P585" s="50"/>
      <c r="W585" s="53"/>
      <c r="X585" s="53"/>
      <c r="Y585" s="51"/>
      <c r="Z585" s="51"/>
      <c r="AA585" s="51"/>
    </row>
    <row r="586" spans="11:27">
      <c r="K586" s="51"/>
      <c r="P586" s="50"/>
      <c r="W586" s="53"/>
      <c r="X586" s="53"/>
      <c r="Y586" s="51"/>
      <c r="Z586" s="51"/>
      <c r="AA586" s="51"/>
    </row>
    <row r="587" spans="11:27">
      <c r="K587" s="51"/>
      <c r="P587" s="50"/>
      <c r="W587" s="53"/>
      <c r="X587" s="53"/>
      <c r="Y587" s="51"/>
      <c r="Z587" s="51"/>
      <c r="AA587" s="51"/>
    </row>
    <row r="588" spans="11:27">
      <c r="K588" s="51"/>
      <c r="P588" s="50"/>
      <c r="W588" s="53"/>
      <c r="X588" s="53"/>
      <c r="Y588" s="51"/>
      <c r="Z588" s="51"/>
      <c r="AA588" s="51"/>
    </row>
    <row r="589" spans="11:27">
      <c r="K589" s="51"/>
      <c r="P589" s="50"/>
      <c r="W589" s="53"/>
      <c r="X589" s="53"/>
      <c r="Y589" s="51"/>
      <c r="Z589" s="51"/>
      <c r="AA589" s="51"/>
    </row>
    <row r="590" spans="11:27">
      <c r="K590" s="51"/>
      <c r="P590" s="50"/>
      <c r="W590" s="53"/>
      <c r="X590" s="53"/>
      <c r="Y590" s="51"/>
      <c r="Z590" s="51"/>
      <c r="AA590" s="51"/>
    </row>
    <row r="591" spans="11:27">
      <c r="K591" s="51"/>
      <c r="P591" s="50"/>
      <c r="W591" s="53"/>
      <c r="X591" s="53"/>
      <c r="Y591" s="51"/>
      <c r="Z591" s="51"/>
      <c r="AA591" s="51"/>
    </row>
    <row r="592" spans="11:27">
      <c r="K592" s="51"/>
      <c r="P592" s="50"/>
      <c r="W592" s="53"/>
      <c r="X592" s="53"/>
      <c r="Y592" s="51"/>
      <c r="Z592" s="51"/>
      <c r="AA592" s="51"/>
    </row>
    <row r="593" spans="11:27">
      <c r="K593" s="51"/>
      <c r="P593" s="50"/>
      <c r="W593" s="53"/>
      <c r="X593" s="53"/>
      <c r="Y593" s="51"/>
      <c r="Z593" s="51"/>
      <c r="AA593" s="51"/>
    </row>
    <row r="594" spans="11:27">
      <c r="K594" s="51"/>
      <c r="P594" s="50"/>
      <c r="W594" s="53"/>
      <c r="X594" s="53"/>
      <c r="Y594" s="51"/>
      <c r="Z594" s="51"/>
      <c r="AA594" s="51"/>
    </row>
    <row r="595" spans="11:27">
      <c r="K595" s="51"/>
      <c r="P595" s="50"/>
      <c r="W595" s="53"/>
      <c r="X595" s="53"/>
      <c r="Y595" s="51"/>
      <c r="Z595" s="51"/>
      <c r="AA595" s="51"/>
    </row>
    <row r="596" spans="11:27">
      <c r="K596" s="51"/>
      <c r="P596" s="50"/>
      <c r="W596" s="53"/>
      <c r="X596" s="53"/>
      <c r="Y596" s="51"/>
      <c r="Z596" s="51"/>
      <c r="AA596" s="51"/>
    </row>
    <row r="597" spans="11:27">
      <c r="K597" s="51"/>
      <c r="P597" s="50"/>
      <c r="W597" s="53"/>
      <c r="X597" s="53"/>
      <c r="Y597" s="51"/>
      <c r="Z597" s="51"/>
      <c r="AA597" s="51"/>
    </row>
    <row r="598" spans="11:27">
      <c r="K598" s="51"/>
      <c r="P598" s="50"/>
      <c r="W598" s="53"/>
      <c r="X598" s="53"/>
      <c r="Y598" s="51"/>
      <c r="Z598" s="51"/>
      <c r="AA598" s="51"/>
    </row>
    <row r="599" spans="11:27">
      <c r="K599" s="51"/>
      <c r="P599" s="50"/>
      <c r="W599" s="53"/>
      <c r="X599" s="53"/>
      <c r="Y599" s="51"/>
      <c r="Z599" s="51"/>
      <c r="AA599" s="51"/>
    </row>
    <row r="600" spans="11:27">
      <c r="K600" s="51"/>
      <c r="P600" s="50"/>
      <c r="W600" s="53"/>
      <c r="X600" s="53"/>
      <c r="Y600" s="51"/>
      <c r="Z600" s="51"/>
      <c r="AA600" s="51"/>
    </row>
    <row r="601" spans="11:27">
      <c r="K601" s="51"/>
      <c r="P601" s="50"/>
      <c r="W601" s="53"/>
      <c r="X601" s="53"/>
      <c r="Y601" s="51"/>
      <c r="Z601" s="51"/>
      <c r="AA601" s="51"/>
    </row>
    <row r="602" spans="11:27">
      <c r="K602" s="51"/>
      <c r="P602" s="50"/>
      <c r="W602" s="53"/>
      <c r="X602" s="53"/>
      <c r="Y602" s="51"/>
      <c r="Z602" s="51"/>
      <c r="AA602" s="51"/>
    </row>
    <row r="603" spans="11:27">
      <c r="K603" s="51"/>
      <c r="P603" s="50"/>
      <c r="W603" s="53"/>
      <c r="X603" s="53"/>
      <c r="Y603" s="51"/>
      <c r="Z603" s="51"/>
      <c r="AA603" s="51"/>
    </row>
    <row r="604" spans="11:27">
      <c r="K604" s="51"/>
      <c r="P604" s="50"/>
      <c r="W604" s="53"/>
      <c r="X604" s="53"/>
      <c r="Y604" s="51"/>
      <c r="Z604" s="51"/>
      <c r="AA604" s="51"/>
    </row>
    <row r="605" spans="11:27">
      <c r="K605" s="51"/>
      <c r="P605" s="50"/>
      <c r="W605" s="53"/>
      <c r="X605" s="53"/>
      <c r="Y605" s="51"/>
      <c r="Z605" s="51"/>
      <c r="AA605" s="51"/>
    </row>
    <row r="606" spans="11:27">
      <c r="K606" s="51"/>
      <c r="P606" s="50"/>
      <c r="W606" s="53"/>
      <c r="X606" s="53"/>
      <c r="Y606" s="51"/>
      <c r="Z606" s="51"/>
      <c r="AA606" s="51"/>
    </row>
    <row r="607" spans="11:27">
      <c r="K607" s="51"/>
      <c r="P607" s="50"/>
      <c r="W607" s="53"/>
      <c r="X607" s="53"/>
      <c r="Y607" s="51"/>
      <c r="Z607" s="51"/>
      <c r="AA607" s="51"/>
    </row>
    <row r="608" spans="11:27">
      <c r="K608" s="51"/>
      <c r="P608" s="50"/>
      <c r="W608" s="53"/>
      <c r="X608" s="53"/>
      <c r="Y608" s="51"/>
      <c r="Z608" s="51"/>
      <c r="AA608" s="51"/>
    </row>
    <row r="609" spans="11:27">
      <c r="K609" s="51"/>
      <c r="P609" s="50"/>
      <c r="W609" s="53"/>
      <c r="X609" s="53"/>
      <c r="Y609" s="51"/>
      <c r="Z609" s="51"/>
      <c r="AA609" s="51"/>
    </row>
    <row r="610" spans="11:27">
      <c r="K610" s="51"/>
      <c r="P610" s="50"/>
      <c r="W610" s="53"/>
      <c r="X610" s="53"/>
      <c r="Y610" s="51"/>
      <c r="Z610" s="51"/>
      <c r="AA610" s="51"/>
    </row>
    <row r="611" spans="11:27">
      <c r="K611" s="51"/>
      <c r="P611" s="50"/>
      <c r="W611" s="53"/>
      <c r="X611" s="53"/>
      <c r="Y611" s="51"/>
      <c r="Z611" s="51"/>
      <c r="AA611" s="51"/>
    </row>
    <row r="612" spans="11:27">
      <c r="K612" s="51"/>
      <c r="P612" s="50"/>
      <c r="W612" s="53"/>
      <c r="X612" s="53"/>
      <c r="Y612" s="51"/>
      <c r="Z612" s="51"/>
      <c r="AA612" s="51"/>
    </row>
    <row r="613" spans="11:27">
      <c r="K613" s="51"/>
      <c r="P613" s="50"/>
      <c r="W613" s="53"/>
      <c r="X613" s="53"/>
      <c r="Y613" s="51"/>
      <c r="Z613" s="51"/>
      <c r="AA613" s="51"/>
    </row>
    <row r="614" spans="11:27">
      <c r="K614" s="51"/>
      <c r="P614" s="50"/>
      <c r="W614" s="53"/>
      <c r="X614" s="53"/>
      <c r="Y614" s="51"/>
      <c r="Z614" s="51"/>
      <c r="AA614" s="51"/>
    </row>
    <row r="615" spans="11:27">
      <c r="K615" s="51"/>
      <c r="P615" s="50"/>
      <c r="W615" s="53"/>
      <c r="X615" s="53"/>
      <c r="Y615" s="51"/>
      <c r="Z615" s="51"/>
      <c r="AA615" s="51"/>
    </row>
    <row r="616" spans="11:27">
      <c r="K616" s="51"/>
      <c r="P616" s="50"/>
      <c r="W616" s="53"/>
      <c r="X616" s="53"/>
      <c r="Y616" s="51"/>
      <c r="Z616" s="51"/>
      <c r="AA616" s="51"/>
    </row>
    <row r="617" spans="11:27">
      <c r="K617" s="51"/>
      <c r="P617" s="50"/>
      <c r="W617" s="53"/>
      <c r="X617" s="53"/>
      <c r="Y617" s="51"/>
      <c r="Z617" s="51"/>
      <c r="AA617" s="51"/>
    </row>
    <row r="618" spans="11:27">
      <c r="K618" s="51"/>
      <c r="P618" s="50"/>
      <c r="W618" s="53"/>
      <c r="X618" s="53"/>
      <c r="Y618" s="51"/>
      <c r="Z618" s="51"/>
      <c r="AA618" s="51"/>
    </row>
    <row r="619" spans="11:27">
      <c r="K619" s="51"/>
      <c r="P619" s="50"/>
      <c r="W619" s="53"/>
      <c r="X619" s="53"/>
      <c r="Y619" s="51"/>
      <c r="Z619" s="51"/>
      <c r="AA619" s="51"/>
    </row>
    <row r="620" spans="11:27">
      <c r="K620" s="51"/>
      <c r="P620" s="50"/>
      <c r="W620" s="53"/>
      <c r="X620" s="53"/>
      <c r="Y620" s="51"/>
      <c r="Z620" s="51"/>
      <c r="AA620" s="51"/>
    </row>
    <row r="621" spans="11:27">
      <c r="K621" s="51"/>
      <c r="P621" s="50"/>
      <c r="W621" s="53"/>
      <c r="X621" s="53"/>
      <c r="Y621" s="51"/>
      <c r="Z621" s="51"/>
      <c r="AA621" s="51"/>
    </row>
    <row r="622" spans="11:27">
      <c r="K622" s="51"/>
      <c r="P622" s="50"/>
      <c r="W622" s="53"/>
      <c r="X622" s="53"/>
      <c r="Y622" s="51"/>
      <c r="Z622" s="51"/>
      <c r="AA622" s="51"/>
    </row>
    <row r="623" spans="11:27">
      <c r="K623" s="51"/>
      <c r="P623" s="50"/>
      <c r="W623" s="53"/>
      <c r="X623" s="53"/>
      <c r="Y623" s="51"/>
      <c r="Z623" s="51"/>
      <c r="AA623" s="51"/>
    </row>
    <row r="624" spans="11:27">
      <c r="K624" s="51"/>
      <c r="P624" s="50"/>
      <c r="W624" s="53"/>
      <c r="X624" s="53"/>
      <c r="Y624" s="51"/>
      <c r="Z624" s="51"/>
      <c r="AA624" s="51"/>
    </row>
    <row r="625" spans="11:27">
      <c r="K625" s="51"/>
      <c r="P625" s="50"/>
      <c r="W625" s="53"/>
      <c r="X625" s="53"/>
      <c r="Y625" s="51"/>
      <c r="Z625" s="51"/>
      <c r="AA625" s="51"/>
    </row>
    <row r="626" spans="11:27">
      <c r="K626" s="51"/>
      <c r="P626" s="50"/>
      <c r="W626" s="53"/>
      <c r="X626" s="53"/>
      <c r="Y626" s="51"/>
      <c r="Z626" s="51"/>
      <c r="AA626" s="51"/>
    </row>
    <row r="627" spans="11:27">
      <c r="K627" s="51"/>
      <c r="P627" s="50"/>
      <c r="W627" s="53"/>
      <c r="X627" s="53"/>
      <c r="Y627" s="51"/>
      <c r="Z627" s="51"/>
      <c r="AA627" s="51"/>
    </row>
    <row r="628" spans="11:27">
      <c r="K628" s="51"/>
      <c r="P628" s="50"/>
      <c r="W628" s="53"/>
      <c r="X628" s="53"/>
      <c r="Y628" s="51"/>
      <c r="Z628" s="51"/>
      <c r="AA628" s="51"/>
    </row>
    <row r="629" spans="11:27">
      <c r="K629" s="51"/>
      <c r="P629" s="50"/>
      <c r="W629" s="53"/>
      <c r="X629" s="53"/>
      <c r="Y629" s="51"/>
      <c r="Z629" s="51"/>
      <c r="AA629" s="51"/>
    </row>
    <row r="630" spans="11:27">
      <c r="K630" s="51"/>
      <c r="P630" s="50"/>
      <c r="W630" s="53"/>
      <c r="X630" s="53"/>
      <c r="Y630" s="51"/>
      <c r="Z630" s="51"/>
      <c r="AA630" s="51"/>
    </row>
    <row r="631" spans="11:27">
      <c r="K631" s="51"/>
      <c r="P631" s="50"/>
      <c r="W631" s="53"/>
      <c r="X631" s="53"/>
      <c r="Y631" s="51"/>
      <c r="Z631" s="51"/>
      <c r="AA631" s="51"/>
    </row>
    <row r="632" spans="11:27">
      <c r="K632" s="51"/>
      <c r="P632" s="50"/>
      <c r="W632" s="53"/>
      <c r="X632" s="53"/>
      <c r="Y632" s="51"/>
      <c r="Z632" s="51"/>
      <c r="AA632" s="51"/>
    </row>
    <row r="633" spans="11:27">
      <c r="K633" s="51"/>
      <c r="P633" s="50"/>
      <c r="W633" s="53"/>
      <c r="X633" s="53"/>
      <c r="Y633" s="51"/>
      <c r="Z633" s="51"/>
      <c r="AA633" s="51"/>
    </row>
    <row r="634" spans="11:27">
      <c r="K634" s="51"/>
      <c r="P634" s="50"/>
      <c r="W634" s="53"/>
      <c r="X634" s="53"/>
      <c r="Y634" s="51"/>
      <c r="Z634" s="51"/>
      <c r="AA634" s="51"/>
    </row>
    <row r="635" spans="11:27">
      <c r="K635" s="51"/>
      <c r="P635" s="50"/>
      <c r="W635" s="53"/>
      <c r="X635" s="53"/>
      <c r="Y635" s="51"/>
      <c r="Z635" s="51"/>
      <c r="AA635" s="51"/>
    </row>
    <row r="636" spans="11:27">
      <c r="K636" s="51"/>
      <c r="P636" s="50"/>
      <c r="W636" s="53"/>
      <c r="X636" s="53"/>
      <c r="Y636" s="51"/>
      <c r="Z636" s="51"/>
      <c r="AA636" s="51"/>
    </row>
    <row r="637" spans="11:27">
      <c r="K637" s="51"/>
      <c r="P637" s="50"/>
      <c r="W637" s="53"/>
      <c r="X637" s="53"/>
      <c r="Y637" s="51"/>
      <c r="Z637" s="51"/>
      <c r="AA637" s="51"/>
    </row>
    <row r="638" spans="11:27">
      <c r="K638" s="51"/>
      <c r="P638" s="50"/>
      <c r="W638" s="53"/>
      <c r="X638" s="53"/>
      <c r="Y638" s="51"/>
      <c r="Z638" s="51"/>
      <c r="AA638" s="51"/>
    </row>
    <row r="639" spans="11:27">
      <c r="K639" s="51"/>
      <c r="P639" s="50"/>
      <c r="W639" s="53"/>
      <c r="X639" s="53"/>
      <c r="Y639" s="51"/>
      <c r="Z639" s="51"/>
      <c r="AA639" s="51"/>
    </row>
    <row r="640" spans="11:27">
      <c r="K640" s="51"/>
      <c r="P640" s="50"/>
      <c r="W640" s="53"/>
      <c r="X640" s="53"/>
      <c r="Y640" s="51"/>
      <c r="Z640" s="51"/>
      <c r="AA640" s="51"/>
    </row>
    <row r="641" spans="11:27">
      <c r="K641" s="51"/>
      <c r="P641" s="50"/>
      <c r="W641" s="53"/>
      <c r="X641" s="53"/>
      <c r="Y641" s="51"/>
      <c r="Z641" s="51"/>
      <c r="AA641" s="51"/>
    </row>
    <row r="642" spans="11:27">
      <c r="K642" s="51"/>
      <c r="P642" s="50"/>
      <c r="W642" s="53"/>
      <c r="X642" s="53"/>
      <c r="Y642" s="51"/>
      <c r="Z642" s="51"/>
      <c r="AA642" s="51"/>
    </row>
    <row r="643" spans="11:27">
      <c r="K643" s="51"/>
      <c r="P643" s="50"/>
      <c r="W643" s="53"/>
      <c r="X643" s="53"/>
      <c r="Y643" s="51"/>
      <c r="Z643" s="51"/>
      <c r="AA643" s="51"/>
    </row>
    <row r="644" spans="11:27">
      <c r="K644" s="51"/>
      <c r="P644" s="50"/>
      <c r="W644" s="53"/>
      <c r="X644" s="53"/>
      <c r="Y644" s="51"/>
      <c r="Z644" s="51"/>
      <c r="AA644" s="51"/>
    </row>
    <row r="645" spans="11:27">
      <c r="K645" s="51"/>
      <c r="P645" s="50"/>
      <c r="W645" s="53"/>
      <c r="X645" s="53"/>
      <c r="Y645" s="51"/>
      <c r="Z645" s="51"/>
      <c r="AA645" s="51"/>
    </row>
    <row r="646" spans="11:27">
      <c r="K646" s="51"/>
      <c r="P646" s="50"/>
      <c r="W646" s="53"/>
      <c r="X646" s="53"/>
      <c r="Y646" s="51"/>
      <c r="Z646" s="51"/>
      <c r="AA646" s="51"/>
    </row>
    <row r="647" spans="11:27">
      <c r="K647" s="51"/>
      <c r="P647" s="50"/>
      <c r="W647" s="53"/>
      <c r="X647" s="53"/>
      <c r="Y647" s="51"/>
      <c r="Z647" s="51"/>
      <c r="AA647" s="51"/>
    </row>
    <row r="648" spans="11:27">
      <c r="K648" s="51"/>
      <c r="P648" s="50"/>
      <c r="W648" s="53"/>
      <c r="X648" s="53"/>
      <c r="Y648" s="51"/>
      <c r="Z648" s="51"/>
      <c r="AA648" s="51"/>
    </row>
    <row r="649" spans="11:27">
      <c r="K649" s="51"/>
      <c r="P649" s="50"/>
      <c r="W649" s="53"/>
      <c r="X649" s="53"/>
      <c r="Y649" s="51"/>
      <c r="Z649" s="51"/>
      <c r="AA649" s="51"/>
    </row>
    <row r="650" spans="11:27">
      <c r="K650" s="51"/>
      <c r="P650" s="50"/>
      <c r="W650" s="53"/>
      <c r="X650" s="53"/>
      <c r="Y650" s="51"/>
      <c r="Z650" s="51"/>
      <c r="AA650" s="51"/>
    </row>
    <row r="651" spans="11:27">
      <c r="K651" s="51"/>
      <c r="P651" s="50"/>
      <c r="W651" s="53"/>
      <c r="X651" s="53"/>
      <c r="Y651" s="51"/>
      <c r="Z651" s="51"/>
      <c r="AA651" s="51"/>
    </row>
    <row r="652" spans="11:27">
      <c r="K652" s="51"/>
      <c r="P652" s="50"/>
      <c r="W652" s="53"/>
      <c r="X652" s="53"/>
      <c r="Y652" s="51"/>
      <c r="Z652" s="51"/>
      <c r="AA652" s="51"/>
    </row>
    <row r="653" spans="11:27">
      <c r="K653" s="51"/>
      <c r="P653" s="50"/>
      <c r="W653" s="53"/>
      <c r="X653" s="53"/>
      <c r="Y653" s="51"/>
      <c r="Z653" s="51"/>
      <c r="AA653" s="51"/>
    </row>
    <row r="654" spans="11:27">
      <c r="K654" s="51"/>
      <c r="P654" s="50"/>
      <c r="W654" s="53"/>
      <c r="X654" s="53"/>
      <c r="Y654" s="51"/>
      <c r="Z654" s="51"/>
      <c r="AA654" s="51"/>
    </row>
    <row r="655" spans="11:27">
      <c r="K655" s="51"/>
      <c r="P655" s="50"/>
      <c r="W655" s="53"/>
      <c r="X655" s="53"/>
      <c r="Y655" s="51"/>
      <c r="Z655" s="51"/>
      <c r="AA655" s="51"/>
    </row>
    <row r="656" spans="11:27">
      <c r="K656" s="51"/>
      <c r="P656" s="50"/>
      <c r="W656" s="53"/>
      <c r="X656" s="53"/>
      <c r="Y656" s="51"/>
      <c r="Z656" s="51"/>
      <c r="AA656" s="51"/>
    </row>
    <row r="657" spans="11:27">
      <c r="K657" s="51"/>
      <c r="P657" s="50"/>
      <c r="W657" s="53"/>
      <c r="X657" s="53"/>
      <c r="Y657" s="51"/>
      <c r="Z657" s="51"/>
      <c r="AA657" s="51"/>
    </row>
    <row r="658" spans="11:27">
      <c r="K658" s="51"/>
      <c r="P658" s="50"/>
      <c r="W658" s="53"/>
      <c r="X658" s="53"/>
      <c r="Y658" s="51"/>
      <c r="Z658" s="51"/>
      <c r="AA658" s="51"/>
    </row>
    <row r="659" spans="11:27">
      <c r="K659" s="51"/>
      <c r="P659" s="50"/>
      <c r="W659" s="53"/>
      <c r="X659" s="53"/>
      <c r="Y659" s="51"/>
      <c r="Z659" s="51"/>
      <c r="AA659" s="51"/>
    </row>
    <row r="660" spans="11:27">
      <c r="K660" s="51"/>
      <c r="P660" s="50"/>
      <c r="W660" s="53"/>
      <c r="X660" s="53"/>
      <c r="Y660" s="51"/>
      <c r="Z660" s="51"/>
      <c r="AA660" s="51"/>
    </row>
    <row r="661" spans="11:27">
      <c r="K661" s="51"/>
      <c r="P661" s="50"/>
      <c r="W661" s="53"/>
      <c r="X661" s="53"/>
      <c r="Y661" s="51"/>
      <c r="Z661" s="51"/>
      <c r="AA661" s="51"/>
    </row>
    <row r="662" spans="11:27">
      <c r="K662" s="51"/>
      <c r="P662" s="50"/>
      <c r="W662" s="53"/>
      <c r="X662" s="53"/>
      <c r="Y662" s="51"/>
      <c r="Z662" s="51"/>
      <c r="AA662" s="51"/>
    </row>
    <row r="663" spans="11:27">
      <c r="K663" s="51"/>
      <c r="P663" s="50"/>
      <c r="W663" s="53"/>
      <c r="X663" s="53"/>
      <c r="Y663" s="51"/>
      <c r="Z663" s="51"/>
      <c r="AA663" s="51"/>
    </row>
    <row r="664" spans="11:27">
      <c r="K664" s="51"/>
      <c r="P664" s="50"/>
      <c r="W664" s="53"/>
      <c r="X664" s="53"/>
      <c r="Y664" s="51"/>
      <c r="Z664" s="51"/>
      <c r="AA664" s="51"/>
    </row>
    <row r="665" spans="11:27">
      <c r="K665" s="51"/>
      <c r="P665" s="50"/>
      <c r="W665" s="53"/>
      <c r="X665" s="53"/>
      <c r="Y665" s="51"/>
      <c r="Z665" s="51"/>
      <c r="AA665" s="51"/>
    </row>
    <row r="666" spans="11:27">
      <c r="K666" s="51"/>
      <c r="P666" s="50"/>
      <c r="W666" s="53"/>
      <c r="X666" s="53"/>
      <c r="Y666" s="51"/>
      <c r="Z666" s="51"/>
      <c r="AA666" s="51"/>
    </row>
    <row r="667" spans="11:27">
      <c r="K667" s="51"/>
      <c r="P667" s="50"/>
      <c r="W667" s="53"/>
      <c r="X667" s="53"/>
      <c r="Y667" s="51"/>
      <c r="Z667" s="51"/>
      <c r="AA667" s="51"/>
    </row>
    <row r="668" spans="11:27">
      <c r="K668" s="51"/>
      <c r="P668" s="50"/>
      <c r="W668" s="53"/>
      <c r="X668" s="53"/>
      <c r="Y668" s="51"/>
      <c r="Z668" s="51"/>
      <c r="AA668" s="51"/>
    </row>
    <row r="669" spans="11:27">
      <c r="K669" s="51"/>
      <c r="P669" s="50"/>
      <c r="W669" s="53"/>
      <c r="X669" s="53"/>
      <c r="Y669" s="51"/>
      <c r="Z669" s="51"/>
      <c r="AA669" s="51"/>
    </row>
    <row r="670" spans="11:27">
      <c r="K670" s="51"/>
      <c r="P670" s="50"/>
      <c r="W670" s="53"/>
      <c r="X670" s="53"/>
      <c r="Y670" s="51"/>
      <c r="Z670" s="51"/>
      <c r="AA670" s="51"/>
    </row>
    <row r="671" spans="11:27">
      <c r="K671" s="51"/>
      <c r="P671" s="50"/>
      <c r="W671" s="53"/>
      <c r="X671" s="53"/>
      <c r="Y671" s="51"/>
      <c r="Z671" s="51"/>
      <c r="AA671" s="51"/>
    </row>
    <row r="672" spans="11:27">
      <c r="K672" s="51"/>
      <c r="P672" s="50"/>
      <c r="W672" s="53"/>
      <c r="X672" s="53"/>
      <c r="Y672" s="51"/>
      <c r="Z672" s="51"/>
      <c r="AA672" s="51"/>
    </row>
    <row r="673" spans="11:27">
      <c r="K673" s="51"/>
      <c r="P673" s="50"/>
      <c r="W673" s="53"/>
      <c r="X673" s="53"/>
      <c r="Y673" s="51"/>
      <c r="Z673" s="51"/>
      <c r="AA673" s="51"/>
    </row>
    <row r="674" spans="11:27">
      <c r="K674" s="51"/>
      <c r="P674" s="50"/>
      <c r="W674" s="53"/>
      <c r="X674" s="53"/>
      <c r="Y674" s="51"/>
      <c r="Z674" s="51"/>
      <c r="AA674" s="51"/>
    </row>
    <row r="675" spans="11:27">
      <c r="K675" s="51"/>
      <c r="P675" s="50"/>
      <c r="W675" s="53"/>
      <c r="X675" s="53"/>
      <c r="Y675" s="51"/>
      <c r="Z675" s="51"/>
      <c r="AA675" s="51"/>
    </row>
    <row r="676" spans="11:27">
      <c r="K676" s="51"/>
      <c r="P676" s="50"/>
      <c r="W676" s="53"/>
      <c r="X676" s="53"/>
      <c r="Y676" s="51"/>
      <c r="Z676" s="51"/>
      <c r="AA676" s="51"/>
    </row>
    <row r="677" spans="11:27">
      <c r="K677" s="51"/>
      <c r="P677" s="50"/>
      <c r="W677" s="53"/>
      <c r="X677" s="53"/>
      <c r="Y677" s="51"/>
      <c r="Z677" s="51"/>
      <c r="AA677" s="51"/>
    </row>
    <row r="678" spans="11:27">
      <c r="K678" s="51"/>
      <c r="P678" s="50"/>
      <c r="W678" s="53"/>
      <c r="X678" s="53"/>
      <c r="Y678" s="51"/>
      <c r="Z678" s="51"/>
      <c r="AA678" s="51"/>
    </row>
    <row r="679" spans="11:27">
      <c r="K679" s="51"/>
      <c r="P679" s="50"/>
      <c r="W679" s="53"/>
      <c r="X679" s="53"/>
      <c r="Y679" s="51"/>
      <c r="Z679" s="51"/>
      <c r="AA679" s="51"/>
    </row>
    <row r="680" spans="11:27">
      <c r="K680" s="51"/>
      <c r="P680" s="50"/>
      <c r="W680" s="53"/>
      <c r="X680" s="53"/>
      <c r="Y680" s="51"/>
      <c r="Z680" s="51"/>
      <c r="AA680" s="51"/>
    </row>
    <row r="681" spans="11:27">
      <c r="K681" s="51"/>
      <c r="P681" s="50"/>
      <c r="W681" s="53"/>
      <c r="X681" s="53"/>
      <c r="Y681" s="51"/>
      <c r="Z681" s="51"/>
      <c r="AA681" s="51"/>
    </row>
    <row r="682" spans="11:27">
      <c r="K682" s="51"/>
      <c r="P682" s="50"/>
      <c r="W682" s="53"/>
      <c r="X682" s="53"/>
      <c r="Y682" s="51"/>
      <c r="Z682" s="51"/>
      <c r="AA682" s="51"/>
    </row>
    <row r="683" spans="11:27">
      <c r="K683" s="51"/>
      <c r="P683" s="50"/>
      <c r="W683" s="53"/>
      <c r="X683" s="53"/>
      <c r="Y683" s="51"/>
      <c r="Z683" s="51"/>
      <c r="AA683" s="51"/>
    </row>
    <row r="684" spans="11:27">
      <c r="K684" s="51"/>
      <c r="P684" s="50"/>
      <c r="W684" s="53"/>
      <c r="X684" s="53"/>
      <c r="Y684" s="51"/>
      <c r="Z684" s="51"/>
      <c r="AA684" s="51"/>
    </row>
    <row r="685" spans="11:27">
      <c r="K685" s="51"/>
      <c r="P685" s="50"/>
      <c r="W685" s="53"/>
      <c r="X685" s="53"/>
      <c r="Y685" s="51"/>
      <c r="Z685" s="51"/>
      <c r="AA685" s="51"/>
    </row>
    <row r="686" spans="11:27">
      <c r="K686" s="51"/>
      <c r="P686" s="50"/>
      <c r="W686" s="53"/>
      <c r="X686" s="53"/>
      <c r="Y686" s="51"/>
      <c r="Z686" s="51"/>
      <c r="AA686" s="51"/>
    </row>
    <row r="687" spans="11:27">
      <c r="K687" s="51"/>
      <c r="P687" s="50"/>
      <c r="W687" s="53"/>
      <c r="X687" s="53"/>
      <c r="Y687" s="51"/>
      <c r="Z687" s="51"/>
      <c r="AA687" s="51"/>
    </row>
    <row r="688" spans="11:27">
      <c r="K688" s="51"/>
      <c r="P688" s="50"/>
      <c r="W688" s="53"/>
      <c r="X688" s="53"/>
      <c r="Y688" s="51"/>
      <c r="Z688" s="51"/>
      <c r="AA688" s="51"/>
    </row>
    <row r="689" spans="11:27">
      <c r="K689" s="51"/>
      <c r="P689" s="50"/>
      <c r="W689" s="53"/>
      <c r="X689" s="53"/>
      <c r="Y689" s="51"/>
      <c r="Z689" s="51"/>
      <c r="AA689" s="51"/>
    </row>
    <row r="690" spans="11:27">
      <c r="K690" s="51"/>
      <c r="P690" s="50"/>
      <c r="W690" s="53"/>
      <c r="X690" s="53"/>
      <c r="Y690" s="51"/>
      <c r="Z690" s="51"/>
      <c r="AA690" s="51"/>
    </row>
    <row r="691" spans="11:27">
      <c r="K691" s="51"/>
      <c r="P691" s="50"/>
      <c r="W691" s="53"/>
      <c r="X691" s="53"/>
      <c r="Y691" s="51"/>
      <c r="Z691" s="51"/>
      <c r="AA691" s="51"/>
    </row>
    <row r="692" spans="11:27">
      <c r="K692" s="51"/>
      <c r="P692" s="50"/>
      <c r="W692" s="53"/>
      <c r="X692" s="53"/>
      <c r="Y692" s="51"/>
      <c r="Z692" s="51"/>
      <c r="AA692" s="51"/>
    </row>
    <row r="693" spans="11:27">
      <c r="K693" s="51"/>
      <c r="P693" s="50"/>
      <c r="W693" s="53"/>
      <c r="X693" s="53"/>
      <c r="Y693" s="51"/>
      <c r="Z693" s="51"/>
      <c r="AA693" s="51"/>
    </row>
    <row r="694" spans="11:27">
      <c r="K694" s="51"/>
      <c r="P694" s="50"/>
      <c r="W694" s="53"/>
      <c r="X694" s="53"/>
      <c r="Y694" s="51"/>
      <c r="Z694" s="51"/>
      <c r="AA694" s="51"/>
    </row>
    <row r="695" spans="11:27">
      <c r="K695" s="51"/>
      <c r="P695" s="50"/>
      <c r="W695" s="53"/>
      <c r="X695" s="53"/>
      <c r="Y695" s="51"/>
      <c r="Z695" s="51"/>
      <c r="AA695" s="51"/>
    </row>
    <row r="696" spans="11:27">
      <c r="K696" s="51"/>
      <c r="P696" s="50"/>
      <c r="W696" s="53"/>
      <c r="X696" s="53"/>
      <c r="Y696" s="51"/>
      <c r="Z696" s="51"/>
      <c r="AA696" s="51"/>
    </row>
    <row r="697" spans="11:27">
      <c r="K697" s="51"/>
      <c r="P697" s="50"/>
      <c r="W697" s="53"/>
      <c r="X697" s="53"/>
      <c r="Y697" s="51"/>
      <c r="Z697" s="51"/>
      <c r="AA697" s="51"/>
    </row>
    <row r="698" spans="11:27">
      <c r="K698" s="51"/>
      <c r="P698" s="50"/>
      <c r="W698" s="53"/>
      <c r="X698" s="53"/>
      <c r="Y698" s="51"/>
      <c r="Z698" s="51"/>
      <c r="AA698" s="51"/>
    </row>
    <row r="699" spans="11:27">
      <c r="K699" s="51"/>
      <c r="P699" s="50"/>
      <c r="W699" s="53"/>
      <c r="X699" s="53"/>
      <c r="Y699" s="51"/>
      <c r="Z699" s="51"/>
      <c r="AA699" s="51"/>
    </row>
    <row r="700" spans="11:27">
      <c r="K700" s="51"/>
      <c r="P700" s="50"/>
      <c r="W700" s="53"/>
      <c r="X700" s="53"/>
      <c r="Y700" s="51"/>
      <c r="Z700" s="51"/>
      <c r="AA700" s="51"/>
    </row>
    <row r="701" spans="11:27">
      <c r="K701" s="51"/>
      <c r="P701" s="50"/>
      <c r="W701" s="53"/>
      <c r="X701" s="53"/>
      <c r="Y701" s="51"/>
      <c r="Z701" s="51"/>
      <c r="AA701" s="51"/>
    </row>
    <row r="702" spans="11:27">
      <c r="K702" s="51"/>
      <c r="P702" s="50"/>
      <c r="W702" s="53"/>
      <c r="X702" s="53"/>
      <c r="Y702" s="51"/>
      <c r="Z702" s="51"/>
      <c r="AA702" s="51"/>
    </row>
    <row r="703" spans="11:27">
      <c r="K703" s="51"/>
      <c r="P703" s="50"/>
      <c r="W703" s="53"/>
      <c r="X703" s="53"/>
      <c r="Y703" s="51"/>
      <c r="Z703" s="51"/>
      <c r="AA703" s="51"/>
    </row>
    <row r="704" spans="11:27">
      <c r="K704" s="51"/>
      <c r="P704" s="50"/>
      <c r="W704" s="53"/>
      <c r="X704" s="53"/>
      <c r="Y704" s="51"/>
      <c r="Z704" s="51"/>
      <c r="AA704" s="51"/>
    </row>
    <row r="705" spans="11:27">
      <c r="K705" s="51"/>
      <c r="P705" s="50"/>
      <c r="W705" s="53"/>
      <c r="X705" s="53"/>
      <c r="Y705" s="51"/>
      <c r="Z705" s="51"/>
      <c r="AA705" s="51"/>
    </row>
    <row r="706" spans="11:27">
      <c r="K706" s="51"/>
      <c r="P706" s="50"/>
      <c r="W706" s="53"/>
      <c r="X706" s="53"/>
      <c r="Y706" s="51"/>
      <c r="Z706" s="51"/>
      <c r="AA706" s="51"/>
    </row>
    <row r="707" spans="11:27">
      <c r="K707" s="51"/>
      <c r="P707" s="50"/>
      <c r="W707" s="53"/>
      <c r="X707" s="53"/>
      <c r="Y707" s="51"/>
      <c r="Z707" s="51"/>
      <c r="AA707" s="51"/>
    </row>
    <row r="708" spans="11:27">
      <c r="K708" s="51"/>
      <c r="P708" s="50"/>
      <c r="W708" s="53"/>
      <c r="X708" s="53"/>
      <c r="Y708" s="51"/>
      <c r="Z708" s="51"/>
      <c r="AA708" s="51"/>
    </row>
    <row r="709" spans="11:27">
      <c r="K709" s="51"/>
      <c r="P709" s="50"/>
      <c r="W709" s="53"/>
      <c r="X709" s="53"/>
      <c r="Y709" s="51"/>
      <c r="Z709" s="51"/>
      <c r="AA709" s="51"/>
    </row>
    <row r="710" spans="11:27">
      <c r="K710" s="51"/>
      <c r="P710" s="50"/>
      <c r="W710" s="53"/>
      <c r="X710" s="53"/>
      <c r="Y710" s="51"/>
      <c r="Z710" s="51"/>
      <c r="AA710" s="51"/>
    </row>
    <row r="711" spans="11:27">
      <c r="K711" s="51"/>
      <c r="P711" s="50"/>
      <c r="W711" s="53"/>
      <c r="X711" s="53"/>
      <c r="Y711" s="51"/>
      <c r="Z711" s="51"/>
      <c r="AA711" s="51"/>
    </row>
    <row r="712" spans="11:27">
      <c r="K712" s="51"/>
      <c r="P712" s="50"/>
      <c r="W712" s="53"/>
      <c r="X712" s="53"/>
      <c r="Y712" s="51"/>
      <c r="Z712" s="51"/>
      <c r="AA712" s="51"/>
    </row>
    <row r="713" spans="11:27">
      <c r="K713" s="51"/>
      <c r="P713" s="50"/>
      <c r="W713" s="53"/>
      <c r="X713" s="53"/>
      <c r="Y713" s="51"/>
      <c r="Z713" s="51"/>
      <c r="AA713" s="51"/>
    </row>
    <row r="714" spans="11:27">
      <c r="K714" s="51"/>
      <c r="P714" s="50"/>
      <c r="W714" s="53"/>
      <c r="X714" s="53"/>
      <c r="Y714" s="51"/>
      <c r="Z714" s="51"/>
      <c r="AA714" s="51"/>
    </row>
    <row r="715" spans="11:27">
      <c r="K715" s="51"/>
      <c r="P715" s="50"/>
      <c r="W715" s="53"/>
      <c r="X715" s="53"/>
      <c r="Y715" s="51"/>
      <c r="Z715" s="51"/>
      <c r="AA715" s="51"/>
    </row>
    <row r="716" spans="11:27">
      <c r="K716" s="51"/>
      <c r="P716" s="50"/>
      <c r="W716" s="53"/>
      <c r="X716" s="53"/>
      <c r="Y716" s="51"/>
      <c r="Z716" s="51"/>
      <c r="AA716" s="51"/>
    </row>
    <row r="717" spans="11:27">
      <c r="K717" s="51"/>
      <c r="P717" s="50"/>
      <c r="W717" s="53"/>
      <c r="X717" s="53"/>
      <c r="Y717" s="51"/>
      <c r="Z717" s="51"/>
      <c r="AA717" s="51"/>
    </row>
    <row r="718" spans="11:27">
      <c r="K718" s="51"/>
      <c r="P718" s="50"/>
      <c r="W718" s="53"/>
      <c r="X718" s="53"/>
      <c r="Y718" s="51"/>
      <c r="Z718" s="51"/>
      <c r="AA718" s="51"/>
    </row>
    <row r="719" spans="11:27">
      <c r="K719" s="51"/>
      <c r="P719" s="50"/>
      <c r="W719" s="53"/>
      <c r="X719" s="53"/>
      <c r="Y719" s="51"/>
      <c r="Z719" s="51"/>
      <c r="AA719" s="51"/>
    </row>
    <row r="720" spans="11:27">
      <c r="K720" s="51"/>
      <c r="P720" s="50"/>
      <c r="W720" s="53"/>
      <c r="X720" s="53"/>
      <c r="Y720" s="51"/>
      <c r="Z720" s="51"/>
      <c r="AA720" s="51"/>
    </row>
    <row r="721" spans="11:27">
      <c r="K721" s="51"/>
      <c r="P721" s="50"/>
      <c r="W721" s="53"/>
      <c r="X721" s="53"/>
      <c r="Y721" s="51"/>
      <c r="Z721" s="51"/>
      <c r="AA721" s="51"/>
    </row>
    <row r="722" spans="11:27">
      <c r="K722" s="51"/>
      <c r="P722" s="50"/>
      <c r="W722" s="53"/>
      <c r="X722" s="53"/>
      <c r="Y722" s="51"/>
      <c r="Z722" s="51"/>
      <c r="AA722" s="51"/>
    </row>
    <row r="723" spans="11:27">
      <c r="K723" s="51"/>
      <c r="P723" s="50"/>
      <c r="W723" s="53"/>
      <c r="X723" s="53"/>
      <c r="Y723" s="51"/>
      <c r="Z723" s="51"/>
      <c r="AA723" s="51"/>
    </row>
    <row r="724" spans="11:27">
      <c r="K724" s="51"/>
      <c r="P724" s="50"/>
      <c r="W724" s="53"/>
      <c r="X724" s="53"/>
      <c r="Y724" s="51"/>
      <c r="Z724" s="51"/>
      <c r="AA724" s="51"/>
    </row>
    <row r="725" spans="11:27">
      <c r="K725" s="51"/>
      <c r="P725" s="50"/>
      <c r="W725" s="53"/>
      <c r="X725" s="53"/>
      <c r="Y725" s="51"/>
      <c r="Z725" s="51"/>
      <c r="AA725" s="51"/>
    </row>
    <row r="726" spans="11:27">
      <c r="K726" s="51"/>
      <c r="P726" s="50"/>
      <c r="W726" s="53"/>
      <c r="X726" s="53"/>
      <c r="Y726" s="51"/>
      <c r="Z726" s="51"/>
      <c r="AA726" s="51"/>
    </row>
    <row r="727" spans="11:27">
      <c r="K727" s="51"/>
      <c r="P727" s="50"/>
      <c r="W727" s="53"/>
      <c r="X727" s="53"/>
      <c r="Y727" s="51"/>
      <c r="Z727" s="51"/>
      <c r="AA727" s="51"/>
    </row>
    <row r="728" spans="11:27">
      <c r="K728" s="51"/>
      <c r="P728" s="50"/>
      <c r="W728" s="53"/>
      <c r="X728" s="53"/>
      <c r="Y728" s="51"/>
      <c r="Z728" s="51"/>
      <c r="AA728" s="51"/>
    </row>
    <row r="729" spans="11:27">
      <c r="K729" s="51"/>
      <c r="P729" s="50"/>
      <c r="W729" s="53"/>
      <c r="X729" s="53"/>
      <c r="Y729" s="51"/>
      <c r="Z729" s="51"/>
      <c r="AA729" s="51"/>
    </row>
    <row r="730" spans="11:27">
      <c r="K730" s="51"/>
      <c r="P730" s="50"/>
      <c r="W730" s="53"/>
      <c r="X730" s="53"/>
      <c r="Y730" s="51"/>
      <c r="Z730" s="51"/>
      <c r="AA730" s="51"/>
    </row>
    <row r="731" spans="11:27">
      <c r="K731" s="51"/>
      <c r="P731" s="50"/>
      <c r="W731" s="53"/>
      <c r="X731" s="53"/>
      <c r="Y731" s="51"/>
      <c r="Z731" s="51"/>
      <c r="AA731" s="51"/>
    </row>
    <row r="732" spans="11:27">
      <c r="K732" s="51"/>
      <c r="P732" s="50"/>
      <c r="W732" s="53"/>
      <c r="X732" s="53"/>
      <c r="Y732" s="51"/>
      <c r="Z732" s="51"/>
      <c r="AA732" s="51"/>
    </row>
    <row r="733" spans="11:27">
      <c r="K733" s="51"/>
      <c r="P733" s="50"/>
      <c r="W733" s="53"/>
      <c r="X733" s="53"/>
      <c r="Y733" s="51"/>
      <c r="Z733" s="51"/>
      <c r="AA733" s="51"/>
    </row>
    <row r="734" spans="11:27">
      <c r="K734" s="51"/>
      <c r="P734" s="50"/>
      <c r="W734" s="53"/>
      <c r="X734" s="53"/>
      <c r="Y734" s="51"/>
      <c r="Z734" s="51"/>
      <c r="AA734" s="51"/>
    </row>
    <row r="735" spans="11:27">
      <c r="K735" s="51"/>
      <c r="P735" s="50"/>
      <c r="W735" s="53"/>
      <c r="X735" s="53"/>
      <c r="Y735" s="51"/>
      <c r="Z735" s="51"/>
      <c r="AA735" s="51"/>
    </row>
    <row r="736" spans="11:27">
      <c r="K736" s="51"/>
      <c r="P736" s="50"/>
      <c r="W736" s="53"/>
      <c r="X736" s="53"/>
      <c r="Y736" s="51"/>
      <c r="Z736" s="51"/>
      <c r="AA736" s="51"/>
    </row>
    <row r="737" spans="11:27">
      <c r="K737" s="51"/>
      <c r="P737" s="50"/>
      <c r="W737" s="53"/>
      <c r="X737" s="53"/>
      <c r="Y737" s="51"/>
      <c r="Z737" s="51"/>
      <c r="AA737" s="51"/>
    </row>
    <row r="738" spans="11:27">
      <c r="K738" s="51"/>
      <c r="P738" s="50"/>
      <c r="W738" s="53"/>
      <c r="X738" s="53"/>
      <c r="Y738" s="51"/>
      <c r="Z738" s="51"/>
      <c r="AA738" s="51"/>
    </row>
    <row r="739" spans="11:27">
      <c r="K739" s="51"/>
      <c r="P739" s="50"/>
      <c r="W739" s="53"/>
      <c r="X739" s="53"/>
      <c r="Y739" s="51"/>
      <c r="Z739" s="51"/>
      <c r="AA739" s="51"/>
    </row>
    <row r="740" spans="11:27">
      <c r="K740" s="51"/>
      <c r="P740" s="50"/>
      <c r="W740" s="53"/>
      <c r="X740" s="53"/>
      <c r="Y740" s="51"/>
      <c r="Z740" s="51"/>
      <c r="AA740" s="51"/>
    </row>
    <row r="741" spans="11:27">
      <c r="K741" s="51"/>
      <c r="P741" s="50"/>
      <c r="W741" s="53"/>
      <c r="X741" s="53"/>
      <c r="Y741" s="51"/>
      <c r="Z741" s="51"/>
      <c r="AA741" s="51"/>
    </row>
    <row r="742" spans="11:27">
      <c r="K742" s="51"/>
      <c r="P742" s="50"/>
      <c r="W742" s="53"/>
      <c r="X742" s="53"/>
      <c r="Y742" s="51"/>
      <c r="Z742" s="51"/>
      <c r="AA742" s="51"/>
    </row>
    <row r="743" spans="11:27">
      <c r="K743" s="51"/>
      <c r="P743" s="50"/>
      <c r="W743" s="53"/>
      <c r="X743" s="53"/>
      <c r="Y743" s="51"/>
      <c r="Z743" s="51"/>
      <c r="AA743" s="51"/>
    </row>
    <row r="744" spans="11:27">
      <c r="K744" s="51"/>
      <c r="P744" s="50"/>
      <c r="W744" s="53"/>
      <c r="X744" s="53"/>
      <c r="Y744" s="51"/>
      <c r="Z744" s="51"/>
      <c r="AA744" s="51"/>
    </row>
    <row r="745" spans="11:27">
      <c r="K745" s="51"/>
      <c r="P745" s="50"/>
      <c r="W745" s="53"/>
      <c r="X745" s="53"/>
      <c r="Y745" s="51"/>
      <c r="Z745" s="51"/>
      <c r="AA745" s="51"/>
    </row>
    <row r="746" spans="11:27">
      <c r="K746" s="51"/>
      <c r="P746" s="50"/>
      <c r="W746" s="53"/>
      <c r="X746" s="53"/>
      <c r="Y746" s="51"/>
      <c r="Z746" s="51"/>
      <c r="AA746" s="51"/>
    </row>
    <row r="747" spans="11:27">
      <c r="K747" s="51"/>
      <c r="P747" s="50"/>
      <c r="W747" s="53"/>
      <c r="X747" s="53"/>
      <c r="Y747" s="51"/>
      <c r="Z747" s="51"/>
      <c r="AA747" s="51"/>
    </row>
    <row r="748" spans="11:27">
      <c r="K748" s="51"/>
      <c r="P748" s="50"/>
      <c r="W748" s="53"/>
      <c r="X748" s="53"/>
      <c r="Y748" s="51"/>
      <c r="Z748" s="51"/>
      <c r="AA748" s="51"/>
    </row>
    <row r="749" spans="11:27">
      <c r="K749" s="51"/>
      <c r="P749" s="50"/>
      <c r="W749" s="53"/>
      <c r="X749" s="53"/>
      <c r="Y749" s="51"/>
      <c r="Z749" s="51"/>
      <c r="AA749" s="51"/>
    </row>
    <row r="750" spans="11:27">
      <c r="K750" s="51"/>
      <c r="P750" s="50"/>
      <c r="W750" s="53"/>
      <c r="X750" s="53"/>
      <c r="Y750" s="51"/>
      <c r="Z750" s="51"/>
      <c r="AA750" s="51"/>
    </row>
    <row r="751" spans="11:27">
      <c r="K751" s="51"/>
      <c r="P751" s="50"/>
      <c r="W751" s="53"/>
      <c r="X751" s="53"/>
      <c r="Y751" s="51"/>
      <c r="Z751" s="51"/>
      <c r="AA751" s="51"/>
    </row>
    <row r="752" spans="11:27">
      <c r="K752" s="51"/>
      <c r="P752" s="50"/>
      <c r="W752" s="53"/>
      <c r="X752" s="53"/>
      <c r="Y752" s="51"/>
      <c r="Z752" s="51"/>
      <c r="AA752" s="51"/>
    </row>
    <row r="753" spans="11:27">
      <c r="K753" s="51"/>
      <c r="P753" s="50"/>
      <c r="W753" s="53"/>
      <c r="X753" s="53"/>
      <c r="Y753" s="51"/>
      <c r="Z753" s="51"/>
      <c r="AA753" s="51"/>
    </row>
    <row r="754" spans="11:27">
      <c r="K754" s="51"/>
      <c r="P754" s="50"/>
      <c r="W754" s="53"/>
      <c r="X754" s="53"/>
      <c r="Y754" s="51"/>
      <c r="Z754" s="51"/>
      <c r="AA754" s="51"/>
    </row>
    <row r="755" spans="11:27">
      <c r="K755" s="51"/>
      <c r="P755" s="50"/>
      <c r="W755" s="53"/>
      <c r="X755" s="53"/>
      <c r="Y755" s="51"/>
      <c r="Z755" s="51"/>
      <c r="AA755" s="51"/>
    </row>
    <row r="756" spans="11:27">
      <c r="K756" s="51"/>
      <c r="P756" s="50"/>
      <c r="W756" s="53"/>
      <c r="X756" s="53"/>
      <c r="Y756" s="51"/>
      <c r="Z756" s="51"/>
      <c r="AA756" s="51"/>
    </row>
    <row r="757" spans="11:27">
      <c r="K757" s="51"/>
      <c r="P757" s="50"/>
      <c r="W757" s="53"/>
      <c r="X757" s="53"/>
      <c r="Y757" s="51"/>
      <c r="Z757" s="51"/>
      <c r="AA757" s="51"/>
    </row>
    <row r="758" spans="11:27">
      <c r="K758" s="51"/>
      <c r="P758" s="50"/>
      <c r="W758" s="53"/>
      <c r="X758" s="53"/>
      <c r="Y758" s="51"/>
      <c r="Z758" s="51"/>
      <c r="AA758" s="51"/>
    </row>
    <row r="759" spans="11:27">
      <c r="K759" s="51"/>
      <c r="P759" s="50"/>
      <c r="W759" s="53"/>
      <c r="X759" s="53"/>
      <c r="Y759" s="51"/>
      <c r="Z759" s="51"/>
      <c r="AA759" s="51"/>
    </row>
    <row r="760" spans="11:27">
      <c r="K760" s="51"/>
      <c r="P760" s="50"/>
      <c r="W760" s="53"/>
      <c r="X760" s="53"/>
      <c r="Y760" s="51"/>
      <c r="Z760" s="51"/>
      <c r="AA760" s="51"/>
    </row>
    <row r="761" spans="11:27">
      <c r="K761" s="51"/>
      <c r="P761" s="50"/>
      <c r="W761" s="53"/>
      <c r="X761" s="53"/>
      <c r="Y761" s="51"/>
      <c r="Z761" s="51"/>
      <c r="AA761" s="51"/>
    </row>
    <row r="762" spans="11:27">
      <c r="K762" s="51"/>
      <c r="P762" s="50"/>
      <c r="W762" s="53"/>
      <c r="X762" s="53"/>
      <c r="Y762" s="51"/>
      <c r="Z762" s="51"/>
      <c r="AA762" s="51"/>
    </row>
    <row r="763" spans="11:27">
      <c r="K763" s="51"/>
      <c r="P763" s="50"/>
      <c r="W763" s="53"/>
      <c r="X763" s="53"/>
      <c r="Y763" s="51"/>
      <c r="Z763" s="51"/>
      <c r="AA763" s="51"/>
    </row>
    <row r="764" spans="11:27">
      <c r="K764" s="51"/>
      <c r="P764" s="50"/>
      <c r="W764" s="53"/>
      <c r="X764" s="53"/>
      <c r="Y764" s="51"/>
      <c r="Z764" s="51"/>
      <c r="AA764" s="51"/>
    </row>
    <row r="765" spans="11:27">
      <c r="K765" s="51"/>
      <c r="P765" s="50"/>
      <c r="W765" s="53"/>
      <c r="X765" s="53"/>
      <c r="Y765" s="51"/>
      <c r="Z765" s="51"/>
      <c r="AA765" s="51"/>
    </row>
    <row r="766" spans="11:27">
      <c r="K766" s="51"/>
      <c r="P766" s="50"/>
      <c r="W766" s="53"/>
      <c r="X766" s="53"/>
      <c r="Y766" s="51"/>
      <c r="Z766" s="51"/>
      <c r="AA766" s="51"/>
    </row>
    <row r="767" spans="11:27">
      <c r="K767" s="51"/>
      <c r="P767" s="50"/>
      <c r="W767" s="53"/>
      <c r="X767" s="53"/>
      <c r="Y767" s="51"/>
      <c r="Z767" s="51"/>
      <c r="AA767" s="51"/>
    </row>
    <row r="768" spans="11:27">
      <c r="K768" s="51"/>
      <c r="P768" s="50"/>
      <c r="W768" s="53"/>
      <c r="X768" s="53"/>
      <c r="Y768" s="51"/>
      <c r="Z768" s="51"/>
      <c r="AA768" s="51"/>
    </row>
    <row r="769" spans="11:27">
      <c r="K769" s="51"/>
      <c r="P769" s="50"/>
      <c r="W769" s="53"/>
      <c r="X769" s="53"/>
      <c r="Y769" s="51"/>
      <c r="Z769" s="51"/>
      <c r="AA769" s="51"/>
    </row>
    <row r="770" spans="11:27">
      <c r="K770" s="51"/>
      <c r="P770" s="50"/>
      <c r="W770" s="53"/>
      <c r="X770" s="53"/>
      <c r="Y770" s="51"/>
      <c r="Z770" s="51"/>
      <c r="AA770" s="51"/>
    </row>
    <row r="771" spans="11:27">
      <c r="K771" s="51"/>
      <c r="P771" s="50"/>
      <c r="W771" s="53"/>
      <c r="X771" s="53"/>
      <c r="Y771" s="51"/>
      <c r="Z771" s="51"/>
      <c r="AA771" s="51"/>
    </row>
    <row r="772" spans="11:27">
      <c r="K772" s="51"/>
      <c r="P772" s="50"/>
      <c r="W772" s="53"/>
      <c r="X772" s="53"/>
      <c r="Y772" s="51"/>
      <c r="Z772" s="51"/>
      <c r="AA772" s="51"/>
    </row>
    <row r="773" spans="11:27">
      <c r="K773" s="51"/>
      <c r="P773" s="50"/>
      <c r="W773" s="53"/>
      <c r="X773" s="53"/>
      <c r="Y773" s="51"/>
      <c r="Z773" s="51"/>
      <c r="AA773" s="51"/>
    </row>
    <row r="774" spans="11:27">
      <c r="K774" s="51"/>
      <c r="P774" s="50"/>
      <c r="W774" s="53"/>
      <c r="X774" s="53"/>
      <c r="Y774" s="51"/>
      <c r="Z774" s="51"/>
      <c r="AA774" s="51"/>
    </row>
    <row r="775" spans="11:27">
      <c r="K775" s="51"/>
      <c r="P775" s="50"/>
      <c r="W775" s="53"/>
      <c r="X775" s="53"/>
      <c r="Y775" s="51"/>
      <c r="Z775" s="51"/>
      <c r="AA775" s="51"/>
    </row>
    <row r="776" spans="11:27">
      <c r="K776" s="51"/>
      <c r="P776" s="50"/>
      <c r="W776" s="53"/>
      <c r="X776" s="53"/>
      <c r="Y776" s="51"/>
      <c r="Z776" s="51"/>
      <c r="AA776" s="51"/>
    </row>
    <row r="777" spans="11:27">
      <c r="K777" s="51"/>
      <c r="P777" s="50"/>
      <c r="W777" s="53"/>
      <c r="X777" s="53"/>
      <c r="Y777" s="51"/>
      <c r="Z777" s="51"/>
      <c r="AA777" s="51"/>
    </row>
    <row r="778" spans="11:27">
      <c r="K778" s="51"/>
      <c r="P778" s="50"/>
      <c r="W778" s="53"/>
      <c r="X778" s="53"/>
      <c r="Y778" s="51"/>
      <c r="Z778" s="51"/>
      <c r="AA778" s="51"/>
    </row>
    <row r="779" spans="11:27">
      <c r="K779" s="51"/>
      <c r="P779" s="50"/>
      <c r="W779" s="53"/>
      <c r="X779" s="53"/>
      <c r="Y779" s="51"/>
      <c r="Z779" s="51"/>
      <c r="AA779" s="51"/>
    </row>
    <row r="780" spans="11:27">
      <c r="K780" s="51"/>
      <c r="P780" s="50"/>
      <c r="W780" s="53"/>
      <c r="X780" s="53"/>
      <c r="Y780" s="51"/>
      <c r="Z780" s="51"/>
      <c r="AA780" s="51"/>
    </row>
    <row r="781" spans="11:27">
      <c r="K781" s="51"/>
      <c r="P781" s="50"/>
      <c r="W781" s="53"/>
      <c r="X781" s="53"/>
      <c r="Y781" s="51"/>
      <c r="Z781" s="51"/>
      <c r="AA781" s="51"/>
    </row>
    <row r="782" spans="11:27">
      <c r="K782" s="51"/>
      <c r="P782" s="50"/>
      <c r="W782" s="53"/>
      <c r="X782" s="53"/>
      <c r="Y782" s="51"/>
      <c r="Z782" s="51"/>
      <c r="AA782" s="51"/>
    </row>
    <row r="783" spans="11:27">
      <c r="K783" s="51"/>
      <c r="P783" s="50"/>
      <c r="W783" s="53"/>
      <c r="X783" s="53"/>
      <c r="Y783" s="51"/>
      <c r="Z783" s="51"/>
      <c r="AA783" s="51"/>
    </row>
    <row r="784" spans="11:27">
      <c r="K784" s="51"/>
      <c r="P784" s="50"/>
      <c r="W784" s="53"/>
      <c r="X784" s="53"/>
      <c r="Y784" s="51"/>
      <c r="Z784" s="51"/>
      <c r="AA784" s="51"/>
    </row>
    <row r="785" spans="11:27">
      <c r="K785" s="51"/>
      <c r="P785" s="50"/>
      <c r="W785" s="53"/>
      <c r="X785" s="53"/>
      <c r="Y785" s="51"/>
      <c r="Z785" s="51"/>
      <c r="AA785" s="51"/>
    </row>
    <row r="786" spans="11:27">
      <c r="K786" s="51"/>
      <c r="P786" s="50"/>
      <c r="W786" s="53"/>
      <c r="X786" s="53"/>
      <c r="Y786" s="51"/>
      <c r="Z786" s="51"/>
      <c r="AA786" s="51"/>
    </row>
    <row r="787" spans="11:27">
      <c r="K787" s="51"/>
      <c r="P787" s="50"/>
      <c r="W787" s="53"/>
      <c r="X787" s="53"/>
      <c r="Y787" s="51"/>
      <c r="Z787" s="51"/>
      <c r="AA787" s="51"/>
    </row>
    <row r="788" spans="11:27">
      <c r="K788" s="51"/>
      <c r="P788" s="50"/>
      <c r="W788" s="53"/>
      <c r="X788" s="53"/>
      <c r="Y788" s="51"/>
      <c r="Z788" s="51"/>
      <c r="AA788" s="51"/>
    </row>
    <row r="789" spans="11:27">
      <c r="K789" s="51"/>
      <c r="P789" s="50"/>
      <c r="W789" s="53"/>
      <c r="X789" s="53"/>
      <c r="Y789" s="51"/>
      <c r="Z789" s="51"/>
      <c r="AA789" s="51"/>
    </row>
    <row r="790" spans="11:27">
      <c r="K790" s="51"/>
      <c r="P790" s="50"/>
      <c r="W790" s="53"/>
      <c r="X790" s="53"/>
      <c r="Y790" s="51"/>
      <c r="Z790" s="51"/>
      <c r="AA790" s="51"/>
    </row>
    <row r="791" spans="11:27">
      <c r="K791" s="51"/>
      <c r="P791" s="50"/>
      <c r="W791" s="53"/>
      <c r="X791" s="53"/>
      <c r="Y791" s="51"/>
      <c r="Z791" s="51"/>
      <c r="AA791" s="51"/>
    </row>
    <row r="792" spans="11:27">
      <c r="K792" s="51"/>
      <c r="P792" s="50"/>
      <c r="W792" s="53"/>
      <c r="X792" s="53"/>
      <c r="Y792" s="51"/>
      <c r="Z792" s="51"/>
      <c r="AA792" s="51"/>
    </row>
    <row r="793" spans="11:27">
      <c r="K793" s="51"/>
      <c r="P793" s="50"/>
      <c r="W793" s="53"/>
      <c r="X793" s="53"/>
      <c r="Y793" s="51"/>
      <c r="Z793" s="51"/>
      <c r="AA793" s="51"/>
    </row>
    <row r="794" spans="11:27">
      <c r="K794" s="51"/>
      <c r="P794" s="50"/>
      <c r="W794" s="53"/>
      <c r="X794" s="53"/>
      <c r="Y794" s="51"/>
      <c r="Z794" s="51"/>
      <c r="AA794" s="51"/>
    </row>
    <row r="795" spans="11:27">
      <c r="K795" s="51"/>
      <c r="P795" s="50"/>
      <c r="W795" s="53"/>
      <c r="X795" s="53"/>
      <c r="Y795" s="51"/>
      <c r="Z795" s="51"/>
      <c r="AA795" s="51"/>
    </row>
    <row r="796" spans="11:27">
      <c r="K796" s="51"/>
      <c r="P796" s="50"/>
      <c r="W796" s="53"/>
      <c r="X796" s="53"/>
      <c r="Y796" s="51"/>
      <c r="Z796" s="51"/>
      <c r="AA796" s="51"/>
    </row>
    <row r="797" spans="11:27">
      <c r="K797" s="51"/>
      <c r="P797" s="50"/>
      <c r="W797" s="53"/>
      <c r="X797" s="53"/>
      <c r="Y797" s="51"/>
      <c r="Z797" s="51"/>
      <c r="AA797" s="51"/>
    </row>
    <row r="798" spans="11:27">
      <c r="K798" s="51"/>
      <c r="P798" s="50"/>
      <c r="W798" s="53"/>
      <c r="X798" s="53"/>
      <c r="Y798" s="51"/>
      <c r="Z798" s="51"/>
      <c r="AA798" s="51"/>
    </row>
    <row r="799" spans="11:27">
      <c r="K799" s="51"/>
      <c r="P799" s="50"/>
      <c r="W799" s="53"/>
      <c r="X799" s="53"/>
      <c r="Y799" s="51"/>
      <c r="Z799" s="51"/>
      <c r="AA799" s="51"/>
    </row>
    <row r="800" spans="11:27">
      <c r="K800" s="51"/>
      <c r="P800" s="50"/>
      <c r="W800" s="53"/>
      <c r="X800" s="53"/>
      <c r="Y800" s="51"/>
      <c r="Z800" s="51"/>
      <c r="AA800" s="51"/>
    </row>
    <row r="801" spans="11:27">
      <c r="K801" s="51"/>
      <c r="P801" s="50"/>
      <c r="W801" s="53"/>
      <c r="X801" s="53"/>
      <c r="Y801" s="51"/>
      <c r="Z801" s="51"/>
      <c r="AA801" s="51"/>
    </row>
    <row r="802" spans="11:27">
      <c r="K802" s="51"/>
      <c r="P802" s="50"/>
      <c r="W802" s="53"/>
      <c r="X802" s="53"/>
      <c r="Y802" s="51"/>
      <c r="Z802" s="51"/>
      <c r="AA802" s="51"/>
    </row>
    <row r="803" spans="11:27">
      <c r="K803" s="51"/>
      <c r="P803" s="50"/>
      <c r="W803" s="53"/>
      <c r="X803" s="53"/>
      <c r="Y803" s="51"/>
      <c r="Z803" s="51"/>
      <c r="AA803" s="51"/>
    </row>
    <row r="804" spans="11:27">
      <c r="K804" s="51"/>
      <c r="P804" s="50"/>
      <c r="W804" s="53"/>
      <c r="X804" s="53"/>
      <c r="Y804" s="51"/>
      <c r="Z804" s="51"/>
      <c r="AA804" s="51"/>
    </row>
    <row r="805" spans="11:27">
      <c r="K805" s="51"/>
      <c r="P805" s="50"/>
      <c r="W805" s="53"/>
      <c r="X805" s="53"/>
      <c r="Y805" s="51"/>
      <c r="Z805" s="51"/>
      <c r="AA805" s="51"/>
    </row>
    <row r="806" spans="11:27">
      <c r="K806" s="51"/>
      <c r="P806" s="50"/>
      <c r="W806" s="53"/>
      <c r="X806" s="53"/>
      <c r="Y806" s="51"/>
      <c r="Z806" s="51"/>
      <c r="AA806" s="51"/>
    </row>
    <row r="807" spans="11:27">
      <c r="K807" s="51"/>
      <c r="P807" s="50"/>
      <c r="W807" s="53"/>
      <c r="X807" s="53"/>
      <c r="Y807" s="51"/>
      <c r="Z807" s="51"/>
      <c r="AA807" s="51"/>
    </row>
    <row r="808" spans="11:27">
      <c r="K808" s="51"/>
      <c r="P808" s="50"/>
      <c r="W808" s="53"/>
      <c r="X808" s="53"/>
      <c r="Y808" s="51"/>
      <c r="Z808" s="51"/>
      <c r="AA808" s="51"/>
    </row>
    <row r="809" spans="11:27">
      <c r="K809" s="51"/>
      <c r="P809" s="50"/>
      <c r="W809" s="53"/>
      <c r="X809" s="53"/>
      <c r="Y809" s="51"/>
      <c r="Z809" s="51"/>
      <c r="AA809" s="51"/>
    </row>
    <row r="810" spans="11:27">
      <c r="K810" s="51"/>
      <c r="P810" s="50"/>
      <c r="W810" s="53"/>
      <c r="X810" s="53"/>
      <c r="Y810" s="51"/>
      <c r="Z810" s="51"/>
      <c r="AA810" s="51"/>
    </row>
    <row r="811" spans="11:27">
      <c r="K811" s="51"/>
      <c r="P811" s="50"/>
      <c r="W811" s="53"/>
      <c r="X811" s="53"/>
      <c r="Y811" s="51"/>
      <c r="Z811" s="51"/>
      <c r="AA811" s="51"/>
    </row>
    <row r="812" spans="11:27">
      <c r="K812" s="51"/>
      <c r="P812" s="50"/>
      <c r="W812" s="53"/>
      <c r="X812" s="53"/>
      <c r="Y812" s="51"/>
      <c r="Z812" s="51"/>
      <c r="AA812" s="51"/>
    </row>
    <row r="813" spans="11:27">
      <c r="K813" s="51"/>
      <c r="P813" s="50"/>
      <c r="W813" s="53"/>
      <c r="X813" s="53"/>
      <c r="Y813" s="51"/>
      <c r="Z813" s="51"/>
      <c r="AA813" s="51"/>
    </row>
    <row r="814" spans="11:27">
      <c r="K814" s="51"/>
      <c r="P814" s="50"/>
      <c r="W814" s="53"/>
      <c r="X814" s="53"/>
      <c r="Y814" s="51"/>
      <c r="Z814" s="51"/>
      <c r="AA814" s="51"/>
    </row>
    <row r="815" spans="11:27">
      <c r="K815" s="51"/>
      <c r="P815" s="50"/>
      <c r="W815" s="53"/>
      <c r="X815" s="53"/>
      <c r="Y815" s="51"/>
      <c r="Z815" s="51"/>
      <c r="AA815" s="51"/>
    </row>
    <row r="816" spans="11:27">
      <c r="K816" s="51"/>
      <c r="P816" s="50"/>
      <c r="W816" s="53"/>
      <c r="X816" s="53"/>
      <c r="Y816" s="51"/>
      <c r="Z816" s="51"/>
      <c r="AA816" s="51"/>
    </row>
    <row r="817" spans="11:27">
      <c r="K817" s="51"/>
      <c r="P817" s="50"/>
      <c r="W817" s="53"/>
      <c r="X817" s="53"/>
      <c r="Y817" s="51"/>
      <c r="Z817" s="51"/>
      <c r="AA817" s="51"/>
    </row>
    <row r="818" spans="11:27">
      <c r="K818" s="51"/>
      <c r="P818" s="50"/>
      <c r="W818" s="53"/>
      <c r="X818" s="53"/>
      <c r="Y818" s="51"/>
      <c r="Z818" s="51"/>
      <c r="AA818" s="51"/>
    </row>
    <row r="819" spans="11:27">
      <c r="K819" s="51"/>
      <c r="P819" s="50"/>
      <c r="W819" s="53"/>
      <c r="X819" s="53"/>
      <c r="Y819" s="51"/>
      <c r="Z819" s="51"/>
      <c r="AA819" s="51"/>
    </row>
    <row r="820" spans="11:27">
      <c r="K820" s="51"/>
      <c r="P820" s="50"/>
      <c r="W820" s="53"/>
      <c r="X820" s="53"/>
      <c r="Y820" s="51"/>
      <c r="Z820" s="51"/>
      <c r="AA820" s="51"/>
    </row>
    <row r="821" spans="11:27">
      <c r="K821" s="51"/>
      <c r="P821" s="50"/>
      <c r="W821" s="53"/>
      <c r="X821" s="53"/>
      <c r="Y821" s="51"/>
      <c r="Z821" s="51"/>
      <c r="AA821" s="51"/>
    </row>
    <row r="822" spans="11:27">
      <c r="K822" s="51"/>
      <c r="P822" s="50"/>
      <c r="W822" s="53"/>
      <c r="X822" s="53"/>
      <c r="Y822" s="51"/>
      <c r="Z822" s="51"/>
      <c r="AA822" s="51"/>
    </row>
    <row r="823" spans="11:27">
      <c r="K823" s="51"/>
      <c r="P823" s="50"/>
      <c r="W823" s="53"/>
      <c r="X823" s="53"/>
      <c r="Y823" s="51"/>
      <c r="Z823" s="51"/>
      <c r="AA823" s="51"/>
    </row>
    <row r="824" spans="11:27">
      <c r="K824" s="51"/>
      <c r="P824" s="50"/>
      <c r="W824" s="53"/>
      <c r="X824" s="53"/>
      <c r="Y824" s="51"/>
      <c r="Z824" s="51"/>
      <c r="AA824" s="51"/>
    </row>
    <row r="825" spans="11:27">
      <c r="K825" s="51"/>
      <c r="P825" s="50"/>
      <c r="W825" s="53"/>
      <c r="X825" s="53"/>
      <c r="Y825" s="51"/>
      <c r="Z825" s="51"/>
      <c r="AA825" s="51"/>
    </row>
    <row r="826" spans="11:27">
      <c r="K826" s="51"/>
      <c r="P826" s="50"/>
      <c r="W826" s="53"/>
      <c r="X826" s="53"/>
      <c r="Y826" s="51"/>
      <c r="Z826" s="51"/>
      <c r="AA826" s="51"/>
    </row>
    <row r="827" spans="11:27">
      <c r="K827" s="51"/>
      <c r="P827" s="50"/>
      <c r="W827" s="53"/>
      <c r="X827" s="53"/>
      <c r="Y827" s="51"/>
      <c r="Z827" s="51"/>
      <c r="AA827" s="51"/>
    </row>
    <row r="828" spans="11:27">
      <c r="K828" s="51"/>
      <c r="P828" s="50"/>
      <c r="W828" s="53"/>
      <c r="X828" s="53"/>
      <c r="Y828" s="51"/>
      <c r="Z828" s="51"/>
      <c r="AA828" s="51"/>
    </row>
    <row r="829" spans="11:27">
      <c r="K829" s="51"/>
      <c r="P829" s="50"/>
      <c r="W829" s="53"/>
      <c r="X829" s="53"/>
      <c r="Y829" s="51"/>
      <c r="Z829" s="51"/>
      <c r="AA829" s="51"/>
    </row>
    <row r="830" spans="11:27">
      <c r="K830" s="51"/>
      <c r="P830" s="50"/>
      <c r="W830" s="53"/>
      <c r="X830" s="53"/>
      <c r="Y830" s="51"/>
      <c r="Z830" s="51"/>
      <c r="AA830" s="51"/>
    </row>
    <row r="831" spans="11:27">
      <c r="K831" s="51"/>
      <c r="P831" s="50"/>
      <c r="W831" s="53"/>
      <c r="X831" s="53"/>
      <c r="Y831" s="51"/>
      <c r="Z831" s="51"/>
      <c r="AA831" s="51"/>
    </row>
    <row r="832" spans="11:27">
      <c r="K832" s="51"/>
      <c r="P832" s="50"/>
      <c r="W832" s="53"/>
      <c r="X832" s="53"/>
      <c r="Y832" s="51"/>
      <c r="Z832" s="51"/>
      <c r="AA832" s="51"/>
    </row>
    <row r="833" spans="11:27">
      <c r="K833" s="51"/>
      <c r="P833" s="50"/>
      <c r="W833" s="53"/>
      <c r="X833" s="53"/>
      <c r="Y833" s="51"/>
      <c r="Z833" s="51"/>
      <c r="AA833" s="51"/>
    </row>
    <row r="834" spans="11:27">
      <c r="K834" s="51"/>
      <c r="P834" s="50"/>
      <c r="W834" s="53"/>
      <c r="X834" s="53"/>
      <c r="Y834" s="51"/>
      <c r="Z834" s="51"/>
      <c r="AA834" s="51"/>
    </row>
    <row r="835" spans="11:27">
      <c r="K835" s="51"/>
      <c r="P835" s="50"/>
      <c r="W835" s="53"/>
      <c r="X835" s="53"/>
      <c r="Y835" s="51"/>
      <c r="Z835" s="51"/>
      <c r="AA835" s="51"/>
    </row>
    <row r="836" spans="11:27">
      <c r="K836" s="51"/>
      <c r="P836" s="50"/>
      <c r="W836" s="53"/>
      <c r="X836" s="53"/>
      <c r="Y836" s="51"/>
      <c r="Z836" s="51"/>
      <c r="AA836" s="51"/>
    </row>
    <row r="837" spans="11:27">
      <c r="K837" s="51"/>
      <c r="P837" s="50"/>
      <c r="W837" s="53"/>
      <c r="X837" s="53"/>
      <c r="Y837" s="51"/>
      <c r="Z837" s="51"/>
      <c r="AA837" s="51"/>
    </row>
    <row r="838" spans="11:27">
      <c r="K838" s="51"/>
      <c r="P838" s="50"/>
      <c r="W838" s="53"/>
      <c r="X838" s="53"/>
      <c r="Y838" s="51"/>
      <c r="Z838" s="51"/>
      <c r="AA838" s="51"/>
    </row>
    <row r="839" spans="11:27">
      <c r="K839" s="51"/>
      <c r="P839" s="50"/>
      <c r="W839" s="53"/>
      <c r="X839" s="53"/>
      <c r="Y839" s="51"/>
      <c r="Z839" s="51"/>
      <c r="AA839" s="51"/>
    </row>
    <row r="840" spans="11:27">
      <c r="K840" s="51"/>
      <c r="P840" s="50"/>
      <c r="W840" s="53"/>
      <c r="X840" s="53"/>
      <c r="Y840" s="51"/>
      <c r="Z840" s="51"/>
      <c r="AA840" s="51"/>
    </row>
    <row r="841" spans="11:27">
      <c r="K841" s="51"/>
      <c r="P841" s="50"/>
      <c r="W841" s="53"/>
      <c r="X841" s="53"/>
      <c r="Y841" s="51"/>
      <c r="Z841" s="51"/>
      <c r="AA841" s="51"/>
    </row>
    <row r="842" spans="11:27">
      <c r="K842" s="51"/>
      <c r="P842" s="50"/>
      <c r="W842" s="53"/>
      <c r="X842" s="53"/>
      <c r="Y842" s="51"/>
      <c r="Z842" s="51"/>
      <c r="AA842" s="51"/>
    </row>
    <row r="843" spans="11:27">
      <c r="K843" s="51"/>
      <c r="P843" s="50"/>
      <c r="W843" s="53"/>
      <c r="X843" s="53"/>
      <c r="Y843" s="51"/>
      <c r="Z843" s="51"/>
      <c r="AA843" s="51"/>
    </row>
    <row r="844" spans="11:27">
      <c r="K844" s="51"/>
      <c r="P844" s="50"/>
      <c r="W844" s="53"/>
      <c r="X844" s="53"/>
      <c r="Y844" s="51"/>
      <c r="Z844" s="51"/>
      <c r="AA844" s="51"/>
    </row>
    <row r="845" spans="11:27">
      <c r="K845" s="51"/>
      <c r="P845" s="50"/>
      <c r="W845" s="53"/>
      <c r="X845" s="53"/>
      <c r="Y845" s="51"/>
      <c r="Z845" s="51"/>
      <c r="AA845" s="51"/>
    </row>
    <row r="846" spans="11:27">
      <c r="K846" s="51"/>
      <c r="P846" s="50"/>
      <c r="W846" s="53"/>
      <c r="X846" s="53"/>
      <c r="Y846" s="51"/>
      <c r="Z846" s="51"/>
      <c r="AA846" s="51"/>
    </row>
    <row r="847" spans="11:27">
      <c r="K847" s="51"/>
      <c r="P847" s="50"/>
      <c r="W847" s="53"/>
      <c r="X847" s="53"/>
      <c r="Y847" s="51"/>
      <c r="Z847" s="51"/>
      <c r="AA847" s="51"/>
    </row>
    <row r="848" spans="11:27">
      <c r="K848" s="51"/>
      <c r="P848" s="50"/>
      <c r="W848" s="53"/>
      <c r="X848" s="53"/>
      <c r="Y848" s="51"/>
      <c r="Z848" s="51"/>
      <c r="AA848" s="51"/>
    </row>
    <row r="849" spans="11:27">
      <c r="K849" s="51"/>
      <c r="P849" s="50"/>
      <c r="W849" s="53"/>
      <c r="X849" s="53"/>
      <c r="Y849" s="51"/>
      <c r="Z849" s="51"/>
      <c r="AA849" s="51"/>
    </row>
    <row r="850" spans="11:27">
      <c r="K850" s="51"/>
      <c r="P850" s="50"/>
      <c r="W850" s="53"/>
      <c r="X850" s="53"/>
      <c r="Y850" s="51"/>
      <c r="Z850" s="51"/>
      <c r="AA850" s="51"/>
    </row>
    <row r="851" spans="11:27">
      <c r="K851" s="51"/>
      <c r="P851" s="50"/>
      <c r="W851" s="53"/>
      <c r="X851" s="53"/>
      <c r="Y851" s="51"/>
      <c r="Z851" s="51"/>
      <c r="AA851" s="51"/>
    </row>
    <row r="852" spans="11:27">
      <c r="K852" s="51"/>
      <c r="P852" s="50"/>
      <c r="W852" s="53"/>
      <c r="X852" s="53"/>
      <c r="Y852" s="51"/>
      <c r="Z852" s="51"/>
      <c r="AA852" s="51"/>
    </row>
    <row r="853" spans="11:27">
      <c r="K853" s="51"/>
      <c r="P853" s="50"/>
      <c r="W853" s="53"/>
      <c r="X853" s="53"/>
      <c r="Y853" s="51"/>
      <c r="Z853" s="51"/>
      <c r="AA853" s="51"/>
    </row>
    <row r="854" spans="11:27">
      <c r="K854" s="51"/>
      <c r="P854" s="50"/>
      <c r="W854" s="53"/>
      <c r="X854" s="53"/>
      <c r="Y854" s="51"/>
      <c r="Z854" s="51"/>
      <c r="AA854" s="51"/>
    </row>
    <row r="855" spans="11:27">
      <c r="K855" s="51"/>
      <c r="P855" s="50"/>
      <c r="W855" s="53"/>
      <c r="X855" s="53"/>
      <c r="Y855" s="51"/>
      <c r="Z855" s="51"/>
      <c r="AA855" s="51"/>
    </row>
    <row r="856" spans="11:27">
      <c r="K856" s="51"/>
      <c r="P856" s="50"/>
      <c r="W856" s="53"/>
      <c r="X856" s="53"/>
      <c r="Y856" s="51"/>
      <c r="Z856" s="51"/>
      <c r="AA856" s="51"/>
    </row>
    <row r="857" spans="11:27">
      <c r="K857" s="51"/>
      <c r="P857" s="50"/>
      <c r="W857" s="53"/>
      <c r="X857" s="53"/>
      <c r="Y857" s="51"/>
      <c r="Z857" s="51"/>
      <c r="AA857" s="51"/>
    </row>
    <row r="858" spans="11:27">
      <c r="K858" s="51"/>
      <c r="P858" s="50"/>
      <c r="W858" s="53"/>
      <c r="X858" s="53"/>
      <c r="Y858" s="51"/>
      <c r="Z858" s="51"/>
      <c r="AA858" s="51"/>
    </row>
    <row r="859" spans="11:27">
      <c r="K859" s="51"/>
      <c r="P859" s="50"/>
      <c r="W859" s="53"/>
      <c r="X859" s="53"/>
      <c r="Y859" s="51"/>
      <c r="Z859" s="51"/>
      <c r="AA859" s="51"/>
    </row>
    <row r="860" spans="11:27">
      <c r="K860" s="51"/>
      <c r="P860" s="50"/>
      <c r="W860" s="53"/>
      <c r="X860" s="53"/>
      <c r="Y860" s="51"/>
      <c r="Z860" s="51"/>
      <c r="AA860" s="51"/>
    </row>
    <row r="861" spans="11:27">
      <c r="K861" s="51"/>
      <c r="P861" s="50"/>
      <c r="W861" s="53"/>
      <c r="X861" s="53"/>
      <c r="Y861" s="51"/>
      <c r="Z861" s="51"/>
      <c r="AA861" s="51"/>
    </row>
    <row r="862" spans="11:27">
      <c r="K862" s="51"/>
      <c r="P862" s="50"/>
      <c r="W862" s="53"/>
      <c r="X862" s="53"/>
      <c r="Y862" s="51"/>
      <c r="Z862" s="51"/>
      <c r="AA862" s="51"/>
    </row>
    <row r="863" spans="11:27">
      <c r="K863" s="51"/>
      <c r="P863" s="50"/>
      <c r="W863" s="53"/>
      <c r="X863" s="53"/>
      <c r="Y863" s="51"/>
      <c r="Z863" s="51"/>
      <c r="AA863" s="51"/>
    </row>
    <row r="864" spans="11:27">
      <c r="K864" s="51"/>
      <c r="P864" s="50"/>
      <c r="W864" s="53"/>
      <c r="X864" s="53"/>
      <c r="Y864" s="51"/>
      <c r="Z864" s="51"/>
      <c r="AA864" s="51"/>
    </row>
    <row r="865" spans="11:27">
      <c r="K865" s="51"/>
      <c r="P865" s="50"/>
      <c r="W865" s="53"/>
      <c r="X865" s="53"/>
      <c r="Y865" s="51"/>
      <c r="Z865" s="51"/>
      <c r="AA865" s="51"/>
    </row>
    <row r="866" spans="11:27">
      <c r="K866" s="51"/>
      <c r="P866" s="50"/>
      <c r="W866" s="53"/>
      <c r="X866" s="53"/>
      <c r="Y866" s="51"/>
      <c r="Z866" s="51"/>
      <c r="AA866" s="51"/>
    </row>
    <row r="867" spans="11:27">
      <c r="K867" s="51"/>
      <c r="P867" s="50"/>
      <c r="W867" s="53"/>
      <c r="X867" s="53"/>
      <c r="Y867" s="51"/>
      <c r="Z867" s="51"/>
      <c r="AA867" s="51"/>
    </row>
    <row r="868" spans="11:27">
      <c r="K868" s="51"/>
      <c r="P868" s="50"/>
      <c r="W868" s="53"/>
      <c r="X868" s="53"/>
      <c r="Y868" s="51"/>
      <c r="Z868" s="51"/>
      <c r="AA868" s="51"/>
    </row>
    <row r="869" spans="11:27">
      <c r="K869" s="51"/>
      <c r="P869" s="50"/>
      <c r="W869" s="53"/>
      <c r="X869" s="53"/>
      <c r="Y869" s="51"/>
      <c r="Z869" s="51"/>
      <c r="AA869" s="51"/>
    </row>
    <row r="870" spans="11:27">
      <c r="K870" s="51"/>
      <c r="P870" s="50"/>
      <c r="W870" s="53"/>
      <c r="X870" s="53"/>
      <c r="Y870" s="51"/>
      <c r="Z870" s="51"/>
      <c r="AA870" s="51"/>
    </row>
    <row r="871" spans="11:27">
      <c r="K871" s="51"/>
      <c r="P871" s="50"/>
      <c r="W871" s="53"/>
      <c r="X871" s="53"/>
      <c r="Y871" s="51"/>
      <c r="Z871" s="51"/>
      <c r="AA871" s="51"/>
    </row>
    <row r="872" spans="11:27">
      <c r="K872" s="51"/>
      <c r="P872" s="50"/>
      <c r="W872" s="53"/>
      <c r="X872" s="53"/>
      <c r="Y872" s="51"/>
      <c r="Z872" s="51"/>
      <c r="AA872" s="51"/>
    </row>
    <row r="873" spans="11:27">
      <c r="K873" s="51"/>
      <c r="P873" s="50"/>
      <c r="W873" s="53"/>
      <c r="X873" s="53"/>
      <c r="Y873" s="51"/>
      <c r="Z873" s="51"/>
      <c r="AA873" s="51"/>
    </row>
    <row r="874" spans="11:27">
      <c r="K874" s="51"/>
      <c r="P874" s="50"/>
      <c r="W874" s="53"/>
      <c r="X874" s="53"/>
      <c r="Y874" s="51"/>
      <c r="Z874" s="51"/>
      <c r="AA874" s="51"/>
    </row>
    <row r="875" spans="11:27">
      <c r="K875" s="51"/>
      <c r="P875" s="50"/>
      <c r="W875" s="53"/>
      <c r="X875" s="53"/>
      <c r="Y875" s="51"/>
      <c r="Z875" s="51"/>
      <c r="AA875" s="51"/>
    </row>
    <row r="876" spans="11:27">
      <c r="K876" s="51"/>
      <c r="P876" s="50"/>
      <c r="W876" s="53"/>
      <c r="X876" s="53"/>
      <c r="Y876" s="51"/>
      <c r="Z876" s="51"/>
      <c r="AA876" s="51"/>
    </row>
    <row r="877" spans="11:27">
      <c r="K877" s="51"/>
      <c r="P877" s="50"/>
      <c r="W877" s="53"/>
      <c r="X877" s="53"/>
      <c r="Y877" s="51"/>
      <c r="Z877" s="51"/>
      <c r="AA877" s="51"/>
    </row>
    <row r="878" spans="11:27">
      <c r="K878" s="51"/>
      <c r="P878" s="50"/>
      <c r="W878" s="53"/>
      <c r="X878" s="53"/>
      <c r="Y878" s="51"/>
      <c r="Z878" s="51"/>
      <c r="AA878" s="51"/>
    </row>
    <row r="879" spans="11:27">
      <c r="K879" s="51"/>
      <c r="P879" s="50"/>
      <c r="W879" s="53"/>
      <c r="X879" s="53"/>
      <c r="Y879" s="51"/>
      <c r="Z879" s="51"/>
      <c r="AA879" s="51"/>
    </row>
    <row r="880" spans="11:27">
      <c r="K880" s="51"/>
      <c r="P880" s="50"/>
      <c r="W880" s="53"/>
      <c r="X880" s="53"/>
      <c r="Y880" s="51"/>
      <c r="Z880" s="51"/>
      <c r="AA880" s="51"/>
    </row>
    <row r="881" spans="11:27">
      <c r="K881" s="51"/>
      <c r="P881" s="50"/>
      <c r="W881" s="53"/>
      <c r="X881" s="53"/>
      <c r="Y881" s="51"/>
      <c r="Z881" s="51"/>
      <c r="AA881" s="51"/>
    </row>
    <row r="882" spans="11:27">
      <c r="K882" s="51"/>
      <c r="P882" s="50"/>
      <c r="W882" s="53"/>
      <c r="X882" s="53"/>
      <c r="Y882" s="51"/>
      <c r="Z882" s="51"/>
      <c r="AA882" s="51"/>
    </row>
    <row r="883" spans="11:27">
      <c r="K883" s="51"/>
      <c r="P883" s="50"/>
      <c r="W883" s="53"/>
      <c r="X883" s="53"/>
      <c r="Y883" s="51"/>
      <c r="Z883" s="51"/>
      <c r="AA883" s="51"/>
    </row>
    <row r="884" spans="11:27">
      <c r="K884" s="51"/>
      <c r="P884" s="50"/>
      <c r="W884" s="53"/>
      <c r="X884" s="53"/>
      <c r="Y884" s="51"/>
      <c r="Z884" s="51"/>
      <c r="AA884" s="51"/>
    </row>
    <row r="885" spans="11:27">
      <c r="K885" s="51"/>
      <c r="P885" s="50"/>
      <c r="W885" s="53"/>
      <c r="X885" s="53"/>
      <c r="Y885" s="51"/>
      <c r="Z885" s="51"/>
      <c r="AA885" s="51"/>
    </row>
    <row r="886" spans="11:27">
      <c r="K886" s="51"/>
      <c r="P886" s="50"/>
      <c r="W886" s="53"/>
      <c r="X886" s="53"/>
      <c r="Y886" s="51"/>
      <c r="Z886" s="51"/>
      <c r="AA886" s="51"/>
    </row>
    <row r="887" spans="11:27">
      <c r="K887" s="51"/>
      <c r="P887" s="50"/>
      <c r="W887" s="53"/>
      <c r="X887" s="53"/>
      <c r="Y887" s="51"/>
      <c r="Z887" s="51"/>
      <c r="AA887" s="51"/>
    </row>
    <row r="888" spans="11:27">
      <c r="K888" s="51"/>
      <c r="P888" s="50"/>
      <c r="W888" s="53"/>
      <c r="X888" s="53"/>
      <c r="Y888" s="51"/>
      <c r="Z888" s="51"/>
      <c r="AA888" s="51"/>
    </row>
    <row r="889" spans="11:27">
      <c r="K889" s="51"/>
      <c r="P889" s="50"/>
      <c r="W889" s="53"/>
      <c r="X889" s="53"/>
      <c r="Y889" s="51"/>
      <c r="Z889" s="51"/>
      <c r="AA889" s="51"/>
    </row>
    <row r="890" spans="11:27">
      <c r="K890" s="51"/>
      <c r="P890" s="50"/>
      <c r="W890" s="53"/>
      <c r="X890" s="53"/>
      <c r="Y890" s="51"/>
      <c r="Z890" s="51"/>
      <c r="AA890" s="51"/>
    </row>
    <row r="891" spans="11:27">
      <c r="K891" s="51"/>
      <c r="P891" s="50"/>
      <c r="W891" s="53"/>
      <c r="X891" s="53"/>
      <c r="Y891" s="51"/>
      <c r="Z891" s="51"/>
      <c r="AA891" s="51"/>
    </row>
    <row r="892" spans="11:27">
      <c r="K892" s="51"/>
      <c r="P892" s="50"/>
      <c r="W892" s="53"/>
      <c r="X892" s="53"/>
      <c r="Y892" s="51"/>
      <c r="Z892" s="51"/>
      <c r="AA892" s="51"/>
    </row>
    <row r="893" spans="11:27">
      <c r="K893" s="51"/>
      <c r="P893" s="50"/>
      <c r="W893" s="53"/>
      <c r="X893" s="53"/>
      <c r="Y893" s="51"/>
      <c r="Z893" s="51"/>
      <c r="AA893" s="51"/>
    </row>
    <row r="894" spans="11:27">
      <c r="K894" s="51"/>
      <c r="P894" s="50"/>
      <c r="W894" s="53"/>
      <c r="X894" s="53"/>
      <c r="Y894" s="51"/>
      <c r="Z894" s="51"/>
      <c r="AA894" s="51"/>
    </row>
    <row r="895" spans="11:27">
      <c r="K895" s="51"/>
      <c r="P895" s="50"/>
      <c r="W895" s="53"/>
      <c r="X895" s="53"/>
      <c r="Y895" s="51"/>
      <c r="Z895" s="51"/>
      <c r="AA895" s="51"/>
    </row>
    <row r="896" spans="11:27">
      <c r="K896" s="51"/>
      <c r="P896" s="50"/>
      <c r="W896" s="53"/>
      <c r="X896" s="53"/>
      <c r="Y896" s="51"/>
      <c r="Z896" s="51"/>
      <c r="AA896" s="51"/>
    </row>
    <row r="897" spans="11:27">
      <c r="K897" s="51"/>
      <c r="P897" s="50"/>
      <c r="W897" s="53"/>
      <c r="X897" s="53"/>
      <c r="Y897" s="51"/>
      <c r="Z897" s="51"/>
      <c r="AA897" s="51"/>
    </row>
    <row r="898" spans="11:27">
      <c r="K898" s="51"/>
      <c r="P898" s="50"/>
      <c r="W898" s="53"/>
      <c r="X898" s="53"/>
      <c r="Y898" s="51"/>
      <c r="Z898" s="51"/>
      <c r="AA898" s="51"/>
    </row>
    <row r="899" spans="11:27">
      <c r="K899" s="51"/>
      <c r="P899" s="50"/>
      <c r="W899" s="53"/>
      <c r="X899" s="53"/>
      <c r="Y899" s="51"/>
      <c r="Z899" s="51"/>
      <c r="AA899" s="51"/>
    </row>
    <row r="900" spans="11:27">
      <c r="K900" s="51"/>
      <c r="P900" s="50"/>
      <c r="W900" s="53"/>
      <c r="X900" s="53"/>
      <c r="Y900" s="51"/>
      <c r="Z900" s="51"/>
      <c r="AA900" s="51"/>
    </row>
    <row r="901" spans="11:27">
      <c r="K901" s="51"/>
      <c r="P901" s="50"/>
      <c r="W901" s="53"/>
      <c r="X901" s="53"/>
      <c r="Y901" s="51"/>
      <c r="Z901" s="51"/>
      <c r="AA901" s="51"/>
    </row>
    <row r="902" spans="11:27">
      <c r="K902" s="51"/>
      <c r="P902" s="50"/>
      <c r="W902" s="53"/>
      <c r="X902" s="53"/>
      <c r="Y902" s="51"/>
      <c r="Z902" s="51"/>
      <c r="AA902" s="51"/>
    </row>
    <row r="903" spans="11:27">
      <c r="K903" s="51"/>
      <c r="P903" s="50"/>
      <c r="W903" s="53"/>
      <c r="X903" s="53"/>
      <c r="Y903" s="51"/>
      <c r="Z903" s="51"/>
      <c r="AA903" s="51"/>
    </row>
    <row r="904" spans="11:27">
      <c r="K904" s="51"/>
      <c r="P904" s="50"/>
      <c r="W904" s="53"/>
      <c r="X904" s="53"/>
      <c r="Y904" s="51"/>
      <c r="Z904" s="51"/>
      <c r="AA904" s="51"/>
    </row>
    <row r="905" spans="11:27">
      <c r="K905" s="51"/>
      <c r="P905" s="50"/>
      <c r="W905" s="53"/>
      <c r="X905" s="53"/>
      <c r="Y905" s="51"/>
      <c r="Z905" s="51"/>
      <c r="AA905" s="51"/>
    </row>
    <row r="906" spans="11:27">
      <c r="K906" s="51"/>
      <c r="P906" s="50"/>
      <c r="W906" s="53"/>
      <c r="X906" s="53"/>
      <c r="Y906" s="51"/>
      <c r="Z906" s="51"/>
      <c r="AA906" s="51"/>
    </row>
    <row r="907" spans="11:27">
      <c r="K907" s="51"/>
      <c r="P907" s="50"/>
      <c r="W907" s="53"/>
      <c r="X907" s="53"/>
      <c r="Y907" s="51"/>
      <c r="Z907" s="51"/>
      <c r="AA907" s="51"/>
    </row>
    <row r="908" spans="11:27">
      <c r="K908" s="51"/>
      <c r="P908" s="50"/>
      <c r="W908" s="53"/>
      <c r="X908" s="53"/>
      <c r="Y908" s="51"/>
      <c r="Z908" s="51"/>
      <c r="AA908" s="51"/>
    </row>
    <row r="909" spans="11:27">
      <c r="K909" s="51"/>
      <c r="P909" s="50"/>
      <c r="W909" s="53"/>
      <c r="X909" s="53"/>
      <c r="Y909" s="51"/>
      <c r="Z909" s="51"/>
      <c r="AA909" s="51"/>
    </row>
    <row r="910" spans="11:27">
      <c r="K910" s="51"/>
      <c r="P910" s="50"/>
      <c r="W910" s="53"/>
      <c r="X910" s="53"/>
      <c r="Y910" s="51"/>
      <c r="Z910" s="51"/>
      <c r="AA910" s="51"/>
    </row>
    <row r="911" spans="11:27">
      <c r="K911" s="51"/>
      <c r="P911" s="50"/>
      <c r="W911" s="53"/>
      <c r="X911" s="53"/>
      <c r="Y911" s="51"/>
      <c r="Z911" s="51"/>
      <c r="AA911" s="51"/>
    </row>
    <row r="912" spans="11:27">
      <c r="K912" s="51"/>
      <c r="P912" s="50"/>
      <c r="W912" s="53"/>
      <c r="X912" s="53"/>
      <c r="Y912" s="51"/>
      <c r="Z912" s="51"/>
      <c r="AA912" s="51"/>
    </row>
    <row r="913" spans="11:27">
      <c r="K913" s="51"/>
      <c r="P913" s="50"/>
      <c r="W913" s="53"/>
      <c r="X913" s="53"/>
      <c r="Y913" s="51"/>
      <c r="Z913" s="51"/>
      <c r="AA913" s="51"/>
    </row>
    <row r="914" spans="11:27">
      <c r="K914" s="51"/>
      <c r="P914" s="50"/>
      <c r="W914" s="53"/>
      <c r="X914" s="53"/>
      <c r="Y914" s="51"/>
      <c r="Z914" s="51"/>
      <c r="AA914" s="51"/>
    </row>
    <row r="915" spans="11:27">
      <c r="K915" s="51"/>
      <c r="P915" s="50"/>
      <c r="W915" s="53"/>
      <c r="X915" s="53"/>
      <c r="Y915" s="51"/>
      <c r="Z915" s="51"/>
      <c r="AA915" s="51"/>
    </row>
    <row r="916" spans="11:27">
      <c r="K916" s="51"/>
      <c r="P916" s="50"/>
      <c r="W916" s="53"/>
      <c r="X916" s="53"/>
      <c r="Y916" s="51"/>
      <c r="Z916" s="51"/>
      <c r="AA916" s="51"/>
    </row>
    <row r="917" spans="11:27">
      <c r="K917" s="51"/>
      <c r="P917" s="50"/>
      <c r="W917" s="53"/>
      <c r="X917" s="53"/>
      <c r="Y917" s="51"/>
      <c r="Z917" s="51"/>
      <c r="AA917" s="51"/>
    </row>
    <row r="918" spans="11:27">
      <c r="K918" s="51"/>
      <c r="P918" s="50"/>
      <c r="W918" s="53"/>
      <c r="X918" s="53"/>
      <c r="Y918" s="51"/>
      <c r="Z918" s="51"/>
      <c r="AA918" s="51"/>
    </row>
    <row r="919" spans="11:27">
      <c r="K919" s="51"/>
      <c r="P919" s="50"/>
      <c r="W919" s="53"/>
      <c r="X919" s="53"/>
      <c r="Y919" s="51"/>
      <c r="Z919" s="51"/>
      <c r="AA919" s="51"/>
    </row>
    <row r="920" spans="11:27">
      <c r="K920" s="51"/>
      <c r="P920" s="50"/>
      <c r="W920" s="53"/>
      <c r="X920" s="53"/>
      <c r="Y920" s="51"/>
      <c r="Z920" s="51"/>
      <c r="AA920" s="51"/>
    </row>
    <row r="921" spans="11:27">
      <c r="K921" s="51"/>
      <c r="P921" s="50"/>
      <c r="W921" s="53"/>
      <c r="X921" s="53"/>
      <c r="Y921" s="51"/>
      <c r="Z921" s="51"/>
      <c r="AA921" s="51"/>
    </row>
    <row r="922" spans="11:27">
      <c r="K922" s="51"/>
      <c r="P922" s="50"/>
      <c r="W922" s="53"/>
      <c r="X922" s="53"/>
      <c r="Y922" s="51"/>
      <c r="Z922" s="51"/>
      <c r="AA922" s="51"/>
    </row>
    <row r="923" spans="11:27">
      <c r="K923" s="51"/>
      <c r="P923" s="50"/>
      <c r="W923" s="53"/>
      <c r="X923" s="53"/>
      <c r="Y923" s="51"/>
      <c r="Z923" s="51"/>
      <c r="AA923" s="51"/>
    </row>
    <row r="924" spans="11:27">
      <c r="K924" s="51"/>
      <c r="P924" s="50"/>
      <c r="W924" s="53"/>
      <c r="X924" s="53"/>
      <c r="Y924" s="51"/>
      <c r="Z924" s="51"/>
      <c r="AA924" s="51"/>
    </row>
    <row r="925" spans="11:27">
      <c r="K925" s="51"/>
      <c r="P925" s="50"/>
      <c r="W925" s="53"/>
      <c r="X925" s="53"/>
      <c r="Y925" s="51"/>
      <c r="Z925" s="51"/>
      <c r="AA925" s="51"/>
    </row>
    <row r="926" spans="11:27">
      <c r="K926" s="51"/>
      <c r="P926" s="50"/>
      <c r="W926" s="53"/>
      <c r="X926" s="53"/>
      <c r="Y926" s="51"/>
      <c r="Z926" s="51"/>
      <c r="AA926" s="51"/>
    </row>
    <row r="927" spans="11:27">
      <c r="K927" s="51"/>
      <c r="P927" s="50"/>
      <c r="W927" s="53"/>
      <c r="X927" s="53"/>
      <c r="Y927" s="51"/>
      <c r="Z927" s="51"/>
      <c r="AA927" s="51"/>
    </row>
    <row r="928" spans="11:27">
      <c r="K928" s="51"/>
      <c r="P928" s="50"/>
      <c r="W928" s="53"/>
      <c r="X928" s="53"/>
      <c r="Y928" s="51"/>
      <c r="Z928" s="51"/>
      <c r="AA928" s="51"/>
    </row>
    <row r="929" spans="11:27">
      <c r="K929" s="51"/>
      <c r="P929" s="50"/>
      <c r="W929" s="53"/>
      <c r="X929" s="53"/>
      <c r="Y929" s="51"/>
      <c r="Z929" s="51"/>
      <c r="AA929" s="51"/>
    </row>
    <row r="930" spans="11:27">
      <c r="K930" s="51"/>
      <c r="P930" s="50"/>
      <c r="W930" s="53"/>
      <c r="X930" s="53"/>
      <c r="Y930" s="51"/>
      <c r="Z930" s="51"/>
      <c r="AA930" s="51"/>
    </row>
    <row r="931" spans="11:27">
      <c r="K931" s="51"/>
      <c r="P931" s="50"/>
      <c r="W931" s="53"/>
      <c r="X931" s="53"/>
      <c r="Y931" s="51"/>
      <c r="Z931" s="51"/>
      <c r="AA931" s="51"/>
    </row>
    <row r="932" spans="11:27">
      <c r="K932" s="51"/>
      <c r="P932" s="50"/>
      <c r="W932" s="53"/>
      <c r="X932" s="53"/>
      <c r="Y932" s="51"/>
      <c r="Z932" s="51"/>
      <c r="AA932" s="51"/>
    </row>
    <row r="933" spans="11:27">
      <c r="K933" s="51"/>
      <c r="P933" s="50"/>
      <c r="W933" s="53"/>
      <c r="X933" s="53"/>
      <c r="Y933" s="51"/>
      <c r="Z933" s="51"/>
      <c r="AA933" s="51"/>
    </row>
    <row r="934" spans="11:27">
      <c r="K934" s="51"/>
      <c r="P934" s="50"/>
      <c r="W934" s="53"/>
      <c r="X934" s="53"/>
      <c r="Y934" s="51"/>
      <c r="Z934" s="51"/>
      <c r="AA934" s="51"/>
    </row>
    <row r="935" spans="11:27">
      <c r="K935" s="51"/>
      <c r="P935" s="50"/>
      <c r="W935" s="53"/>
      <c r="X935" s="53"/>
      <c r="Y935" s="51"/>
      <c r="Z935" s="51"/>
      <c r="AA935" s="51"/>
    </row>
    <row r="936" spans="11:27">
      <c r="K936" s="51"/>
      <c r="P936" s="50"/>
      <c r="W936" s="53"/>
      <c r="X936" s="53"/>
      <c r="Y936" s="51"/>
      <c r="Z936" s="51"/>
      <c r="AA936" s="51"/>
    </row>
    <row r="937" spans="11:27">
      <c r="K937" s="51"/>
      <c r="P937" s="50"/>
      <c r="W937" s="53"/>
      <c r="X937" s="53"/>
      <c r="Y937" s="51"/>
      <c r="Z937" s="51"/>
      <c r="AA937" s="51"/>
    </row>
    <row r="938" spans="11:27">
      <c r="K938" s="51"/>
      <c r="P938" s="50"/>
      <c r="W938" s="53"/>
      <c r="X938" s="53"/>
      <c r="Y938" s="51"/>
      <c r="Z938" s="51"/>
      <c r="AA938" s="51"/>
    </row>
    <row r="939" spans="11:27">
      <c r="K939" s="51"/>
      <c r="P939" s="50"/>
      <c r="W939" s="53"/>
      <c r="X939" s="53"/>
      <c r="Y939" s="51"/>
      <c r="Z939" s="51"/>
      <c r="AA939" s="51"/>
    </row>
    <row r="940" spans="11:27">
      <c r="K940" s="51"/>
      <c r="P940" s="50"/>
      <c r="W940" s="53"/>
      <c r="X940" s="53"/>
      <c r="Y940" s="51"/>
      <c r="Z940" s="51"/>
      <c r="AA940" s="51"/>
    </row>
    <row r="941" spans="11:27">
      <c r="K941" s="51"/>
      <c r="P941" s="50"/>
      <c r="W941" s="53"/>
      <c r="X941" s="53"/>
      <c r="Y941" s="51"/>
      <c r="Z941" s="51"/>
      <c r="AA941" s="51"/>
    </row>
    <row r="942" spans="11:27">
      <c r="K942" s="51"/>
      <c r="P942" s="50"/>
      <c r="W942" s="53"/>
      <c r="X942" s="53"/>
      <c r="Y942" s="51"/>
      <c r="Z942" s="51"/>
      <c r="AA942" s="51"/>
    </row>
    <row r="943" spans="11:27">
      <c r="K943" s="51"/>
      <c r="P943" s="50"/>
      <c r="W943" s="53"/>
      <c r="X943" s="53"/>
      <c r="Y943" s="51"/>
      <c r="Z943" s="51"/>
      <c r="AA943" s="51"/>
    </row>
    <row r="944" spans="11:27">
      <c r="K944" s="51"/>
      <c r="P944" s="50"/>
      <c r="W944" s="53"/>
      <c r="X944" s="53"/>
      <c r="Y944" s="51"/>
      <c r="Z944" s="51"/>
      <c r="AA944" s="51"/>
    </row>
    <row r="945" spans="11:27">
      <c r="K945" s="51"/>
      <c r="P945" s="50"/>
      <c r="W945" s="53"/>
      <c r="X945" s="53"/>
      <c r="Y945" s="51"/>
      <c r="Z945" s="51"/>
      <c r="AA945" s="51"/>
    </row>
    <row r="946" spans="11:27">
      <c r="K946" s="51"/>
      <c r="P946" s="50"/>
      <c r="W946" s="53"/>
      <c r="X946" s="53"/>
      <c r="Y946" s="51"/>
      <c r="Z946" s="51"/>
      <c r="AA946" s="51"/>
    </row>
    <row r="947" spans="11:27">
      <c r="K947" s="51"/>
      <c r="P947" s="50"/>
      <c r="W947" s="53"/>
      <c r="X947" s="53"/>
      <c r="Y947" s="51"/>
      <c r="Z947" s="51"/>
      <c r="AA947" s="51"/>
    </row>
    <row r="948" spans="11:27">
      <c r="K948" s="51"/>
      <c r="P948" s="50"/>
      <c r="W948" s="53"/>
      <c r="X948" s="53"/>
      <c r="Y948" s="51"/>
      <c r="Z948" s="51"/>
      <c r="AA948" s="51"/>
    </row>
    <row r="949" spans="11:27">
      <c r="K949" s="51"/>
      <c r="P949" s="50"/>
      <c r="W949" s="53"/>
      <c r="X949" s="53"/>
      <c r="Y949" s="51"/>
      <c r="Z949" s="51"/>
      <c r="AA949" s="51"/>
    </row>
    <row r="950" spans="11:27">
      <c r="K950" s="51"/>
      <c r="P950" s="50"/>
      <c r="W950" s="53"/>
      <c r="X950" s="53"/>
      <c r="Y950" s="51"/>
      <c r="Z950" s="51"/>
      <c r="AA950" s="51"/>
    </row>
    <row r="951" spans="11:27">
      <c r="K951" s="51"/>
      <c r="P951" s="50"/>
      <c r="W951" s="53"/>
      <c r="X951" s="53"/>
      <c r="Y951" s="51"/>
      <c r="Z951" s="51"/>
      <c r="AA951" s="51"/>
    </row>
    <row r="952" spans="11:27">
      <c r="K952" s="51"/>
      <c r="P952" s="50"/>
      <c r="W952" s="53"/>
      <c r="X952" s="53"/>
      <c r="Y952" s="51"/>
      <c r="Z952" s="51"/>
      <c r="AA952" s="51"/>
    </row>
    <row r="953" spans="11:27">
      <c r="K953" s="51"/>
      <c r="P953" s="50"/>
      <c r="W953" s="53"/>
      <c r="X953" s="53"/>
      <c r="Y953" s="51"/>
      <c r="Z953" s="51"/>
      <c r="AA953" s="51"/>
    </row>
    <row r="954" spans="11:27">
      <c r="K954" s="51"/>
      <c r="P954" s="50"/>
      <c r="W954" s="53"/>
      <c r="X954" s="53"/>
      <c r="Y954" s="51"/>
      <c r="Z954" s="51"/>
      <c r="AA954" s="51"/>
    </row>
    <row r="955" spans="11:27">
      <c r="K955" s="51"/>
      <c r="P955" s="50"/>
      <c r="W955" s="53"/>
      <c r="X955" s="53"/>
      <c r="Y955" s="51"/>
      <c r="Z955" s="51"/>
      <c r="AA955" s="51"/>
    </row>
    <row r="956" spans="11:27">
      <c r="K956" s="51"/>
      <c r="P956" s="50"/>
      <c r="W956" s="53"/>
      <c r="X956" s="53"/>
      <c r="Y956" s="51"/>
      <c r="Z956" s="51"/>
      <c r="AA956" s="51"/>
    </row>
    <row r="957" spans="11:27">
      <c r="K957" s="51"/>
      <c r="P957" s="50"/>
      <c r="W957" s="53"/>
      <c r="X957" s="53"/>
      <c r="Y957" s="51"/>
      <c r="Z957" s="51"/>
      <c r="AA957" s="51"/>
    </row>
    <row r="958" spans="11:27">
      <c r="K958" s="51"/>
      <c r="P958" s="50"/>
      <c r="W958" s="53"/>
      <c r="X958" s="53"/>
      <c r="Y958" s="51"/>
      <c r="Z958" s="51"/>
      <c r="AA958" s="51"/>
    </row>
    <row r="959" spans="11:27">
      <c r="K959" s="51"/>
      <c r="P959" s="50"/>
      <c r="W959" s="53"/>
      <c r="X959" s="53"/>
      <c r="Y959" s="51"/>
      <c r="Z959" s="51"/>
      <c r="AA959" s="51"/>
    </row>
    <row r="960" spans="11:27">
      <c r="K960" s="51"/>
      <c r="P960" s="50"/>
      <c r="W960" s="53"/>
      <c r="X960" s="53"/>
      <c r="Y960" s="51"/>
      <c r="Z960" s="51"/>
      <c r="AA960" s="51"/>
    </row>
    <row r="961" spans="11:27">
      <c r="K961" s="51"/>
      <c r="P961" s="50"/>
      <c r="W961" s="53"/>
      <c r="X961" s="53"/>
      <c r="Y961" s="51"/>
      <c r="Z961" s="51"/>
      <c r="AA961" s="51"/>
    </row>
    <row r="962" spans="11:27">
      <c r="K962" s="51"/>
      <c r="P962" s="50"/>
      <c r="W962" s="53"/>
      <c r="X962" s="53"/>
      <c r="Y962" s="51"/>
      <c r="Z962" s="51"/>
      <c r="AA962" s="51"/>
    </row>
    <row r="963" spans="11:27">
      <c r="K963" s="51"/>
      <c r="P963" s="50"/>
      <c r="W963" s="53"/>
      <c r="X963" s="53"/>
      <c r="Y963" s="51"/>
      <c r="Z963" s="51"/>
      <c r="AA963" s="51"/>
    </row>
    <row r="964" spans="11:27">
      <c r="K964" s="51"/>
      <c r="P964" s="50"/>
      <c r="W964" s="53"/>
      <c r="X964" s="53"/>
      <c r="Y964" s="51"/>
      <c r="Z964" s="51"/>
      <c r="AA964" s="51"/>
    </row>
    <row r="965" spans="11:27">
      <c r="K965" s="51"/>
      <c r="P965" s="50"/>
      <c r="W965" s="53"/>
      <c r="X965" s="53"/>
      <c r="Y965" s="51"/>
      <c r="Z965" s="51"/>
      <c r="AA965" s="51"/>
    </row>
    <row r="966" spans="11:27">
      <c r="K966" s="51"/>
      <c r="P966" s="50"/>
      <c r="W966" s="53"/>
      <c r="X966" s="53"/>
      <c r="Y966" s="51"/>
      <c r="Z966" s="51"/>
      <c r="AA966" s="51"/>
    </row>
    <row r="967" spans="11:27">
      <c r="K967" s="51"/>
      <c r="P967" s="50"/>
      <c r="W967" s="53"/>
      <c r="X967" s="53"/>
      <c r="Y967" s="51"/>
      <c r="Z967" s="51"/>
      <c r="AA967" s="51"/>
    </row>
    <row r="968" spans="11:27">
      <c r="K968" s="51"/>
      <c r="P968" s="50"/>
      <c r="W968" s="53"/>
      <c r="X968" s="53"/>
      <c r="Y968" s="51"/>
      <c r="Z968" s="51"/>
      <c r="AA968" s="51"/>
    </row>
    <row r="969" spans="11:27">
      <c r="K969" s="51"/>
      <c r="P969" s="50"/>
      <c r="W969" s="53"/>
      <c r="X969" s="53"/>
      <c r="Y969" s="51"/>
      <c r="Z969" s="51"/>
      <c r="AA969" s="51"/>
    </row>
    <row r="970" spans="11:27">
      <c r="K970" s="51"/>
      <c r="P970" s="50"/>
      <c r="W970" s="53"/>
      <c r="X970" s="53"/>
      <c r="Y970" s="51"/>
      <c r="Z970" s="51"/>
      <c r="AA970" s="51"/>
    </row>
    <row r="971" spans="11:27">
      <c r="K971" s="51"/>
      <c r="P971" s="50"/>
      <c r="W971" s="53"/>
      <c r="X971" s="53"/>
      <c r="Y971" s="51"/>
      <c r="Z971" s="51"/>
      <c r="AA971" s="51"/>
    </row>
    <row r="972" spans="11:27">
      <c r="K972" s="51"/>
      <c r="P972" s="50"/>
      <c r="W972" s="53"/>
      <c r="X972" s="53"/>
      <c r="Y972" s="51"/>
      <c r="Z972" s="51"/>
      <c r="AA972" s="51"/>
    </row>
    <row r="973" spans="11:27">
      <c r="K973" s="51"/>
      <c r="P973" s="50"/>
      <c r="W973" s="53"/>
      <c r="X973" s="53"/>
      <c r="Y973" s="51"/>
      <c r="Z973" s="51"/>
      <c r="AA973" s="51"/>
    </row>
    <row r="974" spans="11:27">
      <c r="K974" s="51"/>
      <c r="P974" s="50"/>
      <c r="W974" s="53"/>
      <c r="X974" s="53"/>
      <c r="Y974" s="51"/>
      <c r="Z974" s="51"/>
      <c r="AA974" s="51"/>
    </row>
    <row r="975" spans="11:27">
      <c r="K975" s="51"/>
      <c r="P975" s="50"/>
      <c r="W975" s="53"/>
      <c r="X975" s="53"/>
      <c r="Y975" s="51"/>
      <c r="Z975" s="51"/>
      <c r="AA975" s="51"/>
    </row>
    <row r="976" spans="11:27">
      <c r="K976" s="51"/>
      <c r="P976" s="50"/>
      <c r="W976" s="53"/>
      <c r="X976" s="53"/>
      <c r="Y976" s="51"/>
      <c r="Z976" s="51"/>
      <c r="AA976" s="51"/>
    </row>
    <row r="977" spans="11:27">
      <c r="K977" s="51"/>
      <c r="P977" s="50"/>
      <c r="W977" s="53"/>
      <c r="X977" s="53"/>
      <c r="Y977" s="51"/>
      <c r="Z977" s="51"/>
      <c r="AA977" s="51"/>
    </row>
    <row r="978" spans="11:27">
      <c r="K978" s="51"/>
      <c r="P978" s="50"/>
      <c r="W978" s="53"/>
      <c r="X978" s="53"/>
      <c r="Y978" s="51"/>
      <c r="Z978" s="51"/>
      <c r="AA978" s="51"/>
    </row>
    <row r="979" spans="11:27">
      <c r="K979" s="51"/>
      <c r="P979" s="50"/>
      <c r="W979" s="53"/>
      <c r="X979" s="53"/>
      <c r="Y979" s="51"/>
      <c r="Z979" s="51"/>
      <c r="AA979" s="51"/>
    </row>
    <row r="980" spans="11:27">
      <c r="K980" s="51"/>
      <c r="P980" s="50"/>
      <c r="W980" s="53"/>
      <c r="X980" s="53"/>
      <c r="Y980" s="51"/>
      <c r="Z980" s="51"/>
      <c r="AA980" s="51"/>
    </row>
    <row r="981" spans="11:27">
      <c r="K981" s="51"/>
      <c r="P981" s="50"/>
      <c r="W981" s="53"/>
      <c r="X981" s="53"/>
      <c r="Y981" s="51"/>
      <c r="Z981" s="51"/>
      <c r="AA981" s="51"/>
    </row>
    <row r="982" spans="11:27">
      <c r="K982" s="51"/>
      <c r="P982" s="50"/>
      <c r="W982" s="53"/>
      <c r="X982" s="53"/>
      <c r="Y982" s="51"/>
      <c r="Z982" s="51"/>
      <c r="AA982" s="51"/>
    </row>
    <row r="983" spans="11:27">
      <c r="K983" s="51"/>
      <c r="P983" s="50"/>
      <c r="W983" s="53"/>
      <c r="X983" s="53"/>
      <c r="Y983" s="51"/>
      <c r="Z983" s="51"/>
      <c r="AA983" s="51"/>
    </row>
    <row r="984" spans="11:27">
      <c r="K984" s="51"/>
      <c r="P984" s="50"/>
      <c r="W984" s="53"/>
      <c r="X984" s="53"/>
      <c r="Y984" s="51"/>
      <c r="Z984" s="51"/>
      <c r="AA984" s="51"/>
    </row>
    <row r="985" spans="11:27">
      <c r="K985" s="51"/>
      <c r="P985" s="50"/>
      <c r="W985" s="53"/>
      <c r="X985" s="53"/>
      <c r="Y985" s="51"/>
      <c r="Z985" s="51"/>
      <c r="AA985" s="51"/>
    </row>
    <row r="986" spans="11:27">
      <c r="K986" s="51"/>
      <c r="P986" s="50"/>
      <c r="W986" s="53"/>
      <c r="X986" s="53"/>
      <c r="Y986" s="51"/>
      <c r="Z986" s="51"/>
      <c r="AA986" s="51"/>
    </row>
    <row r="987" spans="11:27">
      <c r="K987" s="51"/>
      <c r="P987" s="50"/>
      <c r="W987" s="53"/>
      <c r="X987" s="53"/>
      <c r="Y987" s="51"/>
      <c r="Z987" s="51"/>
      <c r="AA987" s="51"/>
    </row>
    <row r="988" spans="11:27">
      <c r="K988" s="51"/>
      <c r="P988" s="50"/>
      <c r="W988" s="53"/>
      <c r="X988" s="53"/>
      <c r="Y988" s="51"/>
      <c r="Z988" s="51"/>
      <c r="AA988" s="51"/>
    </row>
    <row r="989" spans="11:27">
      <c r="K989" s="51"/>
      <c r="P989" s="50"/>
      <c r="W989" s="53"/>
      <c r="X989" s="53"/>
      <c r="Y989" s="51"/>
      <c r="Z989" s="51"/>
      <c r="AA989" s="51"/>
    </row>
    <row r="990" spans="11:27">
      <c r="K990" s="51"/>
      <c r="P990" s="50"/>
      <c r="W990" s="53"/>
      <c r="X990" s="53"/>
      <c r="Y990" s="51"/>
      <c r="Z990" s="51"/>
      <c r="AA990" s="51"/>
    </row>
    <row r="991" spans="11:27">
      <c r="K991" s="51"/>
      <c r="P991" s="50"/>
      <c r="W991" s="53"/>
      <c r="X991" s="53"/>
      <c r="Y991" s="51"/>
      <c r="Z991" s="51"/>
      <c r="AA991" s="51"/>
    </row>
    <row r="992" spans="11:27">
      <c r="K992" s="51"/>
      <c r="P992" s="50"/>
      <c r="W992" s="53"/>
      <c r="X992" s="53"/>
      <c r="Y992" s="51"/>
      <c r="Z992" s="51"/>
      <c r="AA992" s="51"/>
    </row>
    <row r="993" spans="11:27">
      <c r="K993" s="51"/>
      <c r="P993" s="50"/>
      <c r="W993" s="53"/>
      <c r="X993" s="53"/>
      <c r="Y993" s="51"/>
      <c r="Z993" s="51"/>
      <c r="AA993" s="51"/>
    </row>
    <row r="994" spans="11:27">
      <c r="K994" s="51"/>
      <c r="P994" s="50"/>
      <c r="W994" s="53"/>
      <c r="X994" s="53"/>
      <c r="Y994" s="51"/>
      <c r="Z994" s="51"/>
      <c r="AA994" s="51"/>
    </row>
    <row r="995" spans="11:27">
      <c r="K995" s="51"/>
      <c r="P995" s="50"/>
      <c r="W995" s="53"/>
      <c r="X995" s="53"/>
      <c r="Y995" s="51"/>
      <c r="Z995" s="51"/>
      <c r="AA995" s="51"/>
    </row>
    <row r="996" spans="11:27">
      <c r="K996" s="51"/>
      <c r="P996" s="50"/>
      <c r="W996" s="53"/>
      <c r="X996" s="53"/>
      <c r="Y996" s="51"/>
      <c r="Z996" s="51"/>
      <c r="AA996" s="51"/>
    </row>
    <row r="997" spans="11:27">
      <c r="K997" s="51"/>
      <c r="P997" s="50"/>
      <c r="W997" s="53"/>
      <c r="X997" s="53"/>
      <c r="Y997" s="51"/>
      <c r="Z997" s="51"/>
      <c r="AA997" s="51"/>
    </row>
    <row r="998" spans="11:27">
      <c r="K998" s="51"/>
      <c r="P998" s="50"/>
      <c r="W998" s="53"/>
      <c r="X998" s="53"/>
      <c r="Y998" s="51"/>
      <c r="Z998" s="51"/>
      <c r="AA998" s="51"/>
    </row>
    <row r="999" spans="11:27">
      <c r="K999" s="51"/>
      <c r="P999" s="50"/>
      <c r="W999" s="53"/>
      <c r="X999" s="53"/>
      <c r="Y999" s="51"/>
      <c r="Z999" s="51"/>
      <c r="AA999" s="51"/>
    </row>
    <row r="1000" spans="11:27">
      <c r="K1000" s="51"/>
      <c r="P1000" s="50"/>
      <c r="W1000" s="53"/>
      <c r="X1000" s="53"/>
      <c r="Y1000" s="51"/>
      <c r="Z1000" s="51"/>
      <c r="AA1000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08984375" customWidth="1"/>
    <col min="16" max="16" width="21.4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5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10">
        <v>229296000000</v>
      </c>
      <c r="E2" s="10">
        <v>33696815824</v>
      </c>
      <c r="F2" s="16">
        <v>849799701091</v>
      </c>
      <c r="G2" s="16">
        <f t="shared" ref="G2:G34" si="0">I2-H2</f>
        <v>204275610836</v>
      </c>
      <c r="H2" s="10">
        <v>235154667857</v>
      </c>
      <c r="I2" s="10">
        <v>439430278693</v>
      </c>
      <c r="J2" s="10">
        <v>410369422397</v>
      </c>
      <c r="K2" s="8">
        <v>2800000000</v>
      </c>
      <c r="L2" s="10">
        <v>200658519501</v>
      </c>
      <c r="M2" s="10">
        <v>90382621588</v>
      </c>
      <c r="N2" s="9">
        <f>42837978596+838722643</f>
        <v>43676701239</v>
      </c>
      <c r="O2" s="12">
        <v>50247119273</v>
      </c>
      <c r="P2" s="50"/>
      <c r="Q2" s="51">
        <v>89</v>
      </c>
      <c r="R2" s="51">
        <f t="shared" ref="R2:R34" si="1">D2/G2</f>
        <v>1.1224834871945986</v>
      </c>
      <c r="S2" s="58">
        <f t="shared" ref="S2:S34" si="2">H2/J2</f>
        <v>0.57303165153837032</v>
      </c>
      <c r="T2" s="51">
        <f t="shared" ref="T2:T34" si="3">O2/F2</f>
        <v>5.9128191276710436E-2</v>
      </c>
      <c r="U2" s="51">
        <f t="shared" ref="U2:U34" si="4">O2/J2</f>
        <v>0.1224436240388054</v>
      </c>
      <c r="V2" s="51">
        <f t="shared" ref="V2:V34" si="5">O2/L2</f>
        <v>0.25041109342356921</v>
      </c>
      <c r="W2" s="51">
        <f t="shared" ref="W2:W34" si="6">(P2/K2)/Q2</f>
        <v>0</v>
      </c>
      <c r="X2" s="51">
        <f t="shared" ref="X2:X34" si="7">(P2/O2)</f>
        <v>0</v>
      </c>
      <c r="Y2" s="58">
        <f t="shared" ref="Y2:Y34" si="8">Q2/(O2/K2)</f>
        <v>4.9594882971511201</v>
      </c>
      <c r="Z2" s="51">
        <f t="shared" ref="Z2:Z34" si="9">Q2/(J2/K2)</f>
        <v>0.60725772048122695</v>
      </c>
      <c r="AA2" s="52">
        <v>5</v>
      </c>
    </row>
    <row r="3" spans="1:27">
      <c r="A3" s="6">
        <v>2019</v>
      </c>
      <c r="B3" s="6" t="s">
        <v>337</v>
      </c>
      <c r="C3" s="7" t="s">
        <v>338</v>
      </c>
      <c r="D3" s="10">
        <v>391674006298</v>
      </c>
      <c r="E3" s="10">
        <v>34992765408</v>
      </c>
      <c r="F3" s="16">
        <v>467065425451</v>
      </c>
      <c r="G3" s="16">
        <f t="shared" si="0"/>
        <v>283080536190</v>
      </c>
      <c r="H3" s="10">
        <v>150449955614</v>
      </c>
      <c r="I3" s="10">
        <v>433530491804</v>
      </c>
      <c r="J3" s="10">
        <v>433534933647</v>
      </c>
      <c r="K3" s="8">
        <v>2800000000</v>
      </c>
      <c r="L3" s="10">
        <v>131094399577</v>
      </c>
      <c r="M3" s="10">
        <v>65808695362</v>
      </c>
      <c r="N3" s="9">
        <f>44178083086+68572459</f>
        <v>44246655545</v>
      </c>
      <c r="O3" s="12">
        <v>23201520208</v>
      </c>
      <c r="P3" s="50"/>
      <c r="Q3" s="51">
        <v>64</v>
      </c>
      <c r="R3" s="51">
        <f t="shared" si="1"/>
        <v>1.3836133404633424</v>
      </c>
      <c r="S3" s="58">
        <f t="shared" si="2"/>
        <v>0.34703075562649321</v>
      </c>
      <c r="T3" s="51">
        <f t="shared" si="3"/>
        <v>4.9675096771713577E-2</v>
      </c>
      <c r="U3" s="51">
        <f t="shared" si="4"/>
        <v>5.3517071883511756E-2</v>
      </c>
      <c r="V3" s="51">
        <f t="shared" si="5"/>
        <v>0.17698330579234459</v>
      </c>
      <c r="W3" s="51">
        <f t="shared" si="6"/>
        <v>0</v>
      </c>
      <c r="X3" s="51">
        <f t="shared" si="7"/>
        <v>0</v>
      </c>
      <c r="Y3" s="58">
        <f t="shared" si="8"/>
        <v>7.7236318307371485</v>
      </c>
      <c r="Z3" s="51">
        <f t="shared" si="9"/>
        <v>0.41334615988733958</v>
      </c>
      <c r="AA3" s="52">
        <v>5</v>
      </c>
    </row>
    <row r="4" spans="1:27">
      <c r="A4" s="6">
        <v>2020</v>
      </c>
      <c r="B4" s="6" t="s">
        <v>337</v>
      </c>
      <c r="C4" s="7" t="s">
        <v>338</v>
      </c>
      <c r="D4" s="10">
        <v>395767984973</v>
      </c>
      <c r="E4" s="10">
        <v>39270240610</v>
      </c>
      <c r="F4" s="10">
        <v>909264462663</v>
      </c>
      <c r="G4" s="16">
        <f t="shared" si="0"/>
        <v>308300895925</v>
      </c>
      <c r="H4" s="10">
        <v>154371558000</v>
      </c>
      <c r="I4" s="10">
        <v>462672453925</v>
      </c>
      <c r="J4" s="10">
        <v>446592008738</v>
      </c>
      <c r="K4" s="8">
        <v>2800000000</v>
      </c>
      <c r="L4" s="10">
        <v>73155228143</v>
      </c>
      <c r="M4" s="10">
        <v>37845260341</v>
      </c>
      <c r="N4" s="9">
        <f>39469729585+216954228</f>
        <v>39686683813</v>
      </c>
      <c r="O4" s="12">
        <v>12990816748</v>
      </c>
      <c r="P4" s="50"/>
      <c r="Q4" s="51">
        <v>75</v>
      </c>
      <c r="R4" s="51">
        <f t="shared" si="1"/>
        <v>1.2837068922085715</v>
      </c>
      <c r="S4" s="58">
        <f t="shared" si="2"/>
        <v>0.34566574183947035</v>
      </c>
      <c r="T4" s="51">
        <f t="shared" si="3"/>
        <v>1.4287170874305661E-2</v>
      </c>
      <c r="U4" s="51">
        <f t="shared" si="4"/>
        <v>2.908878012553346E-2</v>
      </c>
      <c r="V4" s="51">
        <f t="shared" si="5"/>
        <v>0.17757878797953078</v>
      </c>
      <c r="W4" s="51">
        <f t="shared" si="6"/>
        <v>0</v>
      </c>
      <c r="X4" s="51">
        <f t="shared" si="7"/>
        <v>0</v>
      </c>
      <c r="Y4" s="58">
        <f t="shared" si="8"/>
        <v>16.165265361958902</v>
      </c>
      <c r="Z4" s="51">
        <f t="shared" si="9"/>
        <v>0.4702278497849246</v>
      </c>
      <c r="AA4" s="52">
        <v>5</v>
      </c>
    </row>
    <row r="5" spans="1:27">
      <c r="A5" s="6">
        <v>2018</v>
      </c>
      <c r="B5" s="6" t="s">
        <v>341</v>
      </c>
      <c r="C5" s="7" t="s">
        <v>342</v>
      </c>
      <c r="D5" s="9">
        <v>20948678473652</v>
      </c>
      <c r="E5" s="10">
        <v>676536086022</v>
      </c>
      <c r="F5" s="10">
        <v>52101492204552</v>
      </c>
      <c r="G5" s="16">
        <f t="shared" si="0"/>
        <v>6231233383026</v>
      </c>
      <c r="H5" s="10">
        <v>15583360871276</v>
      </c>
      <c r="I5" s="10">
        <v>21814594254302</v>
      </c>
      <c r="J5" s="10">
        <v>30286897950250</v>
      </c>
      <c r="K5" s="8">
        <v>40000000000</v>
      </c>
      <c r="L5" s="10">
        <v>6628782185008</v>
      </c>
      <c r="M5" s="10">
        <v>1874274191288</v>
      </c>
      <c r="N5" s="18">
        <f>1301675569437+281982923302</f>
        <v>1583658492739</v>
      </c>
      <c r="O5" s="12">
        <v>1701817694927</v>
      </c>
      <c r="P5" s="50">
        <v>67813057500</v>
      </c>
      <c r="Q5" s="51">
        <v>1255</v>
      </c>
      <c r="R5" s="51">
        <f t="shared" si="1"/>
        <v>3.3618831435068062</v>
      </c>
      <c r="S5" s="58">
        <f t="shared" si="2"/>
        <v>0.51452482511987885</v>
      </c>
      <c r="T5" s="51">
        <f t="shared" si="3"/>
        <v>3.2663511598585569E-2</v>
      </c>
      <c r="U5" s="51">
        <f t="shared" si="4"/>
        <v>5.6189897615874937E-2</v>
      </c>
      <c r="V5" s="51">
        <f t="shared" si="5"/>
        <v>0.2567315756393263</v>
      </c>
      <c r="W5" s="51">
        <f t="shared" si="6"/>
        <v>1.350857719123506E-3</v>
      </c>
      <c r="X5" s="51">
        <f t="shared" si="7"/>
        <v>3.9847427666398108E-2</v>
      </c>
      <c r="Y5" s="58">
        <f t="shared" si="8"/>
        <v>29.497871687221672</v>
      </c>
      <c r="Z5" s="51">
        <f t="shared" si="9"/>
        <v>1.6574823899912019</v>
      </c>
      <c r="AA5" s="52">
        <v>5</v>
      </c>
    </row>
    <row r="6" spans="1:27">
      <c r="A6" s="6">
        <v>2019</v>
      </c>
      <c r="B6" s="6" t="s">
        <v>341</v>
      </c>
      <c r="C6" s="7" t="s">
        <v>342</v>
      </c>
      <c r="D6" s="9">
        <v>24256712740291</v>
      </c>
      <c r="E6" s="10">
        <v>631541383154</v>
      </c>
      <c r="F6" s="10">
        <v>54444849052447</v>
      </c>
      <c r="G6" s="16">
        <f t="shared" si="0"/>
        <v>6159441542866</v>
      </c>
      <c r="H6" s="10">
        <v>14737901627736</v>
      </c>
      <c r="I6" s="10">
        <v>20897343170602</v>
      </c>
      <c r="J6" s="10">
        <v>33547505881845</v>
      </c>
      <c r="K6" s="8">
        <v>40000000000</v>
      </c>
      <c r="L6" s="10">
        <v>7084864038574</v>
      </c>
      <c r="M6" s="10">
        <v>2018798088448</v>
      </c>
      <c r="N6" s="9">
        <f>1324227647413+299760795937</f>
        <v>1623988443350</v>
      </c>
      <c r="O6" s="12">
        <v>3130076103452</v>
      </c>
      <c r="P6" s="50">
        <v>110113140796</v>
      </c>
      <c r="Q6" s="51">
        <v>1255</v>
      </c>
      <c r="R6" s="51">
        <f t="shared" si="1"/>
        <v>3.9381350681679339</v>
      </c>
      <c r="S6" s="58">
        <f t="shared" si="2"/>
        <v>0.43931437644405491</v>
      </c>
      <c r="T6" s="51">
        <f t="shared" si="3"/>
        <v>5.7490766489898461E-2</v>
      </c>
      <c r="U6" s="51">
        <f t="shared" si="4"/>
        <v>9.3302796174362171E-2</v>
      </c>
      <c r="V6" s="51">
        <f t="shared" si="5"/>
        <v>0.4417976246841292</v>
      </c>
      <c r="W6" s="51">
        <f t="shared" si="6"/>
        <v>2.1934888604780876E-3</v>
      </c>
      <c r="X6" s="51">
        <f t="shared" si="7"/>
        <v>3.5179061836407712E-2</v>
      </c>
      <c r="Y6" s="58">
        <f t="shared" si="8"/>
        <v>16.037948708223738</v>
      </c>
      <c r="Z6" s="51">
        <f t="shared" si="9"/>
        <v>1.4963854593782746</v>
      </c>
      <c r="AA6" s="52">
        <v>5</v>
      </c>
    </row>
    <row r="7" spans="1:27">
      <c r="A7" s="6">
        <v>2020</v>
      </c>
      <c r="B7" s="6" t="s">
        <v>341</v>
      </c>
      <c r="C7" s="7" t="s">
        <v>342</v>
      </c>
      <c r="D7" s="9">
        <v>28364288311886</v>
      </c>
      <c r="E7" s="10">
        <v>584619322260</v>
      </c>
      <c r="F7" s="10">
        <v>60862926586750</v>
      </c>
      <c r="G7" s="16">
        <f t="shared" si="0"/>
        <v>11965625224530</v>
      </c>
      <c r="H7" s="10">
        <v>14426198886396</v>
      </c>
      <c r="I7" s="10">
        <v>26391824110926</v>
      </c>
      <c r="J7" s="10">
        <v>34471102475824</v>
      </c>
      <c r="K7" s="8">
        <v>40000000000</v>
      </c>
      <c r="L7" s="10">
        <v>6180589086059</v>
      </c>
      <c r="M7" s="10">
        <v>1928745848318</v>
      </c>
      <c r="N7" s="9">
        <f>1235289881113+221931907917</f>
        <v>1457221789030</v>
      </c>
      <c r="O7" s="12">
        <v>486257814158</v>
      </c>
      <c r="P7" s="50">
        <v>186238102446</v>
      </c>
      <c r="Q7" s="51">
        <v>1225</v>
      </c>
      <c r="R7" s="51">
        <f t="shared" si="1"/>
        <v>2.3704810889228001</v>
      </c>
      <c r="S7" s="58">
        <f t="shared" si="2"/>
        <v>0.41850123292440922</v>
      </c>
      <c r="T7" s="51">
        <f t="shared" si="3"/>
        <v>7.9893925814579457E-3</v>
      </c>
      <c r="U7" s="51">
        <f t="shared" si="4"/>
        <v>1.4106244919176362E-2</v>
      </c>
      <c r="V7" s="51">
        <f t="shared" si="5"/>
        <v>7.8674994792132052E-2</v>
      </c>
      <c r="W7" s="51">
        <f t="shared" si="6"/>
        <v>3.8007776009387757E-3</v>
      </c>
      <c r="X7" s="51">
        <f t="shared" si="7"/>
        <v>0.38300279609591131</v>
      </c>
      <c r="Y7" s="58">
        <f t="shared" si="8"/>
        <v>100.76958883395632</v>
      </c>
      <c r="Z7" s="51">
        <f t="shared" si="9"/>
        <v>1.4214805004964872</v>
      </c>
      <c r="AA7" s="52">
        <v>5</v>
      </c>
    </row>
    <row r="8" spans="1:27">
      <c r="A8" s="6">
        <v>2018</v>
      </c>
      <c r="B8" s="6" t="s">
        <v>343</v>
      </c>
      <c r="C8" s="7" t="s">
        <v>344</v>
      </c>
      <c r="D8" s="9">
        <v>16151959000000</v>
      </c>
      <c r="E8" s="10">
        <v>3113950000000</v>
      </c>
      <c r="F8" s="10">
        <v>34289017000000</v>
      </c>
      <c r="G8" s="16">
        <f t="shared" si="0"/>
        <v>7994843000000</v>
      </c>
      <c r="H8" s="10">
        <v>9649898000000</v>
      </c>
      <c r="I8" s="10">
        <v>17644741000000</v>
      </c>
      <c r="J8" s="10">
        <v>16644276000000</v>
      </c>
      <c r="K8" s="8">
        <v>36000000000</v>
      </c>
      <c r="L8" s="10">
        <v>7670405000000</v>
      </c>
      <c r="M8" s="10">
        <v>4042138000000</v>
      </c>
      <c r="N8" s="9">
        <f>1210546000000+372585000000+270853000000</f>
        <v>1853984000000</v>
      </c>
      <c r="O8" s="12">
        <v>1302702000000</v>
      </c>
      <c r="P8" s="50">
        <v>196839000000</v>
      </c>
      <c r="Q8" s="51">
        <v>1010</v>
      </c>
      <c r="R8" s="51">
        <f t="shared" si="1"/>
        <v>2.0202972090884086</v>
      </c>
      <c r="S8" s="58">
        <f t="shared" si="2"/>
        <v>0.57977276993003479</v>
      </c>
      <c r="T8" s="51">
        <f t="shared" si="3"/>
        <v>3.7991815280093912E-2</v>
      </c>
      <c r="U8" s="51">
        <f t="shared" si="4"/>
        <v>7.8267267377685884E-2</v>
      </c>
      <c r="V8" s="51">
        <f t="shared" si="5"/>
        <v>0.16983483922948006</v>
      </c>
      <c r="W8" s="51">
        <f t="shared" si="6"/>
        <v>5.413613861386138E-3</v>
      </c>
      <c r="X8" s="51">
        <f t="shared" si="7"/>
        <v>0.15110055868494868</v>
      </c>
      <c r="Y8" s="58">
        <f t="shared" si="8"/>
        <v>27.911218375346014</v>
      </c>
      <c r="Z8" s="51">
        <f t="shared" si="9"/>
        <v>2.1845347914201856</v>
      </c>
      <c r="AA8" s="52">
        <v>5</v>
      </c>
    </row>
    <row r="9" spans="1:27">
      <c r="A9" s="6">
        <v>2019</v>
      </c>
      <c r="B9" s="6" t="s">
        <v>343</v>
      </c>
      <c r="C9" s="7" t="s">
        <v>344</v>
      </c>
      <c r="D9" s="9">
        <v>18195176000000</v>
      </c>
      <c r="E9" s="10">
        <v>3089106000000</v>
      </c>
      <c r="F9" s="10">
        <v>36196024000000</v>
      </c>
      <c r="G9" s="16">
        <f t="shared" si="0"/>
        <v>8368689000000</v>
      </c>
      <c r="H9" s="10">
        <v>10065767000000</v>
      </c>
      <c r="I9" s="10">
        <v>18434456000000</v>
      </c>
      <c r="J9" s="10">
        <v>17761568000000</v>
      </c>
      <c r="K9" s="8">
        <v>36000000000</v>
      </c>
      <c r="L9" s="10">
        <v>7608237000000</v>
      </c>
      <c r="M9" s="10">
        <v>3816495000000</v>
      </c>
      <c r="N9" s="9">
        <f>1252875000000+383428000000+372687000000</f>
        <v>2008990000000</v>
      </c>
      <c r="O9" s="12">
        <v>1283281000000</v>
      </c>
      <c r="P9" s="50">
        <v>209264000000</v>
      </c>
      <c r="Q9" s="51">
        <v>1040</v>
      </c>
      <c r="R9" s="51">
        <f t="shared" si="1"/>
        <v>2.1741966991484567</v>
      </c>
      <c r="S9" s="58">
        <f t="shared" si="2"/>
        <v>0.56671612551324302</v>
      </c>
      <c r="T9" s="51">
        <f t="shared" si="3"/>
        <v>3.54536454059153E-2</v>
      </c>
      <c r="U9" s="51">
        <f t="shared" si="4"/>
        <v>7.2250434195899826E-2</v>
      </c>
      <c r="V9" s="51">
        <f t="shared" si="5"/>
        <v>0.16866995599637602</v>
      </c>
      <c r="W9" s="51">
        <f t="shared" si="6"/>
        <v>5.5893162393162391E-3</v>
      </c>
      <c r="X9" s="51">
        <f t="shared" si="7"/>
        <v>0.16306950699028505</v>
      </c>
      <c r="Y9" s="58">
        <f t="shared" si="8"/>
        <v>29.175215716588966</v>
      </c>
      <c r="Z9" s="51">
        <f t="shared" si="9"/>
        <v>2.1079220032825932</v>
      </c>
      <c r="AA9" s="52">
        <v>5</v>
      </c>
    </row>
    <row r="10" spans="1:27">
      <c r="A10" s="6">
        <v>2020</v>
      </c>
      <c r="B10" s="6" t="s">
        <v>343</v>
      </c>
      <c r="C10" s="7" t="s">
        <v>344</v>
      </c>
      <c r="D10" s="9">
        <v>20645596000000</v>
      </c>
      <c r="E10" s="10">
        <v>2594980000000</v>
      </c>
      <c r="F10" s="10">
        <v>39255187000000</v>
      </c>
      <c r="G10" s="16">
        <f t="shared" si="0"/>
        <v>11609414000000</v>
      </c>
      <c r="H10" s="10">
        <v>10188245000000</v>
      </c>
      <c r="I10" s="10">
        <v>21797659000000</v>
      </c>
      <c r="J10" s="10">
        <v>17457528000000</v>
      </c>
      <c r="K10" s="8">
        <v>36000000000</v>
      </c>
      <c r="L10" s="10">
        <v>8070737000000</v>
      </c>
      <c r="M10" s="10">
        <v>3949402000000</v>
      </c>
      <c r="N10" s="9">
        <f>1166156000000+356561000000+399197000000</f>
        <v>1921914000000</v>
      </c>
      <c r="O10" s="12">
        <v>1370686000000</v>
      </c>
      <c r="P10" s="50">
        <v>175309000000</v>
      </c>
      <c r="Q10" s="51">
        <v>985</v>
      </c>
      <c r="R10" s="51">
        <f t="shared" si="1"/>
        <v>1.7783495359886381</v>
      </c>
      <c r="S10" s="58">
        <f t="shared" si="2"/>
        <v>0.58360181349845175</v>
      </c>
      <c r="T10" s="51">
        <f t="shared" si="3"/>
        <v>3.4917321881564337E-2</v>
      </c>
      <c r="U10" s="51">
        <f t="shared" si="4"/>
        <v>7.8515469085886622E-2</v>
      </c>
      <c r="V10" s="51">
        <f t="shared" si="5"/>
        <v>0.16983405604717389</v>
      </c>
      <c r="W10" s="51">
        <f t="shared" si="6"/>
        <v>4.9438522278623803E-3</v>
      </c>
      <c r="X10" s="51">
        <f t="shared" si="7"/>
        <v>0.12789873100038959</v>
      </c>
      <c r="Y10" s="58">
        <f t="shared" si="8"/>
        <v>25.870257666599063</v>
      </c>
      <c r="Z10" s="51">
        <f t="shared" si="9"/>
        <v>2.0312154160657796</v>
      </c>
      <c r="AA10" s="52">
        <v>5</v>
      </c>
    </row>
    <row r="11" spans="1:27">
      <c r="A11" s="6">
        <v>2018</v>
      </c>
      <c r="B11" s="6" t="s">
        <v>345</v>
      </c>
      <c r="C11" s="7" t="s">
        <v>346</v>
      </c>
      <c r="D11" s="9">
        <v>383811502955</v>
      </c>
      <c r="E11" s="10">
        <v>237016895</v>
      </c>
      <c r="F11" s="10">
        <v>940955391343</v>
      </c>
      <c r="G11" s="16">
        <f t="shared" si="0"/>
        <v>118630021417</v>
      </c>
      <c r="H11" s="10">
        <v>146832593365</v>
      </c>
      <c r="I11" s="10">
        <v>265462614782</v>
      </c>
      <c r="J11" s="10">
        <v>675492776561</v>
      </c>
      <c r="K11" s="8">
        <v>4400000000</v>
      </c>
      <c r="L11" s="10">
        <v>43232413637</v>
      </c>
      <c r="M11" s="10">
        <v>13481206866</v>
      </c>
      <c r="N11" s="9">
        <f>889425479+10842011194+11832706755+70064</f>
        <v>23564213492</v>
      </c>
      <c r="O11" s="12">
        <v>5908257104</v>
      </c>
      <c r="P11" s="50">
        <v>14575000000</v>
      </c>
      <c r="Q11" s="51">
        <v>700</v>
      </c>
      <c r="R11" s="51">
        <f t="shared" si="1"/>
        <v>3.2353657056661271</v>
      </c>
      <c r="S11" s="58">
        <f t="shared" si="2"/>
        <v>0.21737107850736634</v>
      </c>
      <c r="T11" s="51">
        <f t="shared" si="3"/>
        <v>6.2789980889182279E-3</v>
      </c>
      <c r="U11" s="51">
        <f t="shared" si="4"/>
        <v>8.7465881338946606E-3</v>
      </c>
      <c r="V11" s="51">
        <f t="shared" si="5"/>
        <v>0.13666267059731038</v>
      </c>
      <c r="W11" s="51">
        <f t="shared" si="6"/>
        <v>4.7321428571428575E-3</v>
      </c>
      <c r="X11" s="51">
        <f t="shared" si="7"/>
        <v>2.4668865527420012</v>
      </c>
      <c r="Y11" s="58">
        <f t="shared" si="8"/>
        <v>521.30432812661161</v>
      </c>
      <c r="Z11" s="51">
        <f t="shared" si="9"/>
        <v>4.5596342505401495</v>
      </c>
      <c r="AA11" s="52">
        <v>5</v>
      </c>
    </row>
    <row r="12" spans="1:27">
      <c r="A12" s="6">
        <v>2019</v>
      </c>
      <c r="B12" s="6" t="s">
        <v>345</v>
      </c>
      <c r="C12" s="7" t="s">
        <v>346</v>
      </c>
      <c r="D12" s="9">
        <v>274783000000</v>
      </c>
      <c r="E12" s="10">
        <v>152607850</v>
      </c>
      <c r="F12" s="10">
        <v>891866986266</v>
      </c>
      <c r="G12" s="16">
        <f t="shared" si="0"/>
        <v>94605074884</v>
      </c>
      <c r="H12" s="10">
        <v>169794632882</v>
      </c>
      <c r="I12" s="10">
        <v>264399707766</v>
      </c>
      <c r="J12" s="10">
        <v>627467278500</v>
      </c>
      <c r="K12" s="8">
        <v>4400000000</v>
      </c>
      <c r="L12" s="10">
        <v>84249947508</v>
      </c>
      <c r="M12" s="10">
        <v>47767171754</v>
      </c>
      <c r="N12" s="9">
        <f>504942972+13453467801+18533617026+68378</f>
        <v>32492096177</v>
      </c>
      <c r="O12" s="12">
        <v>2718797575</v>
      </c>
      <c r="P12" s="50"/>
      <c r="Q12" s="51">
        <v>470</v>
      </c>
      <c r="R12" s="51">
        <f t="shared" si="1"/>
        <v>2.9045270598530273</v>
      </c>
      <c r="S12" s="58">
        <f t="shared" si="2"/>
        <v>0.27060316720882205</v>
      </c>
      <c r="T12" s="51">
        <f t="shared" si="3"/>
        <v>3.0484339221735881E-3</v>
      </c>
      <c r="U12" s="51">
        <f t="shared" si="4"/>
        <v>4.3329710857583784E-3</v>
      </c>
      <c r="V12" s="51">
        <f t="shared" si="5"/>
        <v>3.2270614468238513E-2</v>
      </c>
      <c r="W12" s="51">
        <f t="shared" si="6"/>
        <v>0</v>
      </c>
      <c r="X12" s="51">
        <f t="shared" si="7"/>
        <v>0</v>
      </c>
      <c r="Y12" s="58">
        <f t="shared" si="8"/>
        <v>760.63036800376722</v>
      </c>
      <c r="Z12" s="51">
        <f t="shared" si="9"/>
        <v>3.2957893915100782</v>
      </c>
      <c r="AA12" s="52">
        <v>5</v>
      </c>
    </row>
    <row r="13" spans="1:27">
      <c r="A13" s="6">
        <v>2020</v>
      </c>
      <c r="B13" s="6" t="s">
        <v>345</v>
      </c>
      <c r="C13" s="7" t="s">
        <v>346</v>
      </c>
      <c r="D13" s="9">
        <v>267197000000</v>
      </c>
      <c r="E13" s="10">
        <v>342796806</v>
      </c>
      <c r="F13" s="10">
        <v>870707453070</v>
      </c>
      <c r="G13" s="16">
        <f t="shared" si="0"/>
        <v>81634525401</v>
      </c>
      <c r="H13" s="10">
        <v>163890124493</v>
      </c>
      <c r="I13" s="10">
        <v>245524649894</v>
      </c>
      <c r="J13" s="10">
        <v>625182803176</v>
      </c>
      <c r="K13" s="8">
        <v>4400000000</v>
      </c>
      <c r="L13" s="10">
        <v>51320798915</v>
      </c>
      <c r="M13" s="10">
        <v>20047726784</v>
      </c>
      <c r="N13" s="10">
        <f>794479266+16888104274+16785208334+16635</f>
        <v>34467808509</v>
      </c>
      <c r="O13" s="12">
        <v>-1481751003</v>
      </c>
      <c r="P13" s="50"/>
      <c r="Q13" s="51">
        <v>670</v>
      </c>
      <c r="R13" s="51">
        <f t="shared" si="1"/>
        <v>3.2730881779184928</v>
      </c>
      <c r="S13" s="58">
        <f t="shared" si="2"/>
        <v>0.26214752494857418</v>
      </c>
      <c r="T13" s="51">
        <f t="shared" si="3"/>
        <v>-1.7017782468446098E-3</v>
      </c>
      <c r="U13" s="51">
        <f t="shared" si="4"/>
        <v>-2.3701083834560639E-3</v>
      </c>
      <c r="V13" s="51">
        <f t="shared" si="5"/>
        <v>-2.887232923739453E-2</v>
      </c>
      <c r="W13" s="51">
        <f t="shared" si="6"/>
        <v>0</v>
      </c>
      <c r="X13" s="51">
        <f t="shared" si="7"/>
        <v>0</v>
      </c>
      <c r="Y13" s="58">
        <f t="shared" si="8"/>
        <v>-1989.5380492615736</v>
      </c>
      <c r="Z13" s="51">
        <f t="shared" si="9"/>
        <v>4.7154208097596788</v>
      </c>
      <c r="AA13" s="52">
        <v>5</v>
      </c>
    </row>
    <row r="14" spans="1:27">
      <c r="A14" s="6">
        <v>2018</v>
      </c>
      <c r="B14" s="6" t="s">
        <v>347</v>
      </c>
      <c r="C14" s="7" t="s">
        <v>348</v>
      </c>
      <c r="D14" s="9">
        <v>2510268566000</v>
      </c>
      <c r="E14" s="10">
        <v>747019235000</v>
      </c>
      <c r="F14" s="10">
        <v>4804256788000</v>
      </c>
      <c r="G14" s="16">
        <f t="shared" si="0"/>
        <v>1933630733000</v>
      </c>
      <c r="H14" s="10">
        <v>288129800000</v>
      </c>
      <c r="I14" s="10">
        <v>2221760533000</v>
      </c>
      <c r="J14" s="10">
        <v>2582496255000</v>
      </c>
      <c r="K14" s="8">
        <v>30000000000</v>
      </c>
      <c r="L14" s="10">
        <v>5157266424000</v>
      </c>
      <c r="M14" s="10">
        <v>4292248458000</v>
      </c>
      <c r="N14" s="10">
        <f>153567236000+382695600000+9373408000</f>
        <v>545636244000</v>
      </c>
      <c r="O14" s="12">
        <v>268229012000</v>
      </c>
      <c r="P14" s="50"/>
      <c r="Q14" s="51">
        <v>364</v>
      </c>
      <c r="R14" s="51">
        <f t="shared" si="1"/>
        <v>1.2982150744497916</v>
      </c>
      <c r="S14" s="58">
        <f t="shared" si="2"/>
        <v>0.11157026827905313</v>
      </c>
      <c r="T14" s="51">
        <f t="shared" si="3"/>
        <v>5.5831531043465117E-2</v>
      </c>
      <c r="U14" s="51">
        <f t="shared" si="4"/>
        <v>0.10386424045366137</v>
      </c>
      <c r="V14" s="51">
        <f t="shared" si="5"/>
        <v>5.2009919586810935E-2</v>
      </c>
      <c r="W14" s="51">
        <f t="shared" si="6"/>
        <v>0</v>
      </c>
      <c r="X14" s="51">
        <f t="shared" si="7"/>
        <v>0</v>
      </c>
      <c r="Y14" s="58">
        <f t="shared" si="8"/>
        <v>40.71147978578842</v>
      </c>
      <c r="Z14" s="51">
        <f t="shared" si="9"/>
        <v>4.2284669256955034</v>
      </c>
      <c r="AA14" s="52">
        <v>5</v>
      </c>
    </row>
    <row r="15" spans="1:27">
      <c r="A15" s="6">
        <v>2019</v>
      </c>
      <c r="B15" s="6" t="s">
        <v>347</v>
      </c>
      <c r="C15" s="7" t="s">
        <v>348</v>
      </c>
      <c r="D15" s="9">
        <v>2678070135000</v>
      </c>
      <c r="E15" s="10">
        <v>668140593000</v>
      </c>
      <c r="F15" s="10">
        <v>4928108872000</v>
      </c>
      <c r="G15" s="16">
        <f t="shared" si="0"/>
        <v>1972160394000</v>
      </c>
      <c r="H15" s="10">
        <v>258181518000</v>
      </c>
      <c r="I15" s="10">
        <v>2230341912000</v>
      </c>
      <c r="J15" s="10">
        <v>2697766960000</v>
      </c>
      <c r="K15" s="8">
        <v>30000000000</v>
      </c>
      <c r="L15" s="10">
        <v>5470824200000</v>
      </c>
      <c r="M15" s="10">
        <v>4651089971000</v>
      </c>
      <c r="N15" s="10">
        <f>128597983000+392437420000+14195990000</f>
        <v>535231393000</v>
      </c>
      <c r="O15" s="12">
        <v>202283267000</v>
      </c>
      <c r="P15" s="50">
        <v>4860871000</v>
      </c>
      <c r="Q15" s="51">
        <v>500</v>
      </c>
      <c r="R15" s="51">
        <f t="shared" si="1"/>
        <v>1.3579372870216966</v>
      </c>
      <c r="S15" s="58">
        <f t="shared" si="2"/>
        <v>9.5701934906935029E-2</v>
      </c>
      <c r="T15" s="51">
        <f t="shared" si="3"/>
        <v>4.1046834039992777E-2</v>
      </c>
      <c r="U15" s="51">
        <f t="shared" si="4"/>
        <v>7.4981742307348886E-2</v>
      </c>
      <c r="V15" s="51">
        <f t="shared" si="5"/>
        <v>3.6974916320652383E-2</v>
      </c>
      <c r="W15" s="51">
        <f t="shared" si="6"/>
        <v>3.2405806666666666E-4</v>
      </c>
      <c r="X15" s="51">
        <f t="shared" si="7"/>
        <v>2.4030020238895982E-2</v>
      </c>
      <c r="Y15" s="58">
        <f t="shared" si="8"/>
        <v>74.153439493341779</v>
      </c>
      <c r="Z15" s="51">
        <f t="shared" si="9"/>
        <v>5.5601540912933407</v>
      </c>
      <c r="AA15" s="52">
        <v>5</v>
      </c>
    </row>
    <row r="16" spans="1:27">
      <c r="A16" s="6">
        <v>2020</v>
      </c>
      <c r="B16" s="6" t="s">
        <v>347</v>
      </c>
      <c r="C16" s="7" t="s">
        <v>348</v>
      </c>
      <c r="D16" s="9">
        <v>2748869993000</v>
      </c>
      <c r="E16" s="10">
        <v>563657747000</v>
      </c>
      <c r="F16" s="10">
        <v>4565315258000</v>
      </c>
      <c r="G16" s="16">
        <f t="shared" si="0"/>
        <v>1628187787000</v>
      </c>
      <c r="H16" s="10">
        <v>254060046000</v>
      </c>
      <c r="I16" s="10">
        <v>1882247833000</v>
      </c>
      <c r="J16" s="10">
        <v>2683067425000</v>
      </c>
      <c r="K16" s="8">
        <v>30000000000</v>
      </c>
      <c r="L16" s="10">
        <v>3013778917000</v>
      </c>
      <c r="M16" s="10">
        <v>2520797620000</v>
      </c>
      <c r="N16" s="10">
        <f>86064392000+304157422000+18381721000</f>
        <v>408603535000</v>
      </c>
      <c r="O16" s="12">
        <v>51834425000</v>
      </c>
      <c r="P16" s="50"/>
      <c r="Q16" s="51">
        <v>400</v>
      </c>
      <c r="R16" s="51">
        <f t="shared" si="1"/>
        <v>1.6883003391549207</v>
      </c>
      <c r="S16" s="58">
        <f t="shared" si="2"/>
        <v>9.4690145925050692E-2</v>
      </c>
      <c r="T16" s="51">
        <f t="shared" si="3"/>
        <v>1.1353963980728009E-2</v>
      </c>
      <c r="U16" s="51">
        <f t="shared" si="4"/>
        <v>1.9319091468601463E-2</v>
      </c>
      <c r="V16" s="51">
        <f t="shared" si="5"/>
        <v>1.7199146462806049E-2</v>
      </c>
      <c r="W16" s="51">
        <f t="shared" si="6"/>
        <v>0</v>
      </c>
      <c r="X16" s="51">
        <f t="shared" si="7"/>
        <v>0</v>
      </c>
      <c r="Y16" s="58">
        <f t="shared" si="8"/>
        <v>231.50637824187305</v>
      </c>
      <c r="Z16" s="51">
        <f t="shared" si="9"/>
        <v>4.4724928968193929</v>
      </c>
      <c r="AA16" s="52">
        <v>5</v>
      </c>
    </row>
    <row r="17" spans="1:27">
      <c r="A17" s="6">
        <v>2018</v>
      </c>
      <c r="B17" s="6" t="s">
        <v>350</v>
      </c>
      <c r="C17" s="7" t="s">
        <v>351</v>
      </c>
      <c r="D17" s="10">
        <v>33046506000000</v>
      </c>
      <c r="E17" s="10">
        <v>5397911000000</v>
      </c>
      <c r="F17" s="10">
        <v>49083460000000</v>
      </c>
      <c r="G17" s="16">
        <f t="shared" si="0"/>
        <v>8204921000000</v>
      </c>
      <c r="H17" s="9">
        <v>16131471000000</v>
      </c>
      <c r="I17" s="10">
        <v>24336392000000</v>
      </c>
      <c r="J17" s="10">
        <v>24747068000000</v>
      </c>
      <c r="K17" s="8">
        <v>64000000000</v>
      </c>
      <c r="L17" s="10">
        <v>11452799000000</v>
      </c>
      <c r="M17" s="10">
        <v>177780000000</v>
      </c>
      <c r="N17" s="10">
        <f>3587467000000+1907422000000</f>
        <v>5494889000000</v>
      </c>
      <c r="O17" s="12">
        <v>1662685000000</v>
      </c>
      <c r="P17" s="50">
        <v>76754000000</v>
      </c>
      <c r="Q17" s="51">
        <v>254</v>
      </c>
      <c r="R17" s="51">
        <f t="shared" si="1"/>
        <v>4.027644629363281</v>
      </c>
      <c r="S17" s="58">
        <f t="shared" si="2"/>
        <v>0.65185382769385047</v>
      </c>
      <c r="T17" s="51">
        <f t="shared" si="3"/>
        <v>3.3874649423655138E-2</v>
      </c>
      <c r="U17" s="51">
        <f t="shared" si="4"/>
        <v>6.7187151221308319E-2</v>
      </c>
      <c r="V17" s="51">
        <f t="shared" si="5"/>
        <v>0.14517717459286589</v>
      </c>
      <c r="W17" s="51">
        <f t="shared" si="6"/>
        <v>4.7215797244094491E-3</v>
      </c>
      <c r="X17" s="51">
        <f t="shared" si="7"/>
        <v>4.6162682648848097E-2</v>
      </c>
      <c r="Y17" s="58">
        <f t="shared" si="8"/>
        <v>9.7769571506328621</v>
      </c>
      <c r="Z17" s="51">
        <f t="shared" si="9"/>
        <v>0.65688589856382185</v>
      </c>
      <c r="AA17" s="52">
        <v>5</v>
      </c>
    </row>
    <row r="18" spans="1:27">
      <c r="A18" s="6">
        <v>2019</v>
      </c>
      <c r="B18" s="6" t="s">
        <v>350</v>
      </c>
      <c r="C18" s="7" t="s">
        <v>351</v>
      </c>
      <c r="D18" s="10">
        <v>37197250000000</v>
      </c>
      <c r="E18" s="10">
        <v>5369030000000</v>
      </c>
      <c r="F18" s="10">
        <v>55079585000000</v>
      </c>
      <c r="G18" s="16">
        <f t="shared" si="0"/>
        <v>6881251000000</v>
      </c>
      <c r="H18" s="10">
        <v>13821995000000</v>
      </c>
      <c r="I18" s="10">
        <v>20703246000000</v>
      </c>
      <c r="J18" s="10">
        <v>34376339000000</v>
      </c>
      <c r="K18" s="31">
        <v>92000000000</v>
      </c>
      <c r="L18" s="10">
        <v>12320248000000</v>
      </c>
      <c r="M18" s="10">
        <v>143075000000</v>
      </c>
      <c r="N18" s="10">
        <f>4003429000000+2075322000000</f>
        <v>6078751000000</v>
      </c>
      <c r="O18" s="12">
        <v>2061418000000</v>
      </c>
      <c r="P18" s="50">
        <v>3437000000</v>
      </c>
      <c r="Q18" s="51">
        <v>242</v>
      </c>
      <c r="R18" s="51">
        <f t="shared" si="1"/>
        <v>5.4055941281607076</v>
      </c>
      <c r="S18" s="58">
        <f t="shared" si="2"/>
        <v>0.402078737936579</v>
      </c>
      <c r="T18" s="51">
        <f t="shared" si="3"/>
        <v>3.7426171602418574E-2</v>
      </c>
      <c r="U18" s="51">
        <f t="shared" si="4"/>
        <v>5.9966187789805073E-2</v>
      </c>
      <c r="V18" s="51">
        <f t="shared" si="5"/>
        <v>0.16731952149015183</v>
      </c>
      <c r="W18" s="51">
        <f t="shared" si="6"/>
        <v>1.5437477542220627E-4</v>
      </c>
      <c r="X18" s="51">
        <f t="shared" si="7"/>
        <v>1.6672989175412264E-3</v>
      </c>
      <c r="Y18" s="58">
        <f t="shared" si="8"/>
        <v>10.800332586598158</v>
      </c>
      <c r="Z18" s="51">
        <f t="shared" si="9"/>
        <v>0.64765477208029631</v>
      </c>
      <c r="AA18" s="52">
        <v>5</v>
      </c>
    </row>
    <row r="19" spans="1:27">
      <c r="A19" s="6">
        <v>2020</v>
      </c>
      <c r="B19" s="6" t="s">
        <v>350</v>
      </c>
      <c r="C19" s="7" t="s">
        <v>351</v>
      </c>
      <c r="D19" s="10">
        <v>33078230000000</v>
      </c>
      <c r="E19" s="10">
        <v>8787101000000</v>
      </c>
      <c r="F19" s="10">
        <v>51865480000000</v>
      </c>
      <c r="G19" s="16">
        <f t="shared" si="0"/>
        <v>10573858000000</v>
      </c>
      <c r="H19" s="10">
        <v>17717967000000</v>
      </c>
      <c r="I19" s="10">
        <v>28291825000000</v>
      </c>
      <c r="J19" s="10">
        <v>23573655000000</v>
      </c>
      <c r="K19" s="31">
        <v>92000000000</v>
      </c>
      <c r="L19" s="10">
        <v>11966299000000</v>
      </c>
      <c r="M19" s="10">
        <v>155344000000</v>
      </c>
      <c r="N19" s="10">
        <f>4069362000000+5612472000000</f>
        <v>9681834000000</v>
      </c>
      <c r="O19" s="12">
        <v>9637220000000</v>
      </c>
      <c r="P19" s="50"/>
      <c r="Q19" s="51">
        <v>214</v>
      </c>
      <c r="R19" s="51">
        <f t="shared" si="1"/>
        <v>3.1283028389448773</v>
      </c>
      <c r="S19" s="58">
        <f t="shared" si="2"/>
        <v>0.75160033520470204</v>
      </c>
      <c r="T19" s="51">
        <f t="shared" si="3"/>
        <v>0.18581183476948443</v>
      </c>
      <c r="U19" s="51">
        <f t="shared" si="4"/>
        <v>0.40881314331612983</v>
      </c>
      <c r="V19" s="51">
        <f t="shared" si="5"/>
        <v>0.80536346283842652</v>
      </c>
      <c r="W19" s="51">
        <f t="shared" si="6"/>
        <v>0</v>
      </c>
      <c r="X19" s="51">
        <f t="shared" si="7"/>
        <v>0</v>
      </c>
      <c r="Y19" s="58">
        <f t="shared" si="8"/>
        <v>2.0429127902029838</v>
      </c>
      <c r="Z19" s="51">
        <f t="shared" si="9"/>
        <v>0.83516959928360712</v>
      </c>
      <c r="AA19" s="52">
        <v>5</v>
      </c>
    </row>
    <row r="20" spans="1:27">
      <c r="A20" s="6">
        <v>2018</v>
      </c>
      <c r="B20" s="6" t="s">
        <v>352</v>
      </c>
      <c r="C20" s="7" t="s">
        <v>353</v>
      </c>
      <c r="D20" s="9">
        <v>10413442231664</v>
      </c>
      <c r="E20" s="10">
        <v>2169718612941</v>
      </c>
      <c r="F20" s="10">
        <v>15622688330680</v>
      </c>
      <c r="G20" s="16">
        <f t="shared" si="0"/>
        <v>6322667387430</v>
      </c>
      <c r="H20" s="10">
        <v>4971773985836</v>
      </c>
      <c r="I20" s="10">
        <v>11294441373266</v>
      </c>
      <c r="J20" s="10">
        <v>4328246957414</v>
      </c>
      <c r="K20" s="8">
        <v>146112960000</v>
      </c>
      <c r="L20" s="10">
        <v>2556174514577</v>
      </c>
      <c r="M20" s="10">
        <v>1965554651097</v>
      </c>
      <c r="N20" s="9">
        <v>75999819082</v>
      </c>
      <c r="O20" s="12">
        <v>496783496821</v>
      </c>
      <c r="P20" s="50">
        <v>88935991076</v>
      </c>
      <c r="Q20" s="51">
        <v>117</v>
      </c>
      <c r="R20" s="51">
        <f t="shared" si="1"/>
        <v>1.6470014304985912</v>
      </c>
      <c r="S20" s="58">
        <f t="shared" si="2"/>
        <v>1.1486807556855509</v>
      </c>
      <c r="T20" s="51">
        <f t="shared" si="3"/>
        <v>3.1798848335558953E-2</v>
      </c>
      <c r="U20" s="51">
        <f t="shared" si="4"/>
        <v>0.11477706833942153</v>
      </c>
      <c r="V20" s="51">
        <f t="shared" si="5"/>
        <v>0.19434647125539023</v>
      </c>
      <c r="W20" s="51">
        <f t="shared" si="6"/>
        <v>5.2023905056967417E-3</v>
      </c>
      <c r="X20" s="51">
        <f t="shared" si="7"/>
        <v>0.17902364238167362</v>
      </c>
      <c r="Y20" s="58">
        <f t="shared" si="8"/>
        <v>34.411803993882899</v>
      </c>
      <c r="Z20" s="51">
        <f t="shared" si="9"/>
        <v>3.9496859786886764</v>
      </c>
      <c r="AA20" s="52">
        <v>5</v>
      </c>
    </row>
    <row r="21" spans="1:27">
      <c r="A21" s="6">
        <v>2019</v>
      </c>
      <c r="B21" s="6" t="s">
        <v>352</v>
      </c>
      <c r="C21" s="7" t="s">
        <v>353</v>
      </c>
      <c r="D21" s="9">
        <v>11126748490830</v>
      </c>
      <c r="E21" s="10">
        <v>2481947878357</v>
      </c>
      <c r="F21" s="10">
        <v>18006178568569</v>
      </c>
      <c r="G21" s="16">
        <f t="shared" si="0"/>
        <v>7172872963250</v>
      </c>
      <c r="H21" s="10">
        <v>6312184791062</v>
      </c>
      <c r="I21" s="10">
        <v>13485057754312</v>
      </c>
      <c r="J21" s="10">
        <v>4521120814257</v>
      </c>
      <c r="K21" s="8">
        <v>146112960000</v>
      </c>
      <c r="L21" s="10">
        <v>1624169492823</v>
      </c>
      <c r="M21" s="10">
        <v>1183101342252</v>
      </c>
      <c r="N21" s="9">
        <v>76423480075</v>
      </c>
      <c r="O21" s="12">
        <v>360895336040</v>
      </c>
      <c r="P21" s="50">
        <v>94251521660</v>
      </c>
      <c r="Q21" s="51">
        <v>68</v>
      </c>
      <c r="R21" s="51">
        <f t="shared" si="1"/>
        <v>1.5512262029228125</v>
      </c>
      <c r="S21" s="58">
        <f t="shared" si="2"/>
        <v>1.396154858582195</v>
      </c>
      <c r="T21" s="51">
        <f t="shared" si="3"/>
        <v>2.0042861102686563E-2</v>
      </c>
      <c r="U21" s="51">
        <f t="shared" si="4"/>
        <v>7.9824307039516582E-2</v>
      </c>
      <c r="V21" s="51">
        <f t="shared" si="5"/>
        <v>0.22220300137070112</v>
      </c>
      <c r="W21" s="51">
        <f t="shared" si="6"/>
        <v>9.4861659712981456E-3</v>
      </c>
      <c r="X21" s="51">
        <f t="shared" si="7"/>
        <v>0.2611602651732623</v>
      </c>
      <c r="Y21" s="58">
        <f t="shared" si="8"/>
        <v>27.530644726588474</v>
      </c>
      <c r="Z21" s="51">
        <f t="shared" si="9"/>
        <v>2.1976146376510464</v>
      </c>
      <c r="AA21" s="52">
        <v>5</v>
      </c>
    </row>
    <row r="22" spans="1:27">
      <c r="A22" s="6">
        <v>2020</v>
      </c>
      <c r="B22" s="6" t="s">
        <v>352</v>
      </c>
      <c r="C22" s="7" t="s">
        <v>353</v>
      </c>
      <c r="D22" s="9">
        <v>11490844438332</v>
      </c>
      <c r="E22" s="10">
        <v>2694031520761</v>
      </c>
      <c r="F22" s="10">
        <v>18588970471992</v>
      </c>
      <c r="G22" s="16">
        <f t="shared" si="0"/>
        <v>6760191759915</v>
      </c>
      <c r="H22" s="10">
        <v>7284558715445</v>
      </c>
      <c r="I22" s="10">
        <v>14044750475360</v>
      </c>
      <c r="J22" s="10">
        <v>4544219996632</v>
      </c>
      <c r="K22" s="8">
        <v>146112960000</v>
      </c>
      <c r="L22" s="10">
        <v>2075242421357</v>
      </c>
      <c r="M22" s="10">
        <v>1747594089122</v>
      </c>
      <c r="N22" s="9">
        <v>57495202502</v>
      </c>
      <c r="O22" s="12">
        <v>106377057578</v>
      </c>
      <c r="P22" s="50">
        <v>34269521745</v>
      </c>
      <c r="Q22" s="51">
        <v>94</v>
      </c>
      <c r="R22" s="51">
        <f t="shared" si="1"/>
        <v>1.6997808414944255</v>
      </c>
      <c r="S22" s="58">
        <f t="shared" si="2"/>
        <v>1.6030383037889964</v>
      </c>
      <c r="T22" s="51">
        <f t="shared" si="3"/>
        <v>5.7225900561990945E-3</v>
      </c>
      <c r="U22" s="51">
        <f t="shared" si="4"/>
        <v>2.3409310653278795E-2</v>
      </c>
      <c r="V22" s="51">
        <f t="shared" si="5"/>
        <v>5.1260063153701386E-2</v>
      </c>
      <c r="W22" s="51">
        <f t="shared" si="6"/>
        <v>2.4951200787798524E-3</v>
      </c>
      <c r="X22" s="51">
        <f t="shared" si="7"/>
        <v>0.32215143495459242</v>
      </c>
      <c r="Y22" s="58">
        <f t="shared" si="8"/>
        <v>129.11259770396654</v>
      </c>
      <c r="Z22" s="51">
        <f t="shared" si="9"/>
        <v>3.0224369089039631</v>
      </c>
      <c r="AA22" s="52">
        <v>5</v>
      </c>
    </row>
    <row r="23" spans="1:27">
      <c r="A23" s="6">
        <v>2018</v>
      </c>
      <c r="B23" s="6" t="s">
        <v>354</v>
      </c>
      <c r="C23" s="7" t="s">
        <v>355</v>
      </c>
      <c r="D23" s="9">
        <v>37534483162953</v>
      </c>
      <c r="E23" s="10">
        <v>6605378728189</v>
      </c>
      <c r="F23" s="10">
        <v>52549150902972</v>
      </c>
      <c r="G23" s="16">
        <f t="shared" si="0"/>
        <v>26585529876819</v>
      </c>
      <c r="H23" s="10">
        <v>9648009050734</v>
      </c>
      <c r="I23" s="10">
        <v>36233538927553</v>
      </c>
      <c r="J23" s="10">
        <v>16315611975419</v>
      </c>
      <c r="K23" s="8">
        <v>25000000000</v>
      </c>
      <c r="L23" s="10">
        <v>25119560112231</v>
      </c>
      <c r="M23" s="18">
        <v>21647991667959</v>
      </c>
      <c r="N23" s="9">
        <f>843164199687+64366117108</f>
        <v>907530316795</v>
      </c>
      <c r="O23" s="12">
        <v>1958993059360</v>
      </c>
      <c r="P23" s="50">
        <v>290629550314</v>
      </c>
      <c r="Q23" s="51">
        <v>1805</v>
      </c>
      <c r="R23" s="51">
        <f t="shared" si="1"/>
        <v>1.4118388212258592</v>
      </c>
      <c r="S23" s="58">
        <f t="shared" si="2"/>
        <v>0.59133602008123454</v>
      </c>
      <c r="T23" s="51">
        <f t="shared" si="3"/>
        <v>3.7279252389389339E-2</v>
      </c>
      <c r="U23" s="51">
        <f t="shared" si="4"/>
        <v>0.12006862275907314</v>
      </c>
      <c r="V23" s="51">
        <f t="shared" si="5"/>
        <v>7.7986758152112062E-2</v>
      </c>
      <c r="W23" s="51">
        <f t="shared" si="6"/>
        <v>6.4405440512797785E-3</v>
      </c>
      <c r="X23" s="51">
        <f t="shared" si="7"/>
        <v>0.14835660030819517</v>
      </c>
      <c r="Y23" s="58">
        <f t="shared" si="8"/>
        <v>23.0347931986764</v>
      </c>
      <c r="Z23" s="51">
        <f t="shared" si="9"/>
        <v>2.7657558949051402</v>
      </c>
      <c r="AA23" s="52">
        <v>5</v>
      </c>
    </row>
    <row r="24" spans="1:27">
      <c r="A24" s="6">
        <v>2019</v>
      </c>
      <c r="B24" s="6" t="s">
        <v>354</v>
      </c>
      <c r="C24" s="7" t="s">
        <v>355</v>
      </c>
      <c r="D24" s="9">
        <v>41704590384570</v>
      </c>
      <c r="E24" s="10">
        <v>7424558967269</v>
      </c>
      <c r="F24" s="10">
        <v>59165548433821</v>
      </c>
      <c r="G24" s="16">
        <f t="shared" si="0"/>
        <v>30490992843527</v>
      </c>
      <c r="H24" s="10">
        <v>11348422351199</v>
      </c>
      <c r="I24" s="10">
        <v>41839415194726</v>
      </c>
      <c r="J24" s="10">
        <v>17326133239095</v>
      </c>
      <c r="K24" s="8">
        <v>25000000000</v>
      </c>
      <c r="L24" s="10">
        <v>24659998995266</v>
      </c>
      <c r="M24" s="10">
        <v>21174884307780</v>
      </c>
      <c r="N24" s="9">
        <f>828429133890+125854138690</f>
        <v>954283272580</v>
      </c>
      <c r="O24" s="12">
        <v>1208270555330</v>
      </c>
      <c r="P24" s="50">
        <v>300397420851</v>
      </c>
      <c r="Q24" s="51">
        <v>1585</v>
      </c>
      <c r="R24" s="51">
        <f t="shared" si="1"/>
        <v>1.3677675436345642</v>
      </c>
      <c r="S24" s="58">
        <f t="shared" si="2"/>
        <v>0.65498874991866129</v>
      </c>
      <c r="T24" s="51">
        <f t="shared" si="3"/>
        <v>2.0421860141827272E-2</v>
      </c>
      <c r="U24" s="51">
        <f t="shared" si="4"/>
        <v>6.9736884661814588E-2</v>
      </c>
      <c r="V24" s="51">
        <f t="shared" si="5"/>
        <v>4.8997185910751764E-2</v>
      </c>
      <c r="W24" s="51">
        <f t="shared" si="6"/>
        <v>7.5810074662712931E-3</v>
      </c>
      <c r="X24" s="51">
        <f t="shared" si="7"/>
        <v>0.24861767881859553</v>
      </c>
      <c r="Y24" s="58">
        <f t="shared" si="8"/>
        <v>32.794807276568712</v>
      </c>
      <c r="Z24" s="51">
        <f t="shared" si="9"/>
        <v>2.28700769255251</v>
      </c>
      <c r="AA24" s="52">
        <v>5</v>
      </c>
    </row>
    <row r="25" spans="1:27">
      <c r="A25" s="6">
        <v>2020</v>
      </c>
      <c r="B25" s="6" t="s">
        <v>354</v>
      </c>
      <c r="C25" s="7" t="s">
        <v>355</v>
      </c>
      <c r="D25" s="9">
        <v>33924938550674</v>
      </c>
      <c r="E25" s="9">
        <v>7117087116109</v>
      </c>
      <c r="F25" s="10">
        <v>53472450650976</v>
      </c>
      <c r="G25" s="16">
        <f t="shared" si="0"/>
        <v>27986826929242</v>
      </c>
      <c r="H25" s="10">
        <v>11478633630784</v>
      </c>
      <c r="I25" s="10">
        <v>39465460560026</v>
      </c>
      <c r="J25" s="10">
        <v>14006990090950</v>
      </c>
      <c r="K25" s="8">
        <v>25000000000</v>
      </c>
      <c r="L25" s="10">
        <v>15831388462166</v>
      </c>
      <c r="M25" s="10">
        <v>13657930676733</v>
      </c>
      <c r="N25" s="18">
        <f>583708784467+255824310627</f>
        <v>839533095094</v>
      </c>
      <c r="O25" s="12">
        <v>266269870851</v>
      </c>
      <c r="P25" s="50">
        <v>209323431248</v>
      </c>
      <c r="Q25" s="51">
        <v>1865</v>
      </c>
      <c r="R25" s="51">
        <f t="shared" si="1"/>
        <v>1.2121752364583915</v>
      </c>
      <c r="S25" s="58">
        <f t="shared" si="2"/>
        <v>0.8194932356095842</v>
      </c>
      <c r="T25" s="51">
        <f t="shared" si="3"/>
        <v>4.9795711176394333E-3</v>
      </c>
      <c r="U25" s="51">
        <f t="shared" si="4"/>
        <v>1.900978505175345E-2</v>
      </c>
      <c r="V25" s="51">
        <f t="shared" si="5"/>
        <v>1.681911043288049E-2</v>
      </c>
      <c r="W25" s="51">
        <f t="shared" si="6"/>
        <v>4.4895105897694368E-3</v>
      </c>
      <c r="X25" s="51">
        <f t="shared" si="7"/>
        <v>0.78613262018342944</v>
      </c>
      <c r="Y25" s="58">
        <f t="shared" si="8"/>
        <v>175.10430245444684</v>
      </c>
      <c r="Z25" s="51">
        <f t="shared" si="9"/>
        <v>3.3286951512962579</v>
      </c>
      <c r="AA25" s="52">
        <v>5</v>
      </c>
    </row>
    <row r="26" spans="1:27">
      <c r="A26" s="6">
        <v>2018</v>
      </c>
      <c r="B26" s="6" t="s">
        <v>358</v>
      </c>
      <c r="C26" s="7" t="s">
        <v>359</v>
      </c>
      <c r="D26" s="9">
        <v>2670409421000</v>
      </c>
      <c r="E26" s="10">
        <v>165726237000</v>
      </c>
      <c r="F26" s="10">
        <v>3228718157000</v>
      </c>
      <c r="G26" s="16">
        <f t="shared" si="0"/>
        <v>1945591346000</v>
      </c>
      <c r="H26" s="10">
        <v>231016074000</v>
      </c>
      <c r="I26" s="10">
        <v>2176607420000</v>
      </c>
      <c r="J26" s="10">
        <v>1052110737000</v>
      </c>
      <c r="K26" s="8">
        <v>5000000000</v>
      </c>
      <c r="L26" s="9">
        <v>2783482031000</v>
      </c>
      <c r="M26" s="10">
        <v>2339551181000</v>
      </c>
      <c r="N26" s="10">
        <f>193648445000+29028647000</f>
        <v>222677092000</v>
      </c>
      <c r="O26" s="12">
        <v>204418079000</v>
      </c>
      <c r="P26" s="50">
        <v>170500000000</v>
      </c>
      <c r="Q26" s="51">
        <v>560</v>
      </c>
      <c r="R26" s="51">
        <f t="shared" si="1"/>
        <v>1.3725438419995932</v>
      </c>
      <c r="S26" s="58">
        <f t="shared" si="2"/>
        <v>0.21957391544042384</v>
      </c>
      <c r="T26" s="51">
        <f t="shared" si="3"/>
        <v>6.3312456851277898E-2</v>
      </c>
      <c r="U26" s="51">
        <f t="shared" si="4"/>
        <v>0.19429331135131264</v>
      </c>
      <c r="V26" s="51">
        <f t="shared" si="5"/>
        <v>7.3439697732325684E-2</v>
      </c>
      <c r="W26" s="51">
        <f t="shared" si="6"/>
        <v>6.0892857142857144E-2</v>
      </c>
      <c r="X26" s="51">
        <f t="shared" si="7"/>
        <v>0.83407495478910165</v>
      </c>
      <c r="Y26" s="58">
        <f t="shared" si="8"/>
        <v>13.697418612372342</v>
      </c>
      <c r="Z26" s="51">
        <f t="shared" si="9"/>
        <v>2.6613168191629244</v>
      </c>
      <c r="AA26" s="52">
        <v>5</v>
      </c>
    </row>
    <row r="27" spans="1:27">
      <c r="A27" s="6">
        <v>2019</v>
      </c>
      <c r="B27" s="6" t="s">
        <v>358</v>
      </c>
      <c r="C27" s="7" t="s">
        <v>359</v>
      </c>
      <c r="D27" s="9">
        <v>2282904040000</v>
      </c>
      <c r="E27" s="10">
        <v>163852721000</v>
      </c>
      <c r="F27" s="10">
        <v>2962993701000</v>
      </c>
      <c r="G27" s="16">
        <f t="shared" si="0"/>
        <v>1604722681000</v>
      </c>
      <c r="H27" s="10">
        <v>281366520000</v>
      </c>
      <c r="I27" s="9">
        <v>1886089201000</v>
      </c>
      <c r="J27" s="10">
        <v>1076904500000</v>
      </c>
      <c r="K27" s="8">
        <v>5000000000</v>
      </c>
      <c r="L27" s="10">
        <v>2474974774000</v>
      </c>
      <c r="M27" s="10">
        <v>2114668629000</v>
      </c>
      <c r="N27" s="10">
        <f>191935649000+27579954</f>
        <v>191963228954</v>
      </c>
      <c r="O27" s="12">
        <v>175502010000</v>
      </c>
      <c r="P27" s="50">
        <v>136400000000</v>
      </c>
      <c r="Q27" s="51">
        <v>436</v>
      </c>
      <c r="R27" s="51">
        <f t="shared" si="1"/>
        <v>1.4226159242526466</v>
      </c>
      <c r="S27" s="58">
        <f t="shared" si="2"/>
        <v>0.26127341839503876</v>
      </c>
      <c r="T27" s="51">
        <f t="shared" si="3"/>
        <v>5.9231313904166819E-2</v>
      </c>
      <c r="U27" s="51">
        <f t="shared" si="4"/>
        <v>0.16296896335747507</v>
      </c>
      <c r="V27" s="51">
        <f t="shared" si="5"/>
        <v>7.0910625774321528E-2</v>
      </c>
      <c r="W27" s="51">
        <f t="shared" si="6"/>
        <v>6.2568807339449542E-2</v>
      </c>
      <c r="X27" s="51">
        <f t="shared" si="7"/>
        <v>0.77719907595360305</v>
      </c>
      <c r="Y27" s="58">
        <f t="shared" si="8"/>
        <v>12.421510158202745</v>
      </c>
      <c r="Z27" s="51">
        <f t="shared" si="9"/>
        <v>2.0243206338166475</v>
      </c>
      <c r="AA27" s="52">
        <v>5</v>
      </c>
    </row>
    <row r="28" spans="1:27">
      <c r="A28" s="6">
        <v>2020</v>
      </c>
      <c r="B28" s="6" t="s">
        <v>358</v>
      </c>
      <c r="C28" s="7" t="s">
        <v>359</v>
      </c>
      <c r="D28" s="9">
        <v>2201902161000</v>
      </c>
      <c r="E28" s="10">
        <v>145403319000</v>
      </c>
      <c r="F28" s="10">
        <v>2889059738000</v>
      </c>
      <c r="G28" s="16">
        <f t="shared" si="0"/>
        <v>1476857796000</v>
      </c>
      <c r="H28" s="10">
        <v>273037914000</v>
      </c>
      <c r="I28" s="10">
        <v>1749895710000</v>
      </c>
      <c r="J28" s="10">
        <v>1139164028000</v>
      </c>
      <c r="K28" s="8">
        <v>5000000000</v>
      </c>
      <c r="L28" s="10">
        <v>2292693925000</v>
      </c>
      <c r="M28" s="10">
        <v>2019621678000</v>
      </c>
      <c r="N28" s="10">
        <f>151100938000+75002575</f>
        <v>151175940575</v>
      </c>
      <c r="O28" s="12">
        <v>108580758000</v>
      </c>
      <c r="P28" s="50">
        <v>34100000000</v>
      </c>
      <c r="Q28" s="51">
        <v>370</v>
      </c>
      <c r="R28" s="51">
        <f t="shared" si="1"/>
        <v>1.4909371551978454</v>
      </c>
      <c r="S28" s="58">
        <f t="shared" si="2"/>
        <v>0.23968270353424467</v>
      </c>
      <c r="T28" s="51">
        <f t="shared" si="3"/>
        <v>3.7583424313395071E-2</v>
      </c>
      <c r="U28" s="51">
        <f t="shared" si="4"/>
        <v>9.5316175134701503E-2</v>
      </c>
      <c r="V28" s="51">
        <f t="shared" si="5"/>
        <v>4.7359465132267929E-2</v>
      </c>
      <c r="W28" s="51">
        <f t="shared" si="6"/>
        <v>1.8432432432432432E-2</v>
      </c>
      <c r="X28" s="51">
        <f t="shared" si="7"/>
        <v>0.31405196121397494</v>
      </c>
      <c r="Y28" s="58">
        <f t="shared" si="8"/>
        <v>17.038009625978113</v>
      </c>
      <c r="Z28" s="51">
        <f t="shared" si="9"/>
        <v>1.6239979094564598</v>
      </c>
      <c r="AA28" s="52">
        <v>5</v>
      </c>
    </row>
    <row r="29" spans="1:27">
      <c r="A29" s="6">
        <v>2018</v>
      </c>
      <c r="B29" s="6" t="s">
        <v>360</v>
      </c>
      <c r="C29" s="7" t="s">
        <v>361</v>
      </c>
      <c r="D29" s="10">
        <v>66989129822191</v>
      </c>
      <c r="E29" s="10">
        <v>7091121159643</v>
      </c>
      <c r="F29" s="10">
        <v>124391581623636</v>
      </c>
      <c r="G29" s="16">
        <f t="shared" si="0"/>
        <v>56799725099343</v>
      </c>
      <c r="H29" s="9">
        <v>38704737773426</v>
      </c>
      <c r="I29" s="10">
        <v>95504462872769</v>
      </c>
      <c r="J29" s="10">
        <v>28887118750867</v>
      </c>
      <c r="K29" s="8">
        <f t="shared" ref="K29:K31" si="10">25999999999+1</f>
        <v>26000000000</v>
      </c>
      <c r="L29" s="10">
        <v>31387389629869</v>
      </c>
      <c r="M29" s="10">
        <v>39926332089924</v>
      </c>
      <c r="N29" s="10">
        <f>51205890476+1616540079059+423475576187</f>
        <v>2091221545722</v>
      </c>
      <c r="O29" s="19">
        <v>4619567705553</v>
      </c>
      <c r="P29" s="50">
        <v>776342383468</v>
      </c>
      <c r="Q29" s="51">
        <v>1680</v>
      </c>
      <c r="R29" s="51">
        <f t="shared" si="1"/>
        <v>1.179391796439625</v>
      </c>
      <c r="S29" s="58">
        <f t="shared" si="2"/>
        <v>1.3398614831485864</v>
      </c>
      <c r="T29" s="51">
        <f t="shared" si="3"/>
        <v>3.7137301779232482E-2</v>
      </c>
      <c r="U29" s="51">
        <f t="shared" si="4"/>
        <v>0.1599179116959995</v>
      </c>
      <c r="V29" s="51">
        <f t="shared" si="5"/>
        <v>0.14717909835856205</v>
      </c>
      <c r="W29" s="51">
        <f t="shared" si="6"/>
        <v>1.7773406214926742E-2</v>
      </c>
      <c r="X29" s="51">
        <f t="shared" si="7"/>
        <v>0.16805520190445297</v>
      </c>
      <c r="Y29" s="58">
        <f t="shared" si="8"/>
        <v>9.4554302012922111</v>
      </c>
      <c r="Z29" s="51">
        <f t="shared" si="9"/>
        <v>1.5120926519779343</v>
      </c>
      <c r="AA29" s="52">
        <v>5</v>
      </c>
    </row>
    <row r="30" spans="1:27">
      <c r="A30" s="6">
        <v>2019</v>
      </c>
      <c r="B30" s="6" t="s">
        <v>360</v>
      </c>
      <c r="C30" s="7" t="s">
        <v>361</v>
      </c>
      <c r="D30" s="10">
        <v>49037842886120</v>
      </c>
      <c r="E30" s="10">
        <v>8663216063821</v>
      </c>
      <c r="F30" s="10">
        <v>122589259350571</v>
      </c>
      <c r="G30" s="16">
        <f t="shared" si="0"/>
        <v>45023495139583</v>
      </c>
      <c r="H30" s="9">
        <v>48447295021989</v>
      </c>
      <c r="I30" s="10">
        <v>93470790161572</v>
      </c>
      <c r="J30" s="10">
        <v>29118469188999</v>
      </c>
      <c r="K30" s="8">
        <f t="shared" si="10"/>
        <v>26000000000</v>
      </c>
      <c r="L30" s="10">
        <v>16190456515103</v>
      </c>
      <c r="M30" s="10">
        <v>25782746866464</v>
      </c>
      <c r="N30" s="10">
        <f>51589935546+1319957348117+197802480370</f>
        <v>1569349764033</v>
      </c>
      <c r="O30" s="19">
        <v>1028898367891</v>
      </c>
      <c r="P30" s="50">
        <v>990709745083</v>
      </c>
      <c r="Q30" s="51">
        <v>1485</v>
      </c>
      <c r="R30" s="51">
        <f t="shared" si="1"/>
        <v>1.0891611753839106</v>
      </c>
      <c r="S30" s="58">
        <f t="shared" si="2"/>
        <v>1.6637995187017749</v>
      </c>
      <c r="T30" s="51">
        <f t="shared" si="3"/>
        <v>8.3930547695751905E-3</v>
      </c>
      <c r="U30" s="51">
        <f t="shared" si="4"/>
        <v>3.5334905870660238E-2</v>
      </c>
      <c r="V30" s="51">
        <f t="shared" si="5"/>
        <v>6.3549682303967722E-2</v>
      </c>
      <c r="W30" s="51">
        <f t="shared" si="6"/>
        <v>2.5659408057057759E-2</v>
      </c>
      <c r="X30" s="51">
        <f t="shared" si="7"/>
        <v>0.96288396988491909</v>
      </c>
      <c r="Y30" s="58">
        <f t="shared" si="8"/>
        <v>37.525572208984485</v>
      </c>
      <c r="Z30" s="51">
        <f t="shared" si="9"/>
        <v>1.3259625617471302</v>
      </c>
      <c r="AA30" s="52">
        <v>5</v>
      </c>
    </row>
    <row r="31" spans="1:27">
      <c r="A31" s="6">
        <v>2020</v>
      </c>
      <c r="B31" s="6" t="s">
        <v>360</v>
      </c>
      <c r="C31" s="7" t="s">
        <v>361</v>
      </c>
      <c r="D31" s="9">
        <v>32538762593246</v>
      </c>
      <c r="E31" s="10">
        <v>7819654831137</v>
      </c>
      <c r="F31" s="10">
        <v>105588960060005</v>
      </c>
      <c r="G31" s="16">
        <f t="shared" si="0"/>
        <v>48237835913277</v>
      </c>
      <c r="H31" s="9">
        <v>40773569381438</v>
      </c>
      <c r="I31" s="10">
        <v>89011405294715</v>
      </c>
      <c r="J31" s="10">
        <v>16577554765290</v>
      </c>
      <c r="K31" s="8">
        <f t="shared" si="10"/>
        <v>26000000000</v>
      </c>
      <c r="L31" s="10">
        <v>48788950838822</v>
      </c>
      <c r="M31" s="10">
        <v>18168339421735</v>
      </c>
      <c r="N31" s="10">
        <f>45904808574+1656332903229+1384447069286</f>
        <v>3086684781089</v>
      </c>
      <c r="O31" s="12">
        <v>-9495726146546</v>
      </c>
      <c r="P31" s="50">
        <v>46907502471</v>
      </c>
      <c r="Q31" s="51">
        <v>1440</v>
      </c>
      <c r="R31" s="51">
        <f t="shared" si="1"/>
        <v>0.6745485566919891</v>
      </c>
      <c r="S31" s="58">
        <f t="shared" si="2"/>
        <v>2.4595647523849231</v>
      </c>
      <c r="T31" s="51">
        <f t="shared" si="3"/>
        <v>-8.9931050946516447E-2</v>
      </c>
      <c r="U31" s="51">
        <f t="shared" si="4"/>
        <v>-0.57280619976765834</v>
      </c>
      <c r="V31" s="51">
        <f t="shared" si="5"/>
        <v>-0.19462861945762785</v>
      </c>
      <c r="W31" s="51">
        <f t="shared" si="6"/>
        <v>1.2528713266826924E-3</v>
      </c>
      <c r="X31" s="51">
        <f t="shared" si="7"/>
        <v>-4.9398541772460716E-3</v>
      </c>
      <c r="Y31" s="58">
        <f t="shared" si="8"/>
        <v>-3.9428264276153882</v>
      </c>
      <c r="Z31" s="51">
        <f t="shared" si="9"/>
        <v>2.2584754223458625</v>
      </c>
      <c r="AA31" s="52">
        <v>5</v>
      </c>
    </row>
    <row r="32" spans="1:27">
      <c r="A32" s="6">
        <v>2018</v>
      </c>
      <c r="B32" s="6" t="s">
        <v>155</v>
      </c>
      <c r="C32" s="7" t="s">
        <v>156</v>
      </c>
      <c r="D32" s="9">
        <v>11629996000000</v>
      </c>
      <c r="E32" s="10">
        <v>754805817000</v>
      </c>
      <c r="F32" s="10">
        <v>82418600790000</v>
      </c>
      <c r="G32" s="16">
        <f t="shared" si="0"/>
        <v>31081475143000</v>
      </c>
      <c r="H32" s="10">
        <v>31138139848000</v>
      </c>
      <c r="I32" s="10">
        <v>62219614991000</v>
      </c>
      <c r="J32" s="8">
        <v>20198985799000</v>
      </c>
      <c r="K32" s="8">
        <v>19040000000</v>
      </c>
      <c r="L32" s="10">
        <v>36974074686000</v>
      </c>
      <c r="M32" s="10">
        <v>31056564763000</v>
      </c>
      <c r="N32" s="10">
        <f>1325329000000+415683000000</f>
        <v>1741012000000</v>
      </c>
      <c r="O32" s="10">
        <v>2036493000000</v>
      </c>
      <c r="P32" s="50">
        <v>440065000000</v>
      </c>
      <c r="Q32" s="51">
        <v>4280</v>
      </c>
      <c r="R32" s="51">
        <f t="shared" si="1"/>
        <v>0.37417773598236842</v>
      </c>
      <c r="S32" s="58">
        <f t="shared" si="2"/>
        <v>1.5415694707573668</v>
      </c>
      <c r="T32" s="51">
        <f t="shared" si="3"/>
        <v>2.4709143087601304E-2</v>
      </c>
      <c r="U32" s="51">
        <f t="shared" si="4"/>
        <v>0.10082154719376166</v>
      </c>
      <c r="V32" s="51">
        <f t="shared" si="5"/>
        <v>5.5078944295287674E-2</v>
      </c>
      <c r="W32" s="51">
        <f t="shared" si="6"/>
        <v>5.4001536362208429E-3</v>
      </c>
      <c r="X32" s="51">
        <f t="shared" si="7"/>
        <v>0.21608962073525417</v>
      </c>
      <c r="Y32" s="58">
        <f t="shared" si="8"/>
        <v>40.015457946577769</v>
      </c>
      <c r="Z32" s="51">
        <f t="shared" si="9"/>
        <v>4.0344203818408753</v>
      </c>
      <c r="AA32" s="52">
        <v>5</v>
      </c>
    </row>
    <row r="33" spans="1:27">
      <c r="A33" s="6">
        <v>2019</v>
      </c>
      <c r="B33" s="6" t="s">
        <v>155</v>
      </c>
      <c r="C33" s="7" t="s">
        <v>156</v>
      </c>
      <c r="D33" s="9">
        <v>11612566000000</v>
      </c>
      <c r="E33" s="10">
        <v>714282000000</v>
      </c>
      <c r="F33" s="10">
        <v>99679570000000</v>
      </c>
      <c r="G33" s="16">
        <f t="shared" si="0"/>
        <v>41526417000000</v>
      </c>
      <c r="H33" s="10">
        <v>34967416000000</v>
      </c>
      <c r="I33" s="10">
        <v>76493833000000</v>
      </c>
      <c r="J33" s="8">
        <v>23185737000000</v>
      </c>
      <c r="K33" s="8">
        <v>19040000000</v>
      </c>
      <c r="L33" s="10">
        <v>26345260000000</v>
      </c>
      <c r="M33" s="10">
        <v>19900617000000</v>
      </c>
      <c r="N33" s="10">
        <f>1478523000000+677246000000</f>
        <v>2155769000000</v>
      </c>
      <c r="O33" s="10">
        <v>2073888000000</v>
      </c>
      <c r="P33" s="50">
        <v>330390000000</v>
      </c>
      <c r="Q33" s="51">
        <v>5175</v>
      </c>
      <c r="R33" s="51">
        <f t="shared" si="1"/>
        <v>0.27964285962836621</v>
      </c>
      <c r="S33" s="58">
        <f t="shared" si="2"/>
        <v>1.5081433900505297</v>
      </c>
      <c r="T33" s="51">
        <f t="shared" si="3"/>
        <v>2.0805547214940837E-2</v>
      </c>
      <c r="U33" s="51">
        <f t="shared" si="4"/>
        <v>8.9446714590094761E-2</v>
      </c>
      <c r="V33" s="51">
        <f t="shared" si="5"/>
        <v>7.8719587508341154E-2</v>
      </c>
      <c r="W33" s="51">
        <f t="shared" si="6"/>
        <v>3.3531238582389477E-3</v>
      </c>
      <c r="X33" s="51">
        <f t="shared" si="7"/>
        <v>0.15930947090681849</v>
      </c>
      <c r="Y33" s="58">
        <f t="shared" si="8"/>
        <v>47.510762394111929</v>
      </c>
      <c r="Z33" s="51">
        <f t="shared" si="9"/>
        <v>4.2496816038239364</v>
      </c>
      <c r="AA33" s="52">
        <v>5</v>
      </c>
    </row>
    <row r="34" spans="1:27">
      <c r="A34" s="6">
        <v>2020</v>
      </c>
      <c r="B34" s="6" t="s">
        <v>155</v>
      </c>
      <c r="C34" s="7" t="s">
        <v>156</v>
      </c>
      <c r="D34" s="9">
        <v>10705995000000</v>
      </c>
      <c r="E34" s="10">
        <v>746237000000</v>
      </c>
      <c r="F34" s="10">
        <v>104086646000000</v>
      </c>
      <c r="G34" s="16">
        <f t="shared" si="0"/>
        <v>14928687000000</v>
      </c>
      <c r="H34" s="10">
        <v>64382344000000</v>
      </c>
      <c r="I34" s="10">
        <v>79311031000000</v>
      </c>
      <c r="J34" s="8">
        <v>24775615000000</v>
      </c>
      <c r="K34" s="8">
        <v>19040000000</v>
      </c>
      <c r="L34" s="10">
        <v>13704021000000</v>
      </c>
      <c r="M34" s="10">
        <v>8349488000000</v>
      </c>
      <c r="N34" s="10">
        <f>1236812000000+164380000000</f>
        <v>1401192000000</v>
      </c>
      <c r="O34" s="12">
        <v>-41629000000</v>
      </c>
      <c r="P34" s="50">
        <v>110356000000</v>
      </c>
      <c r="Q34" s="51">
        <v>4630</v>
      </c>
      <c r="R34" s="51">
        <f t="shared" si="1"/>
        <v>0.71714243858150417</v>
      </c>
      <c r="S34" s="58">
        <f t="shared" si="2"/>
        <v>2.5986173905269356</v>
      </c>
      <c r="T34" s="51">
        <f t="shared" si="3"/>
        <v>-3.9994563759889043E-4</v>
      </c>
      <c r="U34" s="51">
        <f t="shared" si="4"/>
        <v>-1.6802408335776931E-3</v>
      </c>
      <c r="V34" s="51">
        <f t="shared" si="5"/>
        <v>-3.0377215563227758E-3</v>
      </c>
      <c r="W34" s="51">
        <f t="shared" si="6"/>
        <v>1.2518376681126015E-3</v>
      </c>
      <c r="X34" s="51">
        <f t="shared" si="7"/>
        <v>-2.6509404501669511</v>
      </c>
      <c r="Y34" s="58">
        <f t="shared" si="8"/>
        <v>-2117.6391457877921</v>
      </c>
      <c r="Z34" s="51">
        <f t="shared" si="9"/>
        <v>3.558143763535234</v>
      </c>
      <c r="AA34" s="52">
        <v>5</v>
      </c>
    </row>
    <row r="38" spans="1:27">
      <c r="W38" s="53"/>
      <c r="Y38" s="58"/>
      <c r="Z38" s="51"/>
      <c r="AA38" s="51"/>
    </row>
    <row r="39" spans="1:27">
      <c r="W39" s="53"/>
      <c r="Y39" s="58"/>
      <c r="Z39" s="51"/>
      <c r="AA39" s="51"/>
    </row>
    <row r="40" spans="1:27">
      <c r="W40" s="53"/>
      <c r="Y40" s="58"/>
      <c r="Z40" s="51"/>
      <c r="AA40" s="51"/>
    </row>
    <row r="41" spans="1:27">
      <c r="W41" s="53"/>
      <c r="Y41" s="58"/>
      <c r="Z41" s="51"/>
      <c r="AA41" s="51"/>
    </row>
    <row r="42" spans="1:27">
      <c r="W42" s="53"/>
      <c r="Y42" s="58"/>
      <c r="Z42" s="51"/>
      <c r="AA42" s="51"/>
    </row>
    <row r="43" spans="1:27">
      <c r="W43" s="53"/>
      <c r="Y43" s="58"/>
      <c r="Z43" s="51"/>
      <c r="AA43" s="51"/>
    </row>
    <row r="44" spans="1:27">
      <c r="W44" s="53"/>
      <c r="Y44" s="58"/>
      <c r="Z44" s="51"/>
      <c r="AA44" s="51"/>
    </row>
    <row r="45" spans="1:27">
      <c r="W45" s="53"/>
      <c r="Y45" s="58"/>
      <c r="Z45" s="51"/>
      <c r="AA45" s="51"/>
    </row>
    <row r="46" spans="1:27">
      <c r="W46" s="53"/>
      <c r="Y46" s="58"/>
      <c r="Z46" s="51"/>
      <c r="AA46" s="51"/>
    </row>
    <row r="47" spans="1:27">
      <c r="W47" s="53"/>
      <c r="Y47" s="58"/>
      <c r="Z47" s="51"/>
      <c r="AA47" s="51"/>
    </row>
    <row r="48" spans="1:27">
      <c r="W48" s="53"/>
      <c r="Y48" s="58"/>
      <c r="Z48" s="51"/>
      <c r="AA48" s="51"/>
    </row>
    <row r="49" spans="23:27">
      <c r="W49" s="53"/>
      <c r="Y49" s="58"/>
      <c r="Z49" s="51"/>
      <c r="AA49" s="51"/>
    </row>
    <row r="50" spans="23:27">
      <c r="W50" s="53"/>
      <c r="Y50" s="58"/>
      <c r="Z50" s="51"/>
      <c r="AA50" s="51"/>
    </row>
    <row r="51" spans="23:27">
      <c r="W51" s="53"/>
      <c r="Y51" s="58"/>
      <c r="Z51" s="51"/>
      <c r="AA51" s="51"/>
    </row>
    <row r="52" spans="23:27">
      <c r="W52" s="53"/>
      <c r="Y52" s="58"/>
      <c r="Z52" s="51"/>
      <c r="AA52" s="51"/>
    </row>
    <row r="53" spans="23:27">
      <c r="W53" s="53"/>
      <c r="Y53" s="58"/>
      <c r="Z53" s="51"/>
      <c r="AA53" s="51"/>
    </row>
    <row r="54" spans="23:27">
      <c r="W54" s="53"/>
      <c r="Y54" s="58"/>
      <c r="Z54" s="51"/>
      <c r="AA54" s="51"/>
    </row>
    <row r="55" spans="23:27">
      <c r="W55" s="53"/>
      <c r="Y55" s="58"/>
      <c r="Z55" s="51"/>
      <c r="AA55" s="51"/>
    </row>
    <row r="56" spans="23:27">
      <c r="W56" s="53"/>
      <c r="Y56" s="58"/>
      <c r="Z56" s="51"/>
      <c r="AA56" s="51"/>
    </row>
    <row r="57" spans="23:27">
      <c r="W57" s="53"/>
      <c r="Y57" s="58"/>
      <c r="Z57" s="51"/>
      <c r="AA57" s="51"/>
    </row>
    <row r="58" spans="23:27">
      <c r="W58" s="53"/>
      <c r="Y58" s="58"/>
      <c r="Z58" s="51"/>
      <c r="AA58" s="51"/>
    </row>
    <row r="59" spans="23:27">
      <c r="W59" s="53"/>
      <c r="Y59" s="58"/>
      <c r="Z59" s="51"/>
      <c r="AA59" s="51"/>
    </row>
    <row r="60" spans="23:27">
      <c r="W60" s="53"/>
      <c r="Y60" s="58"/>
      <c r="Z60" s="51"/>
      <c r="AA60" s="51"/>
    </row>
    <row r="61" spans="23:27">
      <c r="W61" s="53"/>
      <c r="Y61" s="58"/>
      <c r="Z61" s="51"/>
      <c r="AA61" s="51"/>
    </row>
    <row r="62" spans="23:27">
      <c r="W62" s="53"/>
      <c r="Y62" s="58"/>
      <c r="Z62" s="51"/>
      <c r="AA62" s="51"/>
    </row>
    <row r="63" spans="23:27">
      <c r="W63" s="53"/>
      <c r="Y63" s="58"/>
      <c r="Z63" s="51"/>
      <c r="AA63" s="51"/>
    </row>
    <row r="64" spans="23:27">
      <c r="W64" s="53"/>
      <c r="Y64" s="58"/>
      <c r="Z64" s="51"/>
      <c r="AA64" s="51"/>
    </row>
    <row r="65" spans="23:27">
      <c r="W65" s="53"/>
      <c r="Y65" s="58"/>
      <c r="Z65" s="51"/>
      <c r="AA65" s="51"/>
    </row>
    <row r="66" spans="23:27">
      <c r="W66" s="53"/>
      <c r="Y66" s="58"/>
      <c r="Z66" s="51"/>
      <c r="AA66" s="51"/>
    </row>
    <row r="67" spans="23:27">
      <c r="W67" s="53"/>
      <c r="Y67" s="58"/>
      <c r="Z67" s="51"/>
      <c r="AA67" s="51"/>
    </row>
    <row r="68" spans="23:27">
      <c r="W68" s="53"/>
      <c r="Y68" s="58"/>
      <c r="Z68" s="51"/>
      <c r="AA68" s="51"/>
    </row>
    <row r="69" spans="23:27">
      <c r="W69" s="53"/>
      <c r="Y69" s="58"/>
      <c r="Z69" s="51"/>
      <c r="AA69" s="51"/>
    </row>
    <row r="70" spans="23:27">
      <c r="W70" s="53"/>
      <c r="Y70" s="58"/>
      <c r="Z70" s="51"/>
      <c r="AA70" s="51"/>
    </row>
    <row r="71" spans="23:27">
      <c r="W71" s="53"/>
      <c r="Y71" s="58"/>
      <c r="Z71" s="51"/>
      <c r="AA71" s="51"/>
    </row>
    <row r="72" spans="23:27">
      <c r="W72" s="53"/>
      <c r="Y72" s="58"/>
      <c r="Z72" s="51"/>
      <c r="AA72" s="51"/>
    </row>
    <row r="73" spans="23:27">
      <c r="W73" s="53"/>
      <c r="Y73" s="58"/>
      <c r="Z73" s="51"/>
      <c r="AA73" s="51"/>
    </row>
    <row r="74" spans="23:27">
      <c r="W74" s="53"/>
      <c r="Y74" s="58"/>
      <c r="Z74" s="51"/>
      <c r="AA74" s="51"/>
    </row>
    <row r="75" spans="23:27">
      <c r="W75" s="53"/>
      <c r="Y75" s="58"/>
      <c r="Z75" s="51"/>
      <c r="AA75" s="51"/>
    </row>
    <row r="76" spans="23:27">
      <c r="W76" s="53"/>
      <c r="Y76" s="58"/>
      <c r="Z76" s="51"/>
      <c r="AA76" s="51"/>
    </row>
    <row r="77" spans="23:27">
      <c r="W77" s="53"/>
      <c r="Y77" s="58"/>
      <c r="Z77" s="51"/>
      <c r="AA77" s="51"/>
    </row>
    <row r="78" spans="23:27">
      <c r="W78" s="53"/>
      <c r="Y78" s="58"/>
      <c r="Z78" s="51"/>
      <c r="AA78" s="51"/>
    </row>
    <row r="79" spans="23:27">
      <c r="W79" s="53"/>
      <c r="Y79" s="58"/>
      <c r="Z79" s="51"/>
      <c r="AA79" s="51"/>
    </row>
    <row r="80" spans="23:27">
      <c r="W80" s="53"/>
      <c r="Y80" s="58"/>
      <c r="Z80" s="51"/>
      <c r="AA80" s="51"/>
    </row>
    <row r="81" spans="23:27">
      <c r="W81" s="53"/>
      <c r="Y81" s="58"/>
      <c r="Z81" s="51"/>
      <c r="AA81" s="51"/>
    </row>
    <row r="82" spans="23:27">
      <c r="W82" s="53"/>
      <c r="Y82" s="58"/>
      <c r="Z82" s="51"/>
      <c r="AA82" s="51"/>
    </row>
    <row r="83" spans="23:27">
      <c r="W83" s="53"/>
      <c r="Y83" s="58"/>
      <c r="Z83" s="51"/>
      <c r="AA83" s="51"/>
    </row>
    <row r="84" spans="23:27">
      <c r="W84" s="53"/>
      <c r="Y84" s="58"/>
      <c r="Z84" s="51"/>
      <c r="AA84" s="51"/>
    </row>
    <row r="85" spans="23:27">
      <c r="W85" s="53"/>
      <c r="Y85" s="58"/>
      <c r="Z85" s="51"/>
      <c r="AA85" s="51"/>
    </row>
    <row r="86" spans="23:27">
      <c r="W86" s="53"/>
      <c r="Y86" s="58"/>
      <c r="Z86" s="51"/>
      <c r="AA86" s="51"/>
    </row>
    <row r="87" spans="23:27">
      <c r="W87" s="53"/>
      <c r="Y87" s="58"/>
      <c r="Z87" s="51"/>
      <c r="AA87" s="51"/>
    </row>
    <row r="88" spans="23:27">
      <c r="W88" s="53"/>
      <c r="Y88" s="58"/>
      <c r="Z88" s="51"/>
      <c r="AA88" s="51"/>
    </row>
    <row r="89" spans="23:27">
      <c r="W89" s="53"/>
      <c r="Y89" s="58"/>
      <c r="Z89" s="51"/>
      <c r="AA89" s="51"/>
    </row>
    <row r="90" spans="23:27">
      <c r="W90" s="53"/>
      <c r="Y90" s="58"/>
      <c r="Z90" s="51"/>
      <c r="AA90" s="51"/>
    </row>
    <row r="91" spans="23:27">
      <c r="W91" s="53"/>
      <c r="Y91" s="58"/>
      <c r="Z91" s="51"/>
      <c r="AA91" s="51"/>
    </row>
    <row r="92" spans="23:27">
      <c r="W92" s="53"/>
      <c r="Y92" s="58"/>
      <c r="Z92" s="51"/>
      <c r="AA92" s="51"/>
    </row>
    <row r="93" spans="23:27">
      <c r="W93" s="53"/>
      <c r="Y93" s="58"/>
      <c r="Z93" s="51"/>
      <c r="AA93" s="51"/>
    </row>
    <row r="94" spans="23:27">
      <c r="W94" s="53"/>
      <c r="Y94" s="58"/>
      <c r="Z94" s="51"/>
      <c r="AA94" s="51"/>
    </row>
    <row r="95" spans="23:27">
      <c r="W95" s="53"/>
      <c r="Y95" s="58"/>
      <c r="Z95" s="51"/>
      <c r="AA95" s="51"/>
    </row>
    <row r="96" spans="23:27">
      <c r="W96" s="53"/>
      <c r="Y96" s="58"/>
      <c r="Z96" s="51"/>
      <c r="AA96" s="51"/>
    </row>
    <row r="97" spans="23:27">
      <c r="W97" s="53"/>
      <c r="Y97" s="58"/>
      <c r="Z97" s="51"/>
      <c r="AA97" s="51"/>
    </row>
    <row r="98" spans="23:27">
      <c r="W98" s="53"/>
      <c r="Y98" s="58"/>
      <c r="Z98" s="51"/>
      <c r="AA98" s="51"/>
    </row>
    <row r="99" spans="23:27">
      <c r="W99" s="53"/>
      <c r="Y99" s="58"/>
      <c r="Z99" s="51"/>
      <c r="AA99" s="51"/>
    </row>
    <row r="100" spans="23:27">
      <c r="W100" s="53"/>
      <c r="Y100" s="58"/>
      <c r="Z100" s="51"/>
      <c r="AA100" s="51"/>
    </row>
    <row r="101" spans="23:27">
      <c r="W101" s="53"/>
      <c r="Y101" s="58"/>
      <c r="Z101" s="51"/>
      <c r="AA101" s="51"/>
    </row>
    <row r="102" spans="23:27">
      <c r="W102" s="53"/>
      <c r="Y102" s="58"/>
      <c r="Z102" s="51"/>
      <c r="AA102" s="51"/>
    </row>
    <row r="103" spans="23:27">
      <c r="W103" s="53"/>
      <c r="Y103" s="58"/>
      <c r="Z103" s="51"/>
      <c r="AA103" s="51"/>
    </row>
    <row r="104" spans="23:27">
      <c r="W104" s="53"/>
      <c r="Y104" s="58"/>
      <c r="Z104" s="51"/>
      <c r="AA104" s="51"/>
    </row>
    <row r="105" spans="23:27">
      <c r="W105" s="53"/>
      <c r="Y105" s="58"/>
      <c r="Z105" s="51"/>
      <c r="AA105" s="51"/>
    </row>
    <row r="106" spans="23:27">
      <c r="W106" s="53"/>
      <c r="Y106" s="58"/>
      <c r="Z106" s="51"/>
      <c r="AA106" s="51"/>
    </row>
    <row r="107" spans="23:27">
      <c r="W107" s="53"/>
      <c r="Y107" s="58"/>
      <c r="Z107" s="51"/>
      <c r="AA107" s="51"/>
    </row>
    <row r="108" spans="23:27">
      <c r="W108" s="53"/>
      <c r="Y108" s="58"/>
      <c r="Z108" s="51"/>
      <c r="AA108" s="51"/>
    </row>
    <row r="109" spans="23:27">
      <c r="W109" s="53"/>
      <c r="Y109" s="58"/>
      <c r="Z109" s="51"/>
      <c r="AA109" s="51"/>
    </row>
    <row r="110" spans="23:27">
      <c r="W110" s="53"/>
      <c r="Y110" s="58"/>
      <c r="Z110" s="51"/>
      <c r="AA110" s="51"/>
    </row>
    <row r="111" spans="23:27">
      <c r="W111" s="53"/>
      <c r="Y111" s="58"/>
      <c r="Z111" s="51"/>
      <c r="AA111" s="51"/>
    </row>
    <row r="112" spans="23:27">
      <c r="W112" s="53"/>
      <c r="Y112" s="58"/>
      <c r="Z112" s="51"/>
      <c r="AA112" s="51"/>
    </row>
    <row r="113" spans="23:27">
      <c r="W113" s="53"/>
      <c r="Y113" s="58"/>
      <c r="Z113" s="51"/>
      <c r="AA113" s="51"/>
    </row>
    <row r="114" spans="23:27">
      <c r="W114" s="53"/>
      <c r="Y114" s="58"/>
      <c r="Z114" s="51"/>
      <c r="AA114" s="51"/>
    </row>
    <row r="115" spans="23:27">
      <c r="W115" s="53"/>
      <c r="Y115" s="58"/>
      <c r="Z115" s="51"/>
      <c r="AA115" s="51"/>
    </row>
    <row r="116" spans="23:27">
      <c r="W116" s="53"/>
      <c r="Y116" s="58"/>
      <c r="Z116" s="51"/>
      <c r="AA116" s="51"/>
    </row>
    <row r="117" spans="23:27">
      <c r="W117" s="53"/>
      <c r="Y117" s="58"/>
      <c r="Z117" s="51"/>
      <c r="AA117" s="51"/>
    </row>
    <row r="118" spans="23:27">
      <c r="W118" s="53"/>
      <c r="Y118" s="58"/>
      <c r="Z118" s="51"/>
      <c r="AA118" s="51"/>
    </row>
    <row r="119" spans="23:27">
      <c r="W119" s="53"/>
      <c r="Y119" s="58"/>
      <c r="Z119" s="51"/>
      <c r="AA119" s="51"/>
    </row>
    <row r="120" spans="23:27">
      <c r="W120" s="53"/>
      <c r="Y120" s="58"/>
      <c r="Z120" s="51"/>
      <c r="AA120" s="51"/>
    </row>
    <row r="121" spans="23:27">
      <c r="W121" s="53"/>
      <c r="Y121" s="58"/>
      <c r="Z121" s="51"/>
      <c r="AA121" s="51"/>
    </row>
    <row r="122" spans="23:27">
      <c r="W122" s="53"/>
      <c r="Y122" s="58"/>
      <c r="Z122" s="51"/>
      <c r="AA122" s="51"/>
    </row>
    <row r="123" spans="23:27">
      <c r="W123" s="53"/>
      <c r="Y123" s="58"/>
      <c r="Z123" s="51"/>
      <c r="AA123" s="51"/>
    </row>
    <row r="124" spans="23:27">
      <c r="W124" s="53"/>
      <c r="Y124" s="58"/>
      <c r="Z124" s="51"/>
      <c r="AA124" s="51"/>
    </row>
    <row r="125" spans="23:27">
      <c r="W125" s="53"/>
      <c r="Y125" s="58"/>
      <c r="Z125" s="51"/>
      <c r="AA125" s="51"/>
    </row>
    <row r="126" spans="23:27">
      <c r="W126" s="53"/>
      <c r="Y126" s="58"/>
      <c r="Z126" s="51"/>
      <c r="AA126" s="51"/>
    </row>
    <row r="127" spans="23:27">
      <c r="W127" s="53"/>
      <c r="Y127" s="58"/>
      <c r="Z127" s="51"/>
      <c r="AA127" s="51"/>
    </row>
    <row r="128" spans="23:27">
      <c r="W128" s="53"/>
      <c r="Y128" s="58"/>
      <c r="Z128" s="51"/>
      <c r="AA128" s="51"/>
    </row>
    <row r="129" spans="23:27">
      <c r="W129" s="53"/>
      <c r="Y129" s="58"/>
      <c r="Z129" s="51"/>
      <c r="AA129" s="51"/>
    </row>
    <row r="130" spans="23:27">
      <c r="W130" s="53"/>
      <c r="Y130" s="58"/>
      <c r="Z130" s="51"/>
      <c r="AA130" s="51"/>
    </row>
    <row r="131" spans="23:27">
      <c r="W131" s="53"/>
      <c r="Y131" s="58"/>
      <c r="Z131" s="51"/>
      <c r="AA131" s="51"/>
    </row>
    <row r="132" spans="23:27">
      <c r="W132" s="53"/>
      <c r="Y132" s="58"/>
      <c r="Z132" s="51"/>
      <c r="AA132" s="51"/>
    </row>
    <row r="133" spans="23:27">
      <c r="W133" s="53"/>
      <c r="Y133" s="58"/>
      <c r="Z133" s="51"/>
      <c r="AA133" s="51"/>
    </row>
    <row r="134" spans="23:27">
      <c r="W134" s="53"/>
      <c r="Y134" s="58"/>
      <c r="Z134" s="51"/>
      <c r="AA134" s="51"/>
    </row>
    <row r="135" spans="23:27">
      <c r="W135" s="53"/>
      <c r="Y135" s="58"/>
      <c r="Z135" s="51"/>
      <c r="AA135" s="51"/>
    </row>
    <row r="136" spans="23:27">
      <c r="W136" s="53"/>
      <c r="Y136" s="58"/>
      <c r="Z136" s="51"/>
      <c r="AA136" s="51"/>
    </row>
    <row r="137" spans="23:27">
      <c r="W137" s="53"/>
      <c r="Y137" s="58"/>
      <c r="Z137" s="51"/>
      <c r="AA137" s="51"/>
    </row>
    <row r="138" spans="23:27">
      <c r="W138" s="53"/>
      <c r="Y138" s="58"/>
      <c r="Z138" s="51"/>
      <c r="AA138" s="51"/>
    </row>
    <row r="139" spans="23:27">
      <c r="W139" s="53"/>
      <c r="Y139" s="58"/>
      <c r="Z139" s="51"/>
      <c r="AA139" s="51"/>
    </row>
    <row r="140" spans="23:27">
      <c r="W140" s="53"/>
      <c r="Y140" s="58"/>
      <c r="Z140" s="51"/>
      <c r="AA140" s="51"/>
    </row>
    <row r="141" spans="23:27">
      <c r="W141" s="53"/>
      <c r="Y141" s="58"/>
      <c r="Z141" s="51"/>
      <c r="AA141" s="51"/>
    </row>
    <row r="142" spans="23:27">
      <c r="W142" s="53"/>
      <c r="Y142" s="58"/>
      <c r="Z142" s="51"/>
      <c r="AA142" s="51"/>
    </row>
    <row r="143" spans="23:27">
      <c r="W143" s="53"/>
      <c r="Y143" s="58"/>
      <c r="Z143" s="51"/>
      <c r="AA143" s="51"/>
    </row>
    <row r="144" spans="23:27">
      <c r="W144" s="53"/>
      <c r="Y144" s="58"/>
      <c r="Z144" s="51"/>
      <c r="AA144" s="51"/>
    </row>
    <row r="145" spans="23:27">
      <c r="W145" s="53"/>
      <c r="Y145" s="58"/>
      <c r="Z145" s="51"/>
      <c r="AA145" s="51"/>
    </row>
    <row r="146" spans="23:27">
      <c r="W146" s="53"/>
      <c r="Y146" s="58"/>
      <c r="Z146" s="51"/>
      <c r="AA146" s="51"/>
    </row>
    <row r="147" spans="23:27">
      <c r="W147" s="53"/>
      <c r="Y147" s="58"/>
      <c r="Z147" s="51"/>
      <c r="AA147" s="51"/>
    </row>
    <row r="148" spans="23:27">
      <c r="W148" s="53"/>
      <c r="Y148" s="58"/>
      <c r="Z148" s="51"/>
      <c r="AA148" s="51"/>
    </row>
    <row r="149" spans="23:27">
      <c r="W149" s="53"/>
      <c r="Y149" s="58"/>
      <c r="Z149" s="51"/>
      <c r="AA149" s="51"/>
    </row>
    <row r="150" spans="23:27">
      <c r="W150" s="53"/>
      <c r="Y150" s="58"/>
      <c r="Z150" s="51"/>
      <c r="AA150" s="51"/>
    </row>
    <row r="151" spans="23:27">
      <c r="W151" s="53"/>
      <c r="Y151" s="58"/>
      <c r="Z151" s="51"/>
      <c r="AA151" s="51"/>
    </row>
    <row r="152" spans="23:27">
      <c r="W152" s="53"/>
      <c r="Y152" s="58"/>
      <c r="Z152" s="51"/>
      <c r="AA152" s="51"/>
    </row>
    <row r="153" spans="23:27">
      <c r="W153" s="53"/>
      <c r="Y153" s="58"/>
      <c r="Z153" s="51"/>
      <c r="AA153" s="51"/>
    </row>
    <row r="154" spans="23:27">
      <c r="W154" s="53"/>
      <c r="Y154" s="58"/>
      <c r="Z154" s="51"/>
      <c r="AA154" s="51"/>
    </row>
    <row r="155" spans="23:27">
      <c r="W155" s="53"/>
      <c r="Y155" s="58"/>
      <c r="Z155" s="51"/>
      <c r="AA155" s="51"/>
    </row>
    <row r="156" spans="23:27">
      <c r="W156" s="53"/>
      <c r="Y156" s="58"/>
      <c r="Z156" s="51"/>
      <c r="AA156" s="51"/>
    </row>
    <row r="157" spans="23:27">
      <c r="W157" s="53"/>
      <c r="Y157" s="58"/>
      <c r="Z157" s="51"/>
      <c r="AA157" s="51"/>
    </row>
    <row r="158" spans="23:27">
      <c r="W158" s="53"/>
      <c r="Y158" s="58"/>
      <c r="Z158" s="51"/>
      <c r="AA158" s="51"/>
    </row>
    <row r="159" spans="23:27">
      <c r="W159" s="53"/>
      <c r="Y159" s="58"/>
      <c r="Z159" s="51"/>
      <c r="AA159" s="51"/>
    </row>
    <row r="160" spans="23:27">
      <c r="W160" s="53"/>
      <c r="Y160" s="58"/>
      <c r="Z160" s="51"/>
      <c r="AA160" s="51"/>
    </row>
    <row r="161" spans="23:27">
      <c r="W161" s="53"/>
      <c r="Y161" s="58"/>
      <c r="Z161" s="51"/>
      <c r="AA161" s="51"/>
    </row>
    <row r="162" spans="23:27">
      <c r="W162" s="53"/>
      <c r="Y162" s="58"/>
      <c r="Z162" s="51"/>
      <c r="AA162" s="51"/>
    </row>
    <row r="163" spans="23:27">
      <c r="W163" s="53"/>
      <c r="Y163" s="58"/>
      <c r="Z163" s="51"/>
      <c r="AA163" s="51"/>
    </row>
    <row r="164" spans="23:27">
      <c r="W164" s="53"/>
      <c r="Y164" s="58"/>
      <c r="Z164" s="51"/>
      <c r="AA164" s="51"/>
    </row>
    <row r="165" spans="23:27">
      <c r="W165" s="53"/>
      <c r="Y165" s="58"/>
      <c r="Z165" s="51"/>
      <c r="AA165" s="51"/>
    </row>
    <row r="166" spans="23:27">
      <c r="W166" s="53"/>
      <c r="Y166" s="58"/>
      <c r="Z166" s="51"/>
      <c r="AA166" s="51"/>
    </row>
    <row r="167" spans="23:27">
      <c r="W167" s="53"/>
      <c r="Y167" s="58"/>
      <c r="Z167" s="51"/>
      <c r="AA167" s="51"/>
    </row>
    <row r="168" spans="23:27">
      <c r="W168" s="53"/>
      <c r="Y168" s="58"/>
      <c r="Z168" s="51"/>
      <c r="AA168" s="51"/>
    </row>
    <row r="169" spans="23:27">
      <c r="W169" s="53"/>
      <c r="Y169" s="58"/>
      <c r="Z169" s="51"/>
      <c r="AA169" s="51"/>
    </row>
    <row r="170" spans="23:27">
      <c r="W170" s="53"/>
      <c r="Y170" s="58"/>
      <c r="Z170" s="51"/>
      <c r="AA170" s="51"/>
    </row>
    <row r="171" spans="23:27">
      <c r="W171" s="53"/>
      <c r="Y171" s="58"/>
      <c r="Z171" s="51"/>
      <c r="AA171" s="51"/>
    </row>
    <row r="172" spans="23:27">
      <c r="W172" s="53"/>
      <c r="Y172" s="58"/>
      <c r="Z172" s="51"/>
      <c r="AA172" s="51"/>
    </row>
    <row r="173" spans="23:27">
      <c r="W173" s="53"/>
      <c r="Y173" s="58"/>
      <c r="Z173" s="51"/>
      <c r="AA173" s="51"/>
    </row>
    <row r="174" spans="23:27">
      <c r="W174" s="53"/>
      <c r="Y174" s="58"/>
      <c r="Z174" s="51"/>
      <c r="AA174" s="51"/>
    </row>
    <row r="175" spans="23:27">
      <c r="W175" s="53"/>
      <c r="Y175" s="58"/>
      <c r="Z175" s="51"/>
      <c r="AA175" s="51"/>
    </row>
    <row r="176" spans="23:27">
      <c r="W176" s="53"/>
      <c r="Y176" s="58"/>
      <c r="Z176" s="51"/>
      <c r="AA176" s="51"/>
    </row>
    <row r="177" spans="23:27">
      <c r="W177" s="53"/>
      <c r="Y177" s="58"/>
      <c r="Z177" s="51"/>
      <c r="AA177" s="51"/>
    </row>
    <row r="178" spans="23:27">
      <c r="W178" s="53"/>
      <c r="Y178" s="58"/>
      <c r="Z178" s="51"/>
      <c r="AA178" s="51"/>
    </row>
    <row r="179" spans="23:27">
      <c r="W179" s="53"/>
      <c r="Y179" s="58"/>
      <c r="Z179" s="51"/>
      <c r="AA179" s="51"/>
    </row>
    <row r="180" spans="23:27">
      <c r="W180" s="53"/>
      <c r="Y180" s="58"/>
      <c r="Z180" s="51"/>
      <c r="AA180" s="51"/>
    </row>
    <row r="181" spans="23:27">
      <c r="W181" s="53"/>
      <c r="Y181" s="58"/>
      <c r="Z181" s="51"/>
      <c r="AA181" s="51"/>
    </row>
    <row r="182" spans="23:27">
      <c r="W182" s="53"/>
      <c r="Y182" s="58"/>
      <c r="Z182" s="51"/>
      <c r="AA182" s="51"/>
    </row>
    <row r="183" spans="23:27">
      <c r="W183" s="53"/>
      <c r="Y183" s="58"/>
      <c r="Z183" s="51"/>
      <c r="AA183" s="51"/>
    </row>
    <row r="184" spans="23:27">
      <c r="W184" s="53"/>
      <c r="Y184" s="58"/>
      <c r="Z184" s="51"/>
      <c r="AA184" s="51"/>
    </row>
    <row r="185" spans="23:27">
      <c r="W185" s="53"/>
      <c r="Y185" s="58"/>
      <c r="Z185" s="51"/>
      <c r="AA185" s="51"/>
    </row>
    <row r="186" spans="23:27">
      <c r="W186" s="53"/>
      <c r="Y186" s="58"/>
      <c r="Z186" s="51"/>
      <c r="AA186" s="51"/>
    </row>
    <row r="187" spans="23:27">
      <c r="W187" s="53"/>
      <c r="Y187" s="58"/>
      <c r="Z187" s="51"/>
      <c r="AA187" s="51"/>
    </row>
    <row r="188" spans="23:27">
      <c r="W188" s="53"/>
      <c r="Y188" s="58"/>
      <c r="Z188" s="51"/>
      <c r="AA188" s="51"/>
    </row>
    <row r="189" spans="23:27">
      <c r="W189" s="53"/>
      <c r="Y189" s="58"/>
      <c r="Z189" s="51"/>
      <c r="AA189" s="51"/>
    </row>
    <row r="190" spans="23:27">
      <c r="W190" s="53"/>
      <c r="Y190" s="58"/>
      <c r="Z190" s="51"/>
      <c r="AA190" s="51"/>
    </row>
    <row r="191" spans="23:27">
      <c r="W191" s="53"/>
      <c r="Y191" s="58"/>
      <c r="Z191" s="51"/>
      <c r="AA191" s="51"/>
    </row>
    <row r="192" spans="23:27">
      <c r="W192" s="53"/>
      <c r="Y192" s="58"/>
      <c r="Z192" s="51"/>
      <c r="AA192" s="51"/>
    </row>
    <row r="193" spans="23:27">
      <c r="W193" s="53"/>
      <c r="Y193" s="58"/>
      <c r="Z193" s="51"/>
      <c r="AA193" s="51"/>
    </row>
    <row r="194" spans="23:27">
      <c r="W194" s="53"/>
      <c r="Y194" s="58"/>
      <c r="Z194" s="51"/>
      <c r="AA194" s="51"/>
    </row>
    <row r="195" spans="23:27">
      <c r="W195" s="53"/>
      <c r="Y195" s="58"/>
      <c r="Z195" s="51"/>
      <c r="AA195" s="51"/>
    </row>
    <row r="196" spans="23:27">
      <c r="W196" s="53"/>
      <c r="Y196" s="58"/>
      <c r="Z196" s="51"/>
      <c r="AA196" s="51"/>
    </row>
    <row r="197" spans="23:27">
      <c r="W197" s="53"/>
      <c r="Y197" s="58"/>
      <c r="Z197" s="51"/>
      <c r="AA197" s="51"/>
    </row>
    <row r="198" spans="23:27">
      <c r="W198" s="53"/>
      <c r="Y198" s="58"/>
      <c r="Z198" s="51"/>
      <c r="AA198" s="51"/>
    </row>
    <row r="199" spans="23:27">
      <c r="W199" s="53"/>
      <c r="Y199" s="58"/>
      <c r="Z199" s="51"/>
      <c r="AA199" s="51"/>
    </row>
    <row r="200" spans="23:27">
      <c r="W200" s="53"/>
      <c r="Y200" s="58"/>
      <c r="Z200" s="51"/>
      <c r="AA200" s="51"/>
    </row>
    <row r="201" spans="23:27">
      <c r="W201" s="53"/>
      <c r="Y201" s="58"/>
      <c r="Z201" s="51"/>
      <c r="AA201" s="51"/>
    </row>
    <row r="202" spans="23:27">
      <c r="W202" s="53"/>
      <c r="Y202" s="58"/>
      <c r="Z202" s="51"/>
      <c r="AA202" s="51"/>
    </row>
    <row r="203" spans="23:27">
      <c r="W203" s="53"/>
      <c r="Y203" s="58"/>
      <c r="Z203" s="51"/>
      <c r="AA203" s="51"/>
    </row>
    <row r="204" spans="23:27">
      <c r="W204" s="53"/>
      <c r="Y204" s="58"/>
      <c r="Z204" s="51"/>
      <c r="AA204" s="51"/>
    </row>
    <row r="205" spans="23:27">
      <c r="W205" s="53"/>
      <c r="Y205" s="58"/>
      <c r="Z205" s="51"/>
      <c r="AA205" s="51"/>
    </row>
    <row r="206" spans="23:27">
      <c r="W206" s="53"/>
      <c r="Y206" s="58"/>
      <c r="Z206" s="51"/>
      <c r="AA206" s="51"/>
    </row>
    <row r="207" spans="23:27">
      <c r="W207" s="53"/>
      <c r="Y207" s="58"/>
      <c r="Z207" s="51"/>
      <c r="AA207" s="51"/>
    </row>
    <row r="208" spans="23:27">
      <c r="W208" s="53"/>
      <c r="Y208" s="58"/>
      <c r="Z208" s="51"/>
      <c r="AA208" s="51"/>
    </row>
    <row r="209" spans="23:27">
      <c r="W209" s="53"/>
      <c r="Y209" s="58"/>
      <c r="Z209" s="51"/>
      <c r="AA209" s="51"/>
    </row>
    <row r="210" spans="23:27">
      <c r="W210" s="53"/>
      <c r="Y210" s="58"/>
      <c r="Z210" s="51"/>
      <c r="AA210" s="51"/>
    </row>
    <row r="211" spans="23:27">
      <c r="W211" s="53"/>
      <c r="Y211" s="58"/>
      <c r="Z211" s="51"/>
      <c r="AA211" s="51"/>
    </row>
    <row r="212" spans="23:27">
      <c r="W212" s="53"/>
      <c r="Y212" s="58"/>
      <c r="Z212" s="51"/>
      <c r="AA212" s="51"/>
    </row>
    <row r="213" spans="23:27">
      <c r="W213" s="53"/>
      <c r="Y213" s="58"/>
      <c r="Z213" s="51"/>
      <c r="AA213" s="51"/>
    </row>
    <row r="214" spans="23:27">
      <c r="W214" s="53"/>
      <c r="Y214" s="58"/>
      <c r="Z214" s="51"/>
      <c r="AA214" s="51"/>
    </row>
    <row r="215" spans="23:27">
      <c r="W215" s="53"/>
      <c r="Y215" s="58"/>
      <c r="Z215" s="51"/>
      <c r="AA215" s="51"/>
    </row>
    <row r="216" spans="23:27">
      <c r="W216" s="53"/>
      <c r="Y216" s="58"/>
      <c r="Z216" s="51"/>
      <c r="AA216" s="51"/>
    </row>
    <row r="217" spans="23:27">
      <c r="W217" s="53"/>
      <c r="Y217" s="58"/>
      <c r="Z217" s="51"/>
      <c r="AA217" s="51"/>
    </row>
    <row r="218" spans="23:27">
      <c r="W218" s="53"/>
      <c r="Y218" s="58"/>
      <c r="Z218" s="51"/>
      <c r="AA218" s="51"/>
    </row>
    <row r="219" spans="23:27">
      <c r="W219" s="53"/>
      <c r="Y219" s="58"/>
      <c r="Z219" s="51"/>
      <c r="AA219" s="51"/>
    </row>
    <row r="220" spans="23:27">
      <c r="W220" s="53"/>
      <c r="Y220" s="58"/>
      <c r="Z220" s="51"/>
      <c r="AA220" s="51"/>
    </row>
    <row r="221" spans="23:27">
      <c r="W221" s="53"/>
      <c r="Y221" s="58"/>
      <c r="Z221" s="51"/>
      <c r="AA221" s="51"/>
    </row>
    <row r="222" spans="23:27">
      <c r="W222" s="53"/>
      <c r="Y222" s="58"/>
      <c r="Z222" s="51"/>
      <c r="AA222" s="51"/>
    </row>
    <row r="223" spans="23:27">
      <c r="W223" s="53"/>
      <c r="Y223" s="58"/>
      <c r="Z223" s="51"/>
      <c r="AA223" s="51"/>
    </row>
    <row r="224" spans="23:27">
      <c r="W224" s="53"/>
      <c r="Y224" s="58"/>
      <c r="Z224" s="51"/>
      <c r="AA224" s="51"/>
    </row>
    <row r="225" spans="23:27">
      <c r="W225" s="53"/>
      <c r="Y225" s="58"/>
      <c r="Z225" s="51"/>
      <c r="AA225" s="51"/>
    </row>
    <row r="226" spans="23:27">
      <c r="W226" s="53"/>
      <c r="Y226" s="58"/>
      <c r="Z226" s="51"/>
      <c r="AA226" s="51"/>
    </row>
    <row r="227" spans="23:27">
      <c r="W227" s="53"/>
      <c r="Y227" s="58"/>
      <c r="Z227" s="51"/>
      <c r="AA227" s="51"/>
    </row>
    <row r="228" spans="23:27">
      <c r="W228" s="53"/>
      <c r="Y228" s="58"/>
      <c r="Z228" s="51"/>
      <c r="AA228" s="51"/>
    </row>
    <row r="229" spans="23:27">
      <c r="W229" s="53"/>
      <c r="Y229" s="58"/>
      <c r="Z229" s="51"/>
      <c r="AA229" s="51"/>
    </row>
    <row r="230" spans="23:27">
      <c r="W230" s="53"/>
      <c r="Y230" s="58"/>
      <c r="Z230" s="51"/>
      <c r="AA230" s="51"/>
    </row>
    <row r="231" spans="23:27">
      <c r="W231" s="53"/>
      <c r="Y231" s="58"/>
      <c r="Z231" s="51"/>
      <c r="AA231" s="51"/>
    </row>
    <row r="232" spans="23:27">
      <c r="W232" s="53"/>
      <c r="Y232" s="58"/>
      <c r="Z232" s="51"/>
      <c r="AA232" s="51"/>
    </row>
    <row r="233" spans="23:27">
      <c r="W233" s="53"/>
      <c r="Y233" s="58"/>
      <c r="Z233" s="51"/>
      <c r="AA233" s="51"/>
    </row>
    <row r="234" spans="23:27">
      <c r="W234" s="53"/>
      <c r="Y234" s="58"/>
      <c r="Z234" s="51"/>
      <c r="AA234" s="51"/>
    </row>
    <row r="235" spans="23:27">
      <c r="W235" s="53"/>
      <c r="Y235" s="58"/>
      <c r="Z235" s="51"/>
      <c r="AA235" s="51"/>
    </row>
    <row r="236" spans="23:27">
      <c r="W236" s="53"/>
      <c r="Y236" s="58"/>
      <c r="Z236" s="51"/>
      <c r="AA236" s="51"/>
    </row>
    <row r="237" spans="23:27">
      <c r="W237" s="53"/>
      <c r="Y237" s="58"/>
      <c r="Z237" s="51"/>
      <c r="AA237" s="51"/>
    </row>
    <row r="238" spans="23:27">
      <c r="W238" s="53"/>
      <c r="Y238" s="58"/>
      <c r="Z238" s="51"/>
      <c r="AA238" s="51"/>
    </row>
    <row r="239" spans="23:27">
      <c r="W239" s="53"/>
      <c r="Y239" s="58"/>
      <c r="Z239" s="51"/>
      <c r="AA239" s="51"/>
    </row>
    <row r="240" spans="23:27">
      <c r="W240" s="53"/>
      <c r="Y240" s="58"/>
      <c r="Z240" s="51"/>
      <c r="AA240" s="51"/>
    </row>
    <row r="241" spans="23:27">
      <c r="W241" s="53"/>
      <c r="Y241" s="58"/>
      <c r="Z241" s="51"/>
      <c r="AA241" s="51"/>
    </row>
    <row r="242" spans="23:27">
      <c r="W242" s="53"/>
      <c r="Y242" s="58"/>
      <c r="Z242" s="51"/>
      <c r="AA242" s="51"/>
    </row>
    <row r="243" spans="23:27">
      <c r="W243" s="53"/>
      <c r="Y243" s="58"/>
      <c r="Z243" s="51"/>
      <c r="AA243" s="51"/>
    </row>
    <row r="244" spans="23:27">
      <c r="W244" s="53"/>
      <c r="Y244" s="58"/>
      <c r="Z244" s="51"/>
      <c r="AA244" s="51"/>
    </row>
    <row r="245" spans="23:27">
      <c r="W245" s="53"/>
      <c r="Y245" s="58"/>
      <c r="Z245" s="51"/>
      <c r="AA245" s="51"/>
    </row>
    <row r="246" spans="23:27">
      <c r="W246" s="53"/>
      <c r="Y246" s="58"/>
      <c r="Z246" s="51"/>
      <c r="AA246" s="51"/>
    </row>
    <row r="247" spans="23:27">
      <c r="W247" s="53"/>
      <c r="Y247" s="58"/>
      <c r="Z247" s="51"/>
      <c r="AA247" s="51"/>
    </row>
    <row r="248" spans="23:27">
      <c r="W248" s="53"/>
      <c r="Y248" s="58"/>
      <c r="Z248" s="51"/>
      <c r="AA248" s="51"/>
    </row>
    <row r="249" spans="23:27">
      <c r="W249" s="53"/>
      <c r="Y249" s="58"/>
      <c r="Z249" s="51"/>
      <c r="AA249" s="51"/>
    </row>
    <row r="250" spans="23:27">
      <c r="W250" s="53"/>
      <c r="Y250" s="58"/>
      <c r="Z250" s="51"/>
      <c r="AA250" s="51"/>
    </row>
    <row r="251" spans="23:27">
      <c r="W251" s="53"/>
      <c r="Y251" s="58"/>
      <c r="Z251" s="51"/>
      <c r="AA251" s="51"/>
    </row>
    <row r="252" spans="23:27">
      <c r="W252" s="53"/>
      <c r="Y252" s="58"/>
      <c r="Z252" s="51"/>
      <c r="AA252" s="51"/>
    </row>
    <row r="253" spans="23:27">
      <c r="W253" s="53"/>
      <c r="Y253" s="58"/>
      <c r="Z253" s="51"/>
      <c r="AA253" s="51"/>
    </row>
    <row r="254" spans="23:27">
      <c r="W254" s="53"/>
      <c r="Y254" s="58"/>
      <c r="Z254" s="51"/>
      <c r="AA254" s="51"/>
    </row>
    <row r="255" spans="23:27">
      <c r="W255" s="53"/>
      <c r="Y255" s="58"/>
      <c r="Z255" s="51"/>
      <c r="AA255" s="51"/>
    </row>
    <row r="256" spans="23:27">
      <c r="W256" s="53"/>
      <c r="Y256" s="58"/>
      <c r="Z256" s="51"/>
      <c r="AA256" s="51"/>
    </row>
    <row r="257" spans="23:27">
      <c r="W257" s="53"/>
      <c r="Y257" s="58"/>
      <c r="Z257" s="51"/>
      <c r="AA257" s="51"/>
    </row>
    <row r="258" spans="23:27">
      <c r="W258" s="53"/>
      <c r="Y258" s="58"/>
      <c r="Z258" s="51"/>
      <c r="AA258" s="51"/>
    </row>
    <row r="259" spans="23:27">
      <c r="W259" s="53"/>
      <c r="Y259" s="58"/>
      <c r="Z259" s="51"/>
      <c r="AA259" s="51"/>
    </row>
    <row r="260" spans="23:27">
      <c r="W260" s="53"/>
      <c r="Y260" s="58"/>
      <c r="Z260" s="51"/>
      <c r="AA260" s="51"/>
    </row>
    <row r="261" spans="23:27">
      <c r="W261" s="53"/>
      <c r="Y261" s="58"/>
      <c r="Z261" s="51"/>
      <c r="AA261" s="51"/>
    </row>
    <row r="262" spans="23:27">
      <c r="W262" s="53"/>
      <c r="Y262" s="58"/>
      <c r="Z262" s="51"/>
      <c r="AA262" s="51"/>
    </row>
    <row r="263" spans="23:27">
      <c r="W263" s="53"/>
      <c r="Y263" s="58"/>
      <c r="Z263" s="51"/>
      <c r="AA263" s="51"/>
    </row>
    <row r="264" spans="23:27">
      <c r="W264" s="53"/>
      <c r="Y264" s="58"/>
      <c r="Z264" s="51"/>
      <c r="AA264" s="51"/>
    </row>
    <row r="265" spans="23:27">
      <c r="W265" s="53"/>
      <c r="Y265" s="58"/>
      <c r="Z265" s="51"/>
      <c r="AA265" s="51"/>
    </row>
    <row r="266" spans="23:27">
      <c r="W266" s="53"/>
      <c r="Y266" s="58"/>
      <c r="Z266" s="51"/>
      <c r="AA266" s="51"/>
    </row>
    <row r="267" spans="23:27">
      <c r="W267" s="53"/>
      <c r="Y267" s="58"/>
      <c r="Z267" s="51"/>
      <c r="AA267" s="51"/>
    </row>
    <row r="268" spans="23:27">
      <c r="W268" s="53"/>
      <c r="Y268" s="58"/>
      <c r="Z268" s="51"/>
      <c r="AA268" s="51"/>
    </row>
    <row r="269" spans="23:27">
      <c r="W269" s="53"/>
      <c r="Y269" s="58"/>
      <c r="Z269" s="51"/>
      <c r="AA269" s="51"/>
    </row>
    <row r="270" spans="23:27">
      <c r="W270" s="53"/>
      <c r="Y270" s="58"/>
      <c r="Z270" s="51"/>
      <c r="AA270" s="51"/>
    </row>
    <row r="271" spans="23:27">
      <c r="W271" s="53"/>
      <c r="Y271" s="58"/>
      <c r="Z271" s="51"/>
      <c r="AA271" s="51"/>
    </row>
    <row r="272" spans="23:27">
      <c r="W272" s="53"/>
      <c r="Y272" s="58"/>
      <c r="Z272" s="51"/>
      <c r="AA272" s="51"/>
    </row>
    <row r="273" spans="23:27">
      <c r="W273" s="53"/>
      <c r="Y273" s="58"/>
      <c r="Z273" s="51"/>
      <c r="AA273" s="51"/>
    </row>
    <row r="274" spans="23:27">
      <c r="W274" s="53"/>
      <c r="Y274" s="58"/>
      <c r="Z274" s="51"/>
      <c r="AA274" s="51"/>
    </row>
    <row r="275" spans="23:27">
      <c r="W275" s="53"/>
      <c r="Y275" s="58"/>
      <c r="Z275" s="51"/>
      <c r="AA275" s="51"/>
    </row>
    <row r="276" spans="23:27">
      <c r="W276" s="53"/>
      <c r="Y276" s="58"/>
      <c r="Z276" s="51"/>
      <c r="AA276" s="51"/>
    </row>
    <row r="277" spans="23:27">
      <c r="W277" s="53"/>
      <c r="Y277" s="58"/>
      <c r="Z277" s="51"/>
      <c r="AA277" s="51"/>
    </row>
    <row r="278" spans="23:27">
      <c r="W278" s="53"/>
      <c r="Y278" s="58"/>
      <c r="Z278" s="51"/>
      <c r="AA278" s="51"/>
    </row>
    <row r="279" spans="23:27">
      <c r="W279" s="53"/>
      <c r="Y279" s="58"/>
      <c r="Z279" s="51"/>
      <c r="AA279" s="51"/>
    </row>
    <row r="280" spans="23:27">
      <c r="W280" s="53"/>
      <c r="Y280" s="58"/>
      <c r="Z280" s="51"/>
      <c r="AA280" s="51"/>
    </row>
    <row r="281" spans="23:27">
      <c r="W281" s="53"/>
      <c r="Y281" s="58"/>
      <c r="Z281" s="51"/>
      <c r="AA281" s="51"/>
    </row>
    <row r="282" spans="23:27">
      <c r="W282" s="53"/>
      <c r="Y282" s="58"/>
      <c r="Z282" s="51"/>
      <c r="AA282" s="51"/>
    </row>
    <row r="283" spans="23:27">
      <c r="W283" s="53"/>
      <c r="Y283" s="58"/>
      <c r="Z283" s="51"/>
      <c r="AA283" s="51"/>
    </row>
    <row r="284" spans="23:27">
      <c r="W284" s="53"/>
      <c r="Y284" s="58"/>
      <c r="Z284" s="51"/>
      <c r="AA284" s="51"/>
    </row>
    <row r="285" spans="23:27">
      <c r="W285" s="53"/>
      <c r="Y285" s="58"/>
      <c r="Z285" s="51"/>
      <c r="AA285" s="51"/>
    </row>
    <row r="286" spans="23:27">
      <c r="W286" s="53"/>
      <c r="Y286" s="58"/>
      <c r="Z286" s="51"/>
      <c r="AA286" s="51"/>
    </row>
    <row r="287" spans="23:27">
      <c r="W287" s="53"/>
      <c r="Y287" s="58"/>
      <c r="Z287" s="51"/>
      <c r="AA287" s="51"/>
    </row>
    <row r="288" spans="23:27">
      <c r="W288" s="53"/>
      <c r="Y288" s="58"/>
      <c r="Z288" s="51"/>
      <c r="AA288" s="51"/>
    </row>
    <row r="289" spans="23:27">
      <c r="W289" s="53"/>
      <c r="Y289" s="58"/>
      <c r="Z289" s="51"/>
      <c r="AA289" s="51"/>
    </row>
    <row r="290" spans="23:27">
      <c r="W290" s="53"/>
      <c r="Y290" s="58"/>
      <c r="Z290" s="51"/>
      <c r="AA290" s="51"/>
    </row>
    <row r="291" spans="23:27">
      <c r="W291" s="53"/>
      <c r="Y291" s="58"/>
      <c r="Z291" s="51"/>
      <c r="AA291" s="51"/>
    </row>
    <row r="292" spans="23:27">
      <c r="W292" s="53"/>
      <c r="Y292" s="58"/>
      <c r="Z292" s="51"/>
      <c r="AA292" s="51"/>
    </row>
    <row r="293" spans="23:27">
      <c r="W293" s="53"/>
      <c r="Y293" s="58"/>
      <c r="Z293" s="51"/>
      <c r="AA293" s="51"/>
    </row>
    <row r="294" spans="23:27">
      <c r="W294" s="53"/>
      <c r="Y294" s="58"/>
      <c r="Z294" s="51"/>
      <c r="AA294" s="51"/>
    </row>
    <row r="295" spans="23:27">
      <c r="W295" s="53"/>
      <c r="Y295" s="58"/>
      <c r="Z295" s="51"/>
      <c r="AA295" s="51"/>
    </row>
    <row r="296" spans="23:27">
      <c r="W296" s="53"/>
      <c r="Y296" s="58"/>
      <c r="Z296" s="51"/>
      <c r="AA296" s="51"/>
    </row>
    <row r="297" spans="23:27">
      <c r="W297" s="53"/>
      <c r="Y297" s="58"/>
      <c r="Z297" s="51"/>
      <c r="AA297" s="51"/>
    </row>
    <row r="298" spans="23:27">
      <c r="W298" s="53"/>
      <c r="Y298" s="58"/>
      <c r="Z298" s="51"/>
      <c r="AA298" s="51"/>
    </row>
    <row r="299" spans="23:27">
      <c r="W299" s="53"/>
      <c r="Y299" s="58"/>
      <c r="Z299" s="51"/>
      <c r="AA299" s="51"/>
    </row>
    <row r="300" spans="23:27">
      <c r="W300" s="53"/>
      <c r="Y300" s="58"/>
      <c r="Z300" s="51"/>
      <c r="AA300" s="51"/>
    </row>
    <row r="301" spans="23:27">
      <c r="W301" s="53"/>
      <c r="Y301" s="58"/>
      <c r="Z301" s="51"/>
      <c r="AA301" s="51"/>
    </row>
    <row r="302" spans="23:27">
      <c r="W302" s="53"/>
      <c r="Y302" s="58"/>
      <c r="Z302" s="51"/>
      <c r="AA302" s="51"/>
    </row>
    <row r="303" spans="23:27">
      <c r="W303" s="53"/>
      <c r="Y303" s="58"/>
      <c r="Z303" s="51"/>
      <c r="AA303" s="51"/>
    </row>
    <row r="304" spans="23:27">
      <c r="W304" s="53"/>
      <c r="Y304" s="58"/>
      <c r="Z304" s="51"/>
      <c r="AA304" s="51"/>
    </row>
    <row r="305" spans="23:27">
      <c r="W305" s="53"/>
      <c r="Y305" s="58"/>
      <c r="Z305" s="51"/>
      <c r="AA305" s="51"/>
    </row>
    <row r="306" spans="23:27">
      <c r="W306" s="53"/>
      <c r="Y306" s="58"/>
      <c r="Z306" s="51"/>
      <c r="AA306" s="51"/>
    </row>
    <row r="307" spans="23:27">
      <c r="W307" s="53"/>
      <c r="Y307" s="58"/>
      <c r="Z307" s="51"/>
      <c r="AA307" s="51"/>
    </row>
    <row r="308" spans="23:27">
      <c r="W308" s="53"/>
      <c r="Y308" s="58"/>
      <c r="Z308" s="51"/>
      <c r="AA308" s="51"/>
    </row>
    <row r="309" spans="23:27">
      <c r="W309" s="53"/>
      <c r="Y309" s="58"/>
      <c r="Z309" s="51"/>
      <c r="AA309" s="51"/>
    </row>
    <row r="310" spans="23:27">
      <c r="W310" s="53"/>
      <c r="Y310" s="58"/>
      <c r="Z310" s="51"/>
      <c r="AA310" s="51"/>
    </row>
    <row r="311" spans="23:27">
      <c r="W311" s="53"/>
      <c r="Y311" s="58"/>
      <c r="Z311" s="51"/>
      <c r="AA311" s="51"/>
    </row>
    <row r="312" spans="23:27">
      <c r="W312" s="53"/>
      <c r="Y312" s="58"/>
      <c r="Z312" s="51"/>
      <c r="AA312" s="51"/>
    </row>
    <row r="313" spans="23:27">
      <c r="W313" s="53"/>
      <c r="Y313" s="58"/>
      <c r="Z313" s="51"/>
      <c r="AA313" s="51"/>
    </row>
    <row r="314" spans="23:27">
      <c r="W314" s="53"/>
      <c r="Y314" s="58"/>
      <c r="Z314" s="51"/>
      <c r="AA314" s="51"/>
    </row>
    <row r="315" spans="23:27">
      <c r="W315" s="53"/>
      <c r="Y315" s="58"/>
      <c r="Z315" s="51"/>
      <c r="AA315" s="51"/>
    </row>
    <row r="316" spans="23:27">
      <c r="W316" s="53"/>
      <c r="Y316" s="58"/>
      <c r="Z316" s="51"/>
      <c r="AA316" s="51"/>
    </row>
    <row r="317" spans="23:27">
      <c r="W317" s="53"/>
      <c r="Y317" s="58"/>
      <c r="Z317" s="51"/>
      <c r="AA317" s="51"/>
    </row>
    <row r="318" spans="23:27">
      <c r="W318" s="53"/>
      <c r="Y318" s="58"/>
      <c r="Z318" s="51"/>
      <c r="AA318" s="51"/>
    </row>
    <row r="319" spans="23:27">
      <c r="W319" s="53"/>
      <c r="Y319" s="58"/>
      <c r="Z319" s="51"/>
      <c r="AA319" s="51"/>
    </row>
    <row r="320" spans="23:27">
      <c r="W320" s="53"/>
      <c r="Y320" s="58"/>
      <c r="Z320" s="51"/>
      <c r="AA320" s="51"/>
    </row>
    <row r="321" spans="23:27">
      <c r="W321" s="53"/>
      <c r="Y321" s="58"/>
      <c r="Z321" s="51"/>
      <c r="AA321" s="51"/>
    </row>
    <row r="322" spans="23:27">
      <c r="W322" s="53"/>
      <c r="Y322" s="58"/>
      <c r="Z322" s="51"/>
      <c r="AA322" s="51"/>
    </row>
    <row r="323" spans="23:27">
      <c r="W323" s="53"/>
      <c r="Y323" s="58"/>
      <c r="Z323" s="51"/>
      <c r="AA323" s="51"/>
    </row>
    <row r="324" spans="23:27">
      <c r="W324" s="53"/>
      <c r="Y324" s="58"/>
      <c r="Z324" s="51"/>
      <c r="AA324" s="51"/>
    </row>
    <row r="325" spans="23:27">
      <c r="W325" s="53"/>
      <c r="Y325" s="58"/>
      <c r="Z325" s="51"/>
      <c r="AA325" s="51"/>
    </row>
    <row r="326" spans="23:27">
      <c r="W326" s="53"/>
      <c r="Y326" s="58"/>
      <c r="Z326" s="51"/>
      <c r="AA326" s="51"/>
    </row>
    <row r="327" spans="23:27">
      <c r="W327" s="53"/>
      <c r="Y327" s="58"/>
      <c r="Z327" s="51"/>
      <c r="AA327" s="51"/>
    </row>
    <row r="328" spans="23:27">
      <c r="W328" s="53"/>
      <c r="Y328" s="58"/>
      <c r="Z328" s="51"/>
      <c r="AA328" s="51"/>
    </row>
    <row r="329" spans="23:27">
      <c r="W329" s="53"/>
      <c r="Y329" s="58"/>
      <c r="Z329" s="51"/>
      <c r="AA329" s="51"/>
    </row>
    <row r="330" spans="23:27">
      <c r="W330" s="53"/>
      <c r="Y330" s="58"/>
      <c r="Z330" s="51"/>
      <c r="AA330" s="51"/>
    </row>
    <row r="331" spans="23:27">
      <c r="W331" s="53"/>
      <c r="Y331" s="58"/>
      <c r="Z331" s="51"/>
      <c r="AA331" s="51"/>
    </row>
    <row r="332" spans="23:27">
      <c r="W332" s="53"/>
      <c r="Y332" s="58"/>
      <c r="Z332" s="51"/>
      <c r="AA332" s="51"/>
    </row>
    <row r="333" spans="23:27">
      <c r="W333" s="53"/>
      <c r="Y333" s="58"/>
      <c r="Z333" s="51"/>
      <c r="AA333" s="51"/>
    </row>
    <row r="334" spans="23:27">
      <c r="W334" s="53"/>
      <c r="Y334" s="58"/>
      <c r="Z334" s="51"/>
      <c r="AA334" s="51"/>
    </row>
    <row r="335" spans="23:27">
      <c r="W335" s="53"/>
      <c r="Y335" s="58"/>
      <c r="Z335" s="51"/>
      <c r="AA335" s="51"/>
    </row>
    <row r="336" spans="23:27">
      <c r="W336" s="53"/>
      <c r="Y336" s="58"/>
      <c r="Z336" s="51"/>
      <c r="AA336" s="51"/>
    </row>
    <row r="337" spans="23:27">
      <c r="W337" s="53"/>
      <c r="Y337" s="58"/>
      <c r="Z337" s="51"/>
      <c r="AA337" s="51"/>
    </row>
    <row r="338" spans="23:27">
      <c r="W338" s="53"/>
      <c r="Y338" s="58"/>
      <c r="Z338" s="51"/>
      <c r="AA338" s="51"/>
    </row>
    <row r="339" spans="23:27">
      <c r="W339" s="53"/>
      <c r="Y339" s="58"/>
      <c r="Z339" s="51"/>
      <c r="AA339" s="51"/>
    </row>
    <row r="340" spans="23:27">
      <c r="W340" s="53"/>
      <c r="Y340" s="58"/>
      <c r="Z340" s="51"/>
      <c r="AA340" s="51"/>
    </row>
    <row r="341" spans="23:27">
      <c r="W341" s="53"/>
      <c r="Y341" s="58"/>
      <c r="Z341" s="51"/>
      <c r="AA341" s="51"/>
    </row>
    <row r="342" spans="23:27">
      <c r="W342" s="53"/>
      <c r="Y342" s="58"/>
      <c r="Z342" s="51"/>
      <c r="AA342" s="51"/>
    </row>
    <row r="343" spans="23:27">
      <c r="W343" s="53"/>
      <c r="Y343" s="58"/>
      <c r="Z343" s="51"/>
      <c r="AA343" s="51"/>
    </row>
    <row r="344" spans="23:27">
      <c r="W344" s="53"/>
      <c r="Y344" s="58"/>
      <c r="Z344" s="51"/>
      <c r="AA344" s="51"/>
    </row>
    <row r="345" spans="23:27">
      <c r="W345" s="53"/>
      <c r="Y345" s="58"/>
      <c r="Z345" s="51"/>
      <c r="AA345" s="51"/>
    </row>
    <row r="346" spans="23:27">
      <c r="W346" s="53"/>
      <c r="Y346" s="58"/>
      <c r="Z346" s="51"/>
      <c r="AA346" s="51"/>
    </row>
    <row r="347" spans="23:27">
      <c r="W347" s="53"/>
      <c r="Y347" s="58"/>
      <c r="Z347" s="51"/>
      <c r="AA347" s="51"/>
    </row>
    <row r="348" spans="23:27">
      <c r="W348" s="53"/>
      <c r="Y348" s="58"/>
      <c r="Z348" s="51"/>
      <c r="AA348" s="51"/>
    </row>
    <row r="349" spans="23:27">
      <c r="W349" s="53"/>
      <c r="Y349" s="58"/>
      <c r="Z349" s="51"/>
      <c r="AA349" s="51"/>
    </row>
    <row r="350" spans="23:27">
      <c r="W350" s="53"/>
      <c r="Y350" s="58"/>
      <c r="Z350" s="51"/>
      <c r="AA350" s="51"/>
    </row>
    <row r="351" spans="23:27">
      <c r="W351" s="53"/>
      <c r="Y351" s="58"/>
      <c r="Z351" s="51"/>
      <c r="AA351" s="51"/>
    </row>
    <row r="352" spans="23:27">
      <c r="W352" s="53"/>
      <c r="Y352" s="58"/>
      <c r="Z352" s="51"/>
      <c r="AA352" s="51"/>
    </row>
    <row r="353" spans="23:27">
      <c r="W353" s="53"/>
      <c r="Y353" s="58"/>
      <c r="Z353" s="51"/>
      <c r="AA353" s="51"/>
    </row>
    <row r="354" spans="23:27">
      <c r="W354" s="53"/>
      <c r="Y354" s="58"/>
      <c r="Z354" s="51"/>
      <c r="AA354" s="51"/>
    </row>
    <row r="355" spans="23:27">
      <c r="W355" s="53"/>
      <c r="Y355" s="58"/>
      <c r="Z355" s="51"/>
      <c r="AA355" s="51"/>
    </row>
    <row r="356" spans="23:27">
      <c r="W356" s="53"/>
      <c r="Y356" s="58"/>
      <c r="Z356" s="51"/>
      <c r="AA356" s="51"/>
    </row>
    <row r="357" spans="23:27">
      <c r="W357" s="53"/>
      <c r="Y357" s="58"/>
      <c r="Z357" s="51"/>
      <c r="AA357" s="51"/>
    </row>
    <row r="358" spans="23:27">
      <c r="W358" s="53"/>
      <c r="Y358" s="58"/>
      <c r="Z358" s="51"/>
      <c r="AA358" s="51"/>
    </row>
    <row r="359" spans="23:27">
      <c r="W359" s="53"/>
      <c r="Y359" s="58"/>
      <c r="Z359" s="51"/>
      <c r="AA359" s="51"/>
    </row>
    <row r="360" spans="23:27">
      <c r="W360" s="53"/>
      <c r="Y360" s="58"/>
      <c r="Z360" s="51"/>
      <c r="AA360" s="51"/>
    </row>
    <row r="361" spans="23:27">
      <c r="W361" s="53"/>
      <c r="Y361" s="58"/>
      <c r="Z361" s="51"/>
      <c r="AA361" s="51"/>
    </row>
    <row r="362" spans="23:27">
      <c r="W362" s="53"/>
      <c r="Y362" s="58"/>
      <c r="Z362" s="51"/>
      <c r="AA362" s="51"/>
    </row>
    <row r="363" spans="23:27">
      <c r="W363" s="53"/>
      <c r="Y363" s="58"/>
      <c r="Z363" s="51"/>
      <c r="AA363" s="51"/>
    </row>
    <row r="364" spans="23:27">
      <c r="W364" s="53"/>
      <c r="Y364" s="58"/>
      <c r="Z364" s="51"/>
      <c r="AA364" s="51"/>
    </row>
    <row r="365" spans="23:27">
      <c r="W365" s="53"/>
      <c r="Y365" s="58"/>
      <c r="Z365" s="51"/>
      <c r="AA365" s="51"/>
    </row>
    <row r="366" spans="23:27">
      <c r="W366" s="53"/>
      <c r="Y366" s="58"/>
      <c r="Z366" s="51"/>
      <c r="AA366" s="51"/>
    </row>
    <row r="367" spans="23:27">
      <c r="W367" s="53"/>
      <c r="Y367" s="58"/>
      <c r="Z367" s="51"/>
      <c r="AA367" s="51"/>
    </row>
    <row r="368" spans="23:27">
      <c r="W368" s="53"/>
      <c r="Y368" s="58"/>
      <c r="Z368" s="51"/>
      <c r="AA368" s="51"/>
    </row>
    <row r="369" spans="23:27">
      <c r="W369" s="53"/>
      <c r="Y369" s="58"/>
      <c r="Z369" s="51"/>
      <c r="AA369" s="51"/>
    </row>
    <row r="370" spans="23:27">
      <c r="W370" s="53"/>
      <c r="Y370" s="58"/>
      <c r="Z370" s="51"/>
      <c r="AA370" s="51"/>
    </row>
    <row r="371" spans="23:27">
      <c r="W371" s="53"/>
      <c r="Y371" s="58"/>
      <c r="Z371" s="51"/>
      <c r="AA371" s="51"/>
    </row>
    <row r="372" spans="23:27">
      <c r="W372" s="53"/>
      <c r="Y372" s="58"/>
      <c r="Z372" s="51"/>
      <c r="AA372" s="51"/>
    </row>
    <row r="373" spans="23:27">
      <c r="W373" s="53"/>
      <c r="Y373" s="58"/>
      <c r="Z373" s="51"/>
      <c r="AA373" s="51"/>
    </row>
    <row r="374" spans="23:27">
      <c r="W374" s="53"/>
      <c r="Y374" s="58"/>
      <c r="Z374" s="51"/>
      <c r="AA374" s="51"/>
    </row>
    <row r="375" spans="23:27">
      <c r="W375" s="53"/>
      <c r="Y375" s="58"/>
      <c r="Z375" s="51"/>
      <c r="AA375" s="51"/>
    </row>
    <row r="376" spans="23:27">
      <c r="W376" s="53"/>
      <c r="Y376" s="58"/>
      <c r="Z376" s="51"/>
      <c r="AA376" s="51"/>
    </row>
    <row r="377" spans="23:27">
      <c r="W377" s="53"/>
      <c r="Y377" s="58"/>
      <c r="Z377" s="51"/>
      <c r="AA377" s="51"/>
    </row>
    <row r="378" spans="23:27">
      <c r="W378" s="53"/>
      <c r="Y378" s="58"/>
      <c r="Z378" s="51"/>
      <c r="AA378" s="51"/>
    </row>
    <row r="379" spans="23:27">
      <c r="W379" s="53"/>
      <c r="Y379" s="58"/>
      <c r="Z379" s="51"/>
      <c r="AA379" s="51"/>
    </row>
    <row r="380" spans="23:27">
      <c r="W380" s="53"/>
      <c r="Y380" s="58"/>
      <c r="Z380" s="51"/>
      <c r="AA380" s="51"/>
    </row>
    <row r="381" spans="23:27">
      <c r="W381" s="53"/>
      <c r="Y381" s="58"/>
      <c r="Z381" s="51"/>
      <c r="AA381" s="51"/>
    </row>
    <row r="382" spans="23:27">
      <c r="W382" s="53"/>
      <c r="Y382" s="58"/>
      <c r="Z382" s="51"/>
      <c r="AA382" s="51"/>
    </row>
    <row r="383" spans="23:27">
      <c r="W383" s="53"/>
      <c r="Y383" s="58"/>
      <c r="Z383" s="51"/>
      <c r="AA383" s="51"/>
    </row>
    <row r="384" spans="23:27">
      <c r="W384" s="53"/>
      <c r="Y384" s="58"/>
      <c r="Z384" s="51"/>
      <c r="AA384" s="51"/>
    </row>
    <row r="385" spans="23:27">
      <c r="W385" s="53"/>
      <c r="Y385" s="58"/>
      <c r="Z385" s="51"/>
      <c r="AA385" s="51"/>
    </row>
    <row r="386" spans="23:27">
      <c r="W386" s="53"/>
      <c r="Y386" s="58"/>
      <c r="Z386" s="51"/>
      <c r="AA386" s="51"/>
    </row>
    <row r="387" spans="23:27">
      <c r="W387" s="53"/>
      <c r="Y387" s="58"/>
      <c r="Z387" s="51"/>
      <c r="AA387" s="51"/>
    </row>
    <row r="388" spans="23:27">
      <c r="W388" s="53"/>
      <c r="Y388" s="58"/>
      <c r="Z388" s="51"/>
      <c r="AA388" s="51"/>
    </row>
    <row r="389" spans="23:27">
      <c r="W389" s="53"/>
      <c r="Y389" s="58"/>
      <c r="Z389" s="51"/>
      <c r="AA389" s="51"/>
    </row>
    <row r="390" spans="23:27">
      <c r="W390" s="53"/>
      <c r="Y390" s="58"/>
      <c r="Z390" s="51"/>
      <c r="AA390" s="51"/>
    </row>
    <row r="391" spans="23:27">
      <c r="W391" s="53"/>
      <c r="Y391" s="58"/>
      <c r="Z391" s="51"/>
      <c r="AA391" s="51"/>
    </row>
    <row r="392" spans="23:27">
      <c r="W392" s="53"/>
      <c r="Y392" s="58"/>
      <c r="Z392" s="51"/>
      <c r="AA392" s="51"/>
    </row>
    <row r="393" spans="23:27">
      <c r="W393" s="53"/>
      <c r="Y393" s="58"/>
      <c r="Z393" s="51"/>
      <c r="AA393" s="51"/>
    </row>
    <row r="394" spans="23:27">
      <c r="W394" s="53"/>
      <c r="Y394" s="58"/>
      <c r="Z394" s="51"/>
      <c r="AA394" s="51"/>
    </row>
    <row r="395" spans="23:27">
      <c r="W395" s="53"/>
      <c r="Y395" s="58"/>
      <c r="Z395" s="51"/>
      <c r="AA395" s="51"/>
    </row>
    <row r="396" spans="23:27">
      <c r="W396" s="53"/>
      <c r="Y396" s="58"/>
      <c r="Z396" s="51"/>
      <c r="AA396" s="51"/>
    </row>
    <row r="397" spans="23:27">
      <c r="W397" s="53"/>
      <c r="Y397" s="58"/>
      <c r="Z397" s="51"/>
      <c r="AA397" s="51"/>
    </row>
    <row r="398" spans="23:27">
      <c r="W398" s="53"/>
      <c r="Y398" s="58"/>
      <c r="Z398" s="51"/>
      <c r="AA398" s="51"/>
    </row>
    <row r="399" spans="23:27">
      <c r="W399" s="53"/>
      <c r="Y399" s="58"/>
      <c r="Z399" s="51"/>
      <c r="AA399" s="51"/>
    </row>
    <row r="400" spans="23:27">
      <c r="W400" s="53"/>
      <c r="Y400" s="58"/>
      <c r="Z400" s="51"/>
      <c r="AA400" s="51"/>
    </row>
    <row r="401" spans="23:27">
      <c r="W401" s="53"/>
      <c r="Y401" s="58"/>
      <c r="Z401" s="51"/>
      <c r="AA401" s="51"/>
    </row>
    <row r="402" spans="23:27">
      <c r="W402" s="53"/>
      <c r="Y402" s="58"/>
      <c r="Z402" s="51"/>
      <c r="AA402" s="51"/>
    </row>
    <row r="403" spans="23:27">
      <c r="W403" s="53"/>
      <c r="Y403" s="58"/>
      <c r="Z403" s="51"/>
      <c r="AA403" s="51"/>
    </row>
    <row r="404" spans="23:27">
      <c r="W404" s="53"/>
      <c r="Y404" s="58"/>
      <c r="Z404" s="51"/>
      <c r="AA404" s="51"/>
    </row>
    <row r="405" spans="23:27">
      <c r="W405" s="53"/>
      <c r="Y405" s="58"/>
      <c r="Z405" s="51"/>
      <c r="AA405" s="51"/>
    </row>
    <row r="406" spans="23:27">
      <c r="W406" s="53"/>
      <c r="Y406" s="58"/>
      <c r="Z406" s="51"/>
      <c r="AA406" s="51"/>
    </row>
    <row r="407" spans="23:27">
      <c r="W407" s="53"/>
      <c r="Y407" s="58"/>
      <c r="Z407" s="51"/>
      <c r="AA407" s="51"/>
    </row>
    <row r="408" spans="23:27">
      <c r="W408" s="53"/>
      <c r="Y408" s="58"/>
      <c r="Z408" s="51"/>
      <c r="AA408" s="51"/>
    </row>
    <row r="409" spans="23:27">
      <c r="W409" s="53"/>
      <c r="Y409" s="58"/>
      <c r="Z409" s="51"/>
      <c r="AA409" s="51"/>
    </row>
    <row r="410" spans="23:27">
      <c r="W410" s="53"/>
      <c r="Y410" s="58"/>
      <c r="Z410" s="51"/>
      <c r="AA410" s="51"/>
    </row>
    <row r="411" spans="23:27">
      <c r="W411" s="53"/>
      <c r="Y411" s="58"/>
      <c r="Z411" s="51"/>
      <c r="AA411" s="51"/>
    </row>
    <row r="412" spans="23:27">
      <c r="W412" s="53"/>
      <c r="Y412" s="58"/>
      <c r="Z412" s="51"/>
      <c r="AA412" s="51"/>
    </row>
    <row r="413" spans="23:27">
      <c r="W413" s="53"/>
      <c r="Y413" s="58"/>
      <c r="Z413" s="51"/>
      <c r="AA413" s="51"/>
    </row>
    <row r="414" spans="23:27">
      <c r="W414" s="53"/>
      <c r="Y414" s="58"/>
      <c r="Z414" s="51"/>
      <c r="AA414" s="51"/>
    </row>
    <row r="415" spans="23:27">
      <c r="W415" s="53"/>
      <c r="Y415" s="58"/>
      <c r="Z415" s="51"/>
      <c r="AA415" s="51"/>
    </row>
    <row r="416" spans="23:27">
      <c r="W416" s="53"/>
      <c r="Y416" s="58"/>
      <c r="Z416" s="51"/>
      <c r="AA416" s="51"/>
    </row>
    <row r="417" spans="23:27">
      <c r="W417" s="53"/>
      <c r="Y417" s="58"/>
      <c r="Z417" s="51"/>
      <c r="AA417" s="51"/>
    </row>
    <row r="418" spans="23:27">
      <c r="W418" s="53"/>
      <c r="Y418" s="58"/>
      <c r="Z418" s="51"/>
      <c r="AA418" s="51"/>
    </row>
    <row r="419" spans="23:27">
      <c r="W419" s="53"/>
      <c r="Y419" s="58"/>
      <c r="Z419" s="51"/>
      <c r="AA419" s="51"/>
    </row>
    <row r="420" spans="23:27">
      <c r="W420" s="53"/>
      <c r="Y420" s="58"/>
      <c r="Z420" s="51"/>
      <c r="AA420" s="51"/>
    </row>
    <row r="421" spans="23:27">
      <c r="W421" s="53"/>
      <c r="Y421" s="58"/>
      <c r="Z421" s="51"/>
      <c r="AA421" s="51"/>
    </row>
    <row r="422" spans="23:27">
      <c r="W422" s="53"/>
      <c r="Y422" s="58"/>
      <c r="Z422" s="51"/>
      <c r="AA422" s="51"/>
    </row>
    <row r="423" spans="23:27">
      <c r="W423" s="53"/>
      <c r="Y423" s="58"/>
      <c r="Z423" s="51"/>
      <c r="AA423" s="51"/>
    </row>
    <row r="424" spans="23:27">
      <c r="W424" s="53"/>
      <c r="Y424" s="58"/>
      <c r="Z424" s="51"/>
      <c r="AA424" s="51"/>
    </row>
    <row r="425" spans="23:27">
      <c r="W425" s="53"/>
      <c r="Y425" s="58"/>
      <c r="Z425" s="51"/>
      <c r="AA425" s="51"/>
    </row>
    <row r="426" spans="23:27">
      <c r="W426" s="53"/>
      <c r="Y426" s="58"/>
      <c r="Z426" s="51"/>
      <c r="AA426" s="51"/>
    </row>
    <row r="427" spans="23:27">
      <c r="W427" s="53"/>
      <c r="Y427" s="58"/>
      <c r="Z427" s="51"/>
      <c r="AA427" s="51"/>
    </row>
    <row r="428" spans="23:27">
      <c r="W428" s="53"/>
      <c r="Y428" s="58"/>
      <c r="Z428" s="51"/>
      <c r="AA428" s="51"/>
    </row>
    <row r="429" spans="23:27">
      <c r="W429" s="53"/>
      <c r="Y429" s="58"/>
      <c r="Z429" s="51"/>
      <c r="AA429" s="51"/>
    </row>
    <row r="430" spans="23:27">
      <c r="W430" s="53"/>
      <c r="Y430" s="58"/>
      <c r="Z430" s="51"/>
      <c r="AA430" s="51"/>
    </row>
    <row r="431" spans="23:27">
      <c r="W431" s="53"/>
      <c r="Y431" s="58"/>
      <c r="Z431" s="51"/>
      <c r="AA431" s="51"/>
    </row>
    <row r="432" spans="23:27">
      <c r="W432" s="53"/>
      <c r="Y432" s="58"/>
      <c r="Z432" s="51"/>
      <c r="AA432" s="51"/>
    </row>
    <row r="433" spans="23:27">
      <c r="W433" s="53"/>
      <c r="Y433" s="58"/>
      <c r="Z433" s="51"/>
      <c r="AA433" s="51"/>
    </row>
    <row r="434" spans="23:27">
      <c r="W434" s="53"/>
      <c r="Y434" s="58"/>
      <c r="Z434" s="51"/>
      <c r="AA434" s="51"/>
    </row>
    <row r="435" spans="23:27">
      <c r="W435" s="53"/>
      <c r="Y435" s="58"/>
      <c r="Z435" s="51"/>
      <c r="AA435" s="51"/>
    </row>
    <row r="436" spans="23:27">
      <c r="W436" s="53"/>
      <c r="Y436" s="58"/>
      <c r="Z436" s="51"/>
      <c r="AA436" s="51"/>
    </row>
    <row r="437" spans="23:27">
      <c r="W437" s="53"/>
      <c r="Y437" s="58"/>
      <c r="Z437" s="51"/>
      <c r="AA437" s="51"/>
    </row>
    <row r="438" spans="23:27">
      <c r="W438" s="53"/>
      <c r="Y438" s="58"/>
      <c r="Z438" s="51"/>
      <c r="AA438" s="51"/>
    </row>
    <row r="439" spans="23:27">
      <c r="W439" s="53"/>
      <c r="Y439" s="58"/>
      <c r="Z439" s="51"/>
      <c r="AA439" s="51"/>
    </row>
    <row r="440" spans="23:27">
      <c r="W440" s="53"/>
      <c r="Y440" s="58"/>
      <c r="Z440" s="51"/>
      <c r="AA440" s="51"/>
    </row>
    <row r="441" spans="23:27">
      <c r="W441" s="53"/>
      <c r="Y441" s="58"/>
      <c r="Z441" s="51"/>
      <c r="AA441" s="51"/>
    </row>
    <row r="442" spans="23:27">
      <c r="W442" s="53"/>
      <c r="Y442" s="58"/>
      <c r="Z442" s="51"/>
      <c r="AA442" s="51"/>
    </row>
    <row r="443" spans="23:27">
      <c r="W443" s="53"/>
      <c r="Y443" s="58"/>
      <c r="Z443" s="51"/>
      <c r="AA443" s="51"/>
    </row>
    <row r="444" spans="23:27">
      <c r="W444" s="53"/>
      <c r="Y444" s="58"/>
      <c r="Z444" s="51"/>
      <c r="AA444" s="51"/>
    </row>
    <row r="445" spans="23:27">
      <c r="W445" s="53"/>
      <c r="Y445" s="58"/>
      <c r="Z445" s="51"/>
      <c r="AA445" s="51"/>
    </row>
    <row r="446" spans="23:27">
      <c r="W446" s="53"/>
      <c r="Y446" s="58"/>
      <c r="Z446" s="51"/>
      <c r="AA446" s="51"/>
    </row>
    <row r="447" spans="23:27">
      <c r="W447" s="53"/>
      <c r="Y447" s="58"/>
      <c r="Z447" s="51"/>
      <c r="AA447" s="51"/>
    </row>
    <row r="448" spans="23:27">
      <c r="W448" s="53"/>
      <c r="Y448" s="58"/>
      <c r="Z448" s="51"/>
      <c r="AA448" s="51"/>
    </row>
    <row r="449" spans="23:27">
      <c r="W449" s="53"/>
      <c r="Y449" s="58"/>
      <c r="Z449" s="51"/>
      <c r="AA449" s="51"/>
    </row>
    <row r="450" spans="23:27">
      <c r="W450" s="53"/>
      <c r="Y450" s="58"/>
      <c r="Z450" s="51"/>
      <c r="AA450" s="51"/>
    </row>
    <row r="451" spans="23:27">
      <c r="W451" s="53"/>
      <c r="Y451" s="58"/>
      <c r="Z451" s="51"/>
      <c r="AA451" s="51"/>
    </row>
    <row r="452" spans="23:27">
      <c r="W452" s="53"/>
      <c r="Y452" s="58"/>
      <c r="Z452" s="51"/>
      <c r="AA452" s="51"/>
    </row>
    <row r="453" spans="23:27">
      <c r="W453" s="53"/>
      <c r="Y453" s="58"/>
      <c r="Z453" s="51"/>
      <c r="AA453" s="51"/>
    </row>
    <row r="454" spans="23:27">
      <c r="W454" s="53"/>
      <c r="Y454" s="58"/>
      <c r="Z454" s="51"/>
      <c r="AA454" s="51"/>
    </row>
    <row r="455" spans="23:27">
      <c r="W455" s="53"/>
      <c r="Y455" s="58"/>
      <c r="Z455" s="51"/>
      <c r="AA455" s="51"/>
    </row>
    <row r="456" spans="23:27">
      <c r="W456" s="53"/>
      <c r="Y456" s="58"/>
      <c r="Z456" s="51"/>
      <c r="AA456" s="51"/>
    </row>
    <row r="457" spans="23:27">
      <c r="W457" s="53"/>
      <c r="Y457" s="58"/>
      <c r="Z457" s="51"/>
      <c r="AA457" s="51"/>
    </row>
    <row r="458" spans="23:27">
      <c r="W458" s="53"/>
      <c r="Y458" s="58"/>
      <c r="Z458" s="51"/>
      <c r="AA458" s="51"/>
    </row>
    <row r="459" spans="23:27">
      <c r="W459" s="53"/>
      <c r="Y459" s="58"/>
      <c r="Z459" s="51"/>
      <c r="AA459" s="51"/>
    </row>
    <row r="460" spans="23:27">
      <c r="W460" s="53"/>
      <c r="Y460" s="58"/>
      <c r="Z460" s="51"/>
      <c r="AA460" s="51"/>
    </row>
    <row r="461" spans="23:27">
      <c r="W461" s="53"/>
      <c r="Y461" s="58"/>
      <c r="Z461" s="51"/>
      <c r="AA461" s="51"/>
    </row>
    <row r="462" spans="23:27">
      <c r="W462" s="53"/>
      <c r="Y462" s="58"/>
      <c r="Z462" s="51"/>
      <c r="AA462" s="51"/>
    </row>
    <row r="463" spans="23:27">
      <c r="W463" s="53"/>
      <c r="Y463" s="58"/>
      <c r="Z463" s="51"/>
      <c r="AA463" s="51"/>
    </row>
    <row r="464" spans="23:27">
      <c r="W464" s="53"/>
      <c r="Y464" s="58"/>
      <c r="Z464" s="51"/>
      <c r="AA464" s="51"/>
    </row>
    <row r="465" spans="23:27">
      <c r="W465" s="53"/>
      <c r="Y465" s="58"/>
      <c r="Z465" s="51"/>
      <c r="AA465" s="51"/>
    </row>
    <row r="466" spans="23:27">
      <c r="W466" s="53"/>
      <c r="Y466" s="58"/>
      <c r="Z466" s="51"/>
      <c r="AA466" s="51"/>
    </row>
    <row r="467" spans="23:27">
      <c r="W467" s="53"/>
      <c r="Y467" s="58"/>
      <c r="Z467" s="51"/>
      <c r="AA467" s="51"/>
    </row>
    <row r="468" spans="23:27">
      <c r="W468" s="53"/>
      <c r="Y468" s="58"/>
      <c r="Z468" s="51"/>
      <c r="AA468" s="51"/>
    </row>
    <row r="469" spans="23:27">
      <c r="W469" s="53"/>
      <c r="Y469" s="58"/>
      <c r="Z469" s="51"/>
      <c r="AA469" s="51"/>
    </row>
    <row r="470" spans="23:27">
      <c r="W470" s="53"/>
      <c r="Y470" s="58"/>
      <c r="Z470" s="51"/>
      <c r="AA470" s="51"/>
    </row>
    <row r="471" spans="23:27">
      <c r="W471" s="53"/>
      <c r="Y471" s="58"/>
      <c r="Z471" s="51"/>
      <c r="AA471" s="51"/>
    </row>
    <row r="472" spans="23:27">
      <c r="W472" s="53"/>
      <c r="Y472" s="58"/>
      <c r="Z472" s="51"/>
      <c r="AA472" s="51"/>
    </row>
    <row r="473" spans="23:27">
      <c r="W473" s="53"/>
      <c r="Y473" s="58"/>
      <c r="Z473" s="51"/>
      <c r="AA473" s="51"/>
    </row>
    <row r="474" spans="23:27">
      <c r="W474" s="53"/>
      <c r="Y474" s="58"/>
      <c r="Z474" s="51"/>
      <c r="AA474" s="51"/>
    </row>
    <row r="475" spans="23:27">
      <c r="W475" s="53"/>
      <c r="Y475" s="58"/>
      <c r="Z475" s="51"/>
      <c r="AA475" s="51"/>
    </row>
    <row r="476" spans="23:27">
      <c r="W476" s="53"/>
      <c r="Y476" s="58"/>
      <c r="Z476" s="51"/>
      <c r="AA476" s="51"/>
    </row>
    <row r="477" spans="23:27">
      <c r="W477" s="53"/>
      <c r="Y477" s="58"/>
      <c r="Z477" s="51"/>
      <c r="AA477" s="51"/>
    </row>
    <row r="478" spans="23:27">
      <c r="W478" s="53"/>
      <c r="Y478" s="58"/>
      <c r="Z478" s="51"/>
      <c r="AA478" s="51"/>
    </row>
    <row r="479" spans="23:27">
      <c r="W479" s="53"/>
      <c r="Y479" s="58"/>
      <c r="Z479" s="51"/>
      <c r="AA479" s="51"/>
    </row>
    <row r="480" spans="23:27">
      <c r="W480" s="53"/>
      <c r="Y480" s="58"/>
      <c r="Z480" s="51"/>
      <c r="AA480" s="51"/>
    </row>
    <row r="481" spans="23:27">
      <c r="W481" s="53"/>
      <c r="Y481" s="58"/>
      <c r="Z481" s="51"/>
      <c r="AA481" s="51"/>
    </row>
    <row r="482" spans="23:27">
      <c r="W482" s="53"/>
      <c r="Y482" s="58"/>
      <c r="Z482" s="51"/>
      <c r="AA482" s="51"/>
    </row>
    <row r="483" spans="23:27">
      <c r="W483" s="53"/>
      <c r="Y483" s="58"/>
      <c r="Z483" s="51"/>
      <c r="AA483" s="51"/>
    </row>
    <row r="484" spans="23:27">
      <c r="W484" s="53"/>
      <c r="Y484" s="58"/>
      <c r="Z484" s="51"/>
      <c r="AA484" s="51"/>
    </row>
    <row r="485" spans="23:27">
      <c r="W485" s="53"/>
      <c r="Y485" s="58"/>
      <c r="Z485" s="51"/>
      <c r="AA485" s="51"/>
    </row>
    <row r="486" spans="23:27">
      <c r="W486" s="53"/>
      <c r="Y486" s="58"/>
      <c r="Z486" s="51"/>
      <c r="AA486" s="51"/>
    </row>
    <row r="487" spans="23:27">
      <c r="W487" s="53"/>
      <c r="Y487" s="58"/>
      <c r="Z487" s="51"/>
      <c r="AA487" s="51"/>
    </row>
    <row r="488" spans="23:27">
      <c r="W488" s="53"/>
      <c r="Y488" s="58"/>
      <c r="Z488" s="51"/>
      <c r="AA488" s="51"/>
    </row>
    <row r="489" spans="23:27">
      <c r="W489" s="53"/>
      <c r="Y489" s="58"/>
      <c r="Z489" s="51"/>
      <c r="AA489" s="51"/>
    </row>
    <row r="490" spans="23:27">
      <c r="W490" s="53"/>
      <c r="Y490" s="58"/>
      <c r="Z490" s="51"/>
      <c r="AA490" s="51"/>
    </row>
    <row r="491" spans="23:27">
      <c r="W491" s="53"/>
      <c r="Y491" s="58"/>
      <c r="Z491" s="51"/>
      <c r="AA491" s="51"/>
    </row>
    <row r="492" spans="23:27">
      <c r="W492" s="53"/>
      <c r="Y492" s="58"/>
      <c r="Z492" s="51"/>
      <c r="AA492" s="51"/>
    </row>
    <row r="493" spans="23:27">
      <c r="W493" s="53"/>
      <c r="Y493" s="58"/>
      <c r="Z493" s="51"/>
      <c r="AA493" s="51"/>
    </row>
    <row r="494" spans="23:27">
      <c r="W494" s="53"/>
      <c r="Y494" s="58"/>
      <c r="Z494" s="51"/>
      <c r="AA494" s="51"/>
    </row>
    <row r="495" spans="23:27">
      <c r="W495" s="53"/>
      <c r="Y495" s="58"/>
      <c r="Z495" s="51"/>
      <c r="AA495" s="51"/>
    </row>
    <row r="496" spans="23:27">
      <c r="W496" s="53"/>
      <c r="Y496" s="58"/>
      <c r="Z496" s="51"/>
      <c r="AA496" s="51"/>
    </row>
    <row r="497" spans="23:27">
      <c r="W497" s="53"/>
      <c r="Y497" s="58"/>
      <c r="Z497" s="51"/>
      <c r="AA497" s="51"/>
    </row>
    <row r="498" spans="23:27">
      <c r="W498" s="53"/>
      <c r="Y498" s="58"/>
      <c r="Z498" s="51"/>
      <c r="AA498" s="51"/>
    </row>
    <row r="499" spans="23:27">
      <c r="W499" s="53"/>
      <c r="Y499" s="58"/>
      <c r="Z499" s="51"/>
      <c r="AA499" s="51"/>
    </row>
    <row r="500" spans="23:27">
      <c r="W500" s="53"/>
      <c r="Y500" s="58"/>
      <c r="Z500" s="51"/>
      <c r="AA500" s="51"/>
    </row>
    <row r="501" spans="23:27">
      <c r="W501" s="53"/>
      <c r="Y501" s="58"/>
      <c r="Z501" s="51"/>
      <c r="AA501" s="51"/>
    </row>
    <row r="502" spans="23:27">
      <c r="W502" s="53"/>
      <c r="Y502" s="58"/>
      <c r="Z502" s="51"/>
      <c r="AA502" s="51"/>
    </row>
    <row r="503" spans="23:27">
      <c r="W503" s="53"/>
      <c r="Y503" s="58"/>
      <c r="Z503" s="51"/>
      <c r="AA503" s="51"/>
    </row>
    <row r="504" spans="23:27">
      <c r="W504" s="53"/>
      <c r="Y504" s="58"/>
      <c r="Z504" s="51"/>
      <c r="AA504" s="51"/>
    </row>
    <row r="505" spans="23:27">
      <c r="W505" s="53"/>
      <c r="Y505" s="58"/>
      <c r="Z505" s="51"/>
      <c r="AA505" s="51"/>
    </row>
    <row r="506" spans="23:27">
      <c r="W506" s="53"/>
      <c r="Y506" s="58"/>
      <c r="Z506" s="51"/>
      <c r="AA506" s="51"/>
    </row>
    <row r="507" spans="23:27">
      <c r="W507" s="53"/>
      <c r="Y507" s="58"/>
      <c r="Z507" s="51"/>
      <c r="AA507" s="51"/>
    </row>
    <row r="508" spans="23:27">
      <c r="W508" s="53"/>
      <c r="Y508" s="58"/>
      <c r="Z508" s="51"/>
      <c r="AA508" s="51"/>
    </row>
    <row r="509" spans="23:27">
      <c r="W509" s="53"/>
      <c r="Y509" s="58"/>
      <c r="Z509" s="51"/>
      <c r="AA509" s="51"/>
    </row>
    <row r="510" spans="23:27">
      <c r="W510" s="53"/>
      <c r="Y510" s="58"/>
      <c r="Z510" s="51"/>
      <c r="AA510" s="51"/>
    </row>
    <row r="511" spans="23:27">
      <c r="W511" s="53"/>
      <c r="Y511" s="58"/>
      <c r="Z511" s="51"/>
      <c r="AA511" s="51"/>
    </row>
    <row r="512" spans="23:27">
      <c r="W512" s="53"/>
      <c r="Y512" s="58"/>
      <c r="Z512" s="51"/>
      <c r="AA512" s="51"/>
    </row>
    <row r="513" spans="23:27">
      <c r="W513" s="53"/>
      <c r="Y513" s="58"/>
      <c r="Z513" s="51"/>
      <c r="AA513" s="51"/>
    </row>
    <row r="514" spans="23:27">
      <c r="W514" s="53"/>
      <c r="Y514" s="58"/>
      <c r="Z514" s="51"/>
      <c r="AA514" s="51"/>
    </row>
    <row r="515" spans="23:27">
      <c r="W515" s="53"/>
      <c r="Y515" s="58"/>
      <c r="Z515" s="51"/>
      <c r="AA515" s="51"/>
    </row>
    <row r="516" spans="23:27">
      <c r="W516" s="53"/>
      <c r="Y516" s="58"/>
      <c r="Z516" s="51"/>
      <c r="AA516" s="51"/>
    </row>
    <row r="517" spans="23:27">
      <c r="W517" s="53"/>
      <c r="Y517" s="58"/>
      <c r="Z517" s="51"/>
      <c r="AA517" s="51"/>
    </row>
    <row r="518" spans="23:27">
      <c r="W518" s="53"/>
      <c r="Y518" s="58"/>
      <c r="Z518" s="51"/>
      <c r="AA518" s="51"/>
    </row>
    <row r="519" spans="23:27">
      <c r="W519" s="53"/>
      <c r="Y519" s="58"/>
      <c r="Z519" s="51"/>
      <c r="AA519" s="51"/>
    </row>
    <row r="520" spans="23:27">
      <c r="W520" s="53"/>
      <c r="Y520" s="58"/>
      <c r="Z520" s="51"/>
      <c r="AA520" s="51"/>
    </row>
    <row r="521" spans="23:27">
      <c r="W521" s="53"/>
      <c r="Y521" s="58"/>
      <c r="Z521" s="51"/>
      <c r="AA521" s="51"/>
    </row>
    <row r="522" spans="23:27">
      <c r="W522" s="53"/>
      <c r="Y522" s="58"/>
      <c r="Z522" s="51"/>
      <c r="AA522" s="51"/>
    </row>
    <row r="523" spans="23:27">
      <c r="W523" s="53"/>
      <c r="Y523" s="58"/>
      <c r="Z523" s="51"/>
      <c r="AA523" s="51"/>
    </row>
    <row r="524" spans="23:27">
      <c r="W524" s="53"/>
      <c r="Y524" s="58"/>
      <c r="Z524" s="51"/>
      <c r="AA524" s="51"/>
    </row>
    <row r="525" spans="23:27">
      <c r="W525" s="53"/>
      <c r="Y525" s="58"/>
      <c r="Z525" s="51"/>
      <c r="AA525" s="51"/>
    </row>
    <row r="526" spans="23:27">
      <c r="W526" s="53"/>
      <c r="Y526" s="58"/>
      <c r="Z526" s="51"/>
      <c r="AA526" s="51"/>
    </row>
    <row r="527" spans="23:27">
      <c r="W527" s="53"/>
      <c r="Y527" s="58"/>
      <c r="Z527" s="51"/>
      <c r="AA527" s="51"/>
    </row>
    <row r="528" spans="23:27">
      <c r="W528" s="53"/>
      <c r="Y528" s="58"/>
      <c r="Z528" s="51"/>
      <c r="AA528" s="51"/>
    </row>
    <row r="529" spans="23:27">
      <c r="W529" s="53"/>
      <c r="Y529" s="58"/>
      <c r="Z529" s="51"/>
      <c r="AA529" s="51"/>
    </row>
    <row r="530" spans="23:27">
      <c r="W530" s="53"/>
      <c r="Y530" s="58"/>
      <c r="Z530" s="51"/>
      <c r="AA530" s="51"/>
    </row>
    <row r="531" spans="23:27">
      <c r="W531" s="53"/>
      <c r="Y531" s="58"/>
      <c r="Z531" s="51"/>
      <c r="AA531" s="51"/>
    </row>
    <row r="532" spans="23:27">
      <c r="W532" s="53"/>
      <c r="Y532" s="58"/>
      <c r="Z532" s="51"/>
      <c r="AA532" s="51"/>
    </row>
    <row r="533" spans="23:27">
      <c r="W533" s="53"/>
      <c r="Y533" s="58"/>
      <c r="Z533" s="51"/>
      <c r="AA533" s="51"/>
    </row>
    <row r="534" spans="23:27">
      <c r="W534" s="53"/>
      <c r="Y534" s="58"/>
      <c r="Z534" s="51"/>
      <c r="AA534" s="51"/>
    </row>
    <row r="535" spans="23:27">
      <c r="W535" s="53"/>
      <c r="Y535" s="58"/>
      <c r="Z535" s="51"/>
      <c r="AA535" s="51"/>
    </row>
    <row r="536" spans="23:27">
      <c r="W536" s="53"/>
      <c r="Y536" s="58"/>
      <c r="Z536" s="51"/>
      <c r="AA536" s="51"/>
    </row>
    <row r="537" spans="23:27">
      <c r="W537" s="53"/>
      <c r="Y537" s="58"/>
      <c r="Z537" s="51"/>
      <c r="AA537" s="51"/>
    </row>
    <row r="538" spans="23:27">
      <c r="W538" s="53"/>
      <c r="Y538" s="58"/>
      <c r="Z538" s="51"/>
      <c r="AA538" s="51"/>
    </row>
    <row r="539" spans="23:27">
      <c r="W539" s="53"/>
      <c r="Y539" s="58"/>
      <c r="Z539" s="51"/>
      <c r="AA539" s="51"/>
    </row>
    <row r="540" spans="23:27">
      <c r="W540" s="53"/>
      <c r="Y540" s="58"/>
      <c r="Z540" s="51"/>
      <c r="AA540" s="51"/>
    </row>
    <row r="541" spans="23:27">
      <c r="W541" s="53"/>
      <c r="Y541" s="58"/>
      <c r="Z541" s="51"/>
      <c r="AA541" s="51"/>
    </row>
    <row r="542" spans="23:27">
      <c r="W542" s="53"/>
      <c r="Y542" s="58"/>
      <c r="Z542" s="51"/>
      <c r="AA542" s="51"/>
    </row>
    <row r="543" spans="23:27">
      <c r="W543" s="53"/>
      <c r="Y543" s="58"/>
      <c r="Z543" s="51"/>
      <c r="AA543" s="51"/>
    </row>
    <row r="544" spans="23:27">
      <c r="W544" s="53"/>
      <c r="Y544" s="58"/>
      <c r="Z544" s="51"/>
      <c r="AA544" s="51"/>
    </row>
    <row r="545" spans="23:27">
      <c r="W545" s="53"/>
      <c r="Y545" s="58"/>
      <c r="Z545" s="51"/>
      <c r="AA545" s="51"/>
    </row>
    <row r="546" spans="23:27">
      <c r="W546" s="53"/>
      <c r="Y546" s="58"/>
      <c r="Z546" s="51"/>
      <c r="AA546" s="51"/>
    </row>
    <row r="547" spans="23:27">
      <c r="W547" s="53"/>
      <c r="Y547" s="58"/>
      <c r="Z547" s="51"/>
      <c r="AA547" s="51"/>
    </row>
    <row r="548" spans="23:27">
      <c r="W548" s="53"/>
      <c r="Y548" s="58"/>
      <c r="Z548" s="51"/>
      <c r="AA548" s="51"/>
    </row>
    <row r="549" spans="23:27">
      <c r="W549" s="53"/>
      <c r="Y549" s="58"/>
      <c r="Z549" s="51"/>
      <c r="AA549" s="51"/>
    </row>
    <row r="550" spans="23:27">
      <c r="W550" s="53"/>
      <c r="Y550" s="58"/>
      <c r="Z550" s="51"/>
      <c r="AA550" s="51"/>
    </row>
    <row r="551" spans="23:27">
      <c r="W551" s="53"/>
      <c r="Y551" s="58"/>
      <c r="Z551" s="51"/>
      <c r="AA551" s="51"/>
    </row>
    <row r="552" spans="23:27">
      <c r="W552" s="53"/>
      <c r="Y552" s="58"/>
      <c r="Z552" s="51"/>
      <c r="AA552" s="51"/>
    </row>
    <row r="553" spans="23:27">
      <c r="W553" s="53"/>
      <c r="Y553" s="58"/>
      <c r="Z553" s="51"/>
      <c r="AA553" s="51"/>
    </row>
    <row r="554" spans="23:27">
      <c r="W554" s="53"/>
      <c r="Y554" s="58"/>
      <c r="Z554" s="51"/>
      <c r="AA554" s="51"/>
    </row>
    <row r="555" spans="23:27">
      <c r="W555" s="53"/>
      <c r="Y555" s="58"/>
      <c r="Z555" s="51"/>
      <c r="AA555" s="51"/>
    </row>
    <row r="556" spans="23:27">
      <c r="W556" s="53"/>
      <c r="Y556" s="58"/>
      <c r="Z556" s="51"/>
      <c r="AA556" s="51"/>
    </row>
    <row r="557" spans="23:27">
      <c r="W557" s="53"/>
      <c r="Y557" s="58"/>
      <c r="Z557" s="51"/>
      <c r="AA557" s="51"/>
    </row>
    <row r="558" spans="23:27">
      <c r="W558" s="53"/>
      <c r="Y558" s="58"/>
      <c r="Z558" s="51"/>
      <c r="AA558" s="51"/>
    </row>
    <row r="559" spans="23:27">
      <c r="W559" s="53"/>
      <c r="Y559" s="58"/>
      <c r="Z559" s="51"/>
      <c r="AA559" s="51"/>
    </row>
    <row r="560" spans="23:27">
      <c r="W560" s="53"/>
      <c r="Y560" s="58"/>
      <c r="Z560" s="51"/>
      <c r="AA560" s="51"/>
    </row>
    <row r="561" spans="23:27">
      <c r="W561" s="53"/>
      <c r="Y561" s="58"/>
      <c r="Z561" s="51"/>
      <c r="AA561" s="51"/>
    </row>
    <row r="562" spans="23:27">
      <c r="W562" s="53"/>
      <c r="Y562" s="58"/>
      <c r="Z562" s="51"/>
      <c r="AA562" s="51"/>
    </row>
    <row r="563" spans="23:27">
      <c r="W563" s="53"/>
      <c r="Y563" s="58"/>
      <c r="Z563" s="51"/>
      <c r="AA563" s="51"/>
    </row>
    <row r="564" spans="23:27">
      <c r="W564" s="53"/>
      <c r="Y564" s="58"/>
      <c r="Z564" s="51"/>
      <c r="AA564" s="51"/>
    </row>
    <row r="565" spans="23:27">
      <c r="W565" s="53"/>
      <c r="Y565" s="58"/>
      <c r="Z565" s="51"/>
      <c r="AA565" s="51"/>
    </row>
    <row r="566" spans="23:27">
      <c r="W566" s="53"/>
      <c r="Y566" s="58"/>
      <c r="Z566" s="51"/>
      <c r="AA566" s="51"/>
    </row>
    <row r="567" spans="23:27">
      <c r="W567" s="53"/>
      <c r="Y567" s="58"/>
      <c r="Z567" s="51"/>
      <c r="AA567" s="51"/>
    </row>
    <row r="568" spans="23:27">
      <c r="W568" s="53"/>
      <c r="Y568" s="58"/>
      <c r="Z568" s="51"/>
      <c r="AA568" s="51"/>
    </row>
    <row r="569" spans="23:27">
      <c r="W569" s="53"/>
      <c r="Y569" s="58"/>
      <c r="Z569" s="51"/>
      <c r="AA569" s="51"/>
    </row>
    <row r="570" spans="23:27">
      <c r="W570" s="53"/>
      <c r="Y570" s="58"/>
      <c r="Z570" s="51"/>
      <c r="AA570" s="51"/>
    </row>
    <row r="571" spans="23:27">
      <c r="W571" s="53"/>
      <c r="Y571" s="58"/>
      <c r="Z571" s="51"/>
      <c r="AA571" s="51"/>
    </row>
    <row r="572" spans="23:27">
      <c r="W572" s="53"/>
      <c r="Y572" s="58"/>
      <c r="Z572" s="51"/>
      <c r="AA572" s="51"/>
    </row>
    <row r="573" spans="23:27">
      <c r="W573" s="53"/>
      <c r="Y573" s="58"/>
      <c r="Z573" s="51"/>
      <c r="AA573" s="51"/>
    </row>
    <row r="574" spans="23:27">
      <c r="W574" s="53"/>
      <c r="Y574" s="58"/>
      <c r="Z574" s="51"/>
      <c r="AA574" s="51"/>
    </row>
    <row r="575" spans="23:27">
      <c r="W575" s="53"/>
      <c r="Y575" s="58"/>
      <c r="Z575" s="51"/>
      <c r="AA575" s="51"/>
    </row>
    <row r="576" spans="23:27">
      <c r="W576" s="53"/>
      <c r="Y576" s="58"/>
      <c r="Z576" s="51"/>
      <c r="AA576" s="51"/>
    </row>
    <row r="577" spans="23:27">
      <c r="W577" s="53"/>
      <c r="Y577" s="58"/>
      <c r="Z577" s="51"/>
      <c r="AA577" s="51"/>
    </row>
    <row r="578" spans="23:27">
      <c r="W578" s="53"/>
      <c r="Y578" s="58"/>
      <c r="Z578" s="51"/>
      <c r="AA578" s="51"/>
    </row>
    <row r="579" spans="23:27">
      <c r="W579" s="53"/>
      <c r="Y579" s="58"/>
      <c r="Z579" s="51"/>
      <c r="AA579" s="51"/>
    </row>
    <row r="580" spans="23:27">
      <c r="W580" s="53"/>
      <c r="Y580" s="58"/>
      <c r="Z580" s="51"/>
      <c r="AA580" s="51"/>
    </row>
    <row r="581" spans="23:27">
      <c r="W581" s="53"/>
      <c r="Y581" s="58"/>
      <c r="Z581" s="51"/>
      <c r="AA581" s="51"/>
    </row>
    <row r="582" spans="23:27">
      <c r="W582" s="53"/>
      <c r="Y582" s="58"/>
      <c r="Z582" s="51"/>
      <c r="AA582" s="51"/>
    </row>
    <row r="583" spans="23:27">
      <c r="W583" s="53"/>
      <c r="Y583" s="58"/>
      <c r="Z583" s="51"/>
      <c r="AA583" s="51"/>
    </row>
    <row r="584" spans="23:27">
      <c r="W584" s="53"/>
      <c r="Y584" s="58"/>
      <c r="Z584" s="51"/>
      <c r="AA584" s="51"/>
    </row>
    <row r="585" spans="23:27">
      <c r="W585" s="53"/>
      <c r="Y585" s="58"/>
      <c r="Z585" s="51"/>
      <c r="AA585" s="51"/>
    </row>
    <row r="586" spans="23:27">
      <c r="W586" s="53"/>
      <c r="Y586" s="58"/>
      <c r="Z586" s="51"/>
      <c r="AA586" s="51"/>
    </row>
    <row r="587" spans="23:27">
      <c r="W587" s="53"/>
      <c r="Y587" s="58"/>
      <c r="Z587" s="51"/>
      <c r="AA587" s="51"/>
    </row>
    <row r="588" spans="23:27">
      <c r="W588" s="53"/>
      <c r="Y588" s="58"/>
      <c r="Z588" s="51"/>
      <c r="AA588" s="51"/>
    </row>
    <row r="589" spans="23:27">
      <c r="W589" s="53"/>
      <c r="Y589" s="58"/>
      <c r="Z589" s="51"/>
      <c r="AA589" s="51"/>
    </row>
    <row r="590" spans="23:27">
      <c r="W590" s="53"/>
      <c r="Y590" s="58"/>
      <c r="Z590" s="51"/>
      <c r="AA590" s="51"/>
    </row>
    <row r="591" spans="23:27">
      <c r="W591" s="53"/>
      <c r="Y591" s="58"/>
      <c r="Z591" s="51"/>
      <c r="AA591" s="51"/>
    </row>
    <row r="592" spans="23:27">
      <c r="W592" s="53"/>
      <c r="Y592" s="58"/>
      <c r="Z592" s="51"/>
      <c r="AA592" s="51"/>
    </row>
    <row r="593" spans="23:27">
      <c r="W593" s="53"/>
      <c r="Y593" s="58"/>
      <c r="Z593" s="51"/>
      <c r="AA593" s="51"/>
    </row>
    <row r="594" spans="23:27">
      <c r="W594" s="53"/>
      <c r="Y594" s="58"/>
      <c r="Z594" s="51"/>
      <c r="AA594" s="51"/>
    </row>
    <row r="595" spans="23:27">
      <c r="W595" s="53"/>
      <c r="Y595" s="58"/>
      <c r="Z595" s="51"/>
      <c r="AA595" s="51"/>
    </row>
    <row r="596" spans="23:27">
      <c r="W596" s="53"/>
      <c r="Y596" s="58"/>
      <c r="Z596" s="51"/>
      <c r="AA596" s="51"/>
    </row>
    <row r="597" spans="23:27">
      <c r="W597" s="53"/>
      <c r="Y597" s="58"/>
      <c r="Z597" s="51"/>
      <c r="AA597" s="51"/>
    </row>
    <row r="598" spans="23:27">
      <c r="W598" s="53"/>
      <c r="Y598" s="58"/>
      <c r="Z598" s="51"/>
      <c r="AA598" s="51"/>
    </row>
    <row r="599" spans="23:27">
      <c r="W599" s="53"/>
      <c r="Y599" s="58"/>
      <c r="Z599" s="51"/>
      <c r="AA599" s="51"/>
    </row>
    <row r="600" spans="23:27">
      <c r="W600" s="53"/>
      <c r="Y600" s="58"/>
      <c r="Z600" s="51"/>
      <c r="AA600" s="51"/>
    </row>
    <row r="601" spans="23:27">
      <c r="W601" s="53"/>
      <c r="Y601" s="58"/>
      <c r="Z601" s="51"/>
      <c r="AA601" s="51"/>
    </row>
    <row r="602" spans="23:27">
      <c r="W602" s="53"/>
      <c r="Y602" s="58"/>
      <c r="Z602" s="51"/>
      <c r="AA602" s="51"/>
    </row>
    <row r="603" spans="23:27">
      <c r="W603" s="53"/>
      <c r="Y603" s="58"/>
      <c r="Z603" s="51"/>
      <c r="AA603" s="51"/>
    </row>
    <row r="604" spans="23:27">
      <c r="W604" s="53"/>
      <c r="Y604" s="58"/>
      <c r="Z604" s="51"/>
      <c r="AA604" s="51"/>
    </row>
    <row r="605" spans="23:27">
      <c r="W605" s="53"/>
      <c r="Y605" s="58"/>
      <c r="Z605" s="51"/>
      <c r="AA605" s="51"/>
    </row>
    <row r="606" spans="23:27">
      <c r="W606" s="53"/>
      <c r="Y606" s="58"/>
      <c r="Z606" s="51"/>
      <c r="AA606" s="51"/>
    </row>
    <row r="607" spans="23:27">
      <c r="W607" s="53"/>
      <c r="Y607" s="58"/>
      <c r="Z607" s="51"/>
      <c r="AA607" s="51"/>
    </row>
    <row r="608" spans="23:27">
      <c r="W608" s="53"/>
      <c r="Y608" s="58"/>
      <c r="Z608" s="51"/>
      <c r="AA608" s="51"/>
    </row>
    <row r="609" spans="23:27">
      <c r="W609" s="53"/>
      <c r="Y609" s="58"/>
      <c r="Z609" s="51"/>
      <c r="AA609" s="51"/>
    </row>
    <row r="610" spans="23:27">
      <c r="W610" s="53"/>
      <c r="Y610" s="58"/>
      <c r="Z610" s="51"/>
      <c r="AA610" s="51"/>
    </row>
    <row r="611" spans="23:27">
      <c r="W611" s="53"/>
      <c r="Y611" s="58"/>
      <c r="Z611" s="51"/>
      <c r="AA611" s="51"/>
    </row>
    <row r="612" spans="23:27">
      <c r="W612" s="53"/>
      <c r="Y612" s="58"/>
      <c r="Z612" s="51"/>
      <c r="AA612" s="51"/>
    </row>
    <row r="613" spans="23:27">
      <c r="W613" s="53"/>
      <c r="Y613" s="58"/>
      <c r="Z613" s="51"/>
      <c r="AA613" s="51"/>
    </row>
    <row r="614" spans="23:27">
      <c r="W614" s="53"/>
      <c r="Y614" s="58"/>
      <c r="Z614" s="51"/>
      <c r="AA614" s="51"/>
    </row>
    <row r="615" spans="23:27">
      <c r="W615" s="53"/>
      <c r="Y615" s="58"/>
      <c r="Z615" s="51"/>
      <c r="AA615" s="51"/>
    </row>
    <row r="616" spans="23:27">
      <c r="W616" s="53"/>
      <c r="Y616" s="58"/>
      <c r="Z616" s="51"/>
      <c r="AA616" s="51"/>
    </row>
    <row r="617" spans="23:27">
      <c r="W617" s="53"/>
      <c r="Y617" s="58"/>
      <c r="Z617" s="51"/>
      <c r="AA617" s="51"/>
    </row>
    <row r="618" spans="23:27">
      <c r="W618" s="53"/>
      <c r="Y618" s="58"/>
      <c r="Z618" s="51"/>
      <c r="AA618" s="51"/>
    </row>
    <row r="619" spans="23:27">
      <c r="W619" s="53"/>
      <c r="Y619" s="58"/>
      <c r="Z619" s="51"/>
      <c r="AA619" s="51"/>
    </row>
    <row r="620" spans="23:27">
      <c r="W620" s="53"/>
      <c r="Y620" s="58"/>
      <c r="Z620" s="51"/>
      <c r="AA620" s="51"/>
    </row>
    <row r="621" spans="23:27">
      <c r="W621" s="53"/>
      <c r="Y621" s="58"/>
      <c r="Z621" s="51"/>
      <c r="AA621" s="51"/>
    </row>
    <row r="622" spans="23:27">
      <c r="W622" s="53"/>
      <c r="Y622" s="58"/>
      <c r="Z622" s="51"/>
      <c r="AA622" s="51"/>
    </row>
    <row r="623" spans="23:27">
      <c r="W623" s="53"/>
      <c r="Y623" s="58"/>
      <c r="Z623" s="51"/>
      <c r="AA623" s="51"/>
    </row>
    <row r="624" spans="23:27">
      <c r="W624" s="53"/>
      <c r="Y624" s="58"/>
      <c r="Z624" s="51"/>
      <c r="AA624" s="51"/>
    </row>
    <row r="625" spans="23:27">
      <c r="W625" s="53"/>
      <c r="Y625" s="58"/>
      <c r="Z625" s="51"/>
      <c r="AA625" s="51"/>
    </row>
    <row r="626" spans="23:27">
      <c r="W626" s="53"/>
      <c r="Y626" s="58"/>
      <c r="Z626" s="51"/>
      <c r="AA626" s="51"/>
    </row>
    <row r="627" spans="23:27">
      <c r="W627" s="53"/>
      <c r="Y627" s="58"/>
      <c r="Z627" s="51"/>
      <c r="AA627" s="51"/>
    </row>
    <row r="628" spans="23:27">
      <c r="W628" s="53"/>
      <c r="Y628" s="58"/>
      <c r="Z628" s="51"/>
      <c r="AA628" s="51"/>
    </row>
    <row r="629" spans="23:27">
      <c r="W629" s="53"/>
      <c r="Y629" s="58"/>
      <c r="Z629" s="51"/>
      <c r="AA629" s="51"/>
    </row>
    <row r="630" spans="23:27">
      <c r="W630" s="53"/>
      <c r="Y630" s="58"/>
      <c r="Z630" s="51"/>
      <c r="AA630" s="51"/>
    </row>
    <row r="631" spans="23:27">
      <c r="W631" s="53"/>
      <c r="Y631" s="58"/>
      <c r="Z631" s="51"/>
      <c r="AA631" s="51"/>
    </row>
    <row r="632" spans="23:27">
      <c r="W632" s="53"/>
      <c r="Y632" s="58"/>
      <c r="Z632" s="51"/>
      <c r="AA632" s="51"/>
    </row>
    <row r="633" spans="23:27">
      <c r="W633" s="53"/>
      <c r="Y633" s="58"/>
      <c r="Z633" s="51"/>
      <c r="AA633" s="51"/>
    </row>
    <row r="634" spans="23:27">
      <c r="W634" s="53"/>
      <c r="Y634" s="58"/>
      <c r="Z634" s="51"/>
      <c r="AA634" s="51"/>
    </row>
    <row r="635" spans="23:27">
      <c r="W635" s="53"/>
      <c r="Y635" s="58"/>
      <c r="Z635" s="51"/>
      <c r="AA635" s="51"/>
    </row>
    <row r="636" spans="23:27">
      <c r="W636" s="53"/>
      <c r="Y636" s="58"/>
      <c r="Z636" s="51"/>
      <c r="AA636" s="51"/>
    </row>
    <row r="637" spans="23:27">
      <c r="W637" s="53"/>
      <c r="Y637" s="58"/>
      <c r="Z637" s="51"/>
      <c r="AA637" s="51"/>
    </row>
    <row r="638" spans="23:27">
      <c r="W638" s="53"/>
      <c r="Y638" s="58"/>
      <c r="Z638" s="51"/>
      <c r="AA638" s="51"/>
    </row>
    <row r="639" spans="23:27">
      <c r="W639" s="53"/>
      <c r="Y639" s="58"/>
      <c r="Z639" s="51"/>
      <c r="AA639" s="51"/>
    </row>
    <row r="640" spans="23:27">
      <c r="W640" s="53"/>
      <c r="Y640" s="58"/>
      <c r="Z640" s="51"/>
      <c r="AA640" s="51"/>
    </row>
    <row r="641" spans="23:27">
      <c r="W641" s="53"/>
      <c r="Y641" s="58"/>
      <c r="Z641" s="51"/>
      <c r="AA641" s="51"/>
    </row>
    <row r="642" spans="23:27">
      <c r="W642" s="53"/>
      <c r="Y642" s="58"/>
      <c r="Z642" s="51"/>
      <c r="AA642" s="51"/>
    </row>
    <row r="643" spans="23:27">
      <c r="W643" s="53"/>
      <c r="Y643" s="58"/>
      <c r="Z643" s="51"/>
      <c r="AA643" s="51"/>
    </row>
    <row r="644" spans="23:27">
      <c r="W644" s="53"/>
      <c r="Y644" s="58"/>
      <c r="Z644" s="51"/>
      <c r="AA644" s="51"/>
    </row>
    <row r="645" spans="23:27">
      <c r="W645" s="53"/>
      <c r="Y645" s="58"/>
      <c r="Z645" s="51"/>
      <c r="AA645" s="51"/>
    </row>
    <row r="646" spans="23:27">
      <c r="W646" s="53"/>
      <c r="Y646" s="58"/>
      <c r="Z646" s="51"/>
      <c r="AA646" s="51"/>
    </row>
    <row r="647" spans="23:27">
      <c r="W647" s="53"/>
      <c r="Y647" s="58"/>
      <c r="Z647" s="51"/>
      <c r="AA647" s="51"/>
    </row>
    <row r="648" spans="23:27">
      <c r="W648" s="53"/>
      <c r="Y648" s="58"/>
      <c r="Z648" s="51"/>
      <c r="AA648" s="51"/>
    </row>
    <row r="649" spans="23:27">
      <c r="W649" s="53"/>
      <c r="Y649" s="58"/>
      <c r="Z649" s="51"/>
      <c r="AA649" s="51"/>
    </row>
    <row r="650" spans="23:27">
      <c r="W650" s="53"/>
      <c r="Y650" s="58"/>
      <c r="Z650" s="51"/>
      <c r="AA650" s="51"/>
    </row>
    <row r="651" spans="23:27">
      <c r="W651" s="53"/>
      <c r="Y651" s="58"/>
      <c r="Z651" s="51"/>
      <c r="AA651" s="51"/>
    </row>
    <row r="652" spans="23:27">
      <c r="W652" s="53"/>
      <c r="Y652" s="58"/>
      <c r="Z652" s="51"/>
      <c r="AA652" s="51"/>
    </row>
    <row r="653" spans="23:27">
      <c r="W653" s="53"/>
      <c r="Y653" s="58"/>
      <c r="Z653" s="51"/>
      <c r="AA653" s="51"/>
    </row>
    <row r="654" spans="23:27">
      <c r="W654" s="53"/>
      <c r="Y654" s="58"/>
      <c r="Z654" s="51"/>
      <c r="AA654" s="51"/>
    </row>
    <row r="655" spans="23:27">
      <c r="W655" s="53"/>
      <c r="Y655" s="58"/>
      <c r="Z655" s="51"/>
      <c r="AA655" s="51"/>
    </row>
    <row r="656" spans="23:27">
      <c r="W656" s="53"/>
      <c r="Y656" s="58"/>
      <c r="Z656" s="51"/>
      <c r="AA656" s="51"/>
    </row>
    <row r="657" spans="23:27">
      <c r="W657" s="53"/>
      <c r="Y657" s="58"/>
      <c r="Z657" s="51"/>
      <c r="AA657" s="51"/>
    </row>
    <row r="658" spans="23:27">
      <c r="W658" s="53"/>
      <c r="Y658" s="58"/>
      <c r="Z658" s="51"/>
      <c r="AA658" s="51"/>
    </row>
    <row r="659" spans="23:27">
      <c r="W659" s="53"/>
      <c r="Y659" s="58"/>
      <c r="Z659" s="51"/>
      <c r="AA659" s="51"/>
    </row>
    <row r="660" spans="23:27">
      <c r="W660" s="53"/>
      <c r="Y660" s="58"/>
      <c r="Z660" s="51"/>
      <c r="AA660" s="51"/>
    </row>
    <row r="661" spans="23:27">
      <c r="W661" s="53"/>
      <c r="Y661" s="58"/>
      <c r="Z661" s="51"/>
      <c r="AA661" s="51"/>
    </row>
    <row r="662" spans="23:27">
      <c r="W662" s="53"/>
      <c r="Y662" s="58"/>
      <c r="Z662" s="51"/>
      <c r="AA662" s="51"/>
    </row>
    <row r="663" spans="23:27">
      <c r="W663" s="53"/>
      <c r="Y663" s="58"/>
      <c r="Z663" s="51"/>
      <c r="AA663" s="51"/>
    </row>
    <row r="664" spans="23:27">
      <c r="W664" s="53"/>
      <c r="Y664" s="58"/>
      <c r="Z664" s="51"/>
      <c r="AA664" s="51"/>
    </row>
    <row r="665" spans="23:27">
      <c r="W665" s="53"/>
      <c r="Y665" s="58"/>
      <c r="Z665" s="51"/>
      <c r="AA665" s="51"/>
    </row>
    <row r="666" spans="23:27">
      <c r="W666" s="53"/>
      <c r="Y666" s="58"/>
      <c r="Z666" s="51"/>
      <c r="AA666" s="51"/>
    </row>
    <row r="667" spans="23:27">
      <c r="W667" s="53"/>
      <c r="Y667" s="58"/>
      <c r="Z667" s="51"/>
      <c r="AA667" s="51"/>
    </row>
    <row r="668" spans="23:27">
      <c r="W668" s="53"/>
      <c r="Y668" s="58"/>
      <c r="Z668" s="51"/>
      <c r="AA668" s="51"/>
    </row>
    <row r="669" spans="23:27">
      <c r="W669" s="53"/>
      <c r="Y669" s="58"/>
      <c r="Z669" s="51"/>
      <c r="AA669" s="51"/>
    </row>
    <row r="670" spans="23:27">
      <c r="W670" s="53"/>
      <c r="Y670" s="58"/>
      <c r="Z670" s="51"/>
      <c r="AA670" s="51"/>
    </row>
    <row r="671" spans="23:27">
      <c r="W671" s="53"/>
      <c r="Y671" s="58"/>
      <c r="Z671" s="51"/>
      <c r="AA671" s="51"/>
    </row>
    <row r="672" spans="23:27">
      <c r="W672" s="53"/>
      <c r="Y672" s="58"/>
      <c r="Z672" s="51"/>
      <c r="AA672" s="51"/>
    </row>
    <row r="673" spans="23:27">
      <c r="W673" s="53"/>
      <c r="Y673" s="58"/>
      <c r="Z673" s="51"/>
      <c r="AA673" s="51"/>
    </row>
    <row r="674" spans="23:27">
      <c r="W674" s="53"/>
      <c r="Y674" s="58"/>
      <c r="Z674" s="51"/>
      <c r="AA674" s="51"/>
    </row>
    <row r="675" spans="23:27">
      <c r="W675" s="53"/>
      <c r="Y675" s="58"/>
      <c r="Z675" s="51"/>
      <c r="AA675" s="51"/>
    </row>
    <row r="676" spans="23:27">
      <c r="W676" s="53"/>
      <c r="Y676" s="58"/>
      <c r="Z676" s="51"/>
      <c r="AA676" s="51"/>
    </row>
    <row r="677" spans="23:27">
      <c r="W677" s="53"/>
      <c r="Y677" s="58"/>
      <c r="Z677" s="51"/>
      <c r="AA677" s="51"/>
    </row>
    <row r="678" spans="23:27">
      <c r="W678" s="53"/>
      <c r="Y678" s="58"/>
      <c r="Z678" s="51"/>
      <c r="AA678" s="51"/>
    </row>
    <row r="679" spans="23:27">
      <c r="W679" s="53"/>
      <c r="Y679" s="58"/>
      <c r="Z679" s="51"/>
      <c r="AA679" s="51"/>
    </row>
    <row r="680" spans="23:27">
      <c r="W680" s="53"/>
      <c r="Y680" s="58"/>
      <c r="Z680" s="51"/>
      <c r="AA680" s="51"/>
    </row>
    <row r="681" spans="23:27">
      <c r="W681" s="53"/>
      <c r="Y681" s="58"/>
      <c r="Z681" s="51"/>
      <c r="AA681" s="51"/>
    </row>
    <row r="682" spans="23:27">
      <c r="W682" s="53"/>
      <c r="Y682" s="58"/>
      <c r="Z682" s="51"/>
      <c r="AA682" s="51"/>
    </row>
    <row r="683" spans="23:27">
      <c r="W683" s="53"/>
      <c r="Y683" s="58"/>
      <c r="Z683" s="51"/>
      <c r="AA683" s="51"/>
    </row>
    <row r="684" spans="23:27">
      <c r="W684" s="53"/>
      <c r="Y684" s="58"/>
      <c r="Z684" s="51"/>
      <c r="AA684" s="51"/>
    </row>
    <row r="685" spans="23:27">
      <c r="W685" s="53"/>
      <c r="Y685" s="58"/>
      <c r="Z685" s="51"/>
      <c r="AA685" s="51"/>
    </row>
    <row r="686" spans="23:27">
      <c r="W686" s="53"/>
      <c r="Y686" s="58"/>
      <c r="Z686" s="51"/>
      <c r="AA686" s="51"/>
    </row>
    <row r="687" spans="23:27">
      <c r="W687" s="53"/>
      <c r="Y687" s="58"/>
      <c r="Z687" s="51"/>
      <c r="AA687" s="51"/>
    </row>
    <row r="688" spans="23:27">
      <c r="W688" s="53"/>
      <c r="Y688" s="58"/>
      <c r="Z688" s="51"/>
      <c r="AA688" s="51"/>
    </row>
    <row r="689" spans="23:27">
      <c r="W689" s="53"/>
      <c r="Y689" s="58"/>
      <c r="Z689" s="51"/>
      <c r="AA689" s="51"/>
    </row>
    <row r="690" spans="23:27">
      <c r="W690" s="53"/>
      <c r="Y690" s="58"/>
      <c r="Z690" s="51"/>
      <c r="AA690" s="51"/>
    </row>
    <row r="691" spans="23:27">
      <c r="W691" s="53"/>
      <c r="Y691" s="58"/>
      <c r="Z691" s="51"/>
      <c r="AA691" s="51"/>
    </row>
    <row r="692" spans="23:27">
      <c r="W692" s="53"/>
      <c r="Y692" s="58"/>
      <c r="Z692" s="51"/>
      <c r="AA692" s="51"/>
    </row>
    <row r="693" spans="23:27">
      <c r="W693" s="53"/>
      <c r="Y693" s="58"/>
      <c r="Z693" s="51"/>
      <c r="AA693" s="51"/>
    </row>
    <row r="694" spans="23:27">
      <c r="W694" s="53"/>
      <c r="Y694" s="58"/>
      <c r="Z694" s="51"/>
      <c r="AA694" s="51"/>
    </row>
    <row r="695" spans="23:27">
      <c r="W695" s="53"/>
      <c r="Y695" s="58"/>
      <c r="Z695" s="51"/>
      <c r="AA695" s="51"/>
    </row>
    <row r="696" spans="23:27">
      <c r="W696" s="53"/>
      <c r="Y696" s="58"/>
      <c r="Z696" s="51"/>
      <c r="AA696" s="51"/>
    </row>
    <row r="697" spans="23:27">
      <c r="W697" s="53"/>
      <c r="Y697" s="58"/>
      <c r="Z697" s="51"/>
      <c r="AA697" s="51"/>
    </row>
    <row r="698" spans="23:27">
      <c r="W698" s="53"/>
      <c r="Y698" s="58"/>
      <c r="Z698" s="51"/>
      <c r="AA698" s="51"/>
    </row>
    <row r="699" spans="23:27">
      <c r="W699" s="53"/>
      <c r="Y699" s="58"/>
      <c r="Z699" s="51"/>
      <c r="AA699" s="51"/>
    </row>
    <row r="700" spans="23:27">
      <c r="W700" s="53"/>
      <c r="Y700" s="58"/>
      <c r="Z700" s="51"/>
      <c r="AA700" s="51"/>
    </row>
    <row r="701" spans="23:27">
      <c r="W701" s="53"/>
      <c r="Y701" s="58"/>
      <c r="Z701" s="51"/>
      <c r="AA701" s="51"/>
    </row>
    <row r="702" spans="23:27">
      <c r="W702" s="53"/>
      <c r="Y702" s="58"/>
      <c r="Z702" s="51"/>
      <c r="AA702" s="51"/>
    </row>
    <row r="703" spans="23:27">
      <c r="W703" s="53"/>
      <c r="Y703" s="58"/>
      <c r="Z703" s="51"/>
      <c r="AA703" s="51"/>
    </row>
    <row r="704" spans="23:27">
      <c r="W704" s="53"/>
      <c r="Y704" s="58"/>
      <c r="Z704" s="51"/>
      <c r="AA704" s="51"/>
    </row>
    <row r="705" spans="23:27">
      <c r="W705" s="53"/>
      <c r="Y705" s="58"/>
      <c r="Z705" s="51"/>
      <c r="AA705" s="51"/>
    </row>
    <row r="706" spans="23:27">
      <c r="W706" s="53"/>
      <c r="Y706" s="58"/>
      <c r="Z706" s="51"/>
      <c r="AA706" s="51"/>
    </row>
    <row r="707" spans="23:27">
      <c r="W707" s="53"/>
      <c r="Y707" s="58"/>
      <c r="Z707" s="51"/>
      <c r="AA707" s="51"/>
    </row>
    <row r="708" spans="23:27">
      <c r="W708" s="53"/>
      <c r="Y708" s="58"/>
      <c r="Z708" s="51"/>
      <c r="AA708" s="51"/>
    </row>
    <row r="709" spans="23:27">
      <c r="W709" s="53"/>
      <c r="Y709" s="58"/>
      <c r="Z709" s="51"/>
      <c r="AA709" s="51"/>
    </row>
    <row r="710" spans="23:27">
      <c r="W710" s="53"/>
      <c r="Y710" s="58"/>
      <c r="Z710" s="51"/>
      <c r="AA710" s="51"/>
    </row>
    <row r="711" spans="23:27">
      <c r="W711" s="53"/>
      <c r="Y711" s="58"/>
      <c r="Z711" s="51"/>
      <c r="AA711" s="51"/>
    </row>
    <row r="712" spans="23:27">
      <c r="W712" s="53"/>
      <c r="Y712" s="58"/>
      <c r="Z712" s="51"/>
      <c r="AA712" s="51"/>
    </row>
    <row r="713" spans="23:27">
      <c r="W713" s="53"/>
      <c r="Y713" s="58"/>
      <c r="Z713" s="51"/>
      <c r="AA713" s="51"/>
    </row>
    <row r="714" spans="23:27">
      <c r="W714" s="53"/>
      <c r="Y714" s="58"/>
      <c r="Z714" s="51"/>
      <c r="AA714" s="51"/>
    </row>
    <row r="715" spans="23:27">
      <c r="W715" s="53"/>
      <c r="Y715" s="58"/>
      <c r="Z715" s="51"/>
      <c r="AA715" s="51"/>
    </row>
    <row r="716" spans="23:27">
      <c r="W716" s="53"/>
      <c r="Y716" s="58"/>
      <c r="Z716" s="51"/>
      <c r="AA716" s="51"/>
    </row>
    <row r="717" spans="23:27">
      <c r="W717" s="53"/>
      <c r="Y717" s="58"/>
      <c r="Z717" s="51"/>
      <c r="AA717" s="51"/>
    </row>
    <row r="718" spans="23:27">
      <c r="W718" s="53"/>
      <c r="Y718" s="58"/>
      <c r="Z718" s="51"/>
      <c r="AA718" s="51"/>
    </row>
    <row r="719" spans="23:27">
      <c r="W719" s="53"/>
      <c r="Y719" s="58"/>
      <c r="Z719" s="51"/>
      <c r="AA719" s="51"/>
    </row>
    <row r="720" spans="23:27">
      <c r="W720" s="53"/>
      <c r="Y720" s="58"/>
      <c r="Z720" s="51"/>
      <c r="AA720" s="51"/>
    </row>
    <row r="721" spans="23:27">
      <c r="W721" s="53"/>
      <c r="Y721" s="58"/>
      <c r="Z721" s="51"/>
      <c r="AA721" s="51"/>
    </row>
    <row r="722" spans="23:27">
      <c r="W722" s="53"/>
      <c r="Y722" s="58"/>
      <c r="Z722" s="51"/>
      <c r="AA722" s="51"/>
    </row>
    <row r="723" spans="23:27">
      <c r="W723" s="53"/>
      <c r="Y723" s="58"/>
      <c r="Z723" s="51"/>
      <c r="AA723" s="51"/>
    </row>
    <row r="724" spans="23:27">
      <c r="W724" s="53"/>
      <c r="Y724" s="58"/>
      <c r="Z724" s="51"/>
      <c r="AA724" s="51"/>
    </row>
    <row r="725" spans="23:27">
      <c r="W725" s="53"/>
      <c r="Y725" s="58"/>
      <c r="Z725" s="51"/>
      <c r="AA725" s="51"/>
    </row>
    <row r="726" spans="23:27">
      <c r="W726" s="53"/>
      <c r="Y726" s="58"/>
      <c r="Z726" s="51"/>
      <c r="AA726" s="51"/>
    </row>
    <row r="727" spans="23:27">
      <c r="W727" s="53"/>
      <c r="Y727" s="58"/>
      <c r="Z727" s="51"/>
      <c r="AA727" s="51"/>
    </row>
    <row r="728" spans="23:27">
      <c r="W728" s="53"/>
      <c r="Y728" s="58"/>
      <c r="Z728" s="51"/>
      <c r="AA728" s="51"/>
    </row>
    <row r="729" spans="23:27">
      <c r="W729" s="53"/>
      <c r="Y729" s="58"/>
      <c r="Z729" s="51"/>
      <c r="AA729" s="51"/>
    </row>
    <row r="730" spans="23:27">
      <c r="W730" s="53"/>
      <c r="Y730" s="58"/>
      <c r="Z730" s="51"/>
      <c r="AA730" s="51"/>
    </row>
    <row r="731" spans="23:27">
      <c r="W731" s="53"/>
      <c r="Y731" s="58"/>
      <c r="Z731" s="51"/>
      <c r="AA731" s="51"/>
    </row>
    <row r="732" spans="23:27">
      <c r="W732" s="53"/>
      <c r="Y732" s="58"/>
      <c r="Z732" s="51"/>
      <c r="AA732" s="51"/>
    </row>
    <row r="733" spans="23:27">
      <c r="W733" s="53"/>
      <c r="Y733" s="58"/>
      <c r="Z733" s="51"/>
      <c r="AA733" s="51"/>
    </row>
    <row r="734" spans="23:27">
      <c r="W734" s="53"/>
      <c r="Y734" s="58"/>
      <c r="Z734" s="51"/>
      <c r="AA734" s="51"/>
    </row>
    <row r="735" spans="23:27">
      <c r="W735" s="53"/>
      <c r="Y735" s="58"/>
      <c r="Z735" s="51"/>
      <c r="AA735" s="51"/>
    </row>
    <row r="736" spans="23:27">
      <c r="W736" s="53"/>
      <c r="Y736" s="58"/>
      <c r="Z736" s="51"/>
      <c r="AA736" s="51"/>
    </row>
    <row r="737" spans="23:27">
      <c r="W737" s="53"/>
      <c r="Y737" s="58"/>
      <c r="Z737" s="51"/>
      <c r="AA737" s="51"/>
    </row>
    <row r="738" spans="23:27">
      <c r="W738" s="53"/>
      <c r="Y738" s="58"/>
      <c r="Z738" s="51"/>
      <c r="AA738" s="51"/>
    </row>
    <row r="739" spans="23:27">
      <c r="W739" s="53"/>
      <c r="Y739" s="58"/>
      <c r="Z739" s="51"/>
      <c r="AA739" s="51"/>
    </row>
    <row r="740" spans="23:27">
      <c r="W740" s="53"/>
      <c r="Y740" s="58"/>
      <c r="Z740" s="51"/>
      <c r="AA740" s="51"/>
    </row>
    <row r="741" spans="23:27">
      <c r="W741" s="53"/>
      <c r="Y741" s="58"/>
      <c r="Z741" s="51"/>
      <c r="AA741" s="51"/>
    </row>
    <row r="742" spans="23:27">
      <c r="W742" s="53"/>
      <c r="Y742" s="58"/>
      <c r="Z742" s="51"/>
      <c r="AA742" s="51"/>
    </row>
    <row r="743" spans="23:27">
      <c r="W743" s="53"/>
      <c r="Y743" s="58"/>
      <c r="Z743" s="51"/>
      <c r="AA743" s="51"/>
    </row>
    <row r="744" spans="23:27">
      <c r="W744" s="53"/>
      <c r="Y744" s="58"/>
      <c r="Z744" s="51"/>
      <c r="AA744" s="51"/>
    </row>
    <row r="745" spans="23:27">
      <c r="W745" s="53"/>
      <c r="Y745" s="58"/>
      <c r="Z745" s="51"/>
      <c r="AA745" s="51"/>
    </row>
    <row r="746" spans="23:27">
      <c r="W746" s="53"/>
      <c r="Y746" s="58"/>
      <c r="Z746" s="51"/>
      <c r="AA746" s="51"/>
    </row>
    <row r="747" spans="23:27">
      <c r="W747" s="53"/>
      <c r="Y747" s="58"/>
      <c r="Z747" s="51"/>
      <c r="AA747" s="51"/>
    </row>
    <row r="748" spans="23:27">
      <c r="W748" s="53"/>
      <c r="Y748" s="58"/>
      <c r="Z748" s="51"/>
      <c r="AA748" s="51"/>
    </row>
    <row r="749" spans="23:27">
      <c r="W749" s="53"/>
      <c r="Y749" s="58"/>
      <c r="Z749" s="51"/>
      <c r="AA749" s="51"/>
    </row>
    <row r="750" spans="23:27">
      <c r="W750" s="53"/>
      <c r="Y750" s="58"/>
      <c r="Z750" s="51"/>
      <c r="AA750" s="51"/>
    </row>
    <row r="751" spans="23:27">
      <c r="W751" s="53"/>
      <c r="Y751" s="58"/>
      <c r="Z751" s="51"/>
      <c r="AA751" s="51"/>
    </row>
    <row r="752" spans="23:27">
      <c r="W752" s="53"/>
      <c r="Y752" s="58"/>
      <c r="Z752" s="51"/>
      <c r="AA752" s="51"/>
    </row>
    <row r="753" spans="23:27">
      <c r="W753" s="53"/>
      <c r="Y753" s="58"/>
      <c r="Z753" s="51"/>
      <c r="AA753" s="51"/>
    </row>
    <row r="754" spans="23:27">
      <c r="W754" s="53"/>
      <c r="Y754" s="58"/>
      <c r="Z754" s="51"/>
      <c r="AA754" s="51"/>
    </row>
    <row r="755" spans="23:27">
      <c r="W755" s="53"/>
      <c r="Y755" s="58"/>
      <c r="Z755" s="51"/>
      <c r="AA755" s="51"/>
    </row>
    <row r="756" spans="23:27">
      <c r="W756" s="53"/>
      <c r="Y756" s="58"/>
      <c r="Z756" s="51"/>
      <c r="AA756" s="51"/>
    </row>
    <row r="757" spans="23:27">
      <c r="W757" s="53"/>
      <c r="Y757" s="58"/>
      <c r="Z757" s="51"/>
      <c r="AA757" s="51"/>
    </row>
    <row r="758" spans="23:27">
      <c r="W758" s="53"/>
      <c r="Y758" s="58"/>
      <c r="Z758" s="51"/>
      <c r="AA758" s="51"/>
    </row>
    <row r="759" spans="23:27">
      <c r="W759" s="53"/>
      <c r="Y759" s="58"/>
      <c r="Z759" s="51"/>
      <c r="AA759" s="51"/>
    </row>
    <row r="760" spans="23:27">
      <c r="W760" s="53"/>
      <c r="Y760" s="58"/>
      <c r="Z760" s="51"/>
      <c r="AA760" s="51"/>
    </row>
    <row r="761" spans="23:27">
      <c r="W761" s="53"/>
      <c r="Y761" s="58"/>
      <c r="Z761" s="51"/>
      <c r="AA761" s="51"/>
    </row>
    <row r="762" spans="23:27">
      <c r="W762" s="53"/>
      <c r="Y762" s="58"/>
      <c r="Z762" s="51"/>
      <c r="AA762" s="51"/>
    </row>
    <row r="763" spans="23:27">
      <c r="W763" s="53"/>
      <c r="Y763" s="58"/>
      <c r="Z763" s="51"/>
      <c r="AA763" s="51"/>
    </row>
    <row r="764" spans="23:27">
      <c r="W764" s="53"/>
      <c r="Y764" s="58"/>
      <c r="Z764" s="51"/>
      <c r="AA764" s="51"/>
    </row>
    <row r="765" spans="23:27">
      <c r="W765" s="53"/>
      <c r="Y765" s="58"/>
      <c r="Z765" s="51"/>
      <c r="AA765" s="51"/>
    </row>
    <row r="766" spans="23:27">
      <c r="W766" s="53"/>
      <c r="Y766" s="58"/>
      <c r="Z766" s="51"/>
      <c r="AA766" s="51"/>
    </row>
    <row r="767" spans="23:27">
      <c r="W767" s="53"/>
      <c r="Y767" s="58"/>
      <c r="Z767" s="51"/>
      <c r="AA767" s="51"/>
    </row>
    <row r="768" spans="23:27">
      <c r="W768" s="53"/>
      <c r="Y768" s="58"/>
      <c r="Z768" s="51"/>
      <c r="AA768" s="51"/>
    </row>
    <row r="769" spans="23:27">
      <c r="W769" s="53"/>
      <c r="Y769" s="58"/>
      <c r="Z769" s="51"/>
      <c r="AA769" s="51"/>
    </row>
    <row r="770" spans="23:27">
      <c r="W770" s="53"/>
      <c r="Y770" s="58"/>
      <c r="Z770" s="51"/>
      <c r="AA770" s="51"/>
    </row>
    <row r="771" spans="23:27">
      <c r="W771" s="53"/>
      <c r="Y771" s="58"/>
      <c r="Z771" s="51"/>
      <c r="AA771" s="51"/>
    </row>
    <row r="772" spans="23:27">
      <c r="W772" s="53"/>
      <c r="Y772" s="58"/>
      <c r="Z772" s="51"/>
      <c r="AA772" s="51"/>
    </row>
    <row r="773" spans="23:27">
      <c r="W773" s="53"/>
      <c r="Y773" s="58"/>
      <c r="Z773" s="51"/>
      <c r="AA773" s="51"/>
    </row>
    <row r="774" spans="23:27">
      <c r="W774" s="53"/>
      <c r="Y774" s="58"/>
      <c r="Z774" s="51"/>
      <c r="AA774" s="51"/>
    </row>
    <row r="775" spans="23:27">
      <c r="W775" s="53"/>
      <c r="Y775" s="58"/>
      <c r="Z775" s="51"/>
      <c r="AA775" s="51"/>
    </row>
    <row r="776" spans="23:27">
      <c r="W776" s="53"/>
      <c r="Y776" s="58"/>
      <c r="Z776" s="51"/>
      <c r="AA776" s="51"/>
    </row>
    <row r="777" spans="23:27">
      <c r="W777" s="53"/>
      <c r="Y777" s="58"/>
      <c r="Z777" s="51"/>
      <c r="AA777" s="51"/>
    </row>
    <row r="778" spans="23:27">
      <c r="W778" s="53"/>
      <c r="Y778" s="58"/>
      <c r="Z778" s="51"/>
      <c r="AA778" s="51"/>
    </row>
    <row r="779" spans="23:27">
      <c r="W779" s="53"/>
      <c r="Y779" s="58"/>
      <c r="Z779" s="51"/>
      <c r="AA779" s="51"/>
    </row>
    <row r="780" spans="23:27">
      <c r="W780" s="53"/>
      <c r="Y780" s="58"/>
      <c r="Z780" s="51"/>
      <c r="AA780" s="51"/>
    </row>
    <row r="781" spans="23:27">
      <c r="W781" s="53"/>
      <c r="Y781" s="58"/>
      <c r="Z781" s="51"/>
      <c r="AA781" s="51"/>
    </row>
    <row r="782" spans="23:27">
      <c r="W782" s="53"/>
      <c r="Y782" s="58"/>
      <c r="Z782" s="51"/>
      <c r="AA782" s="51"/>
    </row>
    <row r="783" spans="23:27">
      <c r="W783" s="53"/>
      <c r="Y783" s="58"/>
      <c r="Z783" s="51"/>
      <c r="AA783" s="51"/>
    </row>
    <row r="784" spans="23:27">
      <c r="W784" s="53"/>
      <c r="Y784" s="58"/>
      <c r="Z784" s="51"/>
      <c r="AA784" s="51"/>
    </row>
    <row r="785" spans="23:27">
      <c r="W785" s="53"/>
      <c r="Y785" s="58"/>
      <c r="Z785" s="51"/>
      <c r="AA785" s="51"/>
    </row>
    <row r="786" spans="23:27">
      <c r="W786" s="53"/>
      <c r="Y786" s="58"/>
      <c r="Z786" s="51"/>
      <c r="AA786" s="51"/>
    </row>
    <row r="787" spans="23:27">
      <c r="W787" s="53"/>
      <c r="Y787" s="58"/>
      <c r="Z787" s="51"/>
      <c r="AA787" s="51"/>
    </row>
    <row r="788" spans="23:27">
      <c r="W788" s="53"/>
      <c r="Y788" s="58"/>
      <c r="Z788" s="51"/>
      <c r="AA788" s="51"/>
    </row>
    <row r="789" spans="23:27">
      <c r="W789" s="53"/>
      <c r="Y789" s="58"/>
      <c r="Z789" s="51"/>
      <c r="AA789" s="51"/>
    </row>
    <row r="790" spans="23:27">
      <c r="W790" s="53"/>
      <c r="Y790" s="58"/>
      <c r="Z790" s="51"/>
      <c r="AA790" s="51"/>
    </row>
    <row r="791" spans="23:27">
      <c r="W791" s="53"/>
      <c r="Y791" s="58"/>
      <c r="Z791" s="51"/>
      <c r="AA791" s="51"/>
    </row>
    <row r="792" spans="23:27">
      <c r="W792" s="53"/>
      <c r="Y792" s="58"/>
      <c r="Z792" s="51"/>
      <c r="AA792" s="51"/>
    </row>
    <row r="793" spans="23:27">
      <c r="W793" s="53"/>
      <c r="Y793" s="58"/>
      <c r="Z793" s="51"/>
      <c r="AA793" s="51"/>
    </row>
    <row r="794" spans="23:27">
      <c r="W794" s="53"/>
      <c r="Y794" s="58"/>
      <c r="Z794" s="51"/>
      <c r="AA794" s="51"/>
    </row>
    <row r="795" spans="23:27">
      <c r="W795" s="53"/>
      <c r="Y795" s="58"/>
      <c r="Z795" s="51"/>
      <c r="AA795" s="51"/>
    </row>
    <row r="796" spans="23:27">
      <c r="W796" s="53"/>
      <c r="Y796" s="58"/>
      <c r="Z796" s="51"/>
      <c r="AA796" s="51"/>
    </row>
    <row r="797" spans="23:27">
      <c r="W797" s="53"/>
      <c r="Y797" s="58"/>
      <c r="Z797" s="51"/>
      <c r="AA797" s="51"/>
    </row>
    <row r="798" spans="23:27">
      <c r="W798" s="53"/>
      <c r="Y798" s="58"/>
      <c r="Z798" s="51"/>
      <c r="AA798" s="51"/>
    </row>
    <row r="799" spans="23:27">
      <c r="W799" s="53"/>
      <c r="Y799" s="58"/>
      <c r="Z799" s="51"/>
      <c r="AA799" s="51"/>
    </row>
    <row r="800" spans="23:27">
      <c r="W800" s="53"/>
      <c r="Y800" s="58"/>
      <c r="Z800" s="51"/>
      <c r="AA800" s="51"/>
    </row>
    <row r="801" spans="23:27">
      <c r="W801" s="53"/>
      <c r="Y801" s="58"/>
      <c r="Z801" s="51"/>
      <c r="AA801" s="51"/>
    </row>
    <row r="802" spans="23:27">
      <c r="W802" s="53"/>
      <c r="Y802" s="58"/>
      <c r="Z802" s="51"/>
      <c r="AA802" s="51"/>
    </row>
    <row r="803" spans="23:27">
      <c r="W803" s="53"/>
      <c r="Y803" s="58"/>
      <c r="Z803" s="51"/>
      <c r="AA803" s="51"/>
    </row>
    <row r="804" spans="23:27">
      <c r="W804" s="53"/>
      <c r="Y804" s="58"/>
      <c r="Z804" s="51"/>
      <c r="AA804" s="51"/>
    </row>
    <row r="805" spans="23:27">
      <c r="W805" s="53"/>
      <c r="Y805" s="58"/>
      <c r="Z805" s="51"/>
      <c r="AA805" s="51"/>
    </row>
    <row r="806" spans="23:27">
      <c r="W806" s="53"/>
      <c r="Y806" s="58"/>
      <c r="Z806" s="51"/>
      <c r="AA806" s="51"/>
    </row>
    <row r="807" spans="23:27">
      <c r="W807" s="53"/>
      <c r="Y807" s="58"/>
      <c r="Z807" s="51"/>
      <c r="AA807" s="51"/>
    </row>
    <row r="808" spans="23:27">
      <c r="W808" s="53"/>
      <c r="Y808" s="58"/>
      <c r="Z808" s="51"/>
      <c r="AA808" s="51"/>
    </row>
    <row r="809" spans="23:27">
      <c r="W809" s="53"/>
      <c r="Y809" s="58"/>
      <c r="Z809" s="51"/>
      <c r="AA809" s="51"/>
    </row>
    <row r="810" spans="23:27">
      <c r="W810" s="53"/>
      <c r="Y810" s="58"/>
      <c r="Z810" s="51"/>
      <c r="AA810" s="51"/>
    </row>
    <row r="811" spans="23:27">
      <c r="W811" s="53"/>
      <c r="Y811" s="58"/>
      <c r="Z811" s="51"/>
      <c r="AA811" s="51"/>
    </row>
    <row r="812" spans="23:27">
      <c r="W812" s="53"/>
      <c r="Y812" s="58"/>
      <c r="Z812" s="51"/>
      <c r="AA812" s="51"/>
    </row>
    <row r="813" spans="23:27">
      <c r="W813" s="53"/>
      <c r="Y813" s="58"/>
      <c r="Z813" s="51"/>
      <c r="AA813" s="51"/>
    </row>
    <row r="814" spans="23:27">
      <c r="W814" s="53"/>
      <c r="Y814" s="58"/>
      <c r="Z814" s="51"/>
      <c r="AA814" s="51"/>
    </row>
    <row r="815" spans="23:27">
      <c r="W815" s="53"/>
      <c r="Y815" s="58"/>
      <c r="Z815" s="51"/>
      <c r="AA815" s="51"/>
    </row>
    <row r="816" spans="23:27">
      <c r="W816" s="53"/>
      <c r="Y816" s="58"/>
      <c r="Z816" s="51"/>
      <c r="AA816" s="51"/>
    </row>
    <row r="817" spans="23:27">
      <c r="W817" s="53"/>
      <c r="Y817" s="58"/>
      <c r="Z817" s="51"/>
      <c r="AA817" s="51"/>
    </row>
    <row r="818" spans="23:27">
      <c r="W818" s="53"/>
      <c r="Y818" s="58"/>
      <c r="Z818" s="51"/>
      <c r="AA818" s="51"/>
    </row>
    <row r="819" spans="23:27">
      <c r="W819" s="53"/>
      <c r="Y819" s="58"/>
      <c r="Z819" s="51"/>
      <c r="AA819" s="51"/>
    </row>
    <row r="820" spans="23:27">
      <c r="W820" s="53"/>
      <c r="Y820" s="58"/>
      <c r="Z820" s="51"/>
      <c r="AA820" s="51"/>
    </row>
    <row r="821" spans="23:27">
      <c r="W821" s="53"/>
      <c r="Y821" s="58"/>
      <c r="Z821" s="51"/>
      <c r="AA821" s="51"/>
    </row>
    <row r="822" spans="23:27">
      <c r="W822" s="53"/>
      <c r="Y822" s="58"/>
      <c r="Z822" s="51"/>
      <c r="AA822" s="51"/>
    </row>
    <row r="823" spans="23:27">
      <c r="W823" s="53"/>
      <c r="Y823" s="58"/>
      <c r="Z823" s="51"/>
      <c r="AA823" s="51"/>
    </row>
    <row r="824" spans="23:27">
      <c r="W824" s="53"/>
      <c r="Y824" s="58"/>
      <c r="Z824" s="51"/>
      <c r="AA824" s="51"/>
    </row>
    <row r="825" spans="23:27">
      <c r="W825" s="53"/>
      <c r="Y825" s="58"/>
      <c r="Z825" s="51"/>
      <c r="AA825" s="51"/>
    </row>
    <row r="826" spans="23:27">
      <c r="W826" s="53"/>
      <c r="Y826" s="58"/>
      <c r="Z826" s="51"/>
      <c r="AA826" s="51"/>
    </row>
    <row r="827" spans="23:27">
      <c r="W827" s="53"/>
      <c r="Y827" s="58"/>
      <c r="Z827" s="51"/>
      <c r="AA827" s="51"/>
    </row>
    <row r="828" spans="23:27">
      <c r="W828" s="53"/>
      <c r="Y828" s="58"/>
      <c r="Z828" s="51"/>
      <c r="AA828" s="51"/>
    </row>
    <row r="829" spans="23:27">
      <c r="W829" s="53"/>
      <c r="Y829" s="58"/>
      <c r="Z829" s="51"/>
      <c r="AA829" s="51"/>
    </row>
    <row r="830" spans="23:27">
      <c r="W830" s="53"/>
      <c r="Y830" s="58"/>
      <c r="Z830" s="51"/>
      <c r="AA830" s="51"/>
    </row>
    <row r="831" spans="23:27">
      <c r="W831" s="53"/>
      <c r="Y831" s="58"/>
      <c r="Z831" s="51"/>
      <c r="AA831" s="51"/>
    </row>
    <row r="832" spans="23:27">
      <c r="W832" s="53"/>
      <c r="Y832" s="58"/>
      <c r="Z832" s="51"/>
      <c r="AA832" s="51"/>
    </row>
    <row r="833" spans="23:27">
      <c r="W833" s="53"/>
      <c r="Y833" s="58"/>
      <c r="Z833" s="51"/>
      <c r="AA833" s="51"/>
    </row>
    <row r="834" spans="23:27">
      <c r="W834" s="53"/>
      <c r="Y834" s="58"/>
      <c r="Z834" s="51"/>
      <c r="AA834" s="51"/>
    </row>
    <row r="835" spans="23:27">
      <c r="W835" s="53"/>
      <c r="Y835" s="58"/>
      <c r="Z835" s="51"/>
      <c r="AA835" s="51"/>
    </row>
    <row r="836" spans="23:27">
      <c r="W836" s="53"/>
      <c r="Y836" s="58"/>
      <c r="Z836" s="51"/>
      <c r="AA836" s="51"/>
    </row>
    <row r="837" spans="23:27">
      <c r="W837" s="53"/>
      <c r="Y837" s="58"/>
      <c r="Z837" s="51"/>
      <c r="AA837" s="51"/>
    </row>
    <row r="838" spans="23:27">
      <c r="W838" s="53"/>
      <c r="Y838" s="58"/>
      <c r="Z838" s="51"/>
      <c r="AA838" s="51"/>
    </row>
    <row r="839" spans="23:27">
      <c r="W839" s="53"/>
      <c r="Y839" s="58"/>
      <c r="Z839" s="51"/>
      <c r="AA839" s="51"/>
    </row>
    <row r="840" spans="23:27">
      <c r="W840" s="53"/>
      <c r="Y840" s="58"/>
      <c r="Z840" s="51"/>
      <c r="AA840" s="51"/>
    </row>
    <row r="841" spans="23:27">
      <c r="W841" s="53"/>
      <c r="Y841" s="58"/>
      <c r="Z841" s="51"/>
      <c r="AA841" s="51"/>
    </row>
    <row r="842" spans="23:27">
      <c r="W842" s="53"/>
      <c r="Y842" s="58"/>
      <c r="Z842" s="51"/>
      <c r="AA842" s="51"/>
    </row>
    <row r="843" spans="23:27">
      <c r="W843" s="53"/>
      <c r="Y843" s="58"/>
      <c r="Z843" s="51"/>
      <c r="AA843" s="51"/>
    </row>
    <row r="844" spans="23:27">
      <c r="W844" s="53"/>
      <c r="Y844" s="58"/>
      <c r="Z844" s="51"/>
      <c r="AA844" s="51"/>
    </row>
    <row r="845" spans="23:27">
      <c r="W845" s="53"/>
      <c r="Y845" s="58"/>
      <c r="Z845" s="51"/>
      <c r="AA845" s="51"/>
    </row>
    <row r="846" spans="23:27">
      <c r="W846" s="53"/>
      <c r="Y846" s="58"/>
      <c r="Z846" s="51"/>
      <c r="AA846" s="51"/>
    </row>
    <row r="847" spans="23:27">
      <c r="W847" s="53"/>
      <c r="Y847" s="58"/>
      <c r="Z847" s="51"/>
      <c r="AA847" s="51"/>
    </row>
    <row r="848" spans="23:27">
      <c r="W848" s="53"/>
      <c r="Y848" s="58"/>
      <c r="Z848" s="51"/>
      <c r="AA848" s="51"/>
    </row>
    <row r="849" spans="23:27">
      <c r="W849" s="53"/>
      <c r="Y849" s="58"/>
      <c r="Z849" s="51"/>
      <c r="AA849" s="51"/>
    </row>
    <row r="850" spans="23:27">
      <c r="W850" s="53"/>
      <c r="Y850" s="58"/>
      <c r="Z850" s="51"/>
      <c r="AA850" s="51"/>
    </row>
    <row r="851" spans="23:27">
      <c r="W851" s="53"/>
      <c r="Y851" s="58"/>
      <c r="Z851" s="51"/>
      <c r="AA851" s="51"/>
    </row>
    <row r="852" spans="23:27">
      <c r="W852" s="53"/>
      <c r="Y852" s="58"/>
      <c r="Z852" s="51"/>
      <c r="AA852" s="51"/>
    </row>
    <row r="853" spans="23:27">
      <c r="W853" s="53"/>
      <c r="Y853" s="58"/>
      <c r="Z853" s="51"/>
      <c r="AA853" s="51"/>
    </row>
    <row r="854" spans="23:27">
      <c r="W854" s="53"/>
      <c r="Y854" s="58"/>
      <c r="Z854" s="51"/>
      <c r="AA854" s="51"/>
    </row>
    <row r="855" spans="23:27">
      <c r="W855" s="53"/>
      <c r="Y855" s="58"/>
      <c r="Z855" s="51"/>
      <c r="AA855" s="51"/>
    </row>
    <row r="856" spans="23:27">
      <c r="W856" s="53"/>
      <c r="Y856" s="58"/>
      <c r="Z856" s="51"/>
      <c r="AA856" s="51"/>
    </row>
    <row r="857" spans="23:27">
      <c r="W857" s="53"/>
      <c r="Y857" s="58"/>
      <c r="Z857" s="51"/>
      <c r="AA857" s="51"/>
    </row>
    <row r="858" spans="23:27">
      <c r="W858" s="53"/>
      <c r="Y858" s="58"/>
      <c r="Z858" s="51"/>
      <c r="AA858" s="51"/>
    </row>
    <row r="859" spans="23:27">
      <c r="W859" s="53"/>
      <c r="Y859" s="58"/>
      <c r="Z859" s="51"/>
      <c r="AA859" s="51"/>
    </row>
    <row r="860" spans="23:27">
      <c r="W860" s="53"/>
      <c r="Y860" s="58"/>
      <c r="Z860" s="51"/>
      <c r="AA860" s="51"/>
    </row>
    <row r="861" spans="23:27">
      <c r="W861" s="53"/>
      <c r="Y861" s="58"/>
      <c r="Z861" s="51"/>
      <c r="AA861" s="51"/>
    </row>
    <row r="862" spans="23:27">
      <c r="W862" s="53"/>
      <c r="Y862" s="58"/>
      <c r="Z862" s="51"/>
      <c r="AA862" s="51"/>
    </row>
    <row r="863" spans="23:27">
      <c r="W863" s="53"/>
      <c r="Y863" s="58"/>
      <c r="Z863" s="51"/>
      <c r="AA863" s="51"/>
    </row>
    <row r="864" spans="23:27">
      <c r="W864" s="53"/>
      <c r="Y864" s="58"/>
      <c r="Z864" s="51"/>
      <c r="AA864" s="51"/>
    </row>
    <row r="865" spans="23:27">
      <c r="W865" s="53"/>
      <c r="Y865" s="58"/>
      <c r="Z865" s="51"/>
      <c r="AA865" s="51"/>
    </row>
    <row r="866" spans="23:27">
      <c r="W866" s="53"/>
      <c r="Y866" s="58"/>
      <c r="Z866" s="51"/>
      <c r="AA866" s="51"/>
    </row>
    <row r="867" spans="23:27">
      <c r="W867" s="53"/>
      <c r="Y867" s="58"/>
      <c r="Z867" s="51"/>
      <c r="AA867" s="51"/>
    </row>
    <row r="868" spans="23:27">
      <c r="W868" s="53"/>
      <c r="Y868" s="58"/>
      <c r="Z868" s="51"/>
      <c r="AA868" s="51"/>
    </row>
    <row r="869" spans="23:27">
      <c r="W869" s="53"/>
      <c r="Y869" s="58"/>
      <c r="Z869" s="51"/>
      <c r="AA869" s="51"/>
    </row>
    <row r="870" spans="23:27">
      <c r="W870" s="53"/>
      <c r="Y870" s="58"/>
      <c r="Z870" s="51"/>
      <c r="AA870" s="51"/>
    </row>
    <row r="871" spans="23:27">
      <c r="W871" s="53"/>
      <c r="Y871" s="58"/>
      <c r="Z871" s="51"/>
      <c r="AA871" s="51"/>
    </row>
    <row r="872" spans="23:27">
      <c r="W872" s="53"/>
      <c r="Y872" s="58"/>
      <c r="Z872" s="51"/>
      <c r="AA872" s="51"/>
    </row>
    <row r="873" spans="23:27">
      <c r="W873" s="53"/>
      <c r="Y873" s="58"/>
      <c r="Z873" s="51"/>
      <c r="AA873" s="51"/>
    </row>
    <row r="874" spans="23:27">
      <c r="W874" s="53"/>
      <c r="Y874" s="58"/>
      <c r="Z874" s="51"/>
      <c r="AA874" s="51"/>
    </row>
    <row r="875" spans="23:27">
      <c r="W875" s="53"/>
      <c r="Y875" s="58"/>
      <c r="Z875" s="51"/>
      <c r="AA875" s="51"/>
    </row>
    <row r="876" spans="23:27">
      <c r="W876" s="53"/>
      <c r="Y876" s="58"/>
      <c r="Z876" s="51"/>
      <c r="AA876" s="51"/>
    </row>
    <row r="877" spans="23:27">
      <c r="W877" s="53"/>
      <c r="Y877" s="58"/>
      <c r="Z877" s="51"/>
      <c r="AA877" s="51"/>
    </row>
    <row r="878" spans="23:27">
      <c r="W878" s="53"/>
      <c r="Y878" s="58"/>
      <c r="Z878" s="51"/>
      <c r="AA878" s="51"/>
    </row>
    <row r="879" spans="23:27">
      <c r="W879" s="53"/>
      <c r="Y879" s="58"/>
      <c r="Z879" s="51"/>
      <c r="AA879" s="51"/>
    </row>
    <row r="880" spans="23:27">
      <c r="W880" s="53"/>
      <c r="Y880" s="58"/>
      <c r="Z880" s="51"/>
      <c r="AA880" s="51"/>
    </row>
    <row r="881" spans="23:27">
      <c r="W881" s="53"/>
      <c r="Y881" s="58"/>
      <c r="Z881" s="51"/>
      <c r="AA881" s="51"/>
    </row>
    <row r="882" spans="23:27">
      <c r="W882" s="53"/>
      <c r="Y882" s="58"/>
      <c r="Z882" s="51"/>
      <c r="AA882" s="51"/>
    </row>
    <row r="883" spans="23:27">
      <c r="W883" s="53"/>
      <c r="Y883" s="58"/>
      <c r="Z883" s="51"/>
      <c r="AA883" s="51"/>
    </row>
    <row r="884" spans="23:27">
      <c r="W884" s="53"/>
      <c r="Y884" s="58"/>
      <c r="Z884" s="51"/>
      <c r="AA884" s="51"/>
    </row>
    <row r="885" spans="23:27">
      <c r="W885" s="53"/>
      <c r="Y885" s="58"/>
      <c r="Z885" s="51"/>
      <c r="AA885" s="51"/>
    </row>
    <row r="886" spans="23:27">
      <c r="W886" s="53"/>
      <c r="Y886" s="58"/>
      <c r="Z886" s="51"/>
      <c r="AA886" s="51"/>
    </row>
    <row r="887" spans="23:27">
      <c r="W887" s="53"/>
      <c r="Y887" s="58"/>
      <c r="Z887" s="51"/>
      <c r="AA887" s="51"/>
    </row>
    <row r="888" spans="23:27">
      <c r="W888" s="53"/>
      <c r="Y888" s="58"/>
      <c r="Z888" s="51"/>
      <c r="AA888" s="51"/>
    </row>
    <row r="889" spans="23:27">
      <c r="W889" s="53"/>
      <c r="Y889" s="58"/>
      <c r="Z889" s="51"/>
      <c r="AA889" s="51"/>
    </row>
    <row r="890" spans="23:27">
      <c r="W890" s="53"/>
      <c r="Y890" s="58"/>
      <c r="Z890" s="51"/>
      <c r="AA890" s="51"/>
    </row>
    <row r="891" spans="23:27">
      <c r="W891" s="53"/>
      <c r="Y891" s="58"/>
      <c r="Z891" s="51"/>
      <c r="AA891" s="51"/>
    </row>
    <row r="892" spans="23:27">
      <c r="W892" s="53"/>
      <c r="Y892" s="58"/>
      <c r="Z892" s="51"/>
      <c r="AA892" s="51"/>
    </row>
    <row r="893" spans="23:27">
      <c r="W893" s="53"/>
      <c r="Y893" s="58"/>
      <c r="Z893" s="51"/>
      <c r="AA893" s="51"/>
    </row>
    <row r="894" spans="23:27">
      <c r="W894" s="53"/>
      <c r="Y894" s="58"/>
      <c r="Z894" s="51"/>
      <c r="AA894" s="51"/>
    </row>
    <row r="895" spans="23:27">
      <c r="W895" s="53"/>
      <c r="Y895" s="58"/>
      <c r="Z895" s="51"/>
      <c r="AA895" s="51"/>
    </row>
    <row r="896" spans="23:27">
      <c r="W896" s="53"/>
      <c r="Y896" s="58"/>
      <c r="Z896" s="51"/>
      <c r="AA896" s="51"/>
    </row>
    <row r="897" spans="23:27">
      <c r="W897" s="53"/>
      <c r="Y897" s="58"/>
      <c r="Z897" s="51"/>
      <c r="AA897" s="51"/>
    </row>
    <row r="898" spans="23:27">
      <c r="W898" s="53"/>
      <c r="Y898" s="58"/>
      <c r="Z898" s="51"/>
      <c r="AA898" s="51"/>
    </row>
    <row r="899" spans="23:27">
      <c r="W899" s="53"/>
      <c r="Y899" s="58"/>
      <c r="Z899" s="51"/>
      <c r="AA899" s="51"/>
    </row>
    <row r="900" spans="23:27">
      <c r="W900" s="53"/>
      <c r="Y900" s="58"/>
      <c r="Z900" s="51"/>
      <c r="AA900" s="51"/>
    </row>
    <row r="901" spans="23:27">
      <c r="W901" s="53"/>
      <c r="Y901" s="58"/>
      <c r="Z901" s="51"/>
      <c r="AA901" s="51"/>
    </row>
    <row r="902" spans="23:27">
      <c r="W902" s="53"/>
      <c r="Y902" s="58"/>
      <c r="Z902" s="51"/>
      <c r="AA902" s="51"/>
    </row>
    <row r="903" spans="23:27">
      <c r="W903" s="53"/>
      <c r="Y903" s="58"/>
      <c r="Z903" s="51"/>
      <c r="AA903" s="51"/>
    </row>
    <row r="904" spans="23:27">
      <c r="W904" s="53"/>
      <c r="Y904" s="58"/>
      <c r="Z904" s="51"/>
      <c r="AA904" s="51"/>
    </row>
    <row r="905" spans="23:27">
      <c r="W905" s="53"/>
      <c r="Y905" s="58"/>
      <c r="Z905" s="51"/>
      <c r="AA905" s="51"/>
    </row>
    <row r="906" spans="23:27">
      <c r="W906" s="53"/>
      <c r="Y906" s="58"/>
      <c r="Z906" s="51"/>
      <c r="AA906" s="51"/>
    </row>
    <row r="907" spans="23:27">
      <c r="W907" s="53"/>
      <c r="Y907" s="58"/>
      <c r="Z907" s="51"/>
      <c r="AA907" s="51"/>
    </row>
    <row r="908" spans="23:27">
      <c r="W908" s="53"/>
      <c r="Y908" s="58"/>
      <c r="Z908" s="51"/>
      <c r="AA908" s="51"/>
    </row>
    <row r="909" spans="23:27">
      <c r="W909" s="53"/>
      <c r="Y909" s="58"/>
      <c r="Z909" s="51"/>
      <c r="AA909" s="51"/>
    </row>
    <row r="910" spans="23:27">
      <c r="W910" s="53"/>
      <c r="Y910" s="58"/>
      <c r="Z910" s="51"/>
      <c r="AA910" s="51"/>
    </row>
    <row r="911" spans="23:27">
      <c r="W911" s="53"/>
      <c r="Y911" s="58"/>
      <c r="Z911" s="51"/>
      <c r="AA911" s="51"/>
    </row>
    <row r="912" spans="23:27">
      <c r="W912" s="53"/>
      <c r="Y912" s="58"/>
      <c r="Z912" s="51"/>
      <c r="AA912" s="51"/>
    </row>
    <row r="913" spans="23:27">
      <c r="W913" s="53"/>
      <c r="Y913" s="58"/>
      <c r="Z913" s="51"/>
      <c r="AA913" s="51"/>
    </row>
    <row r="914" spans="23:27">
      <c r="W914" s="53"/>
      <c r="Y914" s="58"/>
      <c r="Z914" s="51"/>
      <c r="AA914" s="51"/>
    </row>
    <row r="915" spans="23:27">
      <c r="W915" s="53"/>
      <c r="Y915" s="58"/>
      <c r="Z915" s="51"/>
      <c r="AA915" s="51"/>
    </row>
    <row r="916" spans="23:27">
      <c r="W916" s="53"/>
      <c r="Y916" s="58"/>
      <c r="Z916" s="51"/>
      <c r="AA916" s="51"/>
    </row>
    <row r="917" spans="23:27">
      <c r="W917" s="53"/>
      <c r="Y917" s="58"/>
      <c r="Z917" s="51"/>
      <c r="AA917" s="51"/>
    </row>
    <row r="918" spans="23:27">
      <c r="W918" s="53"/>
      <c r="Y918" s="58"/>
      <c r="Z918" s="51"/>
      <c r="AA918" s="51"/>
    </row>
    <row r="919" spans="23:27">
      <c r="W919" s="53"/>
      <c r="Y919" s="58"/>
      <c r="Z919" s="51"/>
      <c r="AA919" s="51"/>
    </row>
    <row r="920" spans="23:27">
      <c r="W920" s="53"/>
      <c r="Y920" s="58"/>
      <c r="Z920" s="51"/>
      <c r="AA920" s="51"/>
    </row>
    <row r="921" spans="23:27">
      <c r="W921" s="53"/>
      <c r="Y921" s="58"/>
      <c r="Z921" s="51"/>
      <c r="AA921" s="51"/>
    </row>
    <row r="922" spans="23:27">
      <c r="W922" s="53"/>
      <c r="Y922" s="58"/>
      <c r="Z922" s="51"/>
      <c r="AA922" s="51"/>
    </row>
    <row r="923" spans="23:27">
      <c r="W923" s="53"/>
      <c r="Y923" s="58"/>
      <c r="Z923" s="51"/>
      <c r="AA923" s="51"/>
    </row>
    <row r="924" spans="23:27">
      <c r="W924" s="53"/>
      <c r="Y924" s="58"/>
      <c r="Z924" s="51"/>
      <c r="AA924" s="51"/>
    </row>
    <row r="925" spans="23:27">
      <c r="W925" s="53"/>
      <c r="Y925" s="58"/>
      <c r="Z925" s="51"/>
      <c r="AA925" s="51"/>
    </row>
    <row r="926" spans="23:27">
      <c r="W926" s="53"/>
      <c r="Y926" s="58"/>
      <c r="Z926" s="51"/>
      <c r="AA926" s="51"/>
    </row>
    <row r="927" spans="23:27">
      <c r="W927" s="53"/>
      <c r="Y927" s="58"/>
      <c r="Z927" s="51"/>
      <c r="AA927" s="51"/>
    </row>
    <row r="928" spans="23:27">
      <c r="W928" s="53"/>
      <c r="Y928" s="58"/>
      <c r="Z928" s="51"/>
      <c r="AA928" s="51"/>
    </row>
    <row r="929" spans="23:27">
      <c r="W929" s="53"/>
      <c r="Y929" s="58"/>
      <c r="Z929" s="51"/>
      <c r="AA929" s="51"/>
    </row>
    <row r="930" spans="23:27">
      <c r="W930" s="53"/>
      <c r="Y930" s="58"/>
      <c r="Z930" s="51"/>
      <c r="AA930" s="51"/>
    </row>
    <row r="931" spans="23:27">
      <c r="W931" s="53"/>
      <c r="Y931" s="58"/>
      <c r="Z931" s="51"/>
      <c r="AA931" s="51"/>
    </row>
    <row r="932" spans="23:27">
      <c r="W932" s="53"/>
      <c r="Y932" s="58"/>
      <c r="Z932" s="51"/>
      <c r="AA932" s="51"/>
    </row>
    <row r="933" spans="23:27">
      <c r="W933" s="53"/>
      <c r="Y933" s="58"/>
      <c r="Z933" s="51"/>
      <c r="AA933" s="51"/>
    </row>
    <row r="934" spans="23:27">
      <c r="W934" s="53"/>
      <c r="Y934" s="58"/>
      <c r="Z934" s="51"/>
      <c r="AA934" s="51"/>
    </row>
    <row r="935" spans="23:27">
      <c r="W935" s="53"/>
      <c r="Y935" s="58"/>
      <c r="Z935" s="51"/>
      <c r="AA935" s="51"/>
    </row>
    <row r="936" spans="23:27">
      <c r="W936" s="53"/>
      <c r="Y936" s="58"/>
      <c r="Z936" s="51"/>
      <c r="AA936" s="51"/>
    </row>
    <row r="937" spans="23:27">
      <c r="W937" s="53"/>
      <c r="Y937" s="58"/>
      <c r="Z937" s="51"/>
      <c r="AA937" s="51"/>
    </row>
    <row r="938" spans="23:27">
      <c r="W938" s="53"/>
      <c r="Y938" s="58"/>
      <c r="Z938" s="51"/>
      <c r="AA938" s="51"/>
    </row>
    <row r="939" spans="23:27">
      <c r="W939" s="53"/>
      <c r="Y939" s="58"/>
      <c r="Z939" s="51"/>
      <c r="AA939" s="51"/>
    </row>
    <row r="940" spans="23:27">
      <c r="W940" s="53"/>
      <c r="Y940" s="58"/>
      <c r="Z940" s="51"/>
      <c r="AA940" s="51"/>
    </row>
    <row r="941" spans="23:27">
      <c r="W941" s="53"/>
      <c r="Y941" s="58"/>
      <c r="Z941" s="51"/>
      <c r="AA941" s="51"/>
    </row>
    <row r="942" spans="23:27">
      <c r="W942" s="53"/>
      <c r="Y942" s="58"/>
      <c r="Z942" s="51"/>
      <c r="AA942" s="51"/>
    </row>
    <row r="943" spans="23:27">
      <c r="W943" s="53"/>
      <c r="Y943" s="58"/>
      <c r="Z943" s="51"/>
      <c r="AA943" s="51"/>
    </row>
    <row r="944" spans="23:27">
      <c r="W944" s="53"/>
      <c r="Y944" s="58"/>
      <c r="Z944" s="51"/>
      <c r="AA944" s="51"/>
    </row>
    <row r="945" spans="23:27">
      <c r="W945" s="53"/>
      <c r="Y945" s="58"/>
      <c r="Z945" s="51"/>
      <c r="AA945" s="51"/>
    </row>
    <row r="946" spans="23:27">
      <c r="W946" s="53"/>
      <c r="Y946" s="58"/>
      <c r="Z946" s="51"/>
      <c r="AA946" s="51"/>
    </row>
    <row r="947" spans="23:27">
      <c r="W947" s="53"/>
      <c r="Y947" s="58"/>
      <c r="Z947" s="51"/>
      <c r="AA947" s="51"/>
    </row>
    <row r="948" spans="23:27">
      <c r="W948" s="53"/>
      <c r="Y948" s="58"/>
      <c r="Z948" s="51"/>
      <c r="AA948" s="51"/>
    </row>
    <row r="949" spans="23:27">
      <c r="W949" s="53"/>
      <c r="Y949" s="58"/>
      <c r="Z949" s="51"/>
      <c r="AA949" s="51"/>
    </row>
    <row r="950" spans="23:27">
      <c r="W950" s="53"/>
      <c r="Y950" s="58"/>
      <c r="Z950" s="51"/>
      <c r="AA950" s="51"/>
    </row>
    <row r="951" spans="23:27">
      <c r="W951" s="53"/>
      <c r="Y951" s="58"/>
      <c r="Z951" s="51"/>
      <c r="AA951" s="51"/>
    </row>
    <row r="952" spans="23:27">
      <c r="W952" s="53"/>
      <c r="Y952" s="58"/>
      <c r="Z952" s="51"/>
      <c r="AA952" s="51"/>
    </row>
    <row r="953" spans="23:27">
      <c r="W953" s="53"/>
      <c r="Y953" s="58"/>
      <c r="Z953" s="51"/>
      <c r="AA953" s="51"/>
    </row>
    <row r="954" spans="23:27">
      <c r="W954" s="53"/>
      <c r="Y954" s="58"/>
      <c r="Z954" s="51"/>
      <c r="AA954" s="51"/>
    </row>
    <row r="955" spans="23:27">
      <c r="W955" s="53"/>
      <c r="Y955" s="58"/>
      <c r="Z955" s="51"/>
      <c r="AA955" s="51"/>
    </row>
    <row r="956" spans="23:27">
      <c r="W956" s="53"/>
      <c r="Y956" s="58"/>
      <c r="Z956" s="51"/>
      <c r="AA956" s="51"/>
    </row>
    <row r="957" spans="23:27">
      <c r="W957" s="53"/>
      <c r="Y957" s="58"/>
      <c r="Z957" s="51"/>
      <c r="AA957" s="51"/>
    </row>
    <row r="958" spans="23:27">
      <c r="W958" s="53"/>
      <c r="Y958" s="58"/>
      <c r="Z958" s="51"/>
      <c r="AA958" s="51"/>
    </row>
    <row r="959" spans="23:27">
      <c r="W959" s="53"/>
      <c r="Y959" s="58"/>
      <c r="Z959" s="51"/>
      <c r="AA959" s="51"/>
    </row>
    <row r="960" spans="23:27">
      <c r="W960" s="53"/>
      <c r="Y960" s="58"/>
      <c r="Z960" s="51"/>
      <c r="AA960" s="51"/>
    </row>
    <row r="961" spans="23:27">
      <c r="W961" s="53"/>
      <c r="Y961" s="58"/>
      <c r="Z961" s="51"/>
      <c r="AA961" s="51"/>
    </row>
    <row r="962" spans="23:27">
      <c r="W962" s="53"/>
      <c r="Y962" s="58"/>
      <c r="Z962" s="51"/>
      <c r="AA962" s="51"/>
    </row>
    <row r="963" spans="23:27">
      <c r="W963" s="53"/>
      <c r="Y963" s="58"/>
      <c r="Z963" s="51"/>
      <c r="AA963" s="51"/>
    </row>
    <row r="964" spans="23:27">
      <c r="W964" s="53"/>
      <c r="Y964" s="58"/>
      <c r="Z964" s="51"/>
      <c r="AA964" s="51"/>
    </row>
    <row r="965" spans="23:27">
      <c r="W965" s="53"/>
      <c r="Y965" s="58"/>
      <c r="Z965" s="51"/>
      <c r="AA965" s="51"/>
    </row>
    <row r="966" spans="23:27">
      <c r="W966" s="53"/>
      <c r="Y966" s="58"/>
      <c r="Z966" s="51"/>
      <c r="AA966" s="51"/>
    </row>
    <row r="967" spans="23:27">
      <c r="W967" s="53"/>
      <c r="Y967" s="58"/>
      <c r="Z967" s="51"/>
      <c r="AA967" s="51"/>
    </row>
    <row r="968" spans="23:27">
      <c r="W968" s="53"/>
      <c r="Y968" s="58"/>
      <c r="Z968" s="51"/>
      <c r="AA968" s="51"/>
    </row>
    <row r="969" spans="23:27">
      <c r="W969" s="53"/>
      <c r="Y969" s="58"/>
      <c r="Z969" s="51"/>
      <c r="AA969" s="51"/>
    </row>
    <row r="970" spans="23:27">
      <c r="W970" s="53"/>
      <c r="Y970" s="58"/>
      <c r="Z970" s="51"/>
      <c r="AA970" s="51"/>
    </row>
    <row r="971" spans="23:27">
      <c r="W971" s="53"/>
      <c r="Y971" s="58"/>
      <c r="Z971" s="51"/>
      <c r="AA971" s="51"/>
    </row>
    <row r="972" spans="23:27">
      <c r="W972" s="53"/>
      <c r="Y972" s="58"/>
      <c r="Z972" s="51"/>
      <c r="AA972" s="51"/>
    </row>
    <row r="973" spans="23:27">
      <c r="W973" s="53"/>
      <c r="Y973" s="58"/>
      <c r="Z973" s="51"/>
      <c r="AA973" s="51"/>
    </row>
    <row r="974" spans="23:27">
      <c r="W974" s="53"/>
      <c r="Y974" s="58"/>
      <c r="Z974" s="51"/>
      <c r="AA974" s="51"/>
    </row>
    <row r="975" spans="23:27">
      <c r="W975" s="53"/>
      <c r="Y975" s="58"/>
      <c r="Z975" s="51"/>
      <c r="AA975" s="51"/>
    </row>
    <row r="976" spans="23:27">
      <c r="W976" s="53"/>
      <c r="Y976" s="58"/>
      <c r="Z976" s="51"/>
      <c r="AA976" s="51"/>
    </row>
    <row r="977" spans="23:27">
      <c r="W977" s="53"/>
      <c r="Y977" s="58"/>
      <c r="Z977" s="51"/>
      <c r="AA977" s="51"/>
    </row>
    <row r="978" spans="23:27">
      <c r="W978" s="53"/>
      <c r="Y978" s="58"/>
      <c r="Z978" s="51"/>
      <c r="AA978" s="51"/>
    </row>
    <row r="979" spans="23:27">
      <c r="W979" s="53"/>
      <c r="Y979" s="58"/>
      <c r="Z979" s="51"/>
      <c r="AA979" s="51"/>
    </row>
    <row r="980" spans="23:27">
      <c r="W980" s="53"/>
      <c r="Y980" s="58"/>
      <c r="Z980" s="51"/>
      <c r="AA980" s="51"/>
    </row>
    <row r="981" spans="23:27">
      <c r="W981" s="53"/>
      <c r="Y981" s="58"/>
      <c r="Z981" s="51"/>
      <c r="AA981" s="51"/>
    </row>
    <row r="982" spans="23:27">
      <c r="W982" s="53"/>
      <c r="Y982" s="58"/>
      <c r="Z982" s="51"/>
      <c r="AA982" s="51"/>
    </row>
    <row r="983" spans="23:27">
      <c r="W983" s="53"/>
      <c r="Y983" s="58"/>
      <c r="Z983" s="51"/>
      <c r="AA983" s="51"/>
    </row>
    <row r="984" spans="23:27">
      <c r="W984" s="53"/>
      <c r="Y984" s="58"/>
      <c r="Z984" s="51"/>
      <c r="AA984" s="51"/>
    </row>
    <row r="985" spans="23:27">
      <c r="W985" s="53"/>
      <c r="Y985" s="58"/>
      <c r="Z985" s="51"/>
      <c r="AA985" s="51"/>
    </row>
    <row r="986" spans="23:27">
      <c r="W986" s="53"/>
      <c r="Y986" s="58"/>
      <c r="Z986" s="51"/>
      <c r="AA986" s="51"/>
    </row>
    <row r="987" spans="23:27">
      <c r="W987" s="53"/>
      <c r="Y987" s="58"/>
      <c r="Z987" s="51"/>
      <c r="AA987" s="51"/>
    </row>
    <row r="988" spans="23:27">
      <c r="W988" s="53"/>
      <c r="Y988" s="58"/>
      <c r="Z988" s="51"/>
      <c r="AA988" s="51"/>
    </row>
    <row r="989" spans="23:27">
      <c r="W989" s="53"/>
      <c r="Y989" s="58"/>
      <c r="Z989" s="51"/>
      <c r="AA989" s="51"/>
    </row>
    <row r="990" spans="23:27">
      <c r="W990" s="53"/>
      <c r="Y990" s="58"/>
      <c r="Z990" s="51"/>
      <c r="AA990" s="51"/>
    </row>
    <row r="991" spans="23:27">
      <c r="W991" s="53"/>
      <c r="Y991" s="58"/>
      <c r="Z991" s="51"/>
      <c r="AA991" s="51"/>
    </row>
    <row r="992" spans="23:27">
      <c r="W992" s="53"/>
      <c r="Y992" s="58"/>
      <c r="Z992" s="51"/>
      <c r="AA992" s="51"/>
    </row>
    <row r="993" spans="23:27">
      <c r="W993" s="53"/>
      <c r="Y993" s="58"/>
      <c r="Z993" s="51"/>
      <c r="AA993" s="51"/>
    </row>
    <row r="994" spans="23:27">
      <c r="W994" s="53"/>
      <c r="Y994" s="58"/>
      <c r="Z994" s="51"/>
      <c r="AA994" s="51"/>
    </row>
    <row r="995" spans="23:27">
      <c r="W995" s="53"/>
      <c r="Y995" s="58"/>
      <c r="Z995" s="51"/>
      <c r="AA995" s="51"/>
    </row>
    <row r="996" spans="23:27">
      <c r="W996" s="53"/>
      <c r="Y996" s="58"/>
      <c r="Z996" s="51"/>
      <c r="AA996" s="51"/>
    </row>
    <row r="997" spans="23:27">
      <c r="W997" s="53"/>
      <c r="Y997" s="58"/>
      <c r="Z997" s="51"/>
      <c r="AA997" s="51"/>
    </row>
    <row r="998" spans="23:27">
      <c r="W998" s="53"/>
      <c r="Y998" s="58"/>
      <c r="Z998" s="51"/>
      <c r="AA998" s="51"/>
    </row>
    <row r="999" spans="23:27">
      <c r="W999" s="53"/>
      <c r="Y999" s="58"/>
      <c r="Z999" s="51"/>
      <c r="AA999" s="51"/>
    </row>
    <row r="1000" spans="23:27">
      <c r="W1000" s="53"/>
      <c r="Y1000" s="58"/>
      <c r="Z1000" s="51"/>
      <c r="AA100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99"/>
  <sheetViews>
    <sheetView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AC166" sqref="AC166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08984375" customWidth="1"/>
    <col min="15" max="15" width="24.26953125" customWidth="1"/>
    <col min="16" max="16" width="23" customWidth="1"/>
    <col min="22" max="22" width="15.81640625" bestFit="1" customWidth="1"/>
    <col min="24" max="24" width="14.453125" style="86"/>
  </cols>
  <sheetData>
    <row r="1" spans="1:28">
      <c r="A1" s="68" t="s">
        <v>449</v>
      </c>
      <c r="B1" s="68" t="s">
        <v>450</v>
      </c>
      <c r="C1" s="68" t="s">
        <v>451</v>
      </c>
      <c r="D1" s="69" t="s">
        <v>452</v>
      </c>
      <c r="E1" s="69" t="s">
        <v>453</v>
      </c>
      <c r="F1" s="69" t="s">
        <v>454</v>
      </c>
      <c r="G1" s="69" t="s">
        <v>455</v>
      </c>
      <c r="H1" s="69" t="s">
        <v>456</v>
      </c>
      <c r="I1" s="69" t="s">
        <v>457</v>
      </c>
      <c r="J1" s="69" t="s">
        <v>458</v>
      </c>
      <c r="K1" s="70" t="s">
        <v>459</v>
      </c>
      <c r="L1" s="69" t="s">
        <v>460</v>
      </c>
      <c r="M1" s="69" t="s">
        <v>461</v>
      </c>
      <c r="N1" s="69" t="s">
        <v>462</v>
      </c>
      <c r="O1" s="69" t="s">
        <v>463</v>
      </c>
      <c r="P1" s="69" t="s">
        <v>464</v>
      </c>
      <c r="Q1" s="71" t="s">
        <v>465</v>
      </c>
      <c r="R1" s="70" t="s">
        <v>466</v>
      </c>
      <c r="S1" s="70" t="s">
        <v>467</v>
      </c>
      <c r="T1" s="68" t="s">
        <v>468</v>
      </c>
      <c r="U1" s="68" t="s">
        <v>469</v>
      </c>
      <c r="V1" s="68" t="s">
        <v>470</v>
      </c>
      <c r="W1" s="72" t="s">
        <v>471</v>
      </c>
      <c r="X1" s="84" t="s">
        <v>472</v>
      </c>
      <c r="Y1" s="70" t="s">
        <v>473</v>
      </c>
      <c r="Z1" s="70" t="s">
        <v>474</v>
      </c>
      <c r="AA1" s="71" t="s">
        <v>475</v>
      </c>
      <c r="AB1" s="71"/>
    </row>
    <row r="2" spans="1:28">
      <c r="A2" s="49">
        <v>2018</v>
      </c>
      <c r="B2" s="5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348386472</v>
      </c>
      <c r="L2" s="50">
        <v>264899142000</v>
      </c>
      <c r="M2" s="50">
        <v>124758053000</v>
      </c>
      <c r="N2" s="50">
        <v>3501669000</v>
      </c>
      <c r="O2" s="50">
        <v>13939519000</v>
      </c>
      <c r="P2" s="50">
        <v>3658165000</v>
      </c>
      <c r="Q2" s="52">
        <v>250</v>
      </c>
      <c r="R2" s="51">
        <f t="shared" ref="R2:R151" si="0">D2/I2</f>
        <v>1.1356713816622841</v>
      </c>
      <c r="S2" s="51">
        <f t="shared" ref="S2:S151" si="1">I2/J2</f>
        <v>2.1080002659492902</v>
      </c>
      <c r="T2" s="51">
        <f t="shared" ref="T2:T256" si="2">O2/F2</f>
        <v>1.59404816218842E-2</v>
      </c>
      <c r="U2" s="51">
        <f t="shared" ref="U2:U256" si="3">O2/J2</f>
        <v>4.9543021120175869E-2</v>
      </c>
      <c r="V2" s="51">
        <f t="shared" ref="V2:V256" si="4">O2/L2</f>
        <v>5.2621986219947819E-2</v>
      </c>
      <c r="W2" s="51">
        <f t="shared" ref="W2:W120" si="5">(P2/K2)/Q2</f>
        <v>4.2001229025907756E-2</v>
      </c>
      <c r="X2" s="58">
        <f t="shared" ref="X2:X154" si="6">P2/O2</f>
        <v>0.26243122162249644</v>
      </c>
      <c r="Y2" s="51">
        <f t="shared" ref="Y2:Y120" si="7">Q2/(O2/K2)</f>
        <v>6.2481795820931838</v>
      </c>
      <c r="Z2" s="51">
        <f t="shared" ref="Z2:Z120" si="8">Q2/(J2/K2)</f>
        <v>0.30955369299829422</v>
      </c>
      <c r="AA2" s="52">
        <v>1</v>
      </c>
      <c r="AB2">
        <v>0</v>
      </c>
    </row>
    <row r="3" spans="1:28">
      <c r="A3" s="49">
        <v>2019</v>
      </c>
      <c r="B3" s="5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348386472</v>
      </c>
      <c r="L3" s="50">
        <v>250804486000</v>
      </c>
      <c r="M3" s="50">
        <v>134257087000</v>
      </c>
      <c r="N3" s="50">
        <v>1102516000</v>
      </c>
      <c r="O3" s="50">
        <v>8009060000</v>
      </c>
      <c r="P3" s="50">
        <v>3516989000</v>
      </c>
      <c r="Q3" s="52">
        <v>308</v>
      </c>
      <c r="R3" s="51">
        <f t="shared" si="0"/>
        <v>1.1547219669087405</v>
      </c>
      <c r="S3" s="51">
        <f t="shared" si="1"/>
        <v>1.9427910913681465</v>
      </c>
      <c r="T3" s="51">
        <f t="shared" si="2"/>
        <v>9.3397874524493198E-3</v>
      </c>
      <c r="U3" s="51">
        <f t="shared" si="3"/>
        <v>2.7489339045572218E-2</v>
      </c>
      <c r="V3" s="51">
        <f t="shared" si="4"/>
        <v>3.1933479850117193E-2</v>
      </c>
      <c r="W3" s="51">
        <f t="shared" si="5"/>
        <v>3.2776230916754585E-2</v>
      </c>
      <c r="X3" s="58">
        <f t="shared" si="6"/>
        <v>0.43912631444888661</v>
      </c>
      <c r="Y3" s="51">
        <f t="shared" si="7"/>
        <v>13.397706269649621</v>
      </c>
      <c r="Z3" s="51">
        <f t="shared" si="8"/>
        <v>0.36829409007938702</v>
      </c>
      <c r="AA3" s="52">
        <v>1</v>
      </c>
      <c r="AB3">
        <v>0</v>
      </c>
    </row>
    <row r="4" spans="1:28">
      <c r="A4" s="49">
        <v>2020</v>
      </c>
      <c r="B4" s="5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348386472</v>
      </c>
      <c r="L4" s="50">
        <v>231470118000</v>
      </c>
      <c r="M4" s="50">
        <v>109895092000</v>
      </c>
      <c r="N4" s="50">
        <v>1205232000</v>
      </c>
      <c r="O4" s="50">
        <v>23668304000</v>
      </c>
      <c r="P4" s="50">
        <v>2091802000</v>
      </c>
      <c r="Q4" s="52">
        <v>310</v>
      </c>
      <c r="R4" s="51">
        <f t="shared" si="0"/>
        <v>1.1334607312866367</v>
      </c>
      <c r="S4" s="51">
        <f t="shared" si="1"/>
        <v>1.778354761984597</v>
      </c>
      <c r="T4" s="51">
        <f t="shared" si="2"/>
        <v>2.7149736950497366E-2</v>
      </c>
      <c r="U4" s="51">
        <f t="shared" si="3"/>
        <v>7.5431600943043534E-2</v>
      </c>
      <c r="V4" s="51">
        <f t="shared" si="4"/>
        <v>0.10225209285977899</v>
      </c>
      <c r="W4" s="51">
        <f t="shared" si="5"/>
        <v>1.9368571771342415E-2</v>
      </c>
      <c r="X4" s="58">
        <f t="shared" si="6"/>
        <v>8.8379885605660638E-2</v>
      </c>
      <c r="Y4" s="51">
        <f t="shared" si="7"/>
        <v>4.5630564116465635</v>
      </c>
      <c r="Z4" s="51">
        <f t="shared" si="8"/>
        <v>0.34419865032391972</v>
      </c>
      <c r="AA4" s="52">
        <v>1</v>
      </c>
      <c r="AB4">
        <v>0</v>
      </c>
    </row>
    <row r="5" spans="1:28">
      <c r="A5" s="49">
        <v>2018</v>
      </c>
      <c r="B5" s="73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8958380460</v>
      </c>
      <c r="L5" s="50">
        <v>135633770098</v>
      </c>
      <c r="M5" s="50">
        <v>68591523905</v>
      </c>
      <c r="N5" s="50">
        <v>76025853817</v>
      </c>
      <c r="O5" s="50">
        <v>69900405337</v>
      </c>
      <c r="P5" s="50"/>
      <c r="Q5" s="52">
        <v>700</v>
      </c>
      <c r="R5" s="51">
        <f t="shared" si="0"/>
        <v>2.0434366734220619</v>
      </c>
      <c r="S5" s="51">
        <f t="shared" si="1"/>
        <v>0.8665843065089549</v>
      </c>
      <c r="T5" s="51">
        <f t="shared" si="2"/>
        <v>7.2072188226241701E-2</v>
      </c>
      <c r="U5" s="51">
        <f t="shared" si="3"/>
        <v>0.13452881547886222</v>
      </c>
      <c r="V5" s="51">
        <f t="shared" si="4"/>
        <v>0.51536136823812084</v>
      </c>
      <c r="W5" s="51">
        <f t="shared" si="5"/>
        <v>0</v>
      </c>
      <c r="X5" s="58">
        <f t="shared" si="6"/>
        <v>0</v>
      </c>
      <c r="Y5" s="74">
        <f t="shared" si="7"/>
        <v>89.711444329503422</v>
      </c>
      <c r="Z5" s="51">
        <f t="shared" si="8"/>
        <v>12.068774340545989</v>
      </c>
      <c r="AA5" s="52">
        <v>1</v>
      </c>
      <c r="AB5">
        <v>0</v>
      </c>
    </row>
    <row r="6" spans="1:28">
      <c r="A6" s="49">
        <v>2019</v>
      </c>
      <c r="B6" s="73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8958380460</v>
      </c>
      <c r="L6" s="50">
        <v>175174507884</v>
      </c>
      <c r="M6" s="50">
        <v>101954815930</v>
      </c>
      <c r="N6" s="50">
        <v>72793612247</v>
      </c>
      <c r="O6" s="50">
        <v>9408511340</v>
      </c>
      <c r="P6" s="50"/>
      <c r="Q6" s="52">
        <v>1285</v>
      </c>
      <c r="R6" s="51">
        <f t="shared" si="0"/>
        <v>2.0703608731598826</v>
      </c>
      <c r="S6" s="51">
        <f t="shared" si="1"/>
        <v>0.83989622945162901</v>
      </c>
      <c r="T6" s="51">
        <f t="shared" si="2"/>
        <v>9.6429560691817431E-3</v>
      </c>
      <c r="U6" s="51">
        <f t="shared" si="3"/>
        <v>1.7742038512455191E-2</v>
      </c>
      <c r="V6" s="51">
        <f t="shared" si="4"/>
        <v>5.3709363614883314E-2</v>
      </c>
      <c r="W6" s="51">
        <f t="shared" si="5"/>
        <v>0</v>
      </c>
      <c r="X6" s="58">
        <f t="shared" si="6"/>
        <v>0</v>
      </c>
      <c r="Y6" s="74">
        <f t="shared" si="7"/>
        <v>1223.5218171188387</v>
      </c>
      <c r="Z6" s="51">
        <f t="shared" si="8"/>
        <v>21.707771200151594</v>
      </c>
      <c r="AA6" s="52">
        <v>1</v>
      </c>
      <c r="AB6">
        <v>0</v>
      </c>
    </row>
    <row r="7" spans="1:28">
      <c r="A7" s="49">
        <v>2020</v>
      </c>
      <c r="B7" s="5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8958380460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51">
        <f t="shared" si="0"/>
        <v>1.6889726204866975</v>
      </c>
      <c r="S7" s="51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8">
        <f t="shared" si="6"/>
        <v>0</v>
      </c>
      <c r="Y7" s="51">
        <f t="shared" si="7"/>
        <v>-100.18228739092937</v>
      </c>
      <c r="Z7" s="51">
        <f t="shared" si="8"/>
        <v>19.999527044877777</v>
      </c>
      <c r="AA7" s="52">
        <v>1</v>
      </c>
      <c r="AB7">
        <v>0</v>
      </c>
    </row>
    <row r="8" spans="1:28">
      <c r="A8" s="49">
        <v>2018</v>
      </c>
      <c r="B8" s="5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214559422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51">
        <f t="shared" si="0"/>
        <v>1.1292837249415355</v>
      </c>
      <c r="S8" s="51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4.2238578441900092E-2</v>
      </c>
      <c r="X8" s="58">
        <f t="shared" si="6"/>
        <v>5.9597458507047518</v>
      </c>
      <c r="Y8" s="51">
        <f t="shared" si="7"/>
        <v>141.09721658607634</v>
      </c>
      <c r="Z8" s="51">
        <f t="shared" si="8"/>
        <v>1.2425649572280912</v>
      </c>
      <c r="AA8" s="52">
        <v>1</v>
      </c>
      <c r="AB8">
        <v>0</v>
      </c>
    </row>
    <row r="9" spans="1:28">
      <c r="A9" s="49">
        <v>2019</v>
      </c>
      <c r="B9" s="5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234064634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51">
        <f t="shared" si="0"/>
        <v>1.135192812597674</v>
      </c>
      <c r="S9" s="51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3.8764542246202072E-2</v>
      </c>
      <c r="X9" s="58">
        <f t="shared" si="6"/>
        <v>8.7293581106187599</v>
      </c>
      <c r="Y9" s="51">
        <f t="shared" si="7"/>
        <v>225.18924782283511</v>
      </c>
      <c r="Z9" s="51">
        <f t="shared" si="8"/>
        <v>1.0613157958927757</v>
      </c>
      <c r="AA9" s="52">
        <v>1</v>
      </c>
      <c r="AB9">
        <v>0</v>
      </c>
    </row>
    <row r="10" spans="1:28">
      <c r="A10" s="49">
        <v>2020</v>
      </c>
      <c r="B10" s="5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304283840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51">
        <f t="shared" si="0"/>
        <v>1.1979194187627924</v>
      </c>
      <c r="S10" s="51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3.1832791029132224E-2</v>
      </c>
      <c r="X10" s="58">
        <f t="shared" si="6"/>
        <v>0.99013912460751408</v>
      </c>
      <c r="Y10" s="51">
        <f t="shared" si="7"/>
        <v>31.10437673219965</v>
      </c>
      <c r="Z10" s="51">
        <f t="shared" si="8"/>
        <v>1.0159299195179772</v>
      </c>
      <c r="AA10" s="52">
        <v>1</v>
      </c>
      <c r="AB10">
        <v>0</v>
      </c>
    </row>
    <row r="11" spans="1:28">
      <c r="A11" s="49">
        <v>2018</v>
      </c>
      <c r="B11" s="5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150000000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51">
        <f t="shared" si="0"/>
        <v>1.4424938621242545</v>
      </c>
      <c r="S11" s="51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5.6949395348837209E-2</v>
      </c>
      <c r="X11" s="58">
        <f t="shared" si="6"/>
        <v>0.53477796094719032</v>
      </c>
      <c r="Y11" s="51">
        <f t="shared" si="7"/>
        <v>9.3904063014447683</v>
      </c>
      <c r="Z11" s="51">
        <f t="shared" si="8"/>
        <v>0.7331049203798421</v>
      </c>
      <c r="AA11" s="52">
        <v>1</v>
      </c>
      <c r="AB11">
        <v>0</v>
      </c>
    </row>
    <row r="12" spans="1:28">
      <c r="A12" s="49">
        <v>2019</v>
      </c>
      <c r="B12" s="5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150000000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51">
        <f t="shared" si="0"/>
        <v>1.4190580647310562</v>
      </c>
      <c r="S12" s="51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9.0234444444444437E-2</v>
      </c>
      <c r="X12" s="58">
        <f t="shared" si="6"/>
        <v>0.60906313539338031</v>
      </c>
      <c r="Y12" s="51">
        <f t="shared" si="7"/>
        <v>6.7497853967324897</v>
      </c>
      <c r="Z12" s="51">
        <f t="shared" si="8"/>
        <v>0.63640840648189223</v>
      </c>
      <c r="AA12" s="52">
        <v>1</v>
      </c>
      <c r="AB12">
        <v>0</v>
      </c>
    </row>
    <row r="13" spans="1:28">
      <c r="A13" s="49">
        <v>2020</v>
      </c>
      <c r="B13" s="5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150000000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51">
        <f t="shared" si="0"/>
        <v>1.3428581087951845</v>
      </c>
      <c r="S13" s="51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6.309654277286135E-2</v>
      </c>
      <c r="X13" s="58">
        <f t="shared" si="6"/>
        <v>0.34533543396156535</v>
      </c>
      <c r="Y13" s="51">
        <f t="shared" si="7"/>
        <v>5.4731276673069731</v>
      </c>
      <c r="Z13" s="51">
        <f t="shared" si="8"/>
        <v>0.59053782434533919</v>
      </c>
      <c r="AA13" s="52">
        <v>1</v>
      </c>
      <c r="AB13">
        <v>0</v>
      </c>
    </row>
    <row r="14" spans="1:28">
      <c r="A14" s="49">
        <v>2018</v>
      </c>
      <c r="B14" s="5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517791681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51">
        <f t="shared" si="0"/>
        <v>1.2968129531115076</v>
      </c>
      <c r="S14" s="51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1.0713405697025941E-2</v>
      </c>
      <c r="X14" s="58">
        <f t="shared" si="6"/>
        <v>0.20083668865863266</v>
      </c>
      <c r="Y14" s="51">
        <f t="shared" si="7"/>
        <v>18.746297334225403</v>
      </c>
      <c r="Z14" s="51">
        <f t="shared" si="8"/>
        <v>1.8722301969001098</v>
      </c>
      <c r="AA14" s="52">
        <v>1</v>
      </c>
      <c r="AB14">
        <v>0</v>
      </c>
    </row>
    <row r="15" spans="1:28">
      <c r="A15" s="49">
        <v>2019</v>
      </c>
      <c r="B15" s="5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517791681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51">
        <f t="shared" si="0"/>
        <v>1.3145000049873461</v>
      </c>
      <c r="S15" s="51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1.1621425957677737E-2</v>
      </c>
      <c r="X15" s="58">
        <f t="shared" si="6"/>
        <v>0.14365521041185381</v>
      </c>
      <c r="Y15" s="51">
        <f t="shared" si="7"/>
        <v>12.361237849383487</v>
      </c>
      <c r="Z15" s="51">
        <f t="shared" si="8"/>
        <v>1.3893595823568181</v>
      </c>
      <c r="AA15" s="52">
        <v>1</v>
      </c>
      <c r="AB15">
        <v>0</v>
      </c>
    </row>
    <row r="16" spans="1:28">
      <c r="A16" s="49">
        <v>2020</v>
      </c>
      <c r="B16" s="5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517791681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51">
        <f t="shared" si="0"/>
        <v>1.3528883717732667</v>
      </c>
      <c r="S16" s="51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1.0567977629384434E-2</v>
      </c>
      <c r="X16" s="58">
        <f t="shared" si="6"/>
        <v>0.244511810506572</v>
      </c>
      <c r="Y16" s="51">
        <f t="shared" si="7"/>
        <v>23.137048457285044</v>
      </c>
      <c r="Z16" s="51">
        <f t="shared" si="8"/>
        <v>1.3860470083607808</v>
      </c>
      <c r="AA16" s="52">
        <v>1</v>
      </c>
      <c r="AB16">
        <v>0</v>
      </c>
    </row>
    <row r="17" spans="1:28">
      <c r="A17" s="49">
        <v>2018</v>
      </c>
      <c r="B17" s="5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1453582700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51">
        <f t="shared" si="0"/>
        <v>3.1098644258179808</v>
      </c>
      <c r="S17" s="51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1.2698412709332625E-2</v>
      </c>
      <c r="X17" s="58">
        <f t="shared" si="6"/>
        <v>0.58914231358541147</v>
      </c>
      <c r="Y17" s="51">
        <f t="shared" si="7"/>
        <v>46.394957154954078</v>
      </c>
      <c r="Z17" s="51">
        <f t="shared" si="8"/>
        <v>1.0190459956901952</v>
      </c>
      <c r="AA17" s="52">
        <v>1</v>
      </c>
      <c r="AB17">
        <v>0</v>
      </c>
    </row>
    <row r="18" spans="1:28">
      <c r="A18" s="49">
        <v>2019</v>
      </c>
      <c r="B18" s="5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1456606201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51">
        <f t="shared" si="0"/>
        <v>2.8494617041435282</v>
      </c>
      <c r="S18" s="51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7.0584888370635854E-2</v>
      </c>
      <c r="X18" s="58">
        <f t="shared" si="6"/>
        <v>0.57993910271708737</v>
      </c>
      <c r="Y18" s="51">
        <f t="shared" si="7"/>
        <v>8.2161935239150825</v>
      </c>
      <c r="Z18" s="51">
        <f t="shared" si="8"/>
        <v>0.96152195096276605</v>
      </c>
      <c r="AA18" s="52">
        <v>1</v>
      </c>
      <c r="AB18">
        <v>0</v>
      </c>
    </row>
    <row r="19" spans="1:28">
      <c r="A19" s="49">
        <v>2020</v>
      </c>
      <c r="B19" s="5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1460573616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51">
        <f t="shared" si="0"/>
        <v>2.2971449590049833</v>
      </c>
      <c r="S19" s="51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0.10438767908846569</v>
      </c>
      <c r="X19" s="58">
        <f t="shared" si="6"/>
        <v>2.2336103066724848</v>
      </c>
      <c r="Y19" s="51">
        <f t="shared" si="7"/>
        <v>21.397259965704976</v>
      </c>
      <c r="Z19" s="51">
        <f t="shared" si="8"/>
        <v>0.72138017884411199</v>
      </c>
      <c r="AA19" s="52">
        <v>1</v>
      </c>
      <c r="AB19">
        <v>0</v>
      </c>
    </row>
    <row r="20" spans="1:28">
      <c r="A20" s="49">
        <v>2018</v>
      </c>
      <c r="B20" s="5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21343290230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51">
        <f t="shared" si="0"/>
        <v>1.2158656429991013</v>
      </c>
      <c r="S20" s="51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8.0690606448172927E-3</v>
      </c>
      <c r="X20" s="58">
        <f t="shared" si="6"/>
        <v>0.37423396909087531</v>
      </c>
      <c r="Y20" s="51">
        <f t="shared" si="7"/>
        <v>46.378876744623732</v>
      </c>
      <c r="Z20" s="51">
        <f t="shared" si="8"/>
        <v>1.4954775180600584</v>
      </c>
      <c r="AA20" s="52">
        <v>1</v>
      </c>
      <c r="AB20">
        <v>0</v>
      </c>
    </row>
    <row r="21" spans="1:28">
      <c r="A21" s="49">
        <v>2019</v>
      </c>
      <c r="B21" s="5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21343290230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51">
        <f t="shared" si="0"/>
        <v>1.1818338628445513</v>
      </c>
      <c r="S21" s="51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9.664647604235797E-3</v>
      </c>
      <c r="X21" s="58">
        <f t="shared" si="6"/>
        <v>0.47290490720359157</v>
      </c>
      <c r="Y21" s="51">
        <f t="shared" si="7"/>
        <v>48.931417530042999</v>
      </c>
      <c r="Z21" s="51">
        <f t="shared" si="8"/>
        <v>0.94293850264017165</v>
      </c>
      <c r="AA21" s="52">
        <v>1</v>
      </c>
      <c r="AB21">
        <v>0</v>
      </c>
    </row>
    <row r="22" spans="1:28">
      <c r="A22" s="49">
        <v>2020</v>
      </c>
      <c r="B22" s="5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21343290230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51">
        <f t="shared" si="0"/>
        <v>1.1605100853342414</v>
      </c>
      <c r="S22" s="51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8">
        <f t="shared" si="6"/>
        <v>0</v>
      </c>
      <c r="Y22" s="51">
        <f t="shared" si="7"/>
        <v>188.47414049429267</v>
      </c>
      <c r="Z22" s="51">
        <f t="shared" si="8"/>
        <v>5.1520292514085275</v>
      </c>
      <c r="AA22" s="52">
        <v>1</v>
      </c>
      <c r="AB22">
        <v>0</v>
      </c>
    </row>
    <row r="23" spans="1:28">
      <c r="A23" s="49">
        <v>2018</v>
      </c>
      <c r="B23" s="5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5256176644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51">
        <f t="shared" si="0"/>
        <v>1.1153526415922403</v>
      </c>
      <c r="S23" s="51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8">
        <f t="shared" si="6"/>
        <v>0</v>
      </c>
      <c r="Y23" s="51">
        <f t="shared" si="7"/>
        <v>-40.195682837606839</v>
      </c>
      <c r="Z23" s="51">
        <f t="shared" si="8"/>
        <v>2.3479035239516293</v>
      </c>
      <c r="AA23" s="52">
        <v>1</v>
      </c>
      <c r="AB23">
        <v>0</v>
      </c>
    </row>
    <row r="24" spans="1:28">
      <c r="A24" s="49">
        <v>2019</v>
      </c>
      <c r="B24" s="5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7108349644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51">
        <f t="shared" si="0"/>
        <v>1.1655703393058459</v>
      </c>
      <c r="S24" s="51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8">
        <f t="shared" si="6"/>
        <v>0</v>
      </c>
      <c r="Y24" s="51">
        <f t="shared" si="7"/>
        <v>-3.6976291376167998</v>
      </c>
      <c r="Z24" s="51">
        <f t="shared" si="8"/>
        <v>0.79796042070513884</v>
      </c>
      <c r="AA24" s="52">
        <v>1</v>
      </c>
      <c r="AB24">
        <v>0</v>
      </c>
    </row>
    <row r="25" spans="1:28">
      <c r="A25" s="49">
        <v>2020</v>
      </c>
      <c r="B25" s="5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11226007038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51">
        <f t="shared" si="0"/>
        <v>0.99410311311122923</v>
      </c>
      <c r="S25" s="51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8">
        <f t="shared" si="6"/>
        <v>0</v>
      </c>
      <c r="Y25" s="51">
        <f t="shared" si="7"/>
        <v>-12.948471052464336</v>
      </c>
      <c r="Z25" s="51">
        <f t="shared" si="8"/>
        <v>1.2054214284333717</v>
      </c>
      <c r="AA25" s="52">
        <v>1</v>
      </c>
      <c r="AB25">
        <v>0</v>
      </c>
    </row>
    <row r="26" spans="1:28">
      <c r="A26" s="49">
        <v>2018</v>
      </c>
      <c r="B26" s="5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f>21785053618</f>
        <v>21785053618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51">
        <f t="shared" si="0"/>
        <v>1.0576666084872304</v>
      </c>
      <c r="S26" s="51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8">
        <f t="shared" si="6"/>
        <v>0</v>
      </c>
      <c r="Y26" s="51">
        <f t="shared" si="7"/>
        <v>19.102658334648638</v>
      </c>
      <c r="Z26" s="51">
        <f t="shared" si="8"/>
        <v>0.76172048818523208</v>
      </c>
      <c r="AA26" s="52">
        <v>1</v>
      </c>
      <c r="AB26">
        <v>0</v>
      </c>
    </row>
    <row r="27" spans="1:28">
      <c r="A27" s="49">
        <v>2019</v>
      </c>
      <c r="B27" s="5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f>21785059005+3548237308</f>
        <v>25333296313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51">
        <f t="shared" si="0"/>
        <v>1.0257887860975645</v>
      </c>
      <c r="S27" s="51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8">
        <f t="shared" si="6"/>
        <v>0</v>
      </c>
      <c r="Y27" s="51">
        <f t="shared" si="7"/>
        <v>61.991132758283172</v>
      </c>
      <c r="Z27" s="51">
        <f t="shared" si="8"/>
        <v>0.81225099596011407</v>
      </c>
      <c r="AA27" s="52">
        <v>1</v>
      </c>
      <c r="AB27">
        <v>0</v>
      </c>
    </row>
    <row r="28" spans="1:28">
      <c r="A28" s="49">
        <v>2020</v>
      </c>
      <c r="B28" s="5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f>21785059005+3548236258</f>
        <v>25333295263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51">
        <f t="shared" si="0"/>
        <v>10.161525815491641</v>
      </c>
      <c r="S28" s="51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8">
        <f t="shared" si="6"/>
        <v>0</v>
      </c>
      <c r="Y28" s="51">
        <f t="shared" si="7"/>
        <v>121.63095478682543</v>
      </c>
      <c r="Z28" s="51">
        <f t="shared" si="8"/>
        <v>0.10869949354684463</v>
      </c>
      <c r="AA28" s="52">
        <v>1</v>
      </c>
      <c r="AB28">
        <v>0</v>
      </c>
    </row>
    <row r="29" spans="1:28">
      <c r="A29" s="49">
        <v>2018</v>
      </c>
      <c r="B29" s="5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24655010000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51">
        <f t="shared" si="0"/>
        <v>1.1792581890285572</v>
      </c>
      <c r="S29" s="51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9.9999990640067433E-3</v>
      </c>
      <c r="X29" s="58">
        <f t="shared" si="6"/>
        <v>0.24796481154401689</v>
      </c>
      <c r="Y29" s="51">
        <f t="shared" si="7"/>
        <v>24.796483475335823</v>
      </c>
      <c r="Z29" s="51">
        <f t="shared" si="8"/>
        <v>4.2241567302463618</v>
      </c>
      <c r="AA29" s="52">
        <v>1</v>
      </c>
      <c r="AB29">
        <v>0</v>
      </c>
    </row>
    <row r="30" spans="1:28">
      <c r="A30" s="49">
        <v>2019</v>
      </c>
      <c r="B30" s="5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24655010000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51">
        <f t="shared" si="0"/>
        <v>1.1875698000027504</v>
      </c>
      <c r="S30" s="51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1.0620793365800104E-2</v>
      </c>
      <c r="X30" s="58">
        <f t="shared" si="6"/>
        <v>0.30635411148781583</v>
      </c>
      <c r="Y30" s="51">
        <f t="shared" si="7"/>
        <v>28.844748309886455</v>
      </c>
      <c r="Z30" s="51">
        <f t="shared" si="8"/>
        <v>4.7322773296356244</v>
      </c>
      <c r="AA30" s="52">
        <v>1</v>
      </c>
      <c r="AB30">
        <v>0</v>
      </c>
    </row>
    <row r="31" spans="1:28">
      <c r="A31" s="49">
        <v>2020</v>
      </c>
      <c r="B31" s="5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24655010000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51">
        <f t="shared" si="0"/>
        <v>1.1637335566202898</v>
      </c>
      <c r="S31" s="51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1.6336780474536561E-2</v>
      </c>
      <c r="X31" s="58">
        <f t="shared" si="6"/>
        <v>0.50223473151413656</v>
      </c>
      <c r="Y31" s="51">
        <f t="shared" si="7"/>
        <v>30.742576990426496</v>
      </c>
      <c r="Z31" s="51">
        <f t="shared" si="8"/>
        <v>4.5181680063172447</v>
      </c>
      <c r="AA31" s="52">
        <v>1</v>
      </c>
      <c r="AB31">
        <v>0</v>
      </c>
    </row>
    <row r="32" spans="1:28">
      <c r="A32" s="49">
        <v>2018</v>
      </c>
      <c r="B32" s="5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51">
        <f t="shared" si="0"/>
        <v>1.0479475051552787</v>
      </c>
      <c r="S32" s="51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8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  <c r="AB32">
        <v>0</v>
      </c>
    </row>
    <row r="33" spans="1:28">
      <c r="A33" s="49">
        <v>2019</v>
      </c>
      <c r="B33" s="5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4184431795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51">
        <f t="shared" si="0"/>
        <v>1.0269498070883849</v>
      </c>
      <c r="S33" s="51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8">
        <f t="shared" si="6"/>
        <v>0</v>
      </c>
      <c r="Y33" s="51">
        <f t="shared" si="7"/>
        <v>-14.310774128622301</v>
      </c>
      <c r="Z33" s="51">
        <f t="shared" si="8"/>
        <v>1.7448749620168444</v>
      </c>
      <c r="AA33" s="52">
        <v>1</v>
      </c>
      <c r="AB33">
        <v>0</v>
      </c>
    </row>
    <row r="34" spans="1:28">
      <c r="A34" s="49">
        <v>2020</v>
      </c>
      <c r="B34" s="5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4184431795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51">
        <f t="shared" si="0"/>
        <v>1.0296756278997248</v>
      </c>
      <c r="S34" s="51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8">
        <f t="shared" si="6"/>
        <v>0</v>
      </c>
      <c r="Y34" s="51">
        <f t="shared" si="7"/>
        <v>47.936568094005885</v>
      </c>
      <c r="Z34" s="51">
        <f t="shared" si="8"/>
        <v>5.1119865929534525</v>
      </c>
      <c r="AA34" s="52">
        <v>1</v>
      </c>
      <c r="AB34">
        <v>0</v>
      </c>
    </row>
    <row r="35" spans="1:28">
      <c r="A35" s="49">
        <v>2018</v>
      </c>
      <c r="B35" s="5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f t="shared" ref="K35:K36" si="9">21337978+11630570770</f>
        <v>11651908748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51">
        <f t="shared" si="0"/>
        <v>0.98046938496569636</v>
      </c>
      <c r="S35" s="51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8">
        <f t="shared" si="6"/>
        <v>0</v>
      </c>
      <c r="Y35" s="51">
        <f t="shared" si="7"/>
        <v>16.683261459472547</v>
      </c>
      <c r="Z35" s="51">
        <f t="shared" si="8"/>
        <v>0.36876402485188964</v>
      </c>
      <c r="AA35" s="52">
        <v>1</v>
      </c>
      <c r="AB35">
        <v>0</v>
      </c>
    </row>
    <row r="36" spans="1:28">
      <c r="A36" s="49">
        <v>2019</v>
      </c>
      <c r="B36" s="5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f t="shared" si="9"/>
        <v>11651908748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51">
        <f t="shared" si="0"/>
        <v>0.95960773899707907</v>
      </c>
      <c r="S36" s="51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8">
        <f t="shared" si="6"/>
        <v>0</v>
      </c>
      <c r="Y36" s="51">
        <f t="shared" si="7"/>
        <v>12.041705196111632</v>
      </c>
      <c r="Z36" s="51">
        <f t="shared" si="8"/>
        <v>0.29308090009157278</v>
      </c>
      <c r="AA36" s="52">
        <v>1</v>
      </c>
      <c r="AB36">
        <v>0</v>
      </c>
    </row>
    <row r="37" spans="1:28">
      <c r="A37" s="49">
        <v>2020</v>
      </c>
      <c r="B37" s="5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f>21337978+32651913216</f>
        <v>32673251194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51">
        <f t="shared" si="0"/>
        <v>0.96568685172638469</v>
      </c>
      <c r="S37" s="51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8">
        <f t="shared" si="6"/>
        <v>0</v>
      </c>
      <c r="Y37" s="51">
        <f t="shared" si="7"/>
        <v>-5.766264859938695</v>
      </c>
      <c r="Z37" s="51">
        <f t="shared" si="8"/>
        <v>2.2190099969444073</v>
      </c>
      <c r="AA37" s="52">
        <v>1</v>
      </c>
      <c r="AB37">
        <v>0</v>
      </c>
    </row>
    <row r="38" spans="1:28">
      <c r="A38" s="49">
        <v>2018</v>
      </c>
      <c r="B38" s="5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4090090000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51">
        <f t="shared" si="0"/>
        <v>1.2720288802073363</v>
      </c>
      <c r="S38" s="51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8">
        <f t="shared" si="6"/>
        <v>0</v>
      </c>
      <c r="Y38" s="51">
        <f t="shared" si="7"/>
        <v>21.230233018470702</v>
      </c>
      <c r="Z38" s="51">
        <f t="shared" si="8"/>
        <v>1.8278174488879719</v>
      </c>
      <c r="AA38" s="52">
        <v>1</v>
      </c>
      <c r="AB38">
        <v>0</v>
      </c>
    </row>
    <row r="39" spans="1:28">
      <c r="A39" s="49">
        <v>2019</v>
      </c>
      <c r="B39" s="5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4090090000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51">
        <f t="shared" si="0"/>
        <v>1.3032737618928585</v>
      </c>
      <c r="S39" s="51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8">
        <f t="shared" si="6"/>
        <v>0</v>
      </c>
      <c r="Y39" s="51">
        <f t="shared" si="7"/>
        <v>46.257945770605708</v>
      </c>
      <c r="Z39" s="51">
        <f t="shared" si="8"/>
        <v>3.2904334445608092</v>
      </c>
      <c r="AA39" s="52">
        <v>1</v>
      </c>
      <c r="AB39">
        <v>0</v>
      </c>
    </row>
    <row r="40" spans="1:28">
      <c r="A40" s="49">
        <v>2020</v>
      </c>
      <c r="B40" s="5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4090090000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51">
        <f t="shared" si="0"/>
        <v>1.3321996167687069</v>
      </c>
      <c r="S40" s="51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8">
        <f t="shared" si="6"/>
        <v>0</v>
      </c>
      <c r="Y40" s="51">
        <f t="shared" si="7"/>
        <v>18.823352015086048</v>
      </c>
      <c r="Z40" s="51">
        <f t="shared" si="8"/>
        <v>1.530240239419387</v>
      </c>
      <c r="AA40" s="52">
        <v>1</v>
      </c>
      <c r="AB40">
        <v>0</v>
      </c>
    </row>
    <row r="41" spans="1:28">
      <c r="A41" s="49">
        <v>2018</v>
      </c>
      <c r="B41" s="59" t="s">
        <v>86</v>
      </c>
      <c r="C41" s="49" t="s">
        <v>87</v>
      </c>
      <c r="D41" s="50">
        <v>1241029135000000</v>
      </c>
      <c r="E41" s="50">
        <v>26914859000000</v>
      </c>
      <c r="F41" s="50">
        <v>1296898292000000</v>
      </c>
      <c r="G41" s="50"/>
      <c r="H41" s="50"/>
      <c r="I41" s="50">
        <v>109066408400000</v>
      </c>
      <c r="J41" s="50">
        <v>185275331000000</v>
      </c>
      <c r="K41" s="51">
        <v>123345810000</v>
      </c>
      <c r="L41" s="50">
        <v>111582804000000</v>
      </c>
      <c r="M41" s="50">
        <v>33917032000000</v>
      </c>
      <c r="N41" s="50">
        <v>41990284000000</v>
      </c>
      <c r="O41" s="50">
        <v>32418486000000</v>
      </c>
      <c r="P41" s="50">
        <v>13048441000000</v>
      </c>
      <c r="Q41" s="52">
        <v>3660</v>
      </c>
      <c r="R41" s="51">
        <f t="shared" si="0"/>
        <v>11.378655932709709</v>
      </c>
      <c r="S41" s="51">
        <f t="shared" si="1"/>
        <v>0.58867204722467881</v>
      </c>
      <c r="T41" s="51">
        <f t="shared" si="2"/>
        <v>2.4996937847767634E-2</v>
      </c>
      <c r="U41" s="51">
        <f t="shared" si="3"/>
        <v>0.17497464894557388</v>
      </c>
      <c r="V41" s="51">
        <f t="shared" si="4"/>
        <v>0.29053299287944045</v>
      </c>
      <c r="W41" s="51">
        <f t="shared" si="5"/>
        <v>2.8903679940223751E-2</v>
      </c>
      <c r="X41" s="58">
        <f t="shared" si="6"/>
        <v>0.40250001187594014</v>
      </c>
      <c r="Y41" s="51">
        <f t="shared" si="7"/>
        <v>13.92556285941299</v>
      </c>
      <c r="Z41" s="51">
        <f t="shared" si="8"/>
        <v>2.4366204726953096</v>
      </c>
      <c r="AA41" s="52">
        <v>1</v>
      </c>
      <c r="AB41">
        <v>0</v>
      </c>
    </row>
    <row r="42" spans="1:28">
      <c r="A42" s="49">
        <v>2019</v>
      </c>
      <c r="B42" s="59" t="s">
        <v>86</v>
      </c>
      <c r="C42" s="49" t="s">
        <v>87</v>
      </c>
      <c r="D42" s="50">
        <v>1359773127000000</v>
      </c>
      <c r="E42" s="50">
        <v>31432629000000</v>
      </c>
      <c r="F42" s="50">
        <v>1416758840000000</v>
      </c>
      <c r="G42" s="50"/>
      <c r="H42" s="50"/>
      <c r="I42" s="50">
        <v>1183155670000000</v>
      </c>
      <c r="J42" s="50">
        <v>208784336000000</v>
      </c>
      <c r="K42" s="51">
        <v>123345810000</v>
      </c>
      <c r="L42" s="50">
        <v>121756276000000</v>
      </c>
      <c r="M42" s="50">
        <v>38671838000000</v>
      </c>
      <c r="N42" s="50">
        <v>45033505000000</v>
      </c>
      <c r="O42" s="50">
        <v>34413825000000</v>
      </c>
      <c r="P42" s="50">
        <v>16175565000000</v>
      </c>
      <c r="Q42" s="52">
        <v>4400</v>
      </c>
      <c r="R42" s="51">
        <f t="shared" si="0"/>
        <v>1.1492766011086268</v>
      </c>
      <c r="S42" s="51">
        <f t="shared" si="1"/>
        <v>5.6668794827596649</v>
      </c>
      <c r="T42" s="51">
        <f t="shared" si="2"/>
        <v>2.4290531337005809E-2</v>
      </c>
      <c r="U42" s="51">
        <f t="shared" si="3"/>
        <v>0.16482953491300228</v>
      </c>
      <c r="V42" s="51">
        <f t="shared" si="4"/>
        <v>0.28264518372753122</v>
      </c>
      <c r="W42" s="51">
        <f t="shared" si="5"/>
        <v>2.9804537119884924E-2</v>
      </c>
      <c r="X42" s="58">
        <f t="shared" si="6"/>
        <v>0.47003101224580529</v>
      </c>
      <c r="Y42" s="51">
        <f t="shared" si="7"/>
        <v>15.770451671675556</v>
      </c>
      <c r="Z42" s="51">
        <f t="shared" si="8"/>
        <v>2.599436214410261</v>
      </c>
      <c r="AA42" s="52">
        <v>1</v>
      </c>
      <c r="AB42">
        <v>0</v>
      </c>
    </row>
    <row r="43" spans="1:28">
      <c r="A43" s="49">
        <v>2020</v>
      </c>
      <c r="B43" s="59" t="s">
        <v>86</v>
      </c>
      <c r="C43" s="49" t="s">
        <v>87</v>
      </c>
      <c r="D43" s="50">
        <v>1442620167000000</v>
      </c>
      <c r="E43" s="50">
        <v>32185160000000</v>
      </c>
      <c r="F43" s="50">
        <v>1511804628000000</v>
      </c>
      <c r="G43" s="50"/>
      <c r="H43" s="50"/>
      <c r="I43" s="50">
        <v>1278346276000000</v>
      </c>
      <c r="J43" s="50">
        <v>199911376000000</v>
      </c>
      <c r="K43" s="51">
        <v>123345810000</v>
      </c>
      <c r="L43" s="50">
        <v>116932512000000</v>
      </c>
      <c r="M43" s="50">
        <v>37722595000000</v>
      </c>
      <c r="N43" s="50">
        <v>68827650000000</v>
      </c>
      <c r="O43" s="50">
        <v>34413825000000</v>
      </c>
      <c r="P43" s="50">
        <v>20623565000000</v>
      </c>
      <c r="Q43" s="52"/>
      <c r="R43" s="51">
        <f t="shared" si="0"/>
        <v>1.1285050021923793</v>
      </c>
      <c r="S43" s="51">
        <f t="shared" si="1"/>
        <v>6.3945649396160427</v>
      </c>
      <c r="T43" s="51">
        <f t="shared" si="2"/>
        <v>2.2763407627298254E-2</v>
      </c>
      <c r="U43" s="51">
        <f t="shared" si="3"/>
        <v>0.17214540607233877</v>
      </c>
      <c r="V43" s="51">
        <f t="shared" si="4"/>
        <v>0.29430501758142336</v>
      </c>
      <c r="W43" s="51" t="e">
        <f t="shared" si="5"/>
        <v>#DIV/0!</v>
      </c>
      <c r="X43" s="58">
        <f t="shared" si="6"/>
        <v>0.59928139345161424</v>
      </c>
      <c r="Y43" s="51">
        <f t="shared" si="7"/>
        <v>0</v>
      </c>
      <c r="Z43" s="51">
        <f t="shared" si="8"/>
        <v>0</v>
      </c>
      <c r="AA43" s="52">
        <v>1</v>
      </c>
      <c r="AB43">
        <v>0</v>
      </c>
    </row>
    <row r="44" spans="1:28">
      <c r="A44" s="49">
        <v>2018</v>
      </c>
      <c r="B44" s="59" t="s">
        <v>88</v>
      </c>
      <c r="C44" s="49" t="s">
        <v>89</v>
      </c>
      <c r="D44" s="50">
        <v>4781138960034</v>
      </c>
      <c r="E44" s="50">
        <v>83206069558</v>
      </c>
      <c r="F44" s="50">
        <v>4533729146622</v>
      </c>
      <c r="G44" s="50"/>
      <c r="H44" s="50"/>
      <c r="I44" s="50">
        <v>3933343821678</v>
      </c>
      <c r="J44" s="50">
        <v>600385324944</v>
      </c>
      <c r="K44" s="51">
        <v>5192586184</v>
      </c>
      <c r="L44" s="50">
        <v>589663115314</v>
      </c>
      <c r="M44" s="50">
        <v>303322028671</v>
      </c>
      <c r="N44" s="50">
        <v>440184797149</v>
      </c>
      <c r="O44" s="50">
        <v>-136988450929</v>
      </c>
      <c r="P44" s="50">
        <v>5763770665</v>
      </c>
      <c r="Q44" s="52">
        <v>284</v>
      </c>
      <c r="R44" s="51">
        <f t="shared" si="0"/>
        <v>1.2155405621251596</v>
      </c>
      <c r="S44" s="51">
        <f t="shared" si="1"/>
        <v>6.5513656950973553</v>
      </c>
      <c r="T44" s="51">
        <f t="shared" si="2"/>
        <v>-3.0215402486288276E-2</v>
      </c>
      <c r="U44" s="51">
        <f t="shared" si="3"/>
        <v>-0.22816755379851661</v>
      </c>
      <c r="V44" s="51">
        <f t="shared" si="4"/>
        <v>-0.23231646574341458</v>
      </c>
      <c r="W44" s="51">
        <f t="shared" si="5"/>
        <v>3.9084507047407136E-3</v>
      </c>
      <c r="X44" s="58">
        <f t="shared" si="6"/>
        <v>-4.2074865624893557E-2</v>
      </c>
      <c r="Y44" s="51">
        <f t="shared" si="7"/>
        <v>-10.765100753057805</v>
      </c>
      <c r="Z44" s="51">
        <f t="shared" si="8"/>
        <v>2.4562467052197681</v>
      </c>
      <c r="AA44" s="52">
        <v>1</v>
      </c>
      <c r="AB44">
        <v>0</v>
      </c>
    </row>
    <row r="45" spans="1:28">
      <c r="A45" s="49">
        <v>2019</v>
      </c>
      <c r="B45" s="59" t="s">
        <v>88</v>
      </c>
      <c r="C45" s="49" t="s">
        <v>89</v>
      </c>
      <c r="D45" s="50">
        <v>4918029226569</v>
      </c>
      <c r="E45" s="50">
        <v>87885955385</v>
      </c>
      <c r="F45" s="50">
        <v>5123734649117</v>
      </c>
      <c r="G45" s="50"/>
      <c r="H45" s="50"/>
      <c r="I45" s="50">
        <v>4177951053821</v>
      </c>
      <c r="J45" s="50">
        <v>945783595296</v>
      </c>
      <c r="K45" s="51">
        <v>6161782101</v>
      </c>
      <c r="L45" s="50">
        <v>532495206620</v>
      </c>
      <c r="M45" s="50">
        <v>316396580171</v>
      </c>
      <c r="N45" s="50">
        <v>403790198835</v>
      </c>
      <c r="O45" s="50">
        <v>16002797471</v>
      </c>
      <c r="P45" s="50">
        <v>0</v>
      </c>
      <c r="Q45" s="52">
        <v>284</v>
      </c>
      <c r="R45" s="51">
        <f t="shared" si="0"/>
        <v>1.1771390241805613</v>
      </c>
      <c r="S45" s="51">
        <f t="shared" si="1"/>
        <v>4.4174492712716535</v>
      </c>
      <c r="T45" s="51">
        <f t="shared" si="2"/>
        <v>3.1232681953500159E-3</v>
      </c>
      <c r="U45" s="51">
        <f t="shared" si="3"/>
        <v>1.6920147008884879E-2</v>
      </c>
      <c r="V45" s="51">
        <f t="shared" si="4"/>
        <v>3.0052472345389467E-2</v>
      </c>
      <c r="W45" s="51">
        <f t="shared" si="5"/>
        <v>0</v>
      </c>
      <c r="X45" s="58">
        <f t="shared" si="6"/>
        <v>0</v>
      </c>
      <c r="Y45" s="51">
        <f t="shared" si="7"/>
        <v>109.35251288752625</v>
      </c>
      <c r="Z45" s="51">
        <f t="shared" si="8"/>
        <v>1.8502605938479222</v>
      </c>
      <c r="AA45" s="52">
        <v>1</v>
      </c>
      <c r="AB45">
        <v>0</v>
      </c>
    </row>
    <row r="46" spans="1:28">
      <c r="A46" s="49">
        <v>2020</v>
      </c>
      <c r="B46" s="59" t="s">
        <v>88</v>
      </c>
      <c r="C46" s="49" t="s">
        <v>89</v>
      </c>
      <c r="D46" s="50">
        <v>4978233171638</v>
      </c>
      <c r="E46" s="50">
        <v>108803796324</v>
      </c>
      <c r="F46" s="50">
        <v>5421324398438</v>
      </c>
      <c r="G46" s="50"/>
      <c r="H46" s="50"/>
      <c r="I46" s="50">
        <v>4300705118122</v>
      </c>
      <c r="J46" s="50">
        <v>1120619280316</v>
      </c>
      <c r="K46" s="51">
        <v>6661795239</v>
      </c>
      <c r="L46" s="50">
        <v>435200503846</v>
      </c>
      <c r="M46" s="50">
        <v>276969580433</v>
      </c>
      <c r="N46" s="50">
        <v>229554559339</v>
      </c>
      <c r="O46" s="50">
        <v>15871502695</v>
      </c>
      <c r="P46" s="50">
        <v>1598830857</v>
      </c>
      <c r="Q46" s="52">
        <v>298</v>
      </c>
      <c r="R46" s="51">
        <f t="shared" si="0"/>
        <v>1.1575388302399718</v>
      </c>
      <c r="S46" s="51">
        <f t="shared" si="1"/>
        <v>3.8377932574114353</v>
      </c>
      <c r="T46" s="51">
        <f t="shared" si="2"/>
        <v>2.9276061582983156E-3</v>
      </c>
      <c r="U46" s="51">
        <f t="shared" si="3"/>
        <v>1.4163153332971787E-2</v>
      </c>
      <c r="V46" s="51">
        <f t="shared" si="4"/>
        <v>3.6469403308908598E-2</v>
      </c>
      <c r="W46" s="51">
        <f t="shared" si="5"/>
        <v>8.0536912733543799E-4</v>
      </c>
      <c r="X46" s="58">
        <f t="shared" si="6"/>
        <v>0.10073594717050199</v>
      </c>
      <c r="Y46" s="51">
        <f t="shared" si="7"/>
        <v>125.08046776487032</v>
      </c>
      <c r="Z46" s="51">
        <f t="shared" si="8"/>
        <v>1.7715338439136932</v>
      </c>
      <c r="AA46" s="52">
        <v>1</v>
      </c>
      <c r="AB46">
        <v>0</v>
      </c>
    </row>
    <row r="47" spans="1:28">
      <c r="A47" s="49">
        <v>2018</v>
      </c>
      <c r="B47" s="59" t="s">
        <v>90</v>
      </c>
      <c r="C47" s="49" t="s">
        <v>91</v>
      </c>
      <c r="D47" s="50">
        <v>12539574000000</v>
      </c>
      <c r="E47" s="50">
        <v>194079000000</v>
      </c>
      <c r="F47" s="50">
        <v>17823669000000</v>
      </c>
      <c r="G47" s="50"/>
      <c r="H47" s="50"/>
      <c r="I47" s="50">
        <v>16508766000000</v>
      </c>
      <c r="J47" s="50">
        <v>1314903000000</v>
      </c>
      <c r="K47" s="51">
        <f t="shared" ref="K47:K49" si="10">10011841000+283501</f>
        <v>10012124501</v>
      </c>
      <c r="L47" s="50">
        <v>1426813000000</v>
      </c>
      <c r="M47" s="50">
        <v>1035272000000</v>
      </c>
      <c r="N47" s="50">
        <v>734524000000</v>
      </c>
      <c r="O47" s="50">
        <v>-401101000000</v>
      </c>
      <c r="P47" s="50">
        <v>0</v>
      </c>
      <c r="Q47" s="52">
        <v>450</v>
      </c>
      <c r="R47" s="51">
        <f t="shared" si="0"/>
        <v>0.75957064265130414</v>
      </c>
      <c r="S47" s="51">
        <f t="shared" si="1"/>
        <v>12.555120795982669</v>
      </c>
      <c r="T47" s="51">
        <f t="shared" si="2"/>
        <v>-2.2503840258703188E-2</v>
      </c>
      <c r="U47" s="51">
        <f t="shared" si="3"/>
        <v>-0.30504227308021958</v>
      </c>
      <c r="V47" s="51">
        <f t="shared" si="4"/>
        <v>-0.28111672657874576</v>
      </c>
      <c r="W47" s="51">
        <f t="shared" si="5"/>
        <v>0</v>
      </c>
      <c r="X47" s="58">
        <f t="shared" si="6"/>
        <v>0</v>
      </c>
      <c r="Y47" s="51">
        <f t="shared" si="7"/>
        <v>-11.232721996330103</v>
      </c>
      <c r="Z47" s="51">
        <f t="shared" si="8"/>
        <v>3.4264550506387161</v>
      </c>
      <c r="AA47" s="52">
        <v>1</v>
      </c>
      <c r="AB47">
        <v>0</v>
      </c>
    </row>
    <row r="48" spans="1:28">
      <c r="A48" s="49">
        <v>2019</v>
      </c>
      <c r="B48" s="59" t="s">
        <v>90</v>
      </c>
      <c r="C48" s="49" t="s">
        <v>91</v>
      </c>
      <c r="D48" s="50">
        <v>8271271000000</v>
      </c>
      <c r="E48" s="50">
        <v>199165000000</v>
      </c>
      <c r="F48" s="50">
        <v>17311597000000</v>
      </c>
      <c r="G48" s="50"/>
      <c r="H48" s="50"/>
      <c r="I48" s="50">
        <v>15637771000000</v>
      </c>
      <c r="J48" s="50">
        <v>1673826000000</v>
      </c>
      <c r="K48" s="51">
        <f t="shared" si="10"/>
        <v>10012124501</v>
      </c>
      <c r="L48" s="50">
        <v>1132243000000</v>
      </c>
      <c r="M48" s="50">
        <v>1081987000000</v>
      </c>
      <c r="N48" s="50">
        <v>743645000000</v>
      </c>
      <c r="O48" s="50">
        <v>49495000000</v>
      </c>
      <c r="P48" s="50">
        <v>0</v>
      </c>
      <c r="Q48" s="52">
        <v>450</v>
      </c>
      <c r="R48" s="51">
        <f t="shared" si="0"/>
        <v>0.52892902703332845</v>
      </c>
      <c r="S48" s="51">
        <f t="shared" si="1"/>
        <v>9.3425308245898915</v>
      </c>
      <c r="T48" s="51">
        <f t="shared" si="2"/>
        <v>2.8590660930935489E-3</v>
      </c>
      <c r="U48" s="51">
        <f t="shared" si="3"/>
        <v>2.9569979197359823E-2</v>
      </c>
      <c r="V48" s="51">
        <f t="shared" si="4"/>
        <v>4.3714114372974705E-2</v>
      </c>
      <c r="W48" s="51">
        <f t="shared" si="5"/>
        <v>0</v>
      </c>
      <c r="X48" s="58">
        <f t="shared" si="6"/>
        <v>0</v>
      </c>
      <c r="Y48" s="51">
        <f t="shared" si="7"/>
        <v>91.028508444287297</v>
      </c>
      <c r="Z48" s="51">
        <f t="shared" si="8"/>
        <v>2.6917111010642683</v>
      </c>
      <c r="AA48" s="52">
        <v>1</v>
      </c>
      <c r="AB48">
        <v>0</v>
      </c>
    </row>
    <row r="49" spans="1:28">
      <c r="A49" s="49">
        <v>2020</v>
      </c>
      <c r="B49" s="59" t="s">
        <v>90</v>
      </c>
      <c r="C49" s="49" t="s">
        <v>91</v>
      </c>
      <c r="D49" s="50">
        <v>11101933000000</v>
      </c>
      <c r="E49" s="50">
        <v>194214000000</v>
      </c>
      <c r="F49" s="50">
        <v>16204908000000</v>
      </c>
      <c r="G49" s="50"/>
      <c r="H49" s="50"/>
      <c r="I49" s="50">
        <v>14761678000000</v>
      </c>
      <c r="J49" s="50">
        <v>1443230000000</v>
      </c>
      <c r="K49" s="51">
        <f t="shared" si="10"/>
        <v>10012124501</v>
      </c>
      <c r="L49" s="50">
        <v>978794000000</v>
      </c>
      <c r="M49" s="50">
        <v>952657000000</v>
      </c>
      <c r="N49" s="50">
        <v>662860000000</v>
      </c>
      <c r="O49" s="50">
        <v>-484441000000</v>
      </c>
      <c r="P49" s="50">
        <v>0</v>
      </c>
      <c r="Q49" s="52">
        <v>700</v>
      </c>
      <c r="R49" s="51">
        <f t="shared" si="0"/>
        <v>0.75207798192048358</v>
      </c>
      <c r="S49" s="51">
        <f t="shared" si="1"/>
        <v>10.228222805789791</v>
      </c>
      <c r="T49" s="51">
        <f t="shared" si="2"/>
        <v>-2.9894708442652067E-2</v>
      </c>
      <c r="U49" s="51">
        <f t="shared" si="3"/>
        <v>-0.33566444710822252</v>
      </c>
      <c r="V49" s="51">
        <f t="shared" si="4"/>
        <v>-0.4949366260929266</v>
      </c>
      <c r="W49" s="51">
        <f t="shared" si="5"/>
        <v>0</v>
      </c>
      <c r="X49" s="58">
        <f t="shared" si="6"/>
        <v>0</v>
      </c>
      <c r="Y49" s="51">
        <f t="shared" si="7"/>
        <v>-14.467163495038612</v>
      </c>
      <c r="Z49" s="51">
        <f t="shared" si="8"/>
        <v>4.8561124357863958</v>
      </c>
      <c r="AA49" s="52">
        <v>1</v>
      </c>
      <c r="AB49">
        <v>0</v>
      </c>
    </row>
    <row r="50" spans="1:28">
      <c r="A50" s="49">
        <v>2018</v>
      </c>
      <c r="B50" s="59" t="s">
        <v>92</v>
      </c>
      <c r="C50" s="49" t="s">
        <v>93</v>
      </c>
      <c r="D50" s="50">
        <v>171650004000000</v>
      </c>
      <c r="E50" s="50">
        <v>1902608000000</v>
      </c>
      <c r="F50" s="50">
        <v>186762189000000</v>
      </c>
      <c r="G50" s="50"/>
      <c r="H50" s="50"/>
      <c r="I50" s="50">
        <v>144822368000000</v>
      </c>
      <c r="J50" s="50">
        <v>41939821000000</v>
      </c>
      <c r="K50" s="51">
        <f>22400000+9562243365</f>
        <v>9584643365</v>
      </c>
      <c r="L50" s="50">
        <v>20172187000000</v>
      </c>
      <c r="M50" s="50">
        <v>5931103000000</v>
      </c>
      <c r="N50" s="50">
        <v>13129417000000</v>
      </c>
      <c r="O50" s="50">
        <v>4107068000000</v>
      </c>
      <c r="P50" s="50">
        <v>1341456000000</v>
      </c>
      <c r="Q50" s="52">
        <v>7600</v>
      </c>
      <c r="R50" s="51">
        <f t="shared" si="0"/>
        <v>1.185245113517271</v>
      </c>
      <c r="S50" s="51">
        <f t="shared" si="1"/>
        <v>3.4530993348779435</v>
      </c>
      <c r="T50" s="51">
        <f t="shared" si="2"/>
        <v>2.199089666913253E-2</v>
      </c>
      <c r="U50" s="51">
        <f t="shared" si="3"/>
        <v>9.7927647330683654E-2</v>
      </c>
      <c r="V50" s="51">
        <f t="shared" si="4"/>
        <v>0.2036005317618759</v>
      </c>
      <c r="W50" s="51">
        <f t="shared" si="5"/>
        <v>1.8415642783914124E-2</v>
      </c>
      <c r="X50" s="58">
        <f t="shared" si="6"/>
        <v>0.32662132694175017</v>
      </c>
      <c r="Y50" s="51">
        <f t="shared" si="7"/>
        <v>17.736080720845138</v>
      </c>
      <c r="Z50" s="51">
        <f t="shared" si="8"/>
        <v>1.7368526578594603</v>
      </c>
      <c r="AA50" s="52">
        <v>1</v>
      </c>
      <c r="AB50">
        <v>0</v>
      </c>
    </row>
    <row r="51" spans="1:28">
      <c r="A51" s="49">
        <v>2019</v>
      </c>
      <c r="B51" s="59" t="s">
        <v>92</v>
      </c>
      <c r="C51" s="49" t="s">
        <v>93</v>
      </c>
      <c r="D51" s="50">
        <v>181728084000000</v>
      </c>
      <c r="E51" s="50">
        <v>1785994000000</v>
      </c>
      <c r="F51" s="50">
        <v>193533970000000</v>
      </c>
      <c r="G51" s="50"/>
      <c r="H51" s="50"/>
      <c r="I51" s="50">
        <v>148116943000000</v>
      </c>
      <c r="J51" s="50">
        <v>45417027000000</v>
      </c>
      <c r="K51" s="51">
        <f t="shared" ref="K51:K52" si="11">22400000+9751152870</f>
        <v>9773552870</v>
      </c>
      <c r="L51" s="50">
        <v>21970144000000</v>
      </c>
      <c r="M51" s="50">
        <v>7390746000000</v>
      </c>
      <c r="N51" s="50">
        <v>15538521000000</v>
      </c>
      <c r="O51" s="50">
        <v>4240671000000</v>
      </c>
      <c r="P51" s="50">
        <v>1444699000000</v>
      </c>
      <c r="Q51" s="52">
        <v>3950</v>
      </c>
      <c r="R51" s="51">
        <f t="shared" si="0"/>
        <v>1.2269229996192941</v>
      </c>
      <c r="S51" s="51">
        <f t="shared" si="1"/>
        <v>3.2612646133794709</v>
      </c>
      <c r="T51" s="51">
        <f t="shared" si="2"/>
        <v>2.1911765670905217E-2</v>
      </c>
      <c r="U51" s="51">
        <f t="shared" si="3"/>
        <v>9.3371831670091485E-2</v>
      </c>
      <c r="V51" s="51">
        <f t="shared" si="4"/>
        <v>0.19301971803188908</v>
      </c>
      <c r="W51" s="51">
        <f t="shared" si="5"/>
        <v>3.7422070268954402E-2</v>
      </c>
      <c r="X51" s="58">
        <f t="shared" si="6"/>
        <v>0.34067698248696965</v>
      </c>
      <c r="Y51" s="51">
        <f t="shared" si="7"/>
        <v>9.103638041361851</v>
      </c>
      <c r="Z51" s="51">
        <f t="shared" si="8"/>
        <v>0.85002335878348001</v>
      </c>
      <c r="AA51" s="52">
        <v>1</v>
      </c>
      <c r="AB51">
        <v>0</v>
      </c>
    </row>
    <row r="52" spans="1:28">
      <c r="A52" s="49">
        <v>2020</v>
      </c>
      <c r="B52" s="59" t="s">
        <v>92</v>
      </c>
      <c r="C52" s="49" t="s">
        <v>93</v>
      </c>
      <c r="D52" s="50">
        <v>187946193000000</v>
      </c>
      <c r="E52" s="50">
        <v>2105691000000</v>
      </c>
      <c r="F52" s="50">
        <v>200890068000000</v>
      </c>
      <c r="G52" s="50"/>
      <c r="H52" s="50"/>
      <c r="I52" s="50">
        <v>157314590000000</v>
      </c>
      <c r="J52" s="50">
        <v>43575499000000</v>
      </c>
      <c r="K52" s="51">
        <f t="shared" si="11"/>
        <v>9773552870</v>
      </c>
      <c r="L52" s="50">
        <v>20087555000000</v>
      </c>
      <c r="M52" s="50">
        <v>6363892000000</v>
      </c>
      <c r="N52" s="50">
        <v>15958508000000</v>
      </c>
      <c r="O52" s="50">
        <v>1088942000000</v>
      </c>
      <c r="P52" s="50">
        <v>1916205000000</v>
      </c>
      <c r="Q52" s="52">
        <v>3140</v>
      </c>
      <c r="R52" s="51">
        <f t="shared" si="0"/>
        <v>1.1947155886812533</v>
      </c>
      <c r="S52" s="51">
        <f t="shared" si="1"/>
        <v>3.6101615267790739</v>
      </c>
      <c r="T52" s="51">
        <f t="shared" si="2"/>
        <v>5.4205865468670159E-3</v>
      </c>
      <c r="U52" s="51">
        <f t="shared" si="3"/>
        <v>2.4989776938641597E-2</v>
      </c>
      <c r="V52" s="51">
        <f t="shared" si="4"/>
        <v>5.4209783121937936E-2</v>
      </c>
      <c r="W52" s="51">
        <f t="shared" si="5"/>
        <v>6.2439562924956234E-2</v>
      </c>
      <c r="X52" s="58">
        <f t="shared" si="6"/>
        <v>1.7596942720548936</v>
      </c>
      <c r="Y52" s="51">
        <f t="shared" si="7"/>
        <v>28.182360503865219</v>
      </c>
      <c r="Z52" s="51">
        <f t="shared" si="8"/>
        <v>0.7042709025959748</v>
      </c>
      <c r="AA52" s="52">
        <v>1</v>
      </c>
      <c r="AB52">
        <v>0</v>
      </c>
    </row>
    <row r="53" spans="1:28">
      <c r="A53" s="49">
        <v>2018</v>
      </c>
      <c r="B53" s="59" t="s">
        <v>94</v>
      </c>
      <c r="C53" s="49" t="s">
        <v>95</v>
      </c>
      <c r="D53" s="50">
        <v>8488491000000</v>
      </c>
      <c r="E53" s="50">
        <v>77068000000</v>
      </c>
      <c r="F53" s="50">
        <v>9482130000000</v>
      </c>
      <c r="G53" s="50"/>
      <c r="H53" s="50"/>
      <c r="I53" s="50">
        <v>8788732000000</v>
      </c>
      <c r="J53" s="50">
        <v>693398000000</v>
      </c>
      <c r="K53" s="51">
        <f t="shared" ref="K53:K54" si="12">10755117153+53354313204</f>
        <v>64109430357</v>
      </c>
      <c r="L53" s="50">
        <v>571662000000</v>
      </c>
      <c r="M53" s="50">
        <v>436252000000</v>
      </c>
      <c r="N53" s="50">
        <v>296067000000</v>
      </c>
      <c r="O53" s="50">
        <v>-100131000000</v>
      </c>
      <c r="P53" s="50">
        <v>0</v>
      </c>
      <c r="Q53" s="52">
        <v>50</v>
      </c>
      <c r="R53" s="51">
        <f t="shared" si="0"/>
        <v>0.96583796160811364</v>
      </c>
      <c r="S53" s="51">
        <f t="shared" si="1"/>
        <v>12.674873593520605</v>
      </c>
      <c r="T53" s="51">
        <f t="shared" si="2"/>
        <v>-1.0559969120862085E-2</v>
      </c>
      <c r="U53" s="51">
        <f t="shared" si="3"/>
        <v>-0.14440624287926992</v>
      </c>
      <c r="V53" s="51">
        <f t="shared" si="4"/>
        <v>-0.17515769808033418</v>
      </c>
      <c r="W53" s="51">
        <f t="shared" si="5"/>
        <v>0</v>
      </c>
      <c r="X53" s="58">
        <f t="shared" si="6"/>
        <v>0</v>
      </c>
      <c r="Y53" s="51">
        <f t="shared" si="7"/>
        <v>-32.012778438745244</v>
      </c>
      <c r="Z53" s="51">
        <f t="shared" si="8"/>
        <v>4.6228450584657015</v>
      </c>
      <c r="AA53" s="52">
        <v>1</v>
      </c>
      <c r="AB53">
        <v>0</v>
      </c>
    </row>
    <row r="54" spans="1:28">
      <c r="A54" s="49">
        <v>2019</v>
      </c>
      <c r="B54" s="59" t="s">
        <v>94</v>
      </c>
      <c r="C54" s="49" t="s">
        <v>95</v>
      </c>
      <c r="D54" s="50">
        <v>7018761000000</v>
      </c>
      <c r="E54" s="50">
        <v>65551000000</v>
      </c>
      <c r="F54" s="50">
        <v>8097328000000</v>
      </c>
      <c r="G54" s="50"/>
      <c r="H54" s="50"/>
      <c r="I54" s="50">
        <v>7547795000000</v>
      </c>
      <c r="J54" s="50">
        <v>549533000000</v>
      </c>
      <c r="K54" s="51">
        <f t="shared" si="12"/>
        <v>64109430357</v>
      </c>
      <c r="L54" s="50">
        <v>553871000000</v>
      </c>
      <c r="M54" s="50">
        <v>481024000000</v>
      </c>
      <c r="N54" s="50">
        <v>308662000000</v>
      </c>
      <c r="O54" s="50">
        <v>-137559000000</v>
      </c>
      <c r="P54" s="50">
        <v>0</v>
      </c>
      <c r="Q54" s="52">
        <v>50</v>
      </c>
      <c r="R54" s="51">
        <f t="shared" si="0"/>
        <v>0.92990880117968233</v>
      </c>
      <c r="S54" s="51">
        <f t="shared" si="1"/>
        <v>13.734925837028895</v>
      </c>
      <c r="T54" s="51">
        <f t="shared" si="2"/>
        <v>-1.6988196600162424E-2</v>
      </c>
      <c r="U54" s="51">
        <f t="shared" si="3"/>
        <v>-0.25031981700825973</v>
      </c>
      <c r="V54" s="51">
        <f t="shared" si="4"/>
        <v>-0.24835927499363569</v>
      </c>
      <c r="W54" s="51">
        <f t="shared" si="5"/>
        <v>0</v>
      </c>
      <c r="X54" s="58">
        <f t="shared" si="6"/>
        <v>0</v>
      </c>
      <c r="Y54" s="51">
        <f t="shared" si="7"/>
        <v>-23.302521229799577</v>
      </c>
      <c r="Z54" s="51">
        <f t="shared" si="8"/>
        <v>5.8330828500745175</v>
      </c>
      <c r="AA54" s="52">
        <v>1</v>
      </c>
      <c r="AB54">
        <v>0</v>
      </c>
    </row>
    <row r="55" spans="1:28">
      <c r="A55" s="49">
        <v>2020</v>
      </c>
      <c r="B55" s="59" t="s">
        <v>94</v>
      </c>
      <c r="C55" s="49" t="s">
        <v>95</v>
      </c>
      <c r="D55" s="50">
        <v>4119081000000</v>
      </c>
      <c r="E55" s="50">
        <v>65323000000</v>
      </c>
      <c r="F55" s="50">
        <v>5337281000000</v>
      </c>
      <c r="G55" s="50"/>
      <c r="H55" s="50"/>
      <c r="I55" s="50">
        <v>3975700000000</v>
      </c>
      <c r="J55" s="50">
        <v>1361581000000</v>
      </c>
      <c r="K55" s="51">
        <f>1075511715+5335431323+2749411299</f>
        <v>9160354337</v>
      </c>
      <c r="L55" s="50">
        <v>372209000000</v>
      </c>
      <c r="M55" s="50">
        <v>338465000000</v>
      </c>
      <c r="N55" s="50">
        <v>294640000000</v>
      </c>
      <c r="O55" s="50">
        <v>308158000000</v>
      </c>
      <c r="P55" s="50">
        <v>0</v>
      </c>
      <c r="Q55" s="52">
        <v>98</v>
      </c>
      <c r="R55" s="51">
        <f t="shared" si="0"/>
        <v>1.0360643408707901</v>
      </c>
      <c r="S55" s="51">
        <f t="shared" si="1"/>
        <v>2.9199144230126595</v>
      </c>
      <c r="T55" s="51">
        <f t="shared" si="2"/>
        <v>5.7736888876564675E-2</v>
      </c>
      <c r="U55" s="51">
        <f t="shared" si="3"/>
        <v>0.22632366344712507</v>
      </c>
      <c r="V55" s="51">
        <f t="shared" si="4"/>
        <v>0.82791657375291838</v>
      </c>
      <c r="W55" s="51">
        <f t="shared" si="5"/>
        <v>0</v>
      </c>
      <c r="X55" s="58">
        <f t="shared" si="6"/>
        <v>0</v>
      </c>
      <c r="Y55" s="51">
        <f t="shared" si="7"/>
        <v>2.9131637829490069</v>
      </c>
      <c r="Z55" s="51">
        <f t="shared" si="8"/>
        <v>0.65931789957850473</v>
      </c>
      <c r="AA55" s="52">
        <v>1</v>
      </c>
      <c r="AB55">
        <v>0</v>
      </c>
    </row>
    <row r="56" spans="1:28">
      <c r="A56" s="49">
        <v>2018</v>
      </c>
      <c r="B56" s="59" t="s">
        <v>96</v>
      </c>
      <c r="C56" s="49" t="s">
        <v>97</v>
      </c>
      <c r="D56" s="50">
        <v>18425155000000</v>
      </c>
      <c r="E56" s="50">
        <v>119656000000</v>
      </c>
      <c r="F56" s="50">
        <v>20486926000000</v>
      </c>
      <c r="G56" s="50"/>
      <c r="H56" s="50"/>
      <c r="I56" s="50">
        <v>15814866000000</v>
      </c>
      <c r="J56" s="50">
        <v>4672060000000</v>
      </c>
      <c r="K56" s="51">
        <v>20436685984</v>
      </c>
      <c r="L56" s="50">
        <v>1353059000000</v>
      </c>
      <c r="M56" s="50">
        <v>1050216000000</v>
      </c>
      <c r="N56" s="50">
        <v>2149585000000</v>
      </c>
      <c r="O56" s="50">
        <v>14568000000</v>
      </c>
      <c r="P56" s="50">
        <v>0</v>
      </c>
      <c r="Q56" s="52">
        <v>182</v>
      </c>
      <c r="R56" s="51">
        <f t="shared" si="0"/>
        <v>1.1650528686110904</v>
      </c>
      <c r="S56" s="51">
        <f t="shared" si="1"/>
        <v>3.3849877784103799</v>
      </c>
      <c r="T56" s="51">
        <f t="shared" si="2"/>
        <v>7.1108764682412584E-4</v>
      </c>
      <c r="U56" s="51">
        <f t="shared" si="3"/>
        <v>3.1181106407023882E-3</v>
      </c>
      <c r="V56" s="51">
        <f t="shared" si="4"/>
        <v>1.0766714533512581E-2</v>
      </c>
      <c r="W56" s="51">
        <f t="shared" si="5"/>
        <v>0</v>
      </c>
      <c r="X56" s="58">
        <f t="shared" si="6"/>
        <v>0</v>
      </c>
      <c r="Y56" s="51">
        <f t="shared" si="7"/>
        <v>255.31829002526084</v>
      </c>
      <c r="Z56" s="51">
        <f t="shared" si="8"/>
        <v>0.79611067689370418</v>
      </c>
      <c r="AA56" s="52">
        <v>1</v>
      </c>
      <c r="AB56">
        <v>0</v>
      </c>
    </row>
    <row r="57" spans="1:28">
      <c r="A57" s="49">
        <v>2019</v>
      </c>
      <c r="B57" s="59" t="s">
        <v>96</v>
      </c>
      <c r="C57" s="49" t="s">
        <v>97</v>
      </c>
      <c r="D57" s="50">
        <v>20919800000000</v>
      </c>
      <c r="E57" s="50">
        <v>138903000000</v>
      </c>
      <c r="F57" s="50">
        <v>23021785000000</v>
      </c>
      <c r="G57" s="50"/>
      <c r="H57" s="50"/>
      <c r="I57" s="50">
        <v>18332221000000</v>
      </c>
      <c r="J57" s="50">
        <v>4689564000000</v>
      </c>
      <c r="K57" s="51">
        <v>20436685984</v>
      </c>
      <c r="L57" s="50">
        <v>1401513000000</v>
      </c>
      <c r="M57" s="50">
        <v>979937000000</v>
      </c>
      <c r="N57" s="50">
        <v>594032000000</v>
      </c>
      <c r="O57" s="50">
        <v>5277000000</v>
      </c>
      <c r="P57" s="50">
        <v>0</v>
      </c>
      <c r="Q57" s="52">
        <v>180</v>
      </c>
      <c r="R57" s="51">
        <f t="shared" si="0"/>
        <v>1.141149236636412</v>
      </c>
      <c r="S57" s="51">
        <f t="shared" si="1"/>
        <v>3.9091525352889951</v>
      </c>
      <c r="T57" s="51">
        <f t="shared" si="2"/>
        <v>2.2921767360784578E-4</v>
      </c>
      <c r="U57" s="51">
        <f t="shared" si="3"/>
        <v>1.1252645235250015E-3</v>
      </c>
      <c r="V57" s="51">
        <f t="shared" si="4"/>
        <v>3.7652165909270907E-3</v>
      </c>
      <c r="W57" s="51">
        <f t="shared" si="5"/>
        <v>0</v>
      </c>
      <c r="X57" s="58">
        <f t="shared" si="6"/>
        <v>0</v>
      </c>
      <c r="Y57" s="75">
        <f t="shared" si="7"/>
        <v>697.10128427515633</v>
      </c>
      <c r="Z57" s="51">
        <f t="shared" si="8"/>
        <v>0.78442334449855045</v>
      </c>
      <c r="AA57" s="52">
        <v>1</v>
      </c>
      <c r="AB57">
        <v>0</v>
      </c>
    </row>
    <row r="58" spans="1:28">
      <c r="A58" s="49">
        <v>2020</v>
      </c>
      <c r="B58" s="59" t="s">
        <v>96</v>
      </c>
      <c r="C58" s="49" t="s">
        <v>97</v>
      </c>
      <c r="D58" s="50">
        <v>16044957000000</v>
      </c>
      <c r="E58" s="50">
        <v>365906000000</v>
      </c>
      <c r="F58" s="50">
        <v>18297700000000</v>
      </c>
      <c r="G58" s="50"/>
      <c r="H58" s="50"/>
      <c r="I58" s="50">
        <v>14185258000000</v>
      </c>
      <c r="J58" s="50">
        <v>4112442000000</v>
      </c>
      <c r="K58" s="51">
        <v>20436685984</v>
      </c>
      <c r="L58" s="50">
        <v>1233605000000</v>
      </c>
      <c r="M58" s="50">
        <v>971493000000</v>
      </c>
      <c r="N58" s="50">
        <v>663981000000</v>
      </c>
      <c r="O58" s="50">
        <v>-422168000000</v>
      </c>
      <c r="P58" s="50">
        <v>0</v>
      </c>
      <c r="Q58" s="52">
        <v>106</v>
      </c>
      <c r="R58" s="51">
        <f t="shared" si="0"/>
        <v>1.1311008231221455</v>
      </c>
      <c r="S58" s="51">
        <f t="shared" si="1"/>
        <v>3.4493515045318572</v>
      </c>
      <c r="T58" s="51">
        <f t="shared" si="2"/>
        <v>-2.3072189400853659E-2</v>
      </c>
      <c r="U58" s="51">
        <f t="shared" si="3"/>
        <v>-0.1026562806235322</v>
      </c>
      <c r="V58" s="51">
        <f t="shared" si="4"/>
        <v>-0.34222299682637475</v>
      </c>
      <c r="W58" s="51">
        <f t="shared" si="5"/>
        <v>0</v>
      </c>
      <c r="X58" s="58">
        <f t="shared" si="6"/>
        <v>0</v>
      </c>
      <c r="Y58" s="51">
        <f t="shared" si="7"/>
        <v>-5.1313427694756593</v>
      </c>
      <c r="Z58" s="51">
        <f t="shared" si="8"/>
        <v>0.52676456331882615</v>
      </c>
      <c r="AA58" s="52">
        <v>1</v>
      </c>
      <c r="AB58">
        <v>0</v>
      </c>
    </row>
    <row r="59" spans="1:28">
      <c r="A59" s="49">
        <v>2018</v>
      </c>
      <c r="B59" s="59" t="s">
        <v>98</v>
      </c>
      <c r="C59" s="49" t="s">
        <v>99</v>
      </c>
      <c r="D59" s="50">
        <v>6096941183000</v>
      </c>
      <c r="E59" s="50">
        <v>439337143000</v>
      </c>
      <c r="F59" s="50">
        <v>6694023677000</v>
      </c>
      <c r="G59" s="50"/>
      <c r="H59" s="50"/>
      <c r="I59" s="50">
        <v>5493283082000</v>
      </c>
      <c r="J59" s="50">
        <v>1200740595000</v>
      </c>
      <c r="K59" s="51">
        <v>4443461538</v>
      </c>
      <c r="L59" s="50">
        <v>511186044000</v>
      </c>
      <c r="M59" s="50">
        <v>276263254000</v>
      </c>
      <c r="N59" s="50">
        <v>196095958000</v>
      </c>
      <c r="O59" s="50">
        <v>71013866000</v>
      </c>
      <c r="P59" s="50">
        <v>35547692000</v>
      </c>
      <c r="Q59" s="52">
        <v>368</v>
      </c>
      <c r="R59" s="51">
        <f t="shared" si="0"/>
        <v>1.1098902226571983</v>
      </c>
      <c r="S59" s="51">
        <f t="shared" si="1"/>
        <v>4.5749124372696004</v>
      </c>
      <c r="T59" s="51">
        <f t="shared" si="2"/>
        <v>1.0608547179777177E-2</v>
      </c>
      <c r="U59" s="51">
        <f t="shared" si="3"/>
        <v>5.9141721613901126E-2</v>
      </c>
      <c r="V59" s="51">
        <f t="shared" si="4"/>
        <v>0.13891980587795547</v>
      </c>
      <c r="W59" s="51">
        <f t="shared" si="5"/>
        <v>2.1739130248871929E-2</v>
      </c>
      <c r="X59" s="58">
        <f t="shared" si="6"/>
        <v>0.50057395833089835</v>
      </c>
      <c r="Y59" s="51">
        <f t="shared" si="7"/>
        <v>23.026402280140616</v>
      </c>
      <c r="Z59" s="51">
        <f t="shared" si="8"/>
        <v>1.3618210734217744</v>
      </c>
      <c r="AA59" s="52">
        <v>1</v>
      </c>
      <c r="AB59">
        <v>0</v>
      </c>
    </row>
    <row r="60" spans="1:28">
      <c r="A60" s="49">
        <v>2019</v>
      </c>
      <c r="B60" s="59" t="s">
        <v>98</v>
      </c>
      <c r="C60" s="49" t="s">
        <v>99</v>
      </c>
      <c r="D60" s="50">
        <v>7004129740000</v>
      </c>
      <c r="E60" s="50">
        <v>438379326000</v>
      </c>
      <c r="F60" s="50">
        <v>7569580138000</v>
      </c>
      <c r="G60" s="50"/>
      <c r="H60" s="50"/>
      <c r="I60" s="50">
        <v>6340648554000</v>
      </c>
      <c r="J60" s="50">
        <v>1228931584000</v>
      </c>
      <c r="K60" s="51">
        <v>4443461538</v>
      </c>
      <c r="L60" s="50">
        <v>595200789000</v>
      </c>
      <c r="M60" s="50">
        <v>354239522000</v>
      </c>
      <c r="N60" s="50">
        <v>197195767000</v>
      </c>
      <c r="O60" s="50">
        <v>59746814000</v>
      </c>
      <c r="P60" s="50">
        <v>35547692000</v>
      </c>
      <c r="Q60" s="52">
        <v>358</v>
      </c>
      <c r="R60" s="51">
        <f t="shared" si="0"/>
        <v>1.1046393251967013</v>
      </c>
      <c r="S60" s="51">
        <f t="shared" si="1"/>
        <v>5.1594805085585627</v>
      </c>
      <c r="T60" s="51">
        <f t="shared" si="2"/>
        <v>7.8930155848493371E-3</v>
      </c>
      <c r="U60" s="51">
        <f t="shared" si="3"/>
        <v>4.861687564862846E-2</v>
      </c>
      <c r="V60" s="51">
        <f t="shared" si="4"/>
        <v>0.1003809388431439</v>
      </c>
      <c r="W60" s="51">
        <f t="shared" si="5"/>
        <v>2.2346368523980083E-2</v>
      </c>
      <c r="X60" s="58">
        <f t="shared" si="6"/>
        <v>0.59497217709382799</v>
      </c>
      <c r="Y60" s="51">
        <f t="shared" si="7"/>
        <v>26.625005152642952</v>
      </c>
      <c r="Z60" s="51">
        <f t="shared" si="8"/>
        <v>1.2944245646501342</v>
      </c>
      <c r="AA60" s="52">
        <v>1</v>
      </c>
      <c r="AB60">
        <v>0</v>
      </c>
    </row>
    <row r="61" spans="1:28">
      <c r="A61" s="49">
        <v>2020</v>
      </c>
      <c r="B61" s="59" t="s">
        <v>98</v>
      </c>
      <c r="C61" s="49" t="s">
        <v>99</v>
      </c>
      <c r="D61" s="50">
        <v>9332393513000</v>
      </c>
      <c r="E61" s="50">
        <v>433371108000</v>
      </c>
      <c r="F61" s="50">
        <v>10110519691000</v>
      </c>
      <c r="G61" s="50"/>
      <c r="H61" s="50"/>
      <c r="I61" s="50">
        <v>8826257598000</v>
      </c>
      <c r="J61" s="50">
        <v>1284262093000</v>
      </c>
      <c r="K61" s="51">
        <v>4443461538</v>
      </c>
      <c r="L61" s="50">
        <v>630419914000</v>
      </c>
      <c r="M61" s="50">
        <v>401285815000</v>
      </c>
      <c r="N61" s="50">
        <v>209895189000</v>
      </c>
      <c r="O61" s="50">
        <v>66986471000</v>
      </c>
      <c r="P61" s="50">
        <v>0</v>
      </c>
      <c r="Q61" s="52">
        <v>430</v>
      </c>
      <c r="R61" s="51">
        <f t="shared" si="0"/>
        <v>1.0573443398156301</v>
      </c>
      <c r="S61" s="51">
        <f t="shared" si="1"/>
        <v>6.8726295404251259</v>
      </c>
      <c r="T61" s="51">
        <f t="shared" si="2"/>
        <v>6.6254231283114761E-3</v>
      </c>
      <c r="U61" s="51">
        <f t="shared" si="3"/>
        <v>5.2159501837760774E-2</v>
      </c>
      <c r="V61" s="51">
        <f t="shared" si="4"/>
        <v>0.10625690831206833</v>
      </c>
      <c r="W61" s="51">
        <f t="shared" si="5"/>
        <v>0</v>
      </c>
      <c r="X61" s="58">
        <f t="shared" si="6"/>
        <v>0</v>
      </c>
      <c r="Y61" s="51">
        <f t="shared" si="7"/>
        <v>28.523497846901058</v>
      </c>
      <c r="Z61" s="51">
        <f t="shared" si="8"/>
        <v>1.4877714383648011</v>
      </c>
      <c r="AA61" s="52">
        <v>1</v>
      </c>
      <c r="AB61">
        <v>0</v>
      </c>
    </row>
    <row r="62" spans="1:28">
      <c r="A62" s="49">
        <v>2018</v>
      </c>
      <c r="B62" s="59" t="s">
        <v>100</v>
      </c>
      <c r="C62" s="49" t="s">
        <v>101</v>
      </c>
      <c r="D62" s="50">
        <v>1132873678000000</v>
      </c>
      <c r="E62" s="50">
        <v>38442696000000</v>
      </c>
      <c r="F62" s="50">
        <v>1202252094000000</v>
      </c>
      <c r="G62" s="50"/>
      <c r="H62" s="50"/>
      <c r="I62" s="50">
        <v>941953100000000</v>
      </c>
      <c r="J62" s="50">
        <v>184960305000000</v>
      </c>
      <c r="K62" s="51">
        <v>46666666666</v>
      </c>
      <c r="L62" s="50">
        <v>91335057000000</v>
      </c>
      <c r="M62" s="50">
        <v>34005292000000</v>
      </c>
      <c r="N62" s="50">
        <v>37566139000000</v>
      </c>
      <c r="O62" s="50">
        <v>25851937000000</v>
      </c>
      <c r="P62" s="50">
        <v>9287857000000</v>
      </c>
      <c r="Q62" s="52">
        <v>7375</v>
      </c>
      <c r="R62" s="51">
        <f t="shared" si="0"/>
        <v>1.2026858640838913</v>
      </c>
      <c r="S62" s="51">
        <f t="shared" si="1"/>
        <v>5.0927311133056357</v>
      </c>
      <c r="T62" s="51">
        <f t="shared" si="2"/>
        <v>2.1502925325742873E-2</v>
      </c>
      <c r="U62" s="51">
        <f t="shared" si="3"/>
        <v>0.13977019014971889</v>
      </c>
      <c r="V62" s="51">
        <f t="shared" si="4"/>
        <v>0.28304506340867558</v>
      </c>
      <c r="W62" s="51">
        <f t="shared" si="5"/>
        <v>2.6986509443484796E-2</v>
      </c>
      <c r="X62" s="58">
        <f t="shared" si="6"/>
        <v>0.35927122211384005</v>
      </c>
      <c r="Y62" s="51">
        <f t="shared" si="7"/>
        <v>13.31299340013671</v>
      </c>
      <c r="Z62" s="51">
        <f t="shared" si="8"/>
        <v>1.8607596189990605</v>
      </c>
      <c r="AA62" s="52">
        <v>1</v>
      </c>
      <c r="AB62">
        <v>0</v>
      </c>
    </row>
    <row r="63" spans="1:28">
      <c r="A63" s="49">
        <v>2019</v>
      </c>
      <c r="B63" s="59" t="s">
        <v>100</v>
      </c>
      <c r="C63" s="49" t="s">
        <v>101</v>
      </c>
      <c r="D63" s="50">
        <v>1244815928000000</v>
      </c>
      <c r="E63" s="50">
        <v>44612199000000</v>
      </c>
      <c r="F63" s="50">
        <v>1318246335000000</v>
      </c>
      <c r="G63" s="50"/>
      <c r="H63" s="50"/>
      <c r="I63" s="50">
        <v>1025749580000000</v>
      </c>
      <c r="J63" s="50">
        <v>209034525000000</v>
      </c>
      <c r="K63" s="51">
        <v>46666666666</v>
      </c>
      <c r="L63" s="50">
        <v>102638740000000</v>
      </c>
      <c r="M63" s="50">
        <v>41391049000000</v>
      </c>
      <c r="N63" s="50">
        <v>40086241000000</v>
      </c>
      <c r="O63" s="50">
        <v>28455592000000</v>
      </c>
      <c r="P63" s="50">
        <v>11256759000000</v>
      </c>
      <c r="Q63" s="52">
        <v>7675</v>
      </c>
      <c r="R63" s="51">
        <f t="shared" si="0"/>
        <v>1.2135670852529132</v>
      </c>
      <c r="S63" s="51">
        <f t="shared" si="1"/>
        <v>4.9070821195685257</v>
      </c>
      <c r="T63" s="51">
        <f t="shared" si="2"/>
        <v>2.1585944329592998E-2</v>
      </c>
      <c r="U63" s="51">
        <f t="shared" si="3"/>
        <v>0.13612867061075198</v>
      </c>
      <c r="V63" s="51">
        <f t="shared" si="4"/>
        <v>0.27724027009684649</v>
      </c>
      <c r="W63" s="51">
        <f t="shared" si="5"/>
        <v>3.1428829223343349E-2</v>
      </c>
      <c r="X63" s="58">
        <f t="shared" si="6"/>
        <v>0.39559039924384637</v>
      </c>
      <c r="Y63" s="51">
        <f t="shared" si="7"/>
        <v>12.586864004148991</v>
      </c>
      <c r="Z63" s="51">
        <f t="shared" si="8"/>
        <v>1.7134330640431288</v>
      </c>
      <c r="AA63" s="52">
        <v>1</v>
      </c>
      <c r="AB63">
        <v>0</v>
      </c>
    </row>
    <row r="64" spans="1:28">
      <c r="A64" s="49">
        <v>2020</v>
      </c>
      <c r="B64" s="59" t="s">
        <v>100</v>
      </c>
      <c r="C64" s="49" t="s">
        <v>101</v>
      </c>
      <c r="D64" s="50">
        <v>1343718521000000</v>
      </c>
      <c r="E64" s="50">
        <v>46728153000000</v>
      </c>
      <c r="F64" s="50">
        <v>1429334484000000</v>
      </c>
      <c r="G64" s="50"/>
      <c r="H64" s="50"/>
      <c r="I64" s="50">
        <v>1151267847000000</v>
      </c>
      <c r="J64" s="50">
        <v>193796083000000</v>
      </c>
      <c r="K64" s="51">
        <v>46666666666</v>
      </c>
      <c r="L64" s="50">
        <v>100211477000000</v>
      </c>
      <c r="M64" s="50">
        <v>42189633000000</v>
      </c>
      <c r="N64" s="50">
        <v>40646791000000</v>
      </c>
      <c r="O64" s="50">
        <v>17645624000000</v>
      </c>
      <c r="P64" s="50">
        <v>16489280000000</v>
      </c>
      <c r="Q64" s="52">
        <v>6325</v>
      </c>
      <c r="R64" s="51">
        <f t="shared" si="0"/>
        <v>1.1671641178041168</v>
      </c>
      <c r="S64" s="51">
        <f t="shared" si="1"/>
        <v>5.9406146356425582</v>
      </c>
      <c r="T64" s="51">
        <f t="shared" si="2"/>
        <v>1.2345342673478799E-2</v>
      </c>
      <c r="U64" s="51">
        <f t="shared" si="3"/>
        <v>9.1052531748022997E-2</v>
      </c>
      <c r="V64" s="51">
        <f t="shared" si="4"/>
        <v>0.17608386312877117</v>
      </c>
      <c r="W64" s="51">
        <f t="shared" si="5"/>
        <v>5.586430265466593E-2</v>
      </c>
      <c r="X64" s="58">
        <f t="shared" si="6"/>
        <v>0.93446851185313706</v>
      </c>
      <c r="Y64" s="51">
        <f t="shared" si="7"/>
        <v>16.72747116579442</v>
      </c>
      <c r="Z64" s="51">
        <f t="shared" si="8"/>
        <v>1.5230785993876357</v>
      </c>
      <c r="AA64" s="52">
        <v>1</v>
      </c>
      <c r="AB64">
        <v>0</v>
      </c>
    </row>
    <row r="65" spans="1:28">
      <c r="A65" s="49">
        <v>2018</v>
      </c>
      <c r="B65" s="59" t="s">
        <v>102</v>
      </c>
      <c r="C65" s="49" t="s">
        <v>103</v>
      </c>
      <c r="D65" s="50">
        <v>6441678685504</v>
      </c>
      <c r="E65" s="50">
        <v>788081883230</v>
      </c>
      <c r="F65" s="50">
        <v>7297273467260</v>
      </c>
      <c r="G65" s="50"/>
      <c r="H65" s="50"/>
      <c r="I65" s="50">
        <v>5802518829966</v>
      </c>
      <c r="J65" s="50">
        <v>1494754637294</v>
      </c>
      <c r="K65" s="51">
        <v>2310000000</v>
      </c>
      <c r="L65" s="50">
        <v>645259846041</v>
      </c>
      <c r="M65" s="50">
        <v>311140279900</v>
      </c>
      <c r="N65" s="50">
        <v>244105811984</v>
      </c>
      <c r="O65" s="50">
        <v>92897864488</v>
      </c>
      <c r="P65" s="50">
        <v>23100000000</v>
      </c>
      <c r="Q65" s="52">
        <v>278</v>
      </c>
      <c r="R65" s="51">
        <f t="shared" si="0"/>
        <v>1.1101521381089159</v>
      </c>
      <c r="S65" s="51">
        <f t="shared" si="1"/>
        <v>3.8819206076995201</v>
      </c>
      <c r="T65" s="51">
        <f t="shared" si="2"/>
        <v>1.2730489669161535E-2</v>
      </c>
      <c r="U65" s="51">
        <f t="shared" si="3"/>
        <v>6.214923986198554E-2</v>
      </c>
      <c r="V65" s="51">
        <f t="shared" si="4"/>
        <v>0.14396969694918416</v>
      </c>
      <c r="W65" s="51">
        <f t="shared" si="5"/>
        <v>3.5971223021582732E-2</v>
      </c>
      <c r="X65" s="58">
        <f t="shared" si="6"/>
        <v>0.24866018317335942</v>
      </c>
      <c r="Y65" s="51">
        <f t="shared" si="7"/>
        <v>6.9127530922193907</v>
      </c>
      <c r="Z65" s="51">
        <f t="shared" si="8"/>
        <v>0.42962235003502519</v>
      </c>
      <c r="AA65" s="52">
        <v>1</v>
      </c>
      <c r="AB65">
        <v>0</v>
      </c>
    </row>
    <row r="66" spans="1:28">
      <c r="A66" s="49">
        <v>2019</v>
      </c>
      <c r="B66" s="59" t="s">
        <v>102</v>
      </c>
      <c r="C66" s="49" t="s">
        <v>103</v>
      </c>
      <c r="D66" s="50">
        <v>6738663303391</v>
      </c>
      <c r="E66" s="50">
        <v>790755582369</v>
      </c>
      <c r="F66" s="50">
        <v>7607653715376</v>
      </c>
      <c r="G66" s="50"/>
      <c r="H66" s="50"/>
      <c r="I66" s="50">
        <v>6083998151873</v>
      </c>
      <c r="J66" s="50">
        <v>1523655563503</v>
      </c>
      <c r="K66" s="51">
        <v>2310000000</v>
      </c>
      <c r="L66" s="50">
        <v>653036862635</v>
      </c>
      <c r="M66" s="50">
        <v>345037801425</v>
      </c>
      <c r="N66" s="50">
        <v>253248805324</v>
      </c>
      <c r="O66" s="50">
        <v>51167901115</v>
      </c>
      <c r="P66" s="50">
        <v>25410000000</v>
      </c>
      <c r="Q66" s="52">
        <v>322</v>
      </c>
      <c r="R66" s="51">
        <f t="shared" si="0"/>
        <v>1.1076044297147685</v>
      </c>
      <c r="S66" s="51">
        <f t="shared" si="1"/>
        <v>3.993027228467191</v>
      </c>
      <c r="T66" s="51">
        <f t="shared" si="2"/>
        <v>6.7258451855640332E-3</v>
      </c>
      <c r="U66" s="51">
        <f t="shared" si="3"/>
        <v>3.3582328145976184E-2</v>
      </c>
      <c r="V66" s="51">
        <f t="shared" si="4"/>
        <v>7.8353771498499813E-2</v>
      </c>
      <c r="W66" s="51">
        <f t="shared" si="5"/>
        <v>3.4161490683229816E-2</v>
      </c>
      <c r="X66" s="58">
        <f t="shared" si="6"/>
        <v>0.49660039685604757</v>
      </c>
      <c r="Y66" s="51">
        <f t="shared" si="7"/>
        <v>14.536847980695212</v>
      </c>
      <c r="Z66" s="51">
        <f t="shared" si="8"/>
        <v>0.48818119909587787</v>
      </c>
      <c r="AA66" s="52">
        <v>1</v>
      </c>
      <c r="AB66">
        <v>0</v>
      </c>
    </row>
    <row r="67" spans="1:28">
      <c r="A67" s="49">
        <v>2020</v>
      </c>
      <c r="B67" s="59" t="s">
        <v>102</v>
      </c>
      <c r="C67" s="49" t="s">
        <v>103</v>
      </c>
      <c r="D67" s="50">
        <v>6748884951929</v>
      </c>
      <c r="E67" s="50">
        <v>815641804959</v>
      </c>
      <c r="F67" s="50">
        <v>7637524325854</v>
      </c>
      <c r="G67" s="50"/>
      <c r="H67" s="50"/>
      <c r="I67" s="50">
        <v>6128138202911</v>
      </c>
      <c r="J67" s="50">
        <v>1509386122943</v>
      </c>
      <c r="K67" s="51">
        <v>2310000000</v>
      </c>
      <c r="L67" s="50">
        <v>633832905528</v>
      </c>
      <c r="M67" s="50">
        <v>346829023353</v>
      </c>
      <c r="N67" s="50">
        <v>247615102198</v>
      </c>
      <c r="O67" s="50">
        <v>35053333152</v>
      </c>
      <c r="P67" s="50">
        <v>13282500000</v>
      </c>
      <c r="Q67" s="52">
        <v>378</v>
      </c>
      <c r="R67" s="51">
        <f t="shared" si="0"/>
        <v>1.1012945087829664</v>
      </c>
      <c r="S67" s="51">
        <f t="shared" si="1"/>
        <v>4.0600202358839503</v>
      </c>
      <c r="T67" s="51">
        <f t="shared" si="2"/>
        <v>4.5896198370642136E-3</v>
      </c>
      <c r="U67" s="51">
        <f t="shared" si="3"/>
        <v>2.3223569250559316E-2</v>
      </c>
      <c r="V67" s="51">
        <f t="shared" si="4"/>
        <v>5.5303744640394809E-2</v>
      </c>
      <c r="W67" s="51">
        <f t="shared" si="5"/>
        <v>1.5211640211640211E-2</v>
      </c>
      <c r="X67" s="58">
        <f t="shared" si="6"/>
        <v>0.37892259610245238</v>
      </c>
      <c r="Y67" s="51">
        <f t="shared" si="7"/>
        <v>24.910041969865567</v>
      </c>
      <c r="Z67" s="51">
        <f t="shared" si="8"/>
        <v>0.57850008472151204</v>
      </c>
      <c r="AA67" s="52">
        <v>1</v>
      </c>
      <c r="AB67">
        <v>0</v>
      </c>
    </row>
    <row r="68" spans="1:28">
      <c r="A68" s="49">
        <v>2018</v>
      </c>
      <c r="B68" s="59" t="s">
        <v>105</v>
      </c>
      <c r="C68" s="49" t="s">
        <v>106</v>
      </c>
      <c r="D68" s="50">
        <v>239800296000000</v>
      </c>
      <c r="E68" s="50">
        <v>5453282000000</v>
      </c>
      <c r="F68" s="50">
        <v>266781498000000</v>
      </c>
      <c r="G68" s="50"/>
      <c r="H68" s="50"/>
      <c r="I68" s="50">
        <v>227200919000000</v>
      </c>
      <c r="J68" s="50">
        <v>39580579000000</v>
      </c>
      <c r="K68" s="51">
        <f t="shared" ref="K68:K70" si="13">71853936+25059752907</f>
        <v>25131606843</v>
      </c>
      <c r="L68" s="50">
        <v>20293247000000</v>
      </c>
      <c r="M68" s="50">
        <v>8281516000000</v>
      </c>
      <c r="N68" s="50">
        <v>8004128000000</v>
      </c>
      <c r="O68" s="50">
        <v>3482428000000</v>
      </c>
      <c r="P68" s="50">
        <v>595420000000</v>
      </c>
      <c r="Q68" s="52">
        <v>915</v>
      </c>
      <c r="R68" s="51">
        <f t="shared" si="0"/>
        <v>1.0554547800926808</v>
      </c>
      <c r="S68" s="51">
        <f t="shared" si="1"/>
        <v>5.7402121126120971</v>
      </c>
      <c r="T68" s="51">
        <f t="shared" si="2"/>
        <v>1.3053483941378874E-2</v>
      </c>
      <c r="U68" s="51">
        <f t="shared" si="3"/>
        <v>8.7983250573469382E-2</v>
      </c>
      <c r="V68" s="51">
        <f t="shared" si="4"/>
        <v>0.17160526356378553</v>
      </c>
      <c r="W68" s="51">
        <f t="shared" si="5"/>
        <v>2.5892981873477355E-2</v>
      </c>
      <c r="X68" s="58">
        <f t="shared" si="6"/>
        <v>0.17097840931671809</v>
      </c>
      <c r="Y68" s="51">
        <f t="shared" si="7"/>
        <v>6.6032722747878774</v>
      </c>
      <c r="Z68" s="51">
        <f t="shared" si="8"/>
        <v>0.58097735915750492</v>
      </c>
      <c r="AA68" s="52">
        <v>1</v>
      </c>
      <c r="AB68">
        <v>0</v>
      </c>
    </row>
    <row r="69" spans="1:28">
      <c r="A69" s="49">
        <v>2019</v>
      </c>
      <c r="B69" s="59" t="s">
        <v>105</v>
      </c>
      <c r="C69" s="49" t="s">
        <v>106</v>
      </c>
      <c r="D69" s="50">
        <v>270925989000000</v>
      </c>
      <c r="E69" s="50">
        <v>6248281000000</v>
      </c>
      <c r="F69" s="50">
        <v>274467227000000</v>
      </c>
      <c r="G69" s="50"/>
      <c r="H69" s="50"/>
      <c r="I69" s="50">
        <v>231173061000000</v>
      </c>
      <c r="J69" s="50">
        <v>43294166000000</v>
      </c>
      <c r="K69" s="51">
        <f t="shared" si="13"/>
        <v>25131606843</v>
      </c>
      <c r="L69" s="50">
        <v>21689486000000</v>
      </c>
      <c r="M69" s="50">
        <v>9121468000000</v>
      </c>
      <c r="N69" s="50">
        <v>8634364000000</v>
      </c>
      <c r="O69" s="50">
        <v>3642935000000</v>
      </c>
      <c r="P69" s="50">
        <v>696485000000</v>
      </c>
      <c r="Q69" s="52">
        <v>965</v>
      </c>
      <c r="R69" s="51">
        <f t="shared" si="0"/>
        <v>1.1719617667735083</v>
      </c>
      <c r="S69" s="51">
        <f t="shared" si="1"/>
        <v>5.3395891954588057</v>
      </c>
      <c r="T69" s="51">
        <f t="shared" si="2"/>
        <v>1.3272750411108281E-2</v>
      </c>
      <c r="U69" s="51">
        <f t="shared" si="3"/>
        <v>8.4143785100283489E-2</v>
      </c>
      <c r="V69" s="51">
        <f t="shared" si="4"/>
        <v>0.16795856757509145</v>
      </c>
      <c r="W69" s="51">
        <f t="shared" si="5"/>
        <v>2.871866166371562E-2</v>
      </c>
      <c r="X69" s="58">
        <f t="shared" si="6"/>
        <v>0.19118787461209164</v>
      </c>
      <c r="Y69" s="51">
        <f t="shared" si="7"/>
        <v>6.6572696475492972</v>
      </c>
      <c r="Z69" s="51">
        <f t="shared" si="8"/>
        <v>0.56016786657802808</v>
      </c>
      <c r="AA69" s="52">
        <v>1</v>
      </c>
      <c r="AB69">
        <v>0</v>
      </c>
    </row>
    <row r="70" spans="1:28">
      <c r="A70" s="49">
        <v>2020</v>
      </c>
      <c r="B70" s="59" t="s">
        <v>105</v>
      </c>
      <c r="C70" s="49" t="s">
        <v>106</v>
      </c>
      <c r="D70" s="50">
        <v>261686905000000</v>
      </c>
      <c r="E70" s="50">
        <v>6989721000000</v>
      </c>
      <c r="F70" s="50">
        <v>280943605000000</v>
      </c>
      <c r="G70" s="50"/>
      <c r="H70" s="50"/>
      <c r="I70" s="50">
        <v>239890554000000</v>
      </c>
      <c r="J70" s="50">
        <v>41053051000000</v>
      </c>
      <c r="K70" s="51">
        <f t="shared" si="13"/>
        <v>25131606843</v>
      </c>
      <c r="L70" s="50">
        <v>20703099000000</v>
      </c>
      <c r="M70" s="50">
        <v>8232581000000</v>
      </c>
      <c r="N70" s="50">
        <v>8100784000000</v>
      </c>
      <c r="O70" s="50">
        <v>2011254000000</v>
      </c>
      <c r="P70" s="50">
        <v>1392161000000</v>
      </c>
      <c r="Q70" s="52">
        <v>995</v>
      </c>
      <c r="R70" s="51">
        <f t="shared" si="0"/>
        <v>1.0908595633990656</v>
      </c>
      <c r="S70" s="51">
        <f t="shared" si="1"/>
        <v>5.8434281534885191</v>
      </c>
      <c r="T70" s="51">
        <f t="shared" si="2"/>
        <v>7.1589242972802314E-3</v>
      </c>
      <c r="U70" s="51">
        <f t="shared" si="3"/>
        <v>4.899158408470055E-2</v>
      </c>
      <c r="V70" s="51">
        <f t="shared" si="4"/>
        <v>9.7147485021445337E-2</v>
      </c>
      <c r="W70" s="51">
        <f t="shared" si="5"/>
        <v>5.567319243295063E-2</v>
      </c>
      <c r="X70" s="58">
        <f t="shared" si="6"/>
        <v>0.69218557178755147</v>
      </c>
      <c r="Y70" s="51">
        <f t="shared" si="7"/>
        <v>12.433013835539917</v>
      </c>
      <c r="Z70" s="51">
        <f t="shared" si="8"/>
        <v>0.60911304275009914</v>
      </c>
      <c r="AA70" s="52">
        <v>1</v>
      </c>
      <c r="AB70">
        <v>0</v>
      </c>
    </row>
    <row r="71" spans="1:28">
      <c r="A71" s="49">
        <v>2018</v>
      </c>
      <c r="B71" s="59" t="s">
        <v>107</v>
      </c>
      <c r="C71" s="49" t="s">
        <v>108</v>
      </c>
      <c r="D71" s="50">
        <v>169633988000000</v>
      </c>
      <c r="E71" s="50">
        <v>2926594000000</v>
      </c>
      <c r="F71" s="50">
        <v>177532858000000</v>
      </c>
      <c r="G71" s="50"/>
      <c r="H71" s="50"/>
      <c r="I71" s="50">
        <v>152442167000000</v>
      </c>
      <c r="J71" s="50">
        <v>25090691000000</v>
      </c>
      <c r="K71" s="51">
        <f t="shared" ref="K71:K73" si="14">388146231+8891200000+66935849590</f>
        <v>76215195821</v>
      </c>
      <c r="L71" s="50">
        <v>14790035000000</v>
      </c>
      <c r="M71" s="50">
        <v>6690157000000</v>
      </c>
      <c r="N71" s="50">
        <v>7333658000000</v>
      </c>
      <c r="O71" s="50">
        <v>2262245000000</v>
      </c>
      <c r="P71" s="50">
        <v>377734000000</v>
      </c>
      <c r="Q71" s="52">
        <v>206</v>
      </c>
      <c r="R71" s="51">
        <f t="shared" si="0"/>
        <v>1.1127760208236872</v>
      </c>
      <c r="S71" s="51">
        <f t="shared" si="1"/>
        <v>6.0756464220136461</v>
      </c>
      <c r="T71" s="51">
        <f t="shared" si="2"/>
        <v>1.2742683385404633E-2</v>
      </c>
      <c r="U71" s="51">
        <f t="shared" si="3"/>
        <v>9.0162722102791026E-2</v>
      </c>
      <c r="V71" s="51">
        <f t="shared" si="4"/>
        <v>0.15295737974927037</v>
      </c>
      <c r="W71" s="51">
        <f t="shared" si="5"/>
        <v>2.4058984227782021E-2</v>
      </c>
      <c r="X71" s="58">
        <f t="shared" si="6"/>
        <v>0.16697307320825108</v>
      </c>
      <c r="Y71" s="51">
        <f t="shared" si="7"/>
        <v>6.9401547308651361</v>
      </c>
      <c r="Z71" s="51">
        <f t="shared" si="8"/>
        <v>0.62574324234936374</v>
      </c>
      <c r="AA71" s="52">
        <v>1</v>
      </c>
      <c r="AB71">
        <v>0</v>
      </c>
    </row>
    <row r="72" spans="1:28">
      <c r="A72" s="49">
        <v>2019</v>
      </c>
      <c r="B72" s="59" t="s">
        <v>107</v>
      </c>
      <c r="C72" s="49" t="s">
        <v>108</v>
      </c>
      <c r="D72" s="50">
        <v>161319040000000</v>
      </c>
      <c r="E72" s="50">
        <v>2927444000000</v>
      </c>
      <c r="F72" s="50">
        <v>169082830000000</v>
      </c>
      <c r="G72" s="50"/>
      <c r="H72" s="50"/>
      <c r="I72" s="50">
        <v>142397914000000</v>
      </c>
      <c r="J72" s="50">
        <v>26684916000000</v>
      </c>
      <c r="K72" s="51">
        <f t="shared" si="14"/>
        <v>76215195821</v>
      </c>
      <c r="L72" s="50">
        <v>15479869000000</v>
      </c>
      <c r="M72" s="50">
        <v>7311894000000</v>
      </c>
      <c r="N72" s="50">
        <v>8178275000000</v>
      </c>
      <c r="O72" s="50">
        <v>1924180000000</v>
      </c>
      <c r="P72" s="50">
        <v>524096000000</v>
      </c>
      <c r="Q72" s="52">
        <v>206</v>
      </c>
      <c r="R72" s="51">
        <f t="shared" si="0"/>
        <v>1.1328750223124757</v>
      </c>
      <c r="S72" s="51">
        <f t="shared" si="1"/>
        <v>5.3362698986948285</v>
      </c>
      <c r="T72" s="51">
        <f t="shared" si="2"/>
        <v>1.1380102876205703E-2</v>
      </c>
      <c r="U72" s="51">
        <f t="shared" si="3"/>
        <v>7.2107403298552641E-2</v>
      </c>
      <c r="V72" s="51">
        <f t="shared" si="4"/>
        <v>0.12430208550214475</v>
      </c>
      <c r="W72" s="51">
        <f t="shared" si="5"/>
        <v>3.3381208463743393E-2</v>
      </c>
      <c r="X72" s="58">
        <f t="shared" si="6"/>
        <v>0.27237368645345028</v>
      </c>
      <c r="Y72" s="51">
        <f t="shared" si="7"/>
        <v>8.159491492025694</v>
      </c>
      <c r="Z72" s="51">
        <f t="shared" si="8"/>
        <v>0.58835974372660571</v>
      </c>
      <c r="AA72" s="52">
        <v>1</v>
      </c>
      <c r="AB72">
        <v>0</v>
      </c>
    </row>
    <row r="73" spans="1:28">
      <c r="A73" s="49">
        <v>2020</v>
      </c>
      <c r="B73" s="59" t="s">
        <v>107</v>
      </c>
      <c r="C73" s="49" t="s">
        <v>108</v>
      </c>
      <c r="D73" s="50">
        <v>165206394000000</v>
      </c>
      <c r="E73" s="50">
        <v>3479263000000</v>
      </c>
      <c r="F73" s="50">
        <v>173224412000000</v>
      </c>
      <c r="G73" s="50"/>
      <c r="H73" s="50"/>
      <c r="I73" s="50">
        <v>146000782000000</v>
      </c>
      <c r="J73" s="50">
        <v>27223630000000</v>
      </c>
      <c r="K73" s="51">
        <f t="shared" si="14"/>
        <v>76215195821</v>
      </c>
      <c r="L73" s="50">
        <v>12826683000000</v>
      </c>
      <c r="M73" s="50">
        <v>5566873000000</v>
      </c>
      <c r="N73" s="50">
        <v>7793430000000</v>
      </c>
      <c r="O73" s="50">
        <v>1254392000000</v>
      </c>
      <c r="P73" s="50">
        <v>392907000000</v>
      </c>
      <c r="Q73" s="52">
        <v>346</v>
      </c>
      <c r="R73" s="51">
        <f t="shared" si="0"/>
        <v>1.131544583096822</v>
      </c>
      <c r="S73" s="51">
        <f t="shared" si="1"/>
        <v>5.3630166880757635</v>
      </c>
      <c r="T73" s="51">
        <f t="shared" si="2"/>
        <v>7.2414273803394404E-3</v>
      </c>
      <c r="U73" s="51">
        <f t="shared" si="3"/>
        <v>4.6077323266588623E-2</v>
      </c>
      <c r="V73" s="51">
        <f t="shared" si="4"/>
        <v>9.7795509563930128E-2</v>
      </c>
      <c r="W73" s="51">
        <f t="shared" si="5"/>
        <v>1.4899513829615588E-2</v>
      </c>
      <c r="X73" s="58">
        <f t="shared" si="6"/>
        <v>0.31322505245569165</v>
      </c>
      <c r="Y73" s="51">
        <f t="shared" si="7"/>
        <v>21.022501541835407</v>
      </c>
      <c r="Z73" s="51">
        <f t="shared" si="8"/>
        <v>0.96866059941550775</v>
      </c>
      <c r="AA73" s="52">
        <v>1</v>
      </c>
      <c r="AB73">
        <v>0</v>
      </c>
    </row>
    <row r="74" spans="1:28">
      <c r="A74" s="49">
        <v>2018</v>
      </c>
      <c r="B74" s="59" t="s">
        <v>109</v>
      </c>
      <c r="C74" s="49" t="s">
        <v>110</v>
      </c>
      <c r="D74" s="50">
        <v>141176845000000</v>
      </c>
      <c r="E74" s="50">
        <v>2552305000000</v>
      </c>
      <c r="F74" s="50">
        <v>152892866000000</v>
      </c>
      <c r="G74" s="50"/>
      <c r="H74" s="50"/>
      <c r="I74" s="50">
        <v>130440930000000</v>
      </c>
      <c r="J74" s="50">
        <v>22451936000000</v>
      </c>
      <c r="K74" s="51">
        <f t="shared" ref="K74:K76" si="15">26880234+28015858971</f>
        <v>28042739205</v>
      </c>
      <c r="L74" s="50">
        <v>11080952000000</v>
      </c>
      <c r="M74" s="50">
        <v>5680767000000</v>
      </c>
      <c r="N74" s="50">
        <v>4465833000000</v>
      </c>
      <c r="O74" s="50">
        <v>901252000000</v>
      </c>
      <c r="P74" s="50"/>
      <c r="Q74" s="52">
        <v>625</v>
      </c>
      <c r="R74" s="51">
        <f t="shared" si="0"/>
        <v>1.0823048026413182</v>
      </c>
      <c r="S74" s="51">
        <f t="shared" si="1"/>
        <v>5.8097854011342269</v>
      </c>
      <c r="T74" s="51">
        <f t="shared" si="2"/>
        <v>5.8946635221031173E-3</v>
      </c>
      <c r="U74" s="51">
        <f t="shared" si="3"/>
        <v>4.0141393597416274E-2</v>
      </c>
      <c r="V74" s="51">
        <f t="shared" si="4"/>
        <v>8.1333444996422685E-2</v>
      </c>
      <c r="W74" s="51">
        <f t="shared" si="5"/>
        <v>0</v>
      </c>
      <c r="X74" s="58">
        <f t="shared" si="6"/>
        <v>0</v>
      </c>
      <c r="Y74" s="51">
        <f t="shared" si="7"/>
        <v>19.447071410798532</v>
      </c>
      <c r="Z74" s="51">
        <f t="shared" si="8"/>
        <v>0.78063254781792535</v>
      </c>
      <c r="AA74" s="52">
        <v>1</v>
      </c>
      <c r="AB74">
        <v>0</v>
      </c>
    </row>
    <row r="75" spans="1:28">
      <c r="A75" s="49">
        <v>2019</v>
      </c>
      <c r="B75" s="59" t="s">
        <v>109</v>
      </c>
      <c r="C75" s="49" t="s">
        <v>110</v>
      </c>
      <c r="D75" s="50">
        <v>150355796000000</v>
      </c>
      <c r="E75" s="50">
        <v>2451459000000</v>
      </c>
      <c r="F75" s="50">
        <v>161451259000000</v>
      </c>
      <c r="G75" s="50"/>
      <c r="H75" s="50"/>
      <c r="I75" s="50">
        <v>137413908000000</v>
      </c>
      <c r="J75" s="50">
        <v>24037351000000</v>
      </c>
      <c r="K75" s="51">
        <f t="shared" si="15"/>
        <v>28042739205</v>
      </c>
      <c r="L75" s="50">
        <v>11742063000000</v>
      </c>
      <c r="M75" s="50">
        <v>6021095000000</v>
      </c>
      <c r="N75" s="50">
        <v>4737632000000</v>
      </c>
      <c r="O75" s="50">
        <v>1500420000000</v>
      </c>
      <c r="P75" s="50"/>
      <c r="Q75" s="52">
        <v>1265</v>
      </c>
      <c r="R75" s="51">
        <f t="shared" si="0"/>
        <v>1.0941817912638072</v>
      </c>
      <c r="S75" s="51">
        <f t="shared" si="1"/>
        <v>5.7166826743928647</v>
      </c>
      <c r="T75" s="51">
        <f t="shared" si="2"/>
        <v>9.2933310603666459E-3</v>
      </c>
      <c r="U75" s="51">
        <f t="shared" si="3"/>
        <v>6.2420355720561718E-2</v>
      </c>
      <c r="V75" s="51">
        <f t="shared" si="4"/>
        <v>0.1277816342835156</v>
      </c>
      <c r="W75" s="51">
        <f t="shared" si="5"/>
        <v>0</v>
      </c>
      <c r="X75" s="58">
        <f t="shared" si="6"/>
        <v>0</v>
      </c>
      <c r="Y75" s="51">
        <f t="shared" si="7"/>
        <v>23.642756757657857</v>
      </c>
      <c r="Z75" s="51">
        <f t="shared" si="8"/>
        <v>1.4757892870277178</v>
      </c>
      <c r="AA75" s="52">
        <v>1</v>
      </c>
      <c r="AB75">
        <v>0</v>
      </c>
    </row>
    <row r="76" spans="1:28">
      <c r="A76" s="49">
        <v>2020</v>
      </c>
      <c r="B76" s="59" t="s">
        <v>109</v>
      </c>
      <c r="C76" s="49" t="s">
        <v>110</v>
      </c>
      <c r="D76" s="50">
        <v>186388089000000</v>
      </c>
      <c r="E76" s="50">
        <v>3073596000000</v>
      </c>
      <c r="F76" s="50">
        <v>197726097000000</v>
      </c>
      <c r="G76" s="50"/>
      <c r="H76" s="50"/>
      <c r="I76" s="50">
        <v>162654644000000</v>
      </c>
      <c r="J76" s="50">
        <v>35071453000000</v>
      </c>
      <c r="K76" s="51">
        <f t="shared" si="15"/>
        <v>28042739205</v>
      </c>
      <c r="L76" s="50">
        <v>11923778000000</v>
      </c>
      <c r="M76" s="50">
        <v>5291988000000</v>
      </c>
      <c r="N76" s="50">
        <v>5076563000000</v>
      </c>
      <c r="O76" s="50">
        <v>721587000000</v>
      </c>
      <c r="P76" s="50"/>
      <c r="Q76" s="52">
        <v>3020</v>
      </c>
      <c r="R76" s="51">
        <f t="shared" si="0"/>
        <v>1.1459131102337292</v>
      </c>
      <c r="S76" s="51">
        <f t="shared" si="1"/>
        <v>4.6378073928103296</v>
      </c>
      <c r="T76" s="51">
        <f t="shared" si="2"/>
        <v>3.6494272174906685E-3</v>
      </c>
      <c r="U76" s="51">
        <f t="shared" si="3"/>
        <v>2.0574767746292119E-2</v>
      </c>
      <c r="V76" s="51">
        <f t="shared" si="4"/>
        <v>6.0516641621472654E-2</v>
      </c>
      <c r="W76" s="51">
        <f t="shared" si="5"/>
        <v>0</v>
      </c>
      <c r="X76" s="58">
        <f t="shared" si="6"/>
        <v>0</v>
      </c>
      <c r="Y76" s="51">
        <f t="shared" si="7"/>
        <v>117.36501960137862</v>
      </c>
      <c r="Z76" s="51">
        <f t="shared" si="8"/>
        <v>2.4147580198373877</v>
      </c>
      <c r="AA76" s="52">
        <v>1</v>
      </c>
      <c r="AB76">
        <v>0</v>
      </c>
    </row>
    <row r="77" spans="1:28">
      <c r="A77" s="49">
        <v>2018</v>
      </c>
      <c r="B77" s="73" t="s">
        <v>111</v>
      </c>
      <c r="C77" s="49" t="s">
        <v>112</v>
      </c>
      <c r="D77" s="50">
        <v>27617905000000</v>
      </c>
      <c r="E77" s="50">
        <v>1211744000000</v>
      </c>
      <c r="F77" s="50">
        <v>30748742000000</v>
      </c>
      <c r="G77" s="50"/>
      <c r="H77" s="50"/>
      <c r="I77" s="50">
        <v>23532846000000</v>
      </c>
      <c r="J77" s="50">
        <v>4856420000000</v>
      </c>
      <c r="K77" s="51">
        <v>15381803206</v>
      </c>
      <c r="L77" s="50">
        <v>3085519000000</v>
      </c>
      <c r="M77" s="50">
        <v>919577000000</v>
      </c>
      <c r="N77" s="50">
        <v>781734000000</v>
      </c>
      <c r="O77" s="50">
        <v>50472000000</v>
      </c>
      <c r="P77" s="50"/>
      <c r="Q77" s="52">
        <v>550</v>
      </c>
      <c r="R77" s="51">
        <f t="shared" si="0"/>
        <v>1.1735896712195371</v>
      </c>
      <c r="S77" s="51">
        <f t="shared" si="1"/>
        <v>4.8457188628660619</v>
      </c>
      <c r="T77" s="51">
        <f t="shared" si="2"/>
        <v>1.6414330056169451E-3</v>
      </c>
      <c r="U77" s="51">
        <f t="shared" si="3"/>
        <v>1.0392840816898044E-2</v>
      </c>
      <c r="V77" s="51">
        <f t="shared" si="4"/>
        <v>1.6357701897152473E-2</v>
      </c>
      <c r="W77" s="51">
        <f t="shared" si="5"/>
        <v>0</v>
      </c>
      <c r="X77" s="58">
        <f t="shared" si="6"/>
        <v>0</v>
      </c>
      <c r="Y77" s="51">
        <f t="shared" si="7"/>
        <v>167.61752582223806</v>
      </c>
      <c r="Z77" s="51">
        <f t="shared" si="8"/>
        <v>1.7420222639928178</v>
      </c>
      <c r="AA77" s="52">
        <v>1</v>
      </c>
      <c r="AB77">
        <v>0</v>
      </c>
    </row>
    <row r="78" spans="1:28">
      <c r="A78" s="49">
        <v>2019</v>
      </c>
      <c r="B78" s="73" t="s">
        <v>111</v>
      </c>
      <c r="C78" s="49" t="s">
        <v>112</v>
      </c>
      <c r="D78" s="50">
        <v>31667485000000</v>
      </c>
      <c r="E78" s="50">
        <v>1399242000000</v>
      </c>
      <c r="F78" s="50">
        <v>36559556000000</v>
      </c>
      <c r="G78" s="50"/>
      <c r="H78" s="50"/>
      <c r="I78" s="50">
        <v>26385919000000</v>
      </c>
      <c r="J78" s="50">
        <v>6074463000000</v>
      </c>
      <c r="K78" s="51">
        <v>16981803206</v>
      </c>
      <c r="L78" s="50">
        <v>3360860000000</v>
      </c>
      <c r="M78" s="50">
        <v>1150357000000</v>
      </c>
      <c r="N78" s="50">
        <v>987162000000</v>
      </c>
      <c r="O78" s="50">
        <v>6752000000</v>
      </c>
      <c r="P78" s="50"/>
      <c r="Q78" s="52">
        <v>585</v>
      </c>
      <c r="R78" s="51">
        <f t="shared" si="0"/>
        <v>1.2001660810070705</v>
      </c>
      <c r="S78" s="51">
        <f t="shared" si="1"/>
        <v>4.3437451178812019</v>
      </c>
      <c r="T78" s="51">
        <f t="shared" si="2"/>
        <v>1.8468495623962173E-4</v>
      </c>
      <c r="U78" s="51">
        <f t="shared" si="3"/>
        <v>1.1115385837398302E-3</v>
      </c>
      <c r="V78" s="51">
        <f t="shared" si="4"/>
        <v>2.0090095987336577E-3</v>
      </c>
      <c r="W78" s="51">
        <f t="shared" si="5"/>
        <v>0</v>
      </c>
      <c r="X78" s="58">
        <f t="shared" si="6"/>
        <v>0</v>
      </c>
      <c r="Y78" s="76">
        <f t="shared" si="7"/>
        <v>1471.3203310885665</v>
      </c>
      <c r="Z78" s="51">
        <f t="shared" si="8"/>
        <v>1.6354293170458032</v>
      </c>
      <c r="AA78" s="52">
        <v>1</v>
      </c>
      <c r="AB78">
        <v>0</v>
      </c>
    </row>
    <row r="79" spans="1:28">
      <c r="A79" s="49">
        <v>2020</v>
      </c>
      <c r="B79" s="73" t="s">
        <v>111</v>
      </c>
      <c r="C79" s="49" t="s">
        <v>112</v>
      </c>
      <c r="D79" s="50">
        <v>39397647000000</v>
      </c>
      <c r="E79" s="50">
        <v>1584298000000</v>
      </c>
      <c r="F79" s="50">
        <v>44612045000000</v>
      </c>
      <c r="G79" s="50"/>
      <c r="H79" s="50"/>
      <c r="I79" s="50">
        <v>32557921000000</v>
      </c>
      <c r="J79" s="50">
        <v>6056844000000</v>
      </c>
      <c r="K79" s="51">
        <v>17461803306</v>
      </c>
      <c r="L79" s="50">
        <v>3300261000000</v>
      </c>
      <c r="M79" s="50">
        <v>1112057000000</v>
      </c>
      <c r="N79" s="50">
        <v>1201125000000</v>
      </c>
      <c r="O79" s="50">
        <v>118522000000</v>
      </c>
      <c r="P79" s="50"/>
      <c r="Q79" s="52">
        <v>505</v>
      </c>
      <c r="R79" s="51">
        <f t="shared" si="0"/>
        <v>1.2100787086497322</v>
      </c>
      <c r="S79" s="51">
        <f t="shared" si="1"/>
        <v>5.3753936868771923</v>
      </c>
      <c r="T79" s="51">
        <f t="shared" si="2"/>
        <v>2.6567264513429052E-3</v>
      </c>
      <c r="U79" s="51">
        <f t="shared" si="3"/>
        <v>1.9568276812148372E-2</v>
      </c>
      <c r="V79" s="51">
        <f t="shared" si="4"/>
        <v>3.591291719048887E-2</v>
      </c>
      <c r="W79" s="51">
        <f t="shared" si="5"/>
        <v>0</v>
      </c>
      <c r="X79" s="58">
        <f t="shared" si="6"/>
        <v>0</v>
      </c>
      <c r="Y79" s="51">
        <f t="shared" si="7"/>
        <v>74.401466981066804</v>
      </c>
      <c r="Z79" s="51">
        <f t="shared" si="8"/>
        <v>1.4559085011154322</v>
      </c>
      <c r="AA79" s="52">
        <v>1</v>
      </c>
      <c r="AB79">
        <v>0</v>
      </c>
    </row>
    <row r="80" spans="1:28">
      <c r="A80" s="49">
        <v>2018</v>
      </c>
      <c r="B80" s="59" t="s">
        <v>113</v>
      </c>
      <c r="C80" s="49" t="s">
        <v>114</v>
      </c>
      <c r="D80" s="50">
        <v>3589446529008</v>
      </c>
      <c r="E80" s="50">
        <v>125754140019</v>
      </c>
      <c r="F80" s="50">
        <v>3896760492444</v>
      </c>
      <c r="G80" s="50"/>
      <c r="H80" s="50"/>
      <c r="I80" s="50">
        <v>2766528043722</v>
      </c>
      <c r="J80" s="50">
        <v>1130232448722</v>
      </c>
      <c r="K80" s="51">
        <v>1388800000</v>
      </c>
      <c r="L80" s="50">
        <v>314850371256</v>
      </c>
      <c r="M80" s="50">
        <v>176462730317</v>
      </c>
      <c r="N80" s="50">
        <v>10669420520</v>
      </c>
      <c r="O80" s="50">
        <v>9879658315</v>
      </c>
      <c r="P80" s="50"/>
      <c r="Q80" s="52">
        <v>1750</v>
      </c>
      <c r="R80" s="51">
        <f t="shared" si="0"/>
        <v>1.2974553202717118</v>
      </c>
      <c r="S80" s="51">
        <f t="shared" si="1"/>
        <v>2.4477513867613925</v>
      </c>
      <c r="T80" s="51">
        <f t="shared" si="2"/>
        <v>2.5353516938382836E-3</v>
      </c>
      <c r="U80" s="51">
        <f t="shared" si="3"/>
        <v>8.7412623183587886E-3</v>
      </c>
      <c r="V80" s="51">
        <f t="shared" si="4"/>
        <v>3.1378900001254886E-2</v>
      </c>
      <c r="W80" s="51">
        <f t="shared" si="5"/>
        <v>0</v>
      </c>
      <c r="X80" s="58">
        <f t="shared" si="6"/>
        <v>0</v>
      </c>
      <c r="Y80" s="51">
        <f t="shared" si="7"/>
        <v>246.00041038969877</v>
      </c>
      <c r="Z80" s="51">
        <f t="shared" si="8"/>
        <v>2.1503541176402718</v>
      </c>
      <c r="AA80" s="52">
        <v>1</v>
      </c>
      <c r="AB80">
        <v>0</v>
      </c>
    </row>
    <row r="81" spans="1:28">
      <c r="A81" s="49">
        <v>2019</v>
      </c>
      <c r="B81" s="59" t="s">
        <v>113</v>
      </c>
      <c r="C81" s="49" t="s">
        <v>114</v>
      </c>
      <c r="D81" s="50">
        <v>3628547496443</v>
      </c>
      <c r="E81" s="50">
        <v>123155112941</v>
      </c>
      <c r="F81" s="50">
        <v>4007412556573</v>
      </c>
      <c r="G81" s="50"/>
      <c r="H81" s="50"/>
      <c r="I81" s="50">
        <v>2846135386095</v>
      </c>
      <c r="J81" s="50">
        <v>1161277170478</v>
      </c>
      <c r="K81" s="51">
        <v>1388800000</v>
      </c>
      <c r="L81" s="50">
        <v>287717146129</v>
      </c>
      <c r="M81" s="50">
        <v>145535047285</v>
      </c>
      <c r="N81" s="50">
        <v>1675418516</v>
      </c>
      <c r="O81" s="50">
        <v>30952161285</v>
      </c>
      <c r="P81" s="50"/>
      <c r="Q81" s="52">
        <v>1750</v>
      </c>
      <c r="R81" s="51">
        <f t="shared" si="0"/>
        <v>1.2749033352982893</v>
      </c>
      <c r="S81" s="51">
        <f t="shared" si="1"/>
        <v>2.4508665617903138</v>
      </c>
      <c r="T81" s="51">
        <f t="shared" si="2"/>
        <v>7.7237271800808084E-3</v>
      </c>
      <c r="U81" s="51">
        <f t="shared" si="3"/>
        <v>2.6653551858131855E-2</v>
      </c>
      <c r="V81" s="51">
        <f t="shared" si="4"/>
        <v>0.10757843841229532</v>
      </c>
      <c r="W81" s="51">
        <f t="shared" si="5"/>
        <v>0</v>
      </c>
      <c r="X81" s="58">
        <f t="shared" si="6"/>
        <v>0</v>
      </c>
      <c r="Y81" s="51">
        <f t="shared" si="7"/>
        <v>78.521172645149591</v>
      </c>
      <c r="Z81" s="51">
        <f t="shared" si="8"/>
        <v>2.0928681470588191</v>
      </c>
      <c r="AA81" s="52">
        <v>1</v>
      </c>
      <c r="AB81">
        <v>0</v>
      </c>
    </row>
    <row r="82" spans="1:28">
      <c r="A82" s="49">
        <v>2020</v>
      </c>
      <c r="B82" s="59" t="s">
        <v>113</v>
      </c>
      <c r="C82" s="49" t="s">
        <v>114</v>
      </c>
      <c r="D82" s="50">
        <v>3420216280720</v>
      </c>
      <c r="E82" s="50">
        <v>122716526336</v>
      </c>
      <c r="F82" s="50">
        <v>3721363459751</v>
      </c>
      <c r="G82" s="50"/>
      <c r="H82" s="50"/>
      <c r="I82" s="50">
        <v>2663693880300</v>
      </c>
      <c r="J82" s="50">
        <v>1057669579451</v>
      </c>
      <c r="K82" s="51">
        <v>1388800000</v>
      </c>
      <c r="L82" s="50">
        <v>230453382943</v>
      </c>
      <c r="M82" s="50">
        <v>142465319309</v>
      </c>
      <c r="N82" s="50">
        <v>2848631236</v>
      </c>
      <c r="O82" s="50">
        <v>70581531876</v>
      </c>
      <c r="P82" s="50"/>
      <c r="Q82" s="52">
        <v>1750</v>
      </c>
      <c r="R82" s="51">
        <f t="shared" si="0"/>
        <v>1.2840125158581648</v>
      </c>
      <c r="S82" s="51">
        <f t="shared" si="1"/>
        <v>2.5184556047103408</v>
      </c>
      <c r="T82" s="51">
        <f t="shared" si="2"/>
        <v>1.896657841659E-2</v>
      </c>
      <c r="U82" s="51">
        <f t="shared" si="3"/>
        <v>6.6733064132029257E-2</v>
      </c>
      <c r="V82" s="51">
        <f t="shared" si="4"/>
        <v>0.30627249196622786</v>
      </c>
      <c r="W82" s="51">
        <f t="shared" si="5"/>
        <v>0</v>
      </c>
      <c r="X82" s="58">
        <f t="shared" si="6"/>
        <v>0</v>
      </c>
      <c r="Y82" s="51">
        <f t="shared" si="7"/>
        <v>34.43393668856335</v>
      </c>
      <c r="Z82" s="51">
        <f t="shared" si="8"/>
        <v>2.2978821053561331</v>
      </c>
      <c r="AA82" s="52">
        <v>1</v>
      </c>
      <c r="AB82">
        <v>0</v>
      </c>
    </row>
    <row r="83" spans="1:28">
      <c r="A83" s="49">
        <v>2018</v>
      </c>
      <c r="B83" s="59" t="s">
        <v>115</v>
      </c>
      <c r="C83" s="49" t="s">
        <v>116</v>
      </c>
      <c r="D83" s="50">
        <v>95049657000000</v>
      </c>
      <c r="E83" s="50">
        <v>1786727000000</v>
      </c>
      <c r="F83" s="50">
        <v>101919301000000</v>
      </c>
      <c r="G83" s="50"/>
      <c r="H83" s="50"/>
      <c r="I83" s="50">
        <v>76544999000000</v>
      </c>
      <c r="J83" s="50">
        <v>19364407000000</v>
      </c>
      <c r="K83" s="51">
        <v>5851646757</v>
      </c>
      <c r="L83" s="50">
        <v>14126651000000</v>
      </c>
      <c r="M83" s="50">
        <v>4526243000000</v>
      </c>
      <c r="N83" s="50">
        <v>7286241000000</v>
      </c>
      <c r="O83" s="50">
        <v>2128064000000</v>
      </c>
      <c r="P83" s="50">
        <v>574509000000</v>
      </c>
      <c r="Q83" s="52">
        <v>3440</v>
      </c>
      <c r="R83" s="51">
        <f t="shared" si="0"/>
        <v>1.2417487522600921</v>
      </c>
      <c r="S83" s="51">
        <f t="shared" si="1"/>
        <v>3.9528708005362621</v>
      </c>
      <c r="T83" s="51">
        <f t="shared" si="2"/>
        <v>2.0879892023592275E-2</v>
      </c>
      <c r="U83" s="51">
        <f t="shared" si="3"/>
        <v>0.10989564513904299</v>
      </c>
      <c r="V83" s="51">
        <f t="shared" si="4"/>
        <v>0.15064179047107484</v>
      </c>
      <c r="W83" s="51">
        <f t="shared" si="5"/>
        <v>2.8540415573235899E-2</v>
      </c>
      <c r="X83" s="58">
        <f t="shared" si="6"/>
        <v>0.26996791449881208</v>
      </c>
      <c r="Y83" s="51">
        <f t="shared" si="7"/>
        <v>9.4591444825343594</v>
      </c>
      <c r="Z83" s="51">
        <f t="shared" si="8"/>
        <v>1.0395187853715324</v>
      </c>
      <c r="AA83" s="52">
        <v>1</v>
      </c>
      <c r="AB83">
        <v>0</v>
      </c>
    </row>
    <row r="84" spans="1:28">
      <c r="A84" s="49">
        <v>2019</v>
      </c>
      <c r="B84" s="59" t="s">
        <v>115</v>
      </c>
      <c r="C84" s="49" t="s">
        <v>116</v>
      </c>
      <c r="D84" s="50">
        <v>174663286000000</v>
      </c>
      <c r="E84" s="50">
        <v>1893746000000</v>
      </c>
      <c r="F84" s="50">
        <v>181631385000000</v>
      </c>
      <c r="G84" s="50"/>
      <c r="H84" s="50"/>
      <c r="I84" s="50">
        <v>142608793000000</v>
      </c>
      <c r="J84" s="50">
        <v>31471928000000</v>
      </c>
      <c r="K84" s="51">
        <f t="shared" ref="K84:K85" si="16">8148931869</f>
        <v>8148931869</v>
      </c>
      <c r="L84" s="50">
        <v>18680979000000</v>
      </c>
      <c r="M84" s="50">
        <v>7689284000000</v>
      </c>
      <c r="N84" s="50">
        <v>8594419000000</v>
      </c>
      <c r="O84" s="50">
        <v>2992418000000</v>
      </c>
      <c r="P84" s="50">
        <v>0</v>
      </c>
      <c r="Q84" s="52">
        <v>3250</v>
      </c>
      <c r="R84" s="51">
        <f t="shared" si="0"/>
        <v>1.2247722060167776</v>
      </c>
      <c r="S84" s="51">
        <f t="shared" si="1"/>
        <v>4.5313014506133849</v>
      </c>
      <c r="T84" s="51">
        <f t="shared" si="2"/>
        <v>1.6475225358216588E-2</v>
      </c>
      <c r="U84" s="51">
        <f t="shared" si="3"/>
        <v>9.5082131606300066E-2</v>
      </c>
      <c r="V84" s="51">
        <f t="shared" si="4"/>
        <v>0.16018528793378548</v>
      </c>
      <c r="W84" s="51">
        <f t="shared" si="5"/>
        <v>0</v>
      </c>
      <c r="X84" s="58">
        <f t="shared" si="6"/>
        <v>0</v>
      </c>
      <c r="Y84" s="51">
        <f t="shared" si="7"/>
        <v>8.8503773785112916</v>
      </c>
      <c r="Z84" s="51">
        <f t="shared" si="8"/>
        <v>0.84151274666903153</v>
      </c>
      <c r="AA84" s="52">
        <v>1</v>
      </c>
      <c r="AB84">
        <v>0</v>
      </c>
    </row>
    <row r="85" spans="1:28">
      <c r="A85" s="49">
        <v>2020</v>
      </c>
      <c r="B85" s="59" t="s">
        <v>115</v>
      </c>
      <c r="C85" s="49" t="s">
        <v>116</v>
      </c>
      <c r="D85" s="50">
        <v>175897784000000</v>
      </c>
      <c r="E85" s="50">
        <v>2357987000000</v>
      </c>
      <c r="F85" s="50">
        <v>183165978000000</v>
      </c>
      <c r="G85" s="50"/>
      <c r="H85" s="50"/>
      <c r="I85" s="50">
        <v>142277859000000</v>
      </c>
      <c r="J85" s="50">
        <v>32964753000000</v>
      </c>
      <c r="K85" s="51">
        <f t="shared" si="16"/>
        <v>8148931869</v>
      </c>
      <c r="L85" s="50">
        <v>16403483000000</v>
      </c>
      <c r="M85" s="50">
        <v>5779055000000</v>
      </c>
      <c r="N85" s="50">
        <v>9690939000000</v>
      </c>
      <c r="O85" s="50">
        <v>2005677000000</v>
      </c>
      <c r="P85" s="50">
        <v>103887000000</v>
      </c>
      <c r="Q85" s="52">
        <v>3110</v>
      </c>
      <c r="R85" s="51">
        <f t="shared" si="0"/>
        <v>1.2362976589351122</v>
      </c>
      <c r="S85" s="51">
        <f t="shared" si="1"/>
        <v>4.3160602174085758</v>
      </c>
      <c r="T85" s="51">
        <f t="shared" si="2"/>
        <v>1.0950052088821867E-2</v>
      </c>
      <c r="U85" s="51">
        <f t="shared" si="3"/>
        <v>6.0843076846351617E-2</v>
      </c>
      <c r="V85" s="51">
        <f t="shared" si="4"/>
        <v>0.12227141028524247</v>
      </c>
      <c r="W85" s="51">
        <f t="shared" si="5"/>
        <v>4.0992096389201853E-3</v>
      </c>
      <c r="X85" s="58">
        <f t="shared" si="6"/>
        <v>5.1796475703715004E-2</v>
      </c>
      <c r="Y85" s="51">
        <f t="shared" si="7"/>
        <v>12.635722557814642</v>
      </c>
      <c r="Z85" s="51">
        <f t="shared" si="8"/>
        <v>0.76879623859429491</v>
      </c>
      <c r="AA85" s="52">
        <v>1</v>
      </c>
      <c r="AB85">
        <v>0</v>
      </c>
    </row>
    <row r="86" spans="1:28">
      <c r="A86" s="49">
        <v>2018</v>
      </c>
      <c r="B86" s="59" t="s">
        <v>117</v>
      </c>
      <c r="C86" s="49" t="s">
        <v>118</v>
      </c>
      <c r="D86" s="50">
        <v>28094350409000</v>
      </c>
      <c r="E86" s="50">
        <v>541283738000</v>
      </c>
      <c r="F86" s="50">
        <v>30172315337000</v>
      </c>
      <c r="G86" s="50"/>
      <c r="H86" s="50"/>
      <c r="I86" s="50">
        <v>25808570240000</v>
      </c>
      <c r="J86" s="50">
        <v>2806025405000</v>
      </c>
      <c r="K86" s="51">
        <v>8671048162</v>
      </c>
      <c r="L86" s="50">
        <v>2280212771000</v>
      </c>
      <c r="M86" s="50">
        <v>1820882197000</v>
      </c>
      <c r="N86" s="50">
        <v>741051703000</v>
      </c>
      <c r="O86" s="50">
        <v>79081921000</v>
      </c>
      <c r="P86" s="50"/>
      <c r="Q86" s="52">
        <v>190</v>
      </c>
      <c r="R86" s="51">
        <f t="shared" si="0"/>
        <v>1.088566710505231</v>
      </c>
      <c r="S86" s="51">
        <f t="shared" si="1"/>
        <v>9.197554018581668</v>
      </c>
      <c r="T86" s="51">
        <f t="shared" si="2"/>
        <v>2.6210093629448002E-3</v>
      </c>
      <c r="U86" s="51">
        <f t="shared" si="3"/>
        <v>2.8182895585722609E-2</v>
      </c>
      <c r="V86" s="51">
        <f t="shared" si="4"/>
        <v>3.4681816541759912E-2</v>
      </c>
      <c r="W86" s="51">
        <f t="shared" si="5"/>
        <v>0</v>
      </c>
      <c r="X86" s="58">
        <f t="shared" si="6"/>
        <v>0</v>
      </c>
      <c r="Y86" s="51">
        <f t="shared" si="7"/>
        <v>20.832816526801366</v>
      </c>
      <c r="Z86" s="51">
        <f t="shared" si="8"/>
        <v>0.58712909293135918</v>
      </c>
      <c r="AA86" s="52">
        <v>1</v>
      </c>
      <c r="AB86">
        <v>0</v>
      </c>
    </row>
    <row r="87" spans="1:28">
      <c r="A87" s="49">
        <v>2019</v>
      </c>
      <c r="B87" s="59" t="s">
        <v>117</v>
      </c>
      <c r="C87" s="49" t="s">
        <v>118</v>
      </c>
      <c r="D87" s="50">
        <v>28304904517000</v>
      </c>
      <c r="E87" s="50">
        <v>521735784000</v>
      </c>
      <c r="F87" s="50">
        <v>30456458802000</v>
      </c>
      <c r="G87" s="50"/>
      <c r="H87" s="50"/>
      <c r="I87" s="50">
        <v>25782313852000</v>
      </c>
      <c r="J87" s="50">
        <v>2986454603000</v>
      </c>
      <c r="K87" s="51">
        <v>8951947039</v>
      </c>
      <c r="L87" s="50">
        <v>2223204722000</v>
      </c>
      <c r="M87" s="50">
        <v>1954056503000</v>
      </c>
      <c r="N87" s="50">
        <v>648356649000</v>
      </c>
      <c r="O87" s="50">
        <v>-13764500000</v>
      </c>
      <c r="P87" s="50"/>
      <c r="Q87" s="52">
        <v>84</v>
      </c>
      <c r="R87" s="51">
        <f t="shared" si="0"/>
        <v>1.0978419035421181</v>
      </c>
      <c r="S87" s="51">
        <f t="shared" si="1"/>
        <v>8.6330841346460616</v>
      </c>
      <c r="T87" s="51">
        <f t="shared" si="2"/>
        <v>-4.5194026296636034E-4</v>
      </c>
      <c r="U87" s="51">
        <f t="shared" si="3"/>
        <v>-4.6089768068709527E-3</v>
      </c>
      <c r="V87" s="51">
        <f t="shared" si="4"/>
        <v>-6.1912876775546896E-3</v>
      </c>
      <c r="W87" s="51">
        <f t="shared" si="5"/>
        <v>0</v>
      </c>
      <c r="X87" s="58">
        <f t="shared" si="6"/>
        <v>0</v>
      </c>
      <c r="Y87" s="51">
        <f t="shared" si="7"/>
        <v>-54.63064777332994</v>
      </c>
      <c r="Z87" s="51">
        <f t="shared" si="8"/>
        <v>0.25179138853161398</v>
      </c>
      <c r="AA87" s="52">
        <v>1</v>
      </c>
      <c r="AB87">
        <v>0</v>
      </c>
    </row>
    <row r="88" spans="1:28">
      <c r="A88" s="49">
        <v>2020</v>
      </c>
      <c r="B88" s="59" t="s">
        <v>117</v>
      </c>
      <c r="C88" s="49" t="s">
        <v>118</v>
      </c>
      <c r="D88" s="50">
        <v>23651943876000</v>
      </c>
      <c r="E88" s="50">
        <v>559673354000</v>
      </c>
      <c r="F88" s="50">
        <v>26221407472000</v>
      </c>
      <c r="G88" s="50"/>
      <c r="H88" s="50"/>
      <c r="I88" s="50">
        <v>22197849857000</v>
      </c>
      <c r="J88" s="50">
        <v>2644375254000</v>
      </c>
      <c r="K88" s="51">
        <v>8951947039</v>
      </c>
      <c r="L88" s="50">
        <v>1790640395000</v>
      </c>
      <c r="M88" s="50">
        <v>1600981946000</v>
      </c>
      <c r="N88" s="50">
        <v>928353052000</v>
      </c>
      <c r="O88" s="50">
        <v>-252193690000</v>
      </c>
      <c r="P88" s="50"/>
      <c r="Q88" s="52">
        <v>114</v>
      </c>
      <c r="R88" s="51">
        <f t="shared" si="0"/>
        <v>1.0655060750643583</v>
      </c>
      <c r="S88" s="51">
        <f t="shared" si="1"/>
        <v>8.3943645378705387</v>
      </c>
      <c r="T88" s="51">
        <f t="shared" si="2"/>
        <v>-9.6178548107800823E-3</v>
      </c>
      <c r="U88" s="51">
        <f t="shared" si="3"/>
        <v>-9.5369857064923208E-2</v>
      </c>
      <c r="V88" s="51">
        <f t="shared" si="4"/>
        <v>-0.14083994234922864</v>
      </c>
      <c r="W88" s="51">
        <f t="shared" si="5"/>
        <v>0</v>
      </c>
      <c r="X88" s="58">
        <f t="shared" si="6"/>
        <v>0</v>
      </c>
      <c r="Y88" s="51">
        <f t="shared" si="7"/>
        <v>-4.0465800807545982</v>
      </c>
      <c r="Z88" s="51">
        <f t="shared" si="8"/>
        <v>0.38592176390333138</v>
      </c>
      <c r="AA88" s="52">
        <v>1</v>
      </c>
      <c r="AB88">
        <v>0</v>
      </c>
    </row>
    <row r="89" spans="1:28">
      <c r="A89" s="49">
        <v>2018</v>
      </c>
      <c r="B89" s="59" t="s">
        <v>119</v>
      </c>
      <c r="C89" s="49" t="s">
        <v>120</v>
      </c>
      <c r="D89" s="50">
        <v>22228828000000</v>
      </c>
      <c r="E89" s="50">
        <v>2053140000000</v>
      </c>
      <c r="F89" s="50">
        <v>26025188000000</v>
      </c>
      <c r="G89" s="50"/>
      <c r="H89" s="50"/>
      <c r="I89" s="50">
        <v>21438077000000</v>
      </c>
      <c r="J89" s="50">
        <v>4587111000000</v>
      </c>
      <c r="K89" s="51">
        <v>15796193049</v>
      </c>
      <c r="L89" s="50">
        <v>2263784000000</v>
      </c>
      <c r="M89" s="50">
        <v>1065854000000</v>
      </c>
      <c r="N89" s="50">
        <v>1197424000000</v>
      </c>
      <c r="O89" s="50">
        <v>53621000000</v>
      </c>
      <c r="P89" s="50"/>
      <c r="Q89" s="52">
        <v>62</v>
      </c>
      <c r="R89" s="51">
        <f t="shared" si="0"/>
        <v>1.0368853512374268</v>
      </c>
      <c r="S89" s="51">
        <f t="shared" si="1"/>
        <v>4.6735465961037352</v>
      </c>
      <c r="T89" s="51">
        <f t="shared" si="2"/>
        <v>2.0603501500162072E-3</v>
      </c>
      <c r="U89" s="51">
        <f t="shared" si="3"/>
        <v>1.1689492580406273E-2</v>
      </c>
      <c r="V89" s="51">
        <f t="shared" si="4"/>
        <v>2.3686447116862741E-2</v>
      </c>
      <c r="W89" s="51">
        <f t="shared" si="5"/>
        <v>0</v>
      </c>
      <c r="X89" s="58">
        <f t="shared" si="6"/>
        <v>0</v>
      </c>
      <c r="Y89" s="51">
        <f t="shared" si="7"/>
        <v>18.264559949236304</v>
      </c>
      <c r="Z89" s="51">
        <f t="shared" si="8"/>
        <v>0.2135034380109834</v>
      </c>
      <c r="AA89" s="52">
        <v>1</v>
      </c>
      <c r="AB89">
        <v>0</v>
      </c>
    </row>
    <row r="90" spans="1:28">
      <c r="A90" s="49">
        <v>2019</v>
      </c>
      <c r="B90" s="59" t="s">
        <v>119</v>
      </c>
      <c r="C90" s="49" t="s">
        <v>120</v>
      </c>
      <c r="D90" s="50">
        <v>20925424000000</v>
      </c>
      <c r="E90" s="50">
        <v>2029527000000</v>
      </c>
      <c r="F90" s="50">
        <v>25532041000000</v>
      </c>
      <c r="G90" s="50"/>
      <c r="H90" s="50"/>
      <c r="I90" s="50">
        <v>20995806000000</v>
      </c>
      <c r="J90" s="50">
        <v>4536235000000</v>
      </c>
      <c r="K90" s="51">
        <v>15796193049</v>
      </c>
      <c r="L90" s="50">
        <v>1976522000000</v>
      </c>
      <c r="M90" s="50">
        <v>1049601000000</v>
      </c>
      <c r="N90" s="50">
        <v>1110037000000</v>
      </c>
      <c r="O90" s="50">
        <v>-58345000000</v>
      </c>
      <c r="P90" s="50"/>
      <c r="Q90" s="52">
        <v>61</v>
      </c>
      <c r="R90" s="51">
        <f t="shared" si="0"/>
        <v>0.99664780670958764</v>
      </c>
      <c r="S90" s="51">
        <f t="shared" si="1"/>
        <v>4.6284652360382568</v>
      </c>
      <c r="T90" s="51">
        <f t="shared" si="2"/>
        <v>-2.2851678798416469E-3</v>
      </c>
      <c r="U90" s="51">
        <f t="shared" si="3"/>
        <v>-1.2861987970199957E-2</v>
      </c>
      <c r="V90" s="51">
        <f t="shared" si="4"/>
        <v>-2.9519023820630381E-2</v>
      </c>
      <c r="W90" s="51">
        <f t="shared" si="5"/>
        <v>0</v>
      </c>
      <c r="X90" s="58">
        <f t="shared" si="6"/>
        <v>0</v>
      </c>
      <c r="Y90" s="51">
        <f t="shared" si="7"/>
        <v>-16.515001730893822</v>
      </c>
      <c r="Z90" s="51">
        <f t="shared" si="8"/>
        <v>0.21241575359058781</v>
      </c>
      <c r="AA90" s="52">
        <v>1</v>
      </c>
      <c r="AB90">
        <v>0</v>
      </c>
    </row>
    <row r="91" spans="1:28">
      <c r="A91" s="49">
        <v>2020</v>
      </c>
      <c r="B91" s="59" t="s">
        <v>119</v>
      </c>
      <c r="C91" s="49" t="s">
        <v>120</v>
      </c>
      <c r="D91" s="50">
        <v>25019864000000</v>
      </c>
      <c r="E91" s="50">
        <v>2065208000000</v>
      </c>
      <c r="F91" s="50">
        <v>30526965000000</v>
      </c>
      <c r="G91" s="50"/>
      <c r="H91" s="50"/>
      <c r="I91" s="50">
        <v>26967430000000</v>
      </c>
      <c r="J91" s="50">
        <v>3559535000000</v>
      </c>
      <c r="K91" s="51">
        <v>15796195097</v>
      </c>
      <c r="L91" s="50">
        <v>1688028000000</v>
      </c>
      <c r="M91" s="50">
        <v>1056241000000</v>
      </c>
      <c r="N91" s="50">
        <v>717238000000</v>
      </c>
      <c r="O91" s="50">
        <v>21371000000</v>
      </c>
      <c r="P91" s="50"/>
      <c r="Q91" s="52">
        <v>69</v>
      </c>
      <c r="R91" s="51">
        <f t="shared" si="0"/>
        <v>0.92778080818231479</v>
      </c>
      <c r="S91" s="51">
        <f t="shared" si="1"/>
        <v>7.5761103627299633</v>
      </c>
      <c r="T91" s="51">
        <f t="shared" si="2"/>
        <v>7.0006959420957835E-4</v>
      </c>
      <c r="U91" s="51">
        <f t="shared" si="3"/>
        <v>6.0038741015329246E-3</v>
      </c>
      <c r="V91" s="51">
        <f t="shared" si="4"/>
        <v>1.2660335018139509E-2</v>
      </c>
      <c r="W91" s="51">
        <f t="shared" si="5"/>
        <v>0</v>
      </c>
      <c r="X91" s="58">
        <f t="shared" si="6"/>
        <v>0</v>
      </c>
      <c r="Y91" s="51">
        <f t="shared" si="7"/>
        <v>51.000770281830519</v>
      </c>
      <c r="Z91" s="51">
        <f t="shared" si="8"/>
        <v>0.30620220385331226</v>
      </c>
      <c r="AA91" s="52">
        <v>1</v>
      </c>
      <c r="AB91">
        <v>0</v>
      </c>
    </row>
    <row r="92" spans="1:28">
      <c r="A92" s="49">
        <v>2018</v>
      </c>
      <c r="B92" s="59" t="s">
        <v>121</v>
      </c>
      <c r="C92" s="49" t="s">
        <v>122</v>
      </c>
      <c r="D92" s="50">
        <v>14724304000000</v>
      </c>
      <c r="E92" s="50">
        <v>683878000000</v>
      </c>
      <c r="F92" s="50">
        <v>15992475000000</v>
      </c>
      <c r="G92" s="50"/>
      <c r="H92" s="50"/>
      <c r="I92" s="50">
        <v>13476317000000</v>
      </c>
      <c r="J92" s="50">
        <v>2516158000000</v>
      </c>
      <c r="K92" s="51">
        <v>16631460751</v>
      </c>
      <c r="L92" s="50">
        <v>1240762000000</v>
      </c>
      <c r="M92" s="50">
        <v>653396000000</v>
      </c>
      <c r="N92" s="50">
        <v>470404000000</v>
      </c>
      <c r="O92" s="50">
        <v>89860000000</v>
      </c>
      <c r="P92" s="50"/>
      <c r="Q92" s="52">
        <v>142</v>
      </c>
      <c r="R92" s="51">
        <f t="shared" si="0"/>
        <v>1.0926059397385799</v>
      </c>
      <c r="S92" s="51">
        <f t="shared" si="1"/>
        <v>5.3559104793896095</v>
      </c>
      <c r="T92" s="51">
        <f t="shared" si="2"/>
        <v>5.6188926354426069E-3</v>
      </c>
      <c r="U92" s="51">
        <f t="shared" si="3"/>
        <v>3.5713178584174762E-2</v>
      </c>
      <c r="V92" s="51">
        <f t="shared" si="4"/>
        <v>7.2423236688422113E-2</v>
      </c>
      <c r="W92" s="51">
        <f t="shared" si="5"/>
        <v>0</v>
      </c>
      <c r="X92" s="58">
        <f t="shared" si="6"/>
        <v>0</v>
      </c>
      <c r="Y92" s="51">
        <f t="shared" si="7"/>
        <v>26.281631723147118</v>
      </c>
      <c r="Z92" s="51">
        <f t="shared" si="8"/>
        <v>0.93860060721226579</v>
      </c>
      <c r="AA92" s="52">
        <v>1</v>
      </c>
      <c r="AB92">
        <v>0</v>
      </c>
    </row>
    <row r="93" spans="1:28">
      <c r="A93" s="49">
        <v>2019</v>
      </c>
      <c r="B93" s="59" t="s">
        <v>121</v>
      </c>
      <c r="C93" s="49" t="s">
        <v>122</v>
      </c>
      <c r="D93" s="50">
        <v>17492563000000</v>
      </c>
      <c r="E93" s="50">
        <v>828752000000</v>
      </c>
      <c r="F93" s="50">
        <v>18893684000000</v>
      </c>
      <c r="G93" s="50"/>
      <c r="H93" s="50"/>
      <c r="I93" s="50">
        <v>16098826000000</v>
      </c>
      <c r="J93" s="50">
        <v>2794858000000</v>
      </c>
      <c r="K93" s="51">
        <v>16631460751</v>
      </c>
      <c r="L93" s="50">
        <v>1298866000000</v>
      </c>
      <c r="M93" s="50">
        <v>738975000000</v>
      </c>
      <c r="N93" s="50">
        <v>493623000000</v>
      </c>
      <c r="O93" s="50">
        <v>78967000000</v>
      </c>
      <c r="P93" s="50"/>
      <c r="Q93" s="52">
        <v>129</v>
      </c>
      <c r="R93" s="51">
        <f t="shared" si="0"/>
        <v>1.0865738284269921</v>
      </c>
      <c r="S93" s="51">
        <f t="shared" si="1"/>
        <v>5.7601588345454404</v>
      </c>
      <c r="T93" s="51">
        <f t="shared" si="2"/>
        <v>4.1795448680098596E-3</v>
      </c>
      <c r="U93" s="51">
        <f t="shared" si="3"/>
        <v>2.825438716385591E-2</v>
      </c>
      <c r="V93" s="51">
        <f t="shared" si="4"/>
        <v>6.0796879739711408E-2</v>
      </c>
      <c r="W93" s="51">
        <f t="shared" si="5"/>
        <v>0</v>
      </c>
      <c r="X93" s="58">
        <f t="shared" si="6"/>
        <v>0</v>
      </c>
      <c r="Y93" s="51">
        <f t="shared" si="7"/>
        <v>27.169050829827651</v>
      </c>
      <c r="Z93" s="51">
        <f t="shared" si="8"/>
        <v>0.76764488102043116</v>
      </c>
      <c r="AA93" s="52">
        <v>1</v>
      </c>
      <c r="AB93">
        <v>0</v>
      </c>
    </row>
    <row r="94" spans="1:28">
      <c r="A94" s="49">
        <v>2020</v>
      </c>
      <c r="B94" s="59" t="s">
        <v>121</v>
      </c>
      <c r="C94" s="49" t="s">
        <v>122</v>
      </c>
      <c r="D94" s="50">
        <v>23842335000000</v>
      </c>
      <c r="E94" s="50">
        <v>832249000000</v>
      </c>
      <c r="F94" s="50">
        <v>25235573000000</v>
      </c>
      <c r="G94" s="50"/>
      <c r="H94" s="50"/>
      <c r="I94" s="50">
        <v>19218857000000</v>
      </c>
      <c r="J94" s="50">
        <v>6016716000000</v>
      </c>
      <c r="K94" s="51">
        <v>37919730514</v>
      </c>
      <c r="L94" s="50">
        <v>1282612000000</v>
      </c>
      <c r="M94" s="50">
        <v>720255000000</v>
      </c>
      <c r="N94" s="50">
        <v>514337000000</v>
      </c>
      <c r="O94" s="50">
        <v>49979000000</v>
      </c>
      <c r="P94" s="50"/>
      <c r="Q94" s="52">
        <v>139</v>
      </c>
      <c r="R94" s="51">
        <f t="shared" si="0"/>
        <v>1.2405698736402482</v>
      </c>
      <c r="S94" s="51">
        <f t="shared" si="1"/>
        <v>3.1942436704674111</v>
      </c>
      <c r="T94" s="51">
        <f t="shared" si="2"/>
        <v>1.9804979264786259E-3</v>
      </c>
      <c r="U94" s="51">
        <f t="shared" si="3"/>
        <v>8.30669089250681E-3</v>
      </c>
      <c r="V94" s="51">
        <f t="shared" si="4"/>
        <v>3.8966577577630647E-2</v>
      </c>
      <c r="W94" s="51">
        <f t="shared" si="5"/>
        <v>0</v>
      </c>
      <c r="X94" s="58">
        <f t="shared" si="6"/>
        <v>0</v>
      </c>
      <c r="Y94" s="51">
        <f t="shared" si="7"/>
        <v>105.46114450961403</v>
      </c>
      <c r="Z94" s="51">
        <f t="shared" si="8"/>
        <v>0.87603312861135552</v>
      </c>
      <c r="AA94" s="52">
        <v>1</v>
      </c>
      <c r="AB94">
        <v>0</v>
      </c>
    </row>
    <row r="95" spans="1:28">
      <c r="A95" s="77">
        <v>2018</v>
      </c>
      <c r="B95" s="78" t="s">
        <v>123</v>
      </c>
      <c r="C95" s="77" t="s">
        <v>124</v>
      </c>
      <c r="D95" s="79">
        <v>167124533000000</v>
      </c>
      <c r="E95" s="79">
        <v>2799661000000</v>
      </c>
      <c r="F95" s="79">
        <v>173582894000000</v>
      </c>
      <c r="G95" s="79"/>
      <c r="H95" s="79"/>
      <c r="I95" s="79">
        <v>149154640000000</v>
      </c>
      <c r="J95" s="79">
        <v>24428254000000</v>
      </c>
      <c r="K95" s="80">
        <v>22945296972</v>
      </c>
      <c r="L95" s="79">
        <v>12221471000000</v>
      </c>
      <c r="M95" s="79">
        <v>5843536000000</v>
      </c>
      <c r="N95" s="79">
        <v>3512758000000</v>
      </c>
      <c r="O95" s="79">
        <v>2638064000000</v>
      </c>
      <c r="P95" s="79"/>
      <c r="Q95" s="81">
        <v>855</v>
      </c>
      <c r="R95" s="80">
        <f t="shared" si="0"/>
        <v>1.1204782700692382</v>
      </c>
      <c r="S95" s="80">
        <f t="shared" si="1"/>
        <v>6.105824837092328</v>
      </c>
      <c r="T95" s="80">
        <f t="shared" si="2"/>
        <v>1.5197718733736517E-2</v>
      </c>
      <c r="U95" s="80">
        <f t="shared" si="3"/>
        <v>0.1079923272453283</v>
      </c>
      <c r="V95" s="80">
        <f t="shared" si="4"/>
        <v>0.21585486722506644</v>
      </c>
      <c r="W95" s="80">
        <f t="shared" si="5"/>
        <v>0</v>
      </c>
      <c r="X95" s="85">
        <f t="shared" si="6"/>
        <v>0</v>
      </c>
      <c r="Y95" s="80">
        <f t="shared" si="7"/>
        <v>7.4366008220649684</v>
      </c>
      <c r="Z95" s="80">
        <f t="shared" si="8"/>
        <v>0.80309582956931758</v>
      </c>
      <c r="AA95" s="81">
        <v>1</v>
      </c>
      <c r="AB95">
        <v>0</v>
      </c>
    </row>
    <row r="96" spans="1:28">
      <c r="A96" s="49">
        <v>2019</v>
      </c>
      <c r="B96" s="59" t="s">
        <v>123</v>
      </c>
      <c r="C96" s="49" t="s">
        <v>124</v>
      </c>
      <c r="D96" s="50">
        <v>174533222000000</v>
      </c>
      <c r="E96" s="50">
        <v>2784242000000</v>
      </c>
      <c r="F96" s="50">
        <v>180706987000000</v>
      </c>
      <c r="G96" s="50"/>
      <c r="H96" s="50"/>
      <c r="I96" s="50">
        <v>153042184000000</v>
      </c>
      <c r="J96" s="50">
        <v>27664803000000</v>
      </c>
      <c r="K96" s="51">
        <v>22945296972</v>
      </c>
      <c r="L96" s="50">
        <v>13496091000000</v>
      </c>
      <c r="M96" s="50">
        <v>7057159000000</v>
      </c>
      <c r="N96" s="50">
        <v>3768918000000</v>
      </c>
      <c r="O96" s="50">
        <v>2939243000000</v>
      </c>
      <c r="P96" s="50"/>
      <c r="Q96" s="52">
        <v>845</v>
      </c>
      <c r="R96" s="51">
        <f t="shared" si="0"/>
        <v>1.1404255835763557</v>
      </c>
      <c r="S96" s="51">
        <f t="shared" si="1"/>
        <v>5.5320178495397201</v>
      </c>
      <c r="T96" s="51">
        <f t="shared" si="2"/>
        <v>1.6265242693687322E-2</v>
      </c>
      <c r="U96" s="51">
        <f t="shared" si="3"/>
        <v>0.10624485560226112</v>
      </c>
      <c r="V96" s="51">
        <f t="shared" si="4"/>
        <v>0.21778476449217776</v>
      </c>
      <c r="W96" s="51">
        <f t="shared" si="5"/>
        <v>0</v>
      </c>
      <c r="X96" s="58">
        <f t="shared" si="6"/>
        <v>0</v>
      </c>
      <c r="Y96" s="51">
        <f t="shared" si="7"/>
        <v>6.5965202405313201</v>
      </c>
      <c r="Z96" s="51">
        <f t="shared" si="8"/>
        <v>0.70084634043264293</v>
      </c>
      <c r="AA96" s="52">
        <v>1</v>
      </c>
      <c r="AB96">
        <v>0</v>
      </c>
    </row>
    <row r="97" spans="1:28">
      <c r="A97" s="49">
        <v>2020</v>
      </c>
      <c r="B97" s="59" t="s">
        <v>123</v>
      </c>
      <c r="C97" s="49" t="s">
        <v>124</v>
      </c>
      <c r="D97" s="50">
        <v>199398374000000</v>
      </c>
      <c r="E97" s="50">
        <v>3001632000000</v>
      </c>
      <c r="F97" s="50">
        <v>206297200000000</v>
      </c>
      <c r="G97" s="50"/>
      <c r="H97" s="50"/>
      <c r="I97" s="50">
        <v>176467884000000</v>
      </c>
      <c r="J97" s="50">
        <v>29829316000000</v>
      </c>
      <c r="K97" s="51">
        <v>22945296972</v>
      </c>
      <c r="L97" s="50">
        <v>12484662000000</v>
      </c>
      <c r="M97" s="50">
        <v>5658106000000</v>
      </c>
      <c r="N97" s="50">
        <v>3839552000000</v>
      </c>
      <c r="O97" s="50">
        <v>2101671000000</v>
      </c>
      <c r="P97" s="50"/>
      <c r="Q97" s="52">
        <v>820</v>
      </c>
      <c r="R97" s="51">
        <f t="shared" si="0"/>
        <v>1.1299414345558765</v>
      </c>
      <c r="S97" s="51">
        <f t="shared" si="1"/>
        <v>5.9159212366787086</v>
      </c>
      <c r="T97" s="51">
        <f t="shared" si="2"/>
        <v>1.0187588585787883E-2</v>
      </c>
      <c r="U97" s="51">
        <f t="shared" si="3"/>
        <v>7.0456560250996031E-2</v>
      </c>
      <c r="V97" s="51">
        <f t="shared" si="4"/>
        <v>0.16834024020834526</v>
      </c>
      <c r="W97" s="51">
        <f t="shared" si="5"/>
        <v>0</v>
      </c>
      <c r="X97" s="58">
        <f t="shared" si="6"/>
        <v>0</v>
      </c>
      <c r="Y97" s="51">
        <f t="shared" si="7"/>
        <v>8.9524685438586715</v>
      </c>
      <c r="Z97" s="51">
        <f t="shared" si="8"/>
        <v>0.63076013935552533</v>
      </c>
      <c r="AA97" s="52">
        <v>1</v>
      </c>
      <c r="AB97">
        <v>0</v>
      </c>
    </row>
    <row r="98" spans="1:28">
      <c r="A98" s="49">
        <v>2018</v>
      </c>
      <c r="B98" s="59" t="s">
        <v>125</v>
      </c>
      <c r="C98" s="49" t="s">
        <v>126</v>
      </c>
      <c r="D98" s="50">
        <v>11479310000000</v>
      </c>
      <c r="E98" s="50">
        <v>63494000000</v>
      </c>
      <c r="F98" s="50">
        <v>11793981000000</v>
      </c>
      <c r="G98" s="50"/>
      <c r="H98" s="50"/>
      <c r="I98" s="50">
        <v>10379604000000</v>
      </c>
      <c r="J98" s="50">
        <v>1414377000000</v>
      </c>
      <c r="K98" s="51">
        <v>4437912300</v>
      </c>
      <c r="L98" s="50">
        <v>747203000000</v>
      </c>
      <c r="M98" s="50">
        <v>315463000000</v>
      </c>
      <c r="N98" s="50">
        <v>433657000000</v>
      </c>
      <c r="O98" s="50">
        <v>44748000000</v>
      </c>
      <c r="P98" s="50"/>
      <c r="Q98" s="52">
        <v>1000</v>
      </c>
      <c r="R98" s="51">
        <f t="shared" si="0"/>
        <v>1.1059487433239263</v>
      </c>
      <c r="S98" s="51">
        <f t="shared" si="1"/>
        <v>7.3386402635223851</v>
      </c>
      <c r="T98" s="51">
        <f t="shared" si="2"/>
        <v>3.7941387221159676E-3</v>
      </c>
      <c r="U98" s="51">
        <f t="shared" si="3"/>
        <v>3.1637957913625572E-2</v>
      </c>
      <c r="V98" s="51">
        <f t="shared" si="4"/>
        <v>5.988733985275755E-2</v>
      </c>
      <c r="W98" s="51">
        <f t="shared" si="5"/>
        <v>0</v>
      </c>
      <c r="X98" s="58">
        <f t="shared" si="6"/>
        <v>0</v>
      </c>
      <c r="Y98" s="51">
        <f t="shared" si="7"/>
        <v>99.175657012603907</v>
      </c>
      <c r="Z98" s="51">
        <f t="shared" si="8"/>
        <v>3.1377152626209277</v>
      </c>
      <c r="AA98" s="52">
        <v>1</v>
      </c>
      <c r="AB98">
        <v>0</v>
      </c>
    </row>
    <row r="99" spans="1:28">
      <c r="A99" s="49">
        <v>2019</v>
      </c>
      <c r="B99" s="59" t="s">
        <v>125</v>
      </c>
      <c r="C99" s="49" t="s">
        <v>126</v>
      </c>
      <c r="D99" s="50">
        <v>12779731000000</v>
      </c>
      <c r="E99" s="50">
        <v>60705000000</v>
      </c>
      <c r="F99" s="50">
        <v>13147503000000</v>
      </c>
      <c r="G99" s="50"/>
      <c r="H99" s="50"/>
      <c r="I99" s="50">
        <v>11683086000000</v>
      </c>
      <c r="J99" s="50">
        <v>1464417000000</v>
      </c>
      <c r="K99" s="51">
        <v>4437912300</v>
      </c>
      <c r="L99" s="50">
        <v>821937000000</v>
      </c>
      <c r="M99" s="50">
        <v>385728000000</v>
      </c>
      <c r="N99" s="50">
        <v>466161000000</v>
      </c>
      <c r="O99" s="50">
        <v>45794000000</v>
      </c>
      <c r="P99" s="50"/>
      <c r="Q99" s="52">
        <v>890</v>
      </c>
      <c r="R99" s="51">
        <f t="shared" si="0"/>
        <v>1.0938660384764778</v>
      </c>
      <c r="S99" s="51">
        <f t="shared" si="1"/>
        <v>7.9779775842536651</v>
      </c>
      <c r="T99" s="51">
        <f t="shared" si="2"/>
        <v>3.4830948507864955E-3</v>
      </c>
      <c r="U99" s="51">
        <f t="shared" si="3"/>
        <v>3.1271147494190521E-2</v>
      </c>
      <c r="V99" s="51">
        <f t="shared" si="4"/>
        <v>5.5714732394331924E-2</v>
      </c>
      <c r="W99" s="51">
        <f t="shared" si="5"/>
        <v>0</v>
      </c>
      <c r="X99" s="58">
        <f t="shared" si="6"/>
        <v>0</v>
      </c>
      <c r="Y99" s="51">
        <f t="shared" si="7"/>
        <v>86.250206293400893</v>
      </c>
      <c r="Z99" s="51">
        <f t="shared" si="8"/>
        <v>2.6971429224052983</v>
      </c>
      <c r="AA99" s="52">
        <v>1</v>
      </c>
      <c r="AB99">
        <v>0</v>
      </c>
    </row>
    <row r="100" spans="1:28">
      <c r="A100" s="49">
        <v>2020</v>
      </c>
      <c r="B100" s="59" t="s">
        <v>125</v>
      </c>
      <c r="C100" s="49" t="s">
        <v>126</v>
      </c>
      <c r="D100" s="50">
        <v>13176673000000</v>
      </c>
      <c r="E100" s="50">
        <v>92302000000</v>
      </c>
      <c r="F100" s="50">
        <v>13737934000000</v>
      </c>
      <c r="G100" s="50"/>
      <c r="H100" s="50"/>
      <c r="I100" s="50">
        <v>12218080000000</v>
      </c>
      <c r="J100" s="50">
        <v>1519854000000</v>
      </c>
      <c r="K100" s="51">
        <v>4437912300</v>
      </c>
      <c r="L100" s="50">
        <v>792351000000</v>
      </c>
      <c r="M100" s="50">
        <v>360971000000</v>
      </c>
      <c r="N100" s="50">
        <v>462416000000</v>
      </c>
      <c r="O100" s="50">
        <v>53607000000</v>
      </c>
      <c r="P100" s="50"/>
      <c r="Q100" s="52">
        <v>825</v>
      </c>
      <c r="R100" s="51">
        <f t="shared" si="0"/>
        <v>1.0784569261291463</v>
      </c>
      <c r="S100" s="51">
        <f t="shared" si="1"/>
        <v>8.0389826917585498</v>
      </c>
      <c r="T100" s="51">
        <f t="shared" si="2"/>
        <v>3.9021151215313742E-3</v>
      </c>
      <c r="U100" s="51">
        <f t="shared" si="3"/>
        <v>3.5271151044771402E-2</v>
      </c>
      <c r="V100" s="51">
        <f t="shared" si="4"/>
        <v>6.7655622318896547E-2</v>
      </c>
      <c r="W100" s="51">
        <f t="shared" si="5"/>
        <v>0</v>
      </c>
      <c r="X100" s="58">
        <f t="shared" si="6"/>
        <v>0</v>
      </c>
      <c r="Y100" s="51">
        <f t="shared" si="7"/>
        <v>68.298499216520227</v>
      </c>
      <c r="Z100" s="51">
        <f t="shared" si="8"/>
        <v>2.4089666819970867</v>
      </c>
      <c r="AA100" s="52">
        <v>1</v>
      </c>
      <c r="AB100">
        <v>0</v>
      </c>
    </row>
    <row r="101" spans="1:28">
      <c r="A101" s="49">
        <v>2018</v>
      </c>
      <c r="B101" s="59" t="s">
        <v>127</v>
      </c>
      <c r="C101" s="49" t="s">
        <v>128</v>
      </c>
      <c r="D101" s="50">
        <v>192727760000000</v>
      </c>
      <c r="E101" s="50">
        <v>10260918000000</v>
      </c>
      <c r="F101" s="50">
        <v>207204418000000</v>
      </c>
      <c r="G101" s="50"/>
      <c r="H101" s="50"/>
      <c r="I101" s="50">
        <v>166457301000000</v>
      </c>
      <c r="J101" s="50">
        <v>40747117000000</v>
      </c>
      <c r="K101" s="51">
        <v>24087645998</v>
      </c>
      <c r="L101" s="50">
        <v>17212026000000</v>
      </c>
      <c r="M101" s="50">
        <v>8247532000000</v>
      </c>
      <c r="N101" s="50">
        <v>5048285000000</v>
      </c>
      <c r="O101" s="50">
        <v>3187157000000</v>
      </c>
      <c r="P101" s="50"/>
      <c r="Q101" s="52">
        <v>1145</v>
      </c>
      <c r="R101" s="51">
        <f t="shared" si="0"/>
        <v>1.1578210078030762</v>
      </c>
      <c r="S101" s="51">
        <f t="shared" si="1"/>
        <v>4.0851307590669546</v>
      </c>
      <c r="T101" s="51">
        <f t="shared" si="2"/>
        <v>1.5381703878534096E-2</v>
      </c>
      <c r="U101" s="51">
        <f t="shared" si="3"/>
        <v>7.8217975519593197E-2</v>
      </c>
      <c r="V101" s="51">
        <f t="shared" si="4"/>
        <v>0.18517035705151735</v>
      </c>
      <c r="W101" s="51">
        <f t="shared" si="5"/>
        <v>0</v>
      </c>
      <c r="X101" s="58">
        <f t="shared" si="6"/>
        <v>0</v>
      </c>
      <c r="Y101" s="51">
        <f t="shared" si="7"/>
        <v>8.6535914822238134</v>
      </c>
      <c r="Z101" s="51">
        <f t="shared" si="8"/>
        <v>0.67686640671314247</v>
      </c>
      <c r="AA101" s="52">
        <v>1</v>
      </c>
      <c r="AB101">
        <v>0</v>
      </c>
    </row>
    <row r="102" spans="1:28">
      <c r="A102" s="49">
        <v>2019</v>
      </c>
      <c r="B102" s="59" t="s">
        <v>127</v>
      </c>
      <c r="C102" s="49" t="s">
        <v>128</v>
      </c>
      <c r="D102" s="50">
        <v>195566210000000</v>
      </c>
      <c r="E102" s="50">
        <v>10312649000000</v>
      </c>
      <c r="F102" s="50">
        <v>211287370000000</v>
      </c>
      <c r="G102" s="50"/>
      <c r="H102" s="50"/>
      <c r="I102" s="50">
        <v>166845656000000</v>
      </c>
      <c r="J102" s="50">
        <v>44441714000000</v>
      </c>
      <c r="K102" s="51">
        <v>24087645998</v>
      </c>
      <c r="L102" s="50">
        <v>17724694000000</v>
      </c>
      <c r="M102" s="50">
        <v>8755818000000</v>
      </c>
      <c r="N102" s="50">
        <v>4865928000000</v>
      </c>
      <c r="O102" s="50">
        <v>3498299000000</v>
      </c>
      <c r="P102" s="50"/>
      <c r="Q102" s="52">
        <v>1335</v>
      </c>
      <c r="R102" s="51">
        <f t="shared" si="0"/>
        <v>1.1721384583126335</v>
      </c>
      <c r="S102" s="51">
        <f t="shared" si="1"/>
        <v>3.7542579028342606</v>
      </c>
      <c r="T102" s="51">
        <f t="shared" si="2"/>
        <v>1.6557066331035309E-2</v>
      </c>
      <c r="U102" s="51">
        <f t="shared" si="3"/>
        <v>7.8716563452075672E-2</v>
      </c>
      <c r="V102" s="51">
        <f t="shared" si="4"/>
        <v>0.19736865414996727</v>
      </c>
      <c r="W102" s="51">
        <f t="shared" si="5"/>
        <v>0</v>
      </c>
      <c r="X102" s="58">
        <f t="shared" si="6"/>
        <v>0</v>
      </c>
      <c r="Y102" s="51">
        <f t="shared" si="7"/>
        <v>9.1921838034227488</v>
      </c>
      <c r="Z102" s="51">
        <f t="shared" si="8"/>
        <v>0.72357711962526916</v>
      </c>
      <c r="AA102" s="52">
        <v>1</v>
      </c>
      <c r="AB102">
        <v>0</v>
      </c>
    </row>
    <row r="103" spans="1:28">
      <c r="A103" s="49">
        <v>2020</v>
      </c>
      <c r="B103" s="59" t="s">
        <v>127</v>
      </c>
      <c r="C103" s="49" t="s">
        <v>128</v>
      </c>
      <c r="D103" s="50">
        <v>201949618000000</v>
      </c>
      <c r="E103" s="50">
        <v>10326085000000</v>
      </c>
      <c r="F103" s="50">
        <v>218067091000000</v>
      </c>
      <c r="G103" s="50"/>
      <c r="H103" s="50"/>
      <c r="I103" s="50">
        <v>170606759000000</v>
      </c>
      <c r="J103" s="50">
        <v>47460332000000</v>
      </c>
      <c r="K103" s="51">
        <v>24087645998</v>
      </c>
      <c r="L103" s="50">
        <v>16185399000000</v>
      </c>
      <c r="M103" s="50">
        <v>7378410000000</v>
      </c>
      <c r="N103" s="50">
        <v>5475803000000</v>
      </c>
      <c r="O103" s="50">
        <v>3124205000000</v>
      </c>
      <c r="P103" s="50"/>
      <c r="Q103" s="52">
        <v>1065</v>
      </c>
      <c r="R103" s="51">
        <f t="shared" si="0"/>
        <v>1.1837140520323699</v>
      </c>
      <c r="S103" s="51">
        <f t="shared" si="1"/>
        <v>3.594723252252007</v>
      </c>
      <c r="T103" s="51">
        <f t="shared" si="2"/>
        <v>1.432680642307463E-2</v>
      </c>
      <c r="U103" s="51">
        <f t="shared" si="3"/>
        <v>6.5827710602614414E-2</v>
      </c>
      <c r="V103" s="51">
        <f t="shared" si="4"/>
        <v>0.19302613423370038</v>
      </c>
      <c r="W103" s="51">
        <f t="shared" si="5"/>
        <v>0</v>
      </c>
      <c r="X103" s="58">
        <f t="shared" si="6"/>
        <v>0</v>
      </c>
      <c r="Y103" s="51">
        <f t="shared" si="7"/>
        <v>8.2111586748852901</v>
      </c>
      <c r="Z103" s="51">
        <f t="shared" si="8"/>
        <v>0.5405217769624957</v>
      </c>
      <c r="AA103" s="52">
        <v>1</v>
      </c>
      <c r="AB103">
        <v>0</v>
      </c>
    </row>
    <row r="104" spans="1:28">
      <c r="A104" s="49">
        <v>2018</v>
      </c>
      <c r="B104" s="59" t="s">
        <v>129</v>
      </c>
      <c r="C104" s="49" t="s">
        <v>130</v>
      </c>
      <c r="D104" s="50">
        <v>8031035649000</v>
      </c>
      <c r="E104" s="50">
        <v>89050545000</v>
      </c>
      <c r="F104" s="50">
        <v>8771057795000</v>
      </c>
      <c r="G104" s="50"/>
      <c r="H104" s="50"/>
      <c r="I104" s="50">
        <v>854502894000</v>
      </c>
      <c r="J104" s="50">
        <v>1668466115000</v>
      </c>
      <c r="K104" s="51">
        <v>23959037851</v>
      </c>
      <c r="L104" s="50">
        <v>1067058304000</v>
      </c>
      <c r="M104" s="50">
        <v>282674989000</v>
      </c>
      <c r="N104" s="50">
        <v>279508545000</v>
      </c>
      <c r="O104" s="50">
        <v>20788229000</v>
      </c>
      <c r="P104" s="50"/>
      <c r="Q104" s="52">
        <v>50</v>
      </c>
      <c r="R104" s="51">
        <f t="shared" si="0"/>
        <v>9.3984885310405986</v>
      </c>
      <c r="S104" s="51">
        <f t="shared" si="1"/>
        <v>0.51214878523319607</v>
      </c>
      <c r="T104" s="51">
        <f t="shared" si="2"/>
        <v>2.3700937202637599E-3</v>
      </c>
      <c r="U104" s="51">
        <f t="shared" si="3"/>
        <v>1.2459485279987241E-2</v>
      </c>
      <c r="V104" s="51">
        <f t="shared" si="4"/>
        <v>1.9481811745499521E-2</v>
      </c>
      <c r="W104" s="51">
        <f t="shared" si="5"/>
        <v>0</v>
      </c>
      <c r="X104" s="58">
        <f t="shared" si="6"/>
        <v>0</v>
      </c>
      <c r="Y104" s="51">
        <f t="shared" si="7"/>
        <v>57.626452573232676</v>
      </c>
      <c r="Z104" s="51">
        <f t="shared" si="8"/>
        <v>0.71799593757407543</v>
      </c>
      <c r="AA104" s="52">
        <v>1</v>
      </c>
      <c r="AB104">
        <v>0</v>
      </c>
    </row>
    <row r="105" spans="1:28">
      <c r="A105" s="49">
        <v>2019</v>
      </c>
      <c r="B105" s="59" t="s">
        <v>129</v>
      </c>
      <c r="C105" s="49" t="s">
        <v>130</v>
      </c>
      <c r="D105" s="50">
        <v>9987811964000</v>
      </c>
      <c r="E105" s="50">
        <v>98158654000</v>
      </c>
      <c r="F105" s="50">
        <v>11135824845000</v>
      </c>
      <c r="G105" s="50"/>
      <c r="H105" s="50"/>
      <c r="I105" s="50">
        <v>583700944000</v>
      </c>
      <c r="J105" s="50">
        <v>1694565519000</v>
      </c>
      <c r="K105" s="51">
        <v>23959037851</v>
      </c>
      <c r="L105" s="50">
        <v>1262147840000</v>
      </c>
      <c r="M105" s="50">
        <v>218653174000</v>
      </c>
      <c r="N105" s="50">
        <v>208607338000</v>
      </c>
      <c r="O105" s="50">
        <v>13237011000</v>
      </c>
      <c r="P105" s="50"/>
      <c r="Q105" s="52">
        <v>50</v>
      </c>
      <c r="R105" s="51">
        <f t="shared" si="0"/>
        <v>17.111180077173216</v>
      </c>
      <c r="S105" s="51">
        <f t="shared" si="1"/>
        <v>0.34445463303446339</v>
      </c>
      <c r="T105" s="51">
        <f t="shared" si="2"/>
        <v>1.1886870693681424E-3</v>
      </c>
      <c r="U105" s="51">
        <f t="shared" si="3"/>
        <v>7.8114483338545971E-3</v>
      </c>
      <c r="V105" s="51">
        <f t="shared" si="4"/>
        <v>1.0487686608884106E-2</v>
      </c>
      <c r="W105" s="51">
        <f t="shared" si="5"/>
        <v>0</v>
      </c>
      <c r="X105" s="58">
        <f t="shared" si="6"/>
        <v>0</v>
      </c>
      <c r="Y105" s="51">
        <f t="shared" si="7"/>
        <v>90.500181086953845</v>
      </c>
      <c r="Z105" s="51">
        <f t="shared" si="8"/>
        <v>0.70693748876522489</v>
      </c>
      <c r="AA105" s="52">
        <v>1</v>
      </c>
      <c r="AB105">
        <v>0</v>
      </c>
    </row>
    <row r="106" spans="1:28">
      <c r="A106" s="49">
        <v>2020</v>
      </c>
      <c r="B106" s="59" t="s">
        <v>129</v>
      </c>
      <c r="C106" s="49" t="s">
        <v>130</v>
      </c>
      <c r="D106" s="50">
        <v>9947516700000</v>
      </c>
      <c r="E106" s="50">
        <v>198947537000</v>
      </c>
      <c r="F106" s="50">
        <v>11302082193000</v>
      </c>
      <c r="G106" s="50"/>
      <c r="H106" s="50"/>
      <c r="I106" s="50">
        <v>600931510000</v>
      </c>
      <c r="J106" s="50">
        <v>3115653432000</v>
      </c>
      <c r="K106" s="51">
        <v>38813641319</v>
      </c>
      <c r="L106" s="50">
        <v>1399900947000</v>
      </c>
      <c r="M106" s="50">
        <v>218943558000</v>
      </c>
      <c r="N106" s="50">
        <v>215546807000</v>
      </c>
      <c r="O106" s="50">
        <v>128116000</v>
      </c>
      <c r="P106" s="50"/>
      <c r="Q106" s="52">
        <v>83</v>
      </c>
      <c r="R106" s="51">
        <f t="shared" si="0"/>
        <v>16.553494923240088</v>
      </c>
      <c r="S106" s="51">
        <f t="shared" si="1"/>
        <v>0.19287495323709675</v>
      </c>
      <c r="T106" s="51">
        <f t="shared" si="2"/>
        <v>1.1335610360305933E-5</v>
      </c>
      <c r="U106" s="51">
        <f t="shared" si="3"/>
        <v>4.1120106197998982E-5</v>
      </c>
      <c r="V106" s="51">
        <f t="shared" si="4"/>
        <v>9.1517903659222251E-5</v>
      </c>
      <c r="W106" s="51">
        <f t="shared" si="5"/>
        <v>0</v>
      </c>
      <c r="X106" s="58">
        <f t="shared" si="6"/>
        <v>0</v>
      </c>
      <c r="Y106" s="75">
        <f t="shared" si="7"/>
        <v>25145.432494590841</v>
      </c>
      <c r="Z106" s="51">
        <f t="shared" si="8"/>
        <v>1.0339828545721896</v>
      </c>
      <c r="AA106" s="52">
        <v>1</v>
      </c>
      <c r="AB106">
        <v>0</v>
      </c>
    </row>
    <row r="107" spans="1:28">
      <c r="A107" s="49">
        <v>2018</v>
      </c>
      <c r="B107" s="59" t="s">
        <v>131</v>
      </c>
      <c r="C107" s="49" t="s">
        <v>132</v>
      </c>
      <c r="D107" s="50">
        <v>26920081000000</v>
      </c>
      <c r="E107" s="50">
        <v>355058000000</v>
      </c>
      <c r="F107" s="50">
        <v>29631693000000</v>
      </c>
      <c r="G107" s="50"/>
      <c r="H107" s="50"/>
      <c r="I107" s="50">
        <v>23081225000000</v>
      </c>
      <c r="J107" s="50">
        <v>6550468000000</v>
      </c>
      <c r="K107" s="51">
        <v>6580926254</v>
      </c>
      <c r="L107" s="50">
        <v>2214687000000</v>
      </c>
      <c r="M107" s="50">
        <v>924860000000</v>
      </c>
      <c r="N107" s="50">
        <v>817755000000</v>
      </c>
      <c r="O107" s="50">
        <v>537971000000</v>
      </c>
      <c r="P107" s="50">
        <v>98714000000</v>
      </c>
      <c r="Q107" s="52">
        <v>860</v>
      </c>
      <c r="R107" s="51">
        <f t="shared" si="0"/>
        <v>1.166319421954424</v>
      </c>
      <c r="S107" s="51">
        <f t="shared" si="1"/>
        <v>3.5235993825174017</v>
      </c>
      <c r="T107" s="51">
        <f t="shared" si="2"/>
        <v>1.8155256940600727E-2</v>
      </c>
      <c r="U107" s="51">
        <f t="shared" si="3"/>
        <v>8.2127109085946226E-2</v>
      </c>
      <c r="V107" s="51">
        <f t="shared" si="4"/>
        <v>0.2429106234876531</v>
      </c>
      <c r="W107" s="51">
        <f t="shared" si="5"/>
        <v>1.7441879227937714E-2</v>
      </c>
      <c r="X107" s="58">
        <f t="shared" si="6"/>
        <v>0.18349316227082874</v>
      </c>
      <c r="Y107" s="51">
        <f t="shared" si="7"/>
        <v>10.520263319844377</v>
      </c>
      <c r="Z107" s="51">
        <f t="shared" si="8"/>
        <v>0.863998813281738</v>
      </c>
      <c r="AA107" s="52">
        <v>1</v>
      </c>
      <c r="AB107">
        <v>0</v>
      </c>
    </row>
    <row r="108" spans="1:28">
      <c r="A108" s="49">
        <v>2019</v>
      </c>
      <c r="B108" s="59" t="s">
        <v>131</v>
      </c>
      <c r="C108" s="49" t="s">
        <v>132</v>
      </c>
      <c r="D108" s="50">
        <v>34227611000000</v>
      </c>
      <c r="E108" s="50">
        <v>370993000000</v>
      </c>
      <c r="F108" s="50">
        <v>36936262000000</v>
      </c>
      <c r="G108" s="50"/>
      <c r="H108" s="50"/>
      <c r="I108" s="50">
        <v>30000672000000</v>
      </c>
      <c r="J108" s="50">
        <v>6935590000000</v>
      </c>
      <c r="K108" s="51">
        <v>6580926254</v>
      </c>
      <c r="L108" s="50">
        <v>2438993000000</v>
      </c>
      <c r="M108" s="50">
        <v>1325908000000</v>
      </c>
      <c r="N108" s="50">
        <v>772982000000</v>
      </c>
      <c r="O108" s="50">
        <v>499791000000</v>
      </c>
      <c r="P108" s="50">
        <v>98714000000</v>
      </c>
      <c r="Q108" s="52">
        <v>830</v>
      </c>
      <c r="R108" s="51">
        <f t="shared" si="0"/>
        <v>1.1408948106229087</v>
      </c>
      <c r="S108" s="51">
        <f t="shared" si="1"/>
        <v>4.325612096447454</v>
      </c>
      <c r="T108" s="51">
        <f t="shared" si="2"/>
        <v>1.3531174324028783E-2</v>
      </c>
      <c r="U108" s="51">
        <f t="shared" si="3"/>
        <v>7.2061785659186889E-2</v>
      </c>
      <c r="V108" s="51">
        <f t="shared" si="4"/>
        <v>0.20491694728111151</v>
      </c>
      <c r="W108" s="51">
        <f t="shared" si="5"/>
        <v>1.8072308597622211E-2</v>
      </c>
      <c r="X108" s="58">
        <f t="shared" si="6"/>
        <v>0.197510559413835</v>
      </c>
      <c r="Y108" s="51">
        <f t="shared" si="7"/>
        <v>10.928905864291274</v>
      </c>
      <c r="Z108" s="51">
        <f t="shared" si="8"/>
        <v>0.78755647188198852</v>
      </c>
      <c r="AA108" s="52">
        <v>1</v>
      </c>
      <c r="AB108">
        <v>0</v>
      </c>
    </row>
    <row r="109" spans="1:28">
      <c r="A109" s="49">
        <v>2020</v>
      </c>
      <c r="B109" s="59" t="s">
        <v>131</v>
      </c>
      <c r="C109" s="49" t="s">
        <v>132</v>
      </c>
      <c r="D109" s="50">
        <v>35164985000000</v>
      </c>
      <c r="E109" s="50">
        <v>448354000000</v>
      </c>
      <c r="F109" s="50">
        <v>38053939000000</v>
      </c>
      <c r="G109" s="50"/>
      <c r="H109" s="50"/>
      <c r="I109" s="50">
        <v>30782968000000</v>
      </c>
      <c r="J109" s="50">
        <v>7270971000000</v>
      </c>
      <c r="K109" s="51">
        <v>6580926254</v>
      </c>
      <c r="L109" s="50">
        <v>2425276000000</v>
      </c>
      <c r="M109" s="50">
        <v>1178215000000</v>
      </c>
      <c r="N109" s="50">
        <v>812041000000</v>
      </c>
      <c r="O109" s="50">
        <v>536001000000</v>
      </c>
      <c r="P109" s="50">
        <v>85552000000</v>
      </c>
      <c r="Q109" s="52">
        <v>740</v>
      </c>
      <c r="R109" s="51">
        <f t="shared" si="0"/>
        <v>1.142351998026961</v>
      </c>
      <c r="S109" s="51">
        <f t="shared" si="1"/>
        <v>4.2336804809151349</v>
      </c>
      <c r="T109" s="51">
        <f t="shared" si="2"/>
        <v>1.4085296137148904E-2</v>
      </c>
      <c r="U109" s="51">
        <f t="shared" si="3"/>
        <v>7.371793946090556E-2</v>
      </c>
      <c r="V109" s="51">
        <f t="shared" si="4"/>
        <v>0.22100618651238044</v>
      </c>
      <c r="W109" s="51">
        <f t="shared" si="5"/>
        <v>1.7567559086464551E-2</v>
      </c>
      <c r="X109" s="58">
        <f t="shared" si="6"/>
        <v>0.15961164251559232</v>
      </c>
      <c r="Y109" s="51">
        <f t="shared" si="7"/>
        <v>9.0855901909884498</v>
      </c>
      <c r="Z109" s="51">
        <f t="shared" si="8"/>
        <v>0.66977098766588394</v>
      </c>
      <c r="AA109" s="52">
        <v>1</v>
      </c>
      <c r="AB109">
        <v>0</v>
      </c>
    </row>
    <row r="110" spans="1:28">
      <c r="A110" s="49">
        <v>2018</v>
      </c>
      <c r="B110" s="59" t="s">
        <v>202</v>
      </c>
      <c r="C110" s="49" t="s">
        <v>203</v>
      </c>
      <c r="D110" s="50">
        <v>2520428991187</v>
      </c>
      <c r="E110" s="50">
        <v>182238112107</v>
      </c>
      <c r="F110" s="50">
        <v>2896589814278</v>
      </c>
      <c r="G110" s="50"/>
      <c r="H110" s="50"/>
      <c r="I110" s="50">
        <v>1167083160521</v>
      </c>
      <c r="J110" s="50">
        <v>1729506653757</v>
      </c>
      <c r="K110" s="51">
        <f>140023750+11765966447</f>
        <v>11905990197</v>
      </c>
      <c r="L110" s="50">
        <v>473564916412</v>
      </c>
      <c r="M110" s="50">
        <v>359305382036</v>
      </c>
      <c r="N110" s="50">
        <v>144391182125</v>
      </c>
      <c r="O110" s="50">
        <v>70399722671</v>
      </c>
      <c r="P110" s="50"/>
      <c r="Q110" s="52">
        <v>540</v>
      </c>
      <c r="R110" s="51">
        <f t="shared" si="0"/>
        <v>2.1595967420709337</v>
      </c>
      <c r="S110" s="51">
        <f t="shared" si="1"/>
        <v>0.67480697919591703</v>
      </c>
      <c r="T110" s="51">
        <f t="shared" si="2"/>
        <v>2.4304346554000343E-2</v>
      </c>
      <c r="U110" s="51">
        <f t="shared" si="3"/>
        <v>4.0705089233436006E-2</v>
      </c>
      <c r="V110" s="51">
        <f t="shared" si="4"/>
        <v>0.14865907551680299</v>
      </c>
      <c r="W110" s="51">
        <f t="shared" si="5"/>
        <v>0</v>
      </c>
      <c r="X110" s="58">
        <f t="shared" si="6"/>
        <v>0</v>
      </c>
      <c r="Y110" s="51">
        <f t="shared" si="7"/>
        <v>91.32471638312883</v>
      </c>
      <c r="Z110" s="51">
        <f t="shared" si="8"/>
        <v>3.7173807295934944</v>
      </c>
      <c r="AA110" s="52">
        <v>1</v>
      </c>
      <c r="AB110">
        <v>0</v>
      </c>
    </row>
    <row r="111" spans="1:28">
      <c r="A111" s="49">
        <v>2019</v>
      </c>
      <c r="B111" s="59" t="s">
        <v>202</v>
      </c>
      <c r="C111" s="49" t="s">
        <v>203</v>
      </c>
      <c r="D111" s="50">
        <v>3328927878165</v>
      </c>
      <c r="E111" s="50">
        <v>179433881039</v>
      </c>
      <c r="F111" s="50">
        <v>3652947899746</v>
      </c>
      <c r="G111" s="50"/>
      <c r="H111" s="50"/>
      <c r="I111" s="50">
        <v>1818115863373</v>
      </c>
      <c r="J111" s="50">
        <v>1834832036373</v>
      </c>
      <c r="K111" s="51">
        <f t="shared" ref="K111:K112" si="17">140023750+11766313488</f>
        <v>11906337238</v>
      </c>
      <c r="L111" s="50">
        <v>1193590630021</v>
      </c>
      <c r="M111" s="50">
        <v>1009410116496</v>
      </c>
      <c r="N111" s="50">
        <v>120227476034</v>
      </c>
      <c r="O111" s="50">
        <v>102897273401</v>
      </c>
      <c r="P111" s="50"/>
      <c r="Q111" s="52">
        <v>690</v>
      </c>
      <c r="R111" s="51">
        <f t="shared" si="0"/>
        <v>1.8309767519376434</v>
      </c>
      <c r="S111" s="51">
        <f t="shared" si="1"/>
        <v>0.9908895350262994</v>
      </c>
      <c r="T111" s="51">
        <f t="shared" si="2"/>
        <v>2.8168283869626158E-2</v>
      </c>
      <c r="U111" s="51">
        <f t="shared" si="3"/>
        <v>5.6079941575688831E-2</v>
      </c>
      <c r="V111" s="51">
        <f t="shared" si="4"/>
        <v>8.620817792377411E-2</v>
      </c>
      <c r="W111" s="51">
        <f t="shared" si="5"/>
        <v>0</v>
      </c>
      <c r="X111" s="58">
        <f t="shared" si="6"/>
        <v>0</v>
      </c>
      <c r="Y111" s="51">
        <f t="shared" si="7"/>
        <v>79.840528545435291</v>
      </c>
      <c r="Z111" s="51">
        <f t="shared" si="8"/>
        <v>4.4774521762001278</v>
      </c>
      <c r="AA111" s="52">
        <v>1</v>
      </c>
      <c r="AB111">
        <v>0</v>
      </c>
    </row>
    <row r="112" spans="1:28">
      <c r="A112" s="49">
        <v>2020</v>
      </c>
      <c r="B112" s="59" t="s">
        <v>202</v>
      </c>
      <c r="C112" s="49" t="s">
        <v>203</v>
      </c>
      <c r="D112" s="50">
        <v>4201191401871</v>
      </c>
      <c r="E112" s="50">
        <v>190479472617</v>
      </c>
      <c r="F112" s="50">
        <v>4881911874208</v>
      </c>
      <c r="G112" s="50"/>
      <c r="H112" s="50"/>
      <c r="I112" s="50">
        <v>2920986089935</v>
      </c>
      <c r="J112" s="50">
        <v>1960925784273</v>
      </c>
      <c r="K112" s="51">
        <f t="shared" si="17"/>
        <v>11906337238</v>
      </c>
      <c r="L112" s="50">
        <v>2275473702348</v>
      </c>
      <c r="M112" s="50">
        <v>2062436886511</v>
      </c>
      <c r="N112" s="50">
        <v>153728295937</v>
      </c>
      <c r="O112" s="50">
        <v>124726300324</v>
      </c>
      <c r="P112" s="50"/>
      <c r="Q112" s="52">
        <v>785</v>
      </c>
      <c r="R112" s="51">
        <f t="shared" si="0"/>
        <v>1.4382784691605595</v>
      </c>
      <c r="S112" s="51">
        <f t="shared" si="1"/>
        <v>1.4895954315873998</v>
      </c>
      <c r="T112" s="51">
        <f t="shared" si="2"/>
        <v>2.5548658709500884E-2</v>
      </c>
      <c r="U112" s="51">
        <f t="shared" si="3"/>
        <v>6.360582400635903E-2</v>
      </c>
      <c r="V112" s="51">
        <f t="shared" si="4"/>
        <v>5.4813334118209447E-2</v>
      </c>
      <c r="W112" s="51">
        <f t="shared" si="5"/>
        <v>0</v>
      </c>
      <c r="X112" s="58">
        <f t="shared" si="6"/>
        <v>0</v>
      </c>
      <c r="Y112" s="51">
        <f t="shared" si="7"/>
        <v>74.935877257248677</v>
      </c>
      <c r="Z112" s="51">
        <f t="shared" si="8"/>
        <v>4.7663582205866826</v>
      </c>
      <c r="AA112" s="52">
        <v>1</v>
      </c>
      <c r="AB112">
        <v>0</v>
      </c>
    </row>
    <row r="113" spans="1:28">
      <c r="A113" s="49">
        <v>2018</v>
      </c>
      <c r="B113" s="59" t="s">
        <v>206</v>
      </c>
      <c r="C113" s="49" t="s">
        <v>207</v>
      </c>
      <c r="D113" s="50">
        <v>73149118953</v>
      </c>
      <c r="E113" s="50">
        <v>265730271470</v>
      </c>
      <c r="F113" s="50">
        <v>431672804838</v>
      </c>
      <c r="G113" s="50"/>
      <c r="H113" s="50">
        <v>54497512512</v>
      </c>
      <c r="I113" s="50">
        <v>63912279502</v>
      </c>
      <c r="J113" s="50">
        <v>367760525336</v>
      </c>
      <c r="K113" s="51">
        <v>446674175</v>
      </c>
      <c r="L113" s="50">
        <v>87440977373</v>
      </c>
      <c r="M113" s="50">
        <v>27307815715</v>
      </c>
      <c r="N113" s="50">
        <v>56739467276</v>
      </c>
      <c r="O113" s="50">
        <v>7498492703</v>
      </c>
      <c r="P113" s="50"/>
      <c r="Q113" s="52">
        <v>1310</v>
      </c>
      <c r="R113" s="51">
        <f t="shared" si="0"/>
        <v>1.1445237053500956</v>
      </c>
      <c r="S113" s="51">
        <f t="shared" si="1"/>
        <v>0.17378776431648643</v>
      </c>
      <c r="T113" s="51">
        <f t="shared" si="2"/>
        <v>1.7370778559501952E-2</v>
      </c>
      <c r="U113" s="51">
        <f t="shared" si="3"/>
        <v>2.038960732979455E-2</v>
      </c>
      <c r="V113" s="51">
        <f t="shared" si="4"/>
        <v>8.5754904945920502E-2</v>
      </c>
      <c r="W113" s="51">
        <f t="shared" si="5"/>
        <v>0</v>
      </c>
      <c r="X113" s="58">
        <f t="shared" si="6"/>
        <v>0</v>
      </c>
      <c r="Y113" s="51">
        <f t="shared" si="7"/>
        <v>78.034772110386356</v>
      </c>
      <c r="Z113" s="51">
        <f t="shared" si="8"/>
        <v>1.591098361400781</v>
      </c>
      <c r="AA113" s="52">
        <v>1</v>
      </c>
      <c r="AB113">
        <v>0</v>
      </c>
    </row>
    <row r="114" spans="1:28">
      <c r="A114" s="49">
        <v>2019</v>
      </c>
      <c r="B114" s="59" t="s">
        <v>206</v>
      </c>
      <c r="C114" s="49" t="s">
        <v>207</v>
      </c>
      <c r="D114" s="50">
        <v>85188330002</v>
      </c>
      <c r="E114" s="50">
        <v>259633756608</v>
      </c>
      <c r="F114" s="50">
        <v>439070378556</v>
      </c>
      <c r="G114" s="50"/>
      <c r="H114" s="50">
        <v>54263912675</v>
      </c>
      <c r="I114" s="50">
        <v>66308261273</v>
      </c>
      <c r="J114" s="50">
        <v>372762117283</v>
      </c>
      <c r="K114" s="51">
        <v>446674175</v>
      </c>
      <c r="L114" s="50">
        <v>85726802073</v>
      </c>
      <c r="M114" s="50">
        <v>26800834114</v>
      </c>
      <c r="N114" s="50">
        <v>62778284141</v>
      </c>
      <c r="O114" s="50">
        <v>628762882</v>
      </c>
      <c r="P114" s="50"/>
      <c r="Q114" s="52">
        <v>450</v>
      </c>
      <c r="R114" s="51">
        <f t="shared" si="0"/>
        <v>1.2847317719773743</v>
      </c>
      <c r="S114" s="51">
        <f t="shared" si="1"/>
        <v>0.17788358365466345</v>
      </c>
      <c r="T114" s="51">
        <f t="shared" si="2"/>
        <v>1.4320321130927903E-3</v>
      </c>
      <c r="U114" s="51">
        <f t="shared" si="3"/>
        <v>1.6867671172782961E-3</v>
      </c>
      <c r="V114" s="51">
        <f t="shared" si="4"/>
        <v>7.334495942874223E-3</v>
      </c>
      <c r="W114" s="51">
        <f t="shared" si="5"/>
        <v>0</v>
      </c>
      <c r="X114" s="58">
        <f t="shared" si="6"/>
        <v>0</v>
      </c>
      <c r="Y114" s="51">
        <f t="shared" si="7"/>
        <v>319.68073260087897</v>
      </c>
      <c r="Z114" s="51">
        <f t="shared" si="8"/>
        <v>0.53922694777859836</v>
      </c>
      <c r="AA114" s="52">
        <v>1</v>
      </c>
      <c r="AB114">
        <v>0</v>
      </c>
    </row>
    <row r="115" spans="1:28">
      <c r="A115" s="49">
        <v>2020</v>
      </c>
      <c r="B115" s="59" t="s">
        <v>206</v>
      </c>
      <c r="C115" s="49" t="s">
        <v>207</v>
      </c>
      <c r="D115" s="50">
        <v>93732057163</v>
      </c>
      <c r="E115" s="50">
        <v>241844455384</v>
      </c>
      <c r="F115" s="50">
        <v>394280340197</v>
      </c>
      <c r="G115" s="50"/>
      <c r="H115" s="50">
        <v>41284563811</v>
      </c>
      <c r="I115" s="50">
        <v>51589144973</v>
      </c>
      <c r="J115" s="50">
        <v>342691195224</v>
      </c>
      <c r="K115" s="51">
        <v>446674175</v>
      </c>
      <c r="L115" s="50">
        <v>32934176030</v>
      </c>
      <c r="M115" s="50">
        <v>12471168816</v>
      </c>
      <c r="N115" s="50">
        <v>41357026843</v>
      </c>
      <c r="O115" s="50">
        <v>-11209268817</v>
      </c>
      <c r="P115" s="50"/>
      <c r="Q115" s="52">
        <v>256</v>
      </c>
      <c r="R115" s="51">
        <f t="shared" si="0"/>
        <v>1.816894953619723</v>
      </c>
      <c r="S115" s="51">
        <f t="shared" si="1"/>
        <v>0.15054120354413766</v>
      </c>
      <c r="T115" s="51">
        <f t="shared" si="2"/>
        <v>-2.842969246551667E-2</v>
      </c>
      <c r="U115" s="51">
        <f t="shared" si="3"/>
        <v>-3.2709532585665252E-2</v>
      </c>
      <c r="V115" s="51">
        <f t="shared" si="4"/>
        <v>-0.34035370451622621</v>
      </c>
      <c r="W115" s="51">
        <f t="shared" si="5"/>
        <v>0</v>
      </c>
      <c r="X115" s="58">
        <f t="shared" si="6"/>
        <v>0</v>
      </c>
      <c r="Y115" s="51">
        <f t="shared" si="7"/>
        <v>-10.201253147446932</v>
      </c>
      <c r="Z115" s="51">
        <f t="shared" si="8"/>
        <v>0.3336782222410356</v>
      </c>
      <c r="AA115" s="52">
        <v>1</v>
      </c>
      <c r="AB115">
        <v>0</v>
      </c>
    </row>
    <row r="116" spans="1:28">
      <c r="A116" s="49">
        <v>2018</v>
      </c>
      <c r="B116" s="59" t="s">
        <v>208</v>
      </c>
      <c r="C116" s="49" t="s">
        <v>209</v>
      </c>
      <c r="D116" s="50">
        <v>397576606710</v>
      </c>
      <c r="E116" s="50">
        <v>668004938529</v>
      </c>
      <c r="F116" s="50">
        <v>1229926003723</v>
      </c>
      <c r="G116" s="50"/>
      <c r="H116" s="50">
        <v>140926455842</v>
      </c>
      <c r="I116" s="50">
        <v>416632326814</v>
      </c>
      <c r="J116" s="50">
        <v>813293676909</v>
      </c>
      <c r="K116" s="51">
        <v>4272964279</v>
      </c>
      <c r="L116" s="50">
        <v>1035508850963</v>
      </c>
      <c r="M116" s="50">
        <v>694804974807</v>
      </c>
      <c r="N116" s="50">
        <v>239999883906</v>
      </c>
      <c r="O116" s="50">
        <v>80315046464</v>
      </c>
      <c r="P116" s="50">
        <v>3457187223</v>
      </c>
      <c r="Q116" s="52">
        <v>77</v>
      </c>
      <c r="R116" s="51">
        <f t="shared" si="0"/>
        <v>0.95426250226495946</v>
      </c>
      <c r="S116" s="51">
        <f t="shared" si="1"/>
        <v>0.51227783842787367</v>
      </c>
      <c r="T116" s="51">
        <f t="shared" si="2"/>
        <v>6.5300714206290009E-2</v>
      </c>
      <c r="U116" s="51">
        <f t="shared" si="3"/>
        <v>9.8752822927684586E-2</v>
      </c>
      <c r="V116" s="51">
        <f t="shared" si="4"/>
        <v>7.7560946378496726E-2</v>
      </c>
      <c r="W116" s="51">
        <f t="shared" si="5"/>
        <v>1.0507585000018757E-2</v>
      </c>
      <c r="X116" s="58">
        <f t="shared" si="6"/>
        <v>4.3045324322256745E-2</v>
      </c>
      <c r="Y116" s="51">
        <f t="shared" si="7"/>
        <v>4.0965953948676033</v>
      </c>
      <c r="Z116" s="51">
        <f t="shared" si="8"/>
        <v>0.40455035963572855</v>
      </c>
      <c r="AA116" s="52">
        <v>1</v>
      </c>
      <c r="AB116">
        <v>0</v>
      </c>
    </row>
    <row r="117" spans="1:28">
      <c r="A117" s="49">
        <v>2019</v>
      </c>
      <c r="B117" s="59" t="s">
        <v>208</v>
      </c>
      <c r="C117" s="49" t="s">
        <v>209</v>
      </c>
      <c r="D117" s="50">
        <v>415197995568</v>
      </c>
      <c r="E117" s="50">
        <v>623057370408</v>
      </c>
      <c r="F117" s="50">
        <v>1215041391937</v>
      </c>
      <c r="G117" s="50"/>
      <c r="H117" s="50">
        <v>108411097142</v>
      </c>
      <c r="I117" s="50">
        <v>390067438922</v>
      </c>
      <c r="J117" s="50">
        <v>824973953015</v>
      </c>
      <c r="K117" s="51">
        <v>4272964279</v>
      </c>
      <c r="L117" s="50">
        <v>980145831991</v>
      </c>
      <c r="M117" s="50">
        <v>682255151407</v>
      </c>
      <c r="N117" s="50">
        <v>254608244796</v>
      </c>
      <c r="O117" s="50">
        <v>20100336037</v>
      </c>
      <c r="P117" s="50">
        <v>12151609257</v>
      </c>
      <c r="Q117" s="52">
        <v>128</v>
      </c>
      <c r="R117" s="51">
        <f t="shared" si="0"/>
        <v>1.0644261841374185</v>
      </c>
      <c r="S117" s="51">
        <f t="shared" si="1"/>
        <v>0.4728239449214558</v>
      </c>
      <c r="T117" s="51">
        <f t="shared" si="2"/>
        <v>1.6542922875208685E-2</v>
      </c>
      <c r="U117" s="51">
        <f t="shared" si="3"/>
        <v>2.4364812929596247E-2</v>
      </c>
      <c r="V117" s="51">
        <f t="shared" si="4"/>
        <v>2.0507495294011073E-2</v>
      </c>
      <c r="W117" s="51">
        <f t="shared" si="5"/>
        <v>2.2217468043643458E-2</v>
      </c>
      <c r="X117" s="58">
        <f t="shared" si="6"/>
        <v>0.60454756749497818</v>
      </c>
      <c r="Y117" s="51">
        <f t="shared" si="7"/>
        <v>27.210461890050638</v>
      </c>
      <c r="Z117" s="51">
        <f t="shared" si="8"/>
        <v>0.66297781367899178</v>
      </c>
      <c r="AA117" s="52">
        <v>1</v>
      </c>
      <c r="AB117">
        <v>0</v>
      </c>
    </row>
    <row r="118" spans="1:28">
      <c r="A118" s="49">
        <v>2020</v>
      </c>
      <c r="B118" s="59" t="s">
        <v>208</v>
      </c>
      <c r="C118" s="49" t="s">
        <v>209</v>
      </c>
      <c r="D118" s="50">
        <v>264413829825</v>
      </c>
      <c r="E118" s="50">
        <v>580933225999</v>
      </c>
      <c r="F118" s="50">
        <v>1043313799003</v>
      </c>
      <c r="G118" s="50"/>
      <c r="H118" s="50">
        <v>163009184592</v>
      </c>
      <c r="I118" s="50">
        <v>466243114050</v>
      </c>
      <c r="J118" s="50">
        <v>577070684953</v>
      </c>
      <c r="K118" s="51">
        <v>4272964279</v>
      </c>
      <c r="L118" s="50">
        <v>284181538459</v>
      </c>
      <c r="M118" s="50">
        <v>237921357900</v>
      </c>
      <c r="N118" s="50">
        <v>235610486134</v>
      </c>
      <c r="O118" s="50">
        <v>-256092630622</v>
      </c>
      <c r="P118" s="50">
        <v>28040000</v>
      </c>
      <c r="Q118" s="52">
        <v>55</v>
      </c>
      <c r="R118" s="51">
        <f t="shared" si="0"/>
        <v>0.56711578542829522</v>
      </c>
      <c r="S118" s="51">
        <f t="shared" si="1"/>
        <v>0.80794801435455621</v>
      </c>
      <c r="T118" s="51">
        <f t="shared" si="2"/>
        <v>-0.24546079124681799</v>
      </c>
      <c r="U118" s="51">
        <f t="shared" si="3"/>
        <v>-0.44378035013658279</v>
      </c>
      <c r="V118" s="51">
        <f t="shared" si="4"/>
        <v>-0.90115857634765917</v>
      </c>
      <c r="W118" s="51">
        <f t="shared" si="5"/>
        <v>1.1931253072340084E-4</v>
      </c>
      <c r="X118" s="58">
        <f t="shared" si="6"/>
        <v>-1.094916317267553E-4</v>
      </c>
      <c r="Y118" s="51">
        <f t="shared" si="7"/>
        <v>-0.91768761472830485</v>
      </c>
      <c r="Z118" s="51">
        <f t="shared" si="8"/>
        <v>0.40725173098013256</v>
      </c>
      <c r="AA118" s="52">
        <v>1</v>
      </c>
      <c r="AB118">
        <v>0</v>
      </c>
    </row>
    <row r="119" spans="1:28">
      <c r="A119" s="49">
        <v>2018</v>
      </c>
      <c r="B119" s="59" t="s">
        <v>211</v>
      </c>
      <c r="C119" s="49" t="s">
        <v>212</v>
      </c>
      <c r="D119" s="50">
        <v>587179039123</v>
      </c>
      <c r="E119" s="50">
        <v>313507248253</v>
      </c>
      <c r="F119" s="50">
        <v>986798686383</v>
      </c>
      <c r="G119" s="50"/>
      <c r="H119" s="50">
        <v>106701019905</v>
      </c>
      <c r="I119" s="50">
        <v>560755293708</v>
      </c>
      <c r="J119" s="50">
        <v>426043392675</v>
      </c>
      <c r="K119" s="51">
        <v>1600000000</v>
      </c>
      <c r="L119" s="50">
        <v>1176679314139</v>
      </c>
      <c r="M119" s="50">
        <v>947170542507</v>
      </c>
      <c r="N119" s="50">
        <v>159317990074</v>
      </c>
      <c r="O119" s="50">
        <v>21618512703</v>
      </c>
      <c r="P119" s="50">
        <v>8000000000</v>
      </c>
      <c r="Q119" s="52">
        <v>316</v>
      </c>
      <c r="R119" s="51">
        <f t="shared" si="0"/>
        <v>1.0471217047997403</v>
      </c>
      <c r="S119" s="51">
        <f t="shared" si="1"/>
        <v>1.3161929121519382</v>
      </c>
      <c r="T119" s="51">
        <f t="shared" si="2"/>
        <v>2.1907723430642411E-2</v>
      </c>
      <c r="U119" s="51">
        <f t="shared" si="3"/>
        <v>5.0742513731438892E-2</v>
      </c>
      <c r="V119" s="51">
        <f t="shared" si="4"/>
        <v>1.8372476207605216E-2</v>
      </c>
      <c r="W119" s="51">
        <f t="shared" si="5"/>
        <v>1.5822784810126583E-2</v>
      </c>
      <c r="X119" s="58">
        <f t="shared" si="6"/>
        <v>0.37005320902070382</v>
      </c>
      <c r="Y119" s="51">
        <f t="shared" si="7"/>
        <v>23.387362810108485</v>
      </c>
      <c r="Z119" s="51">
        <f t="shared" si="8"/>
        <v>1.1867335785340729</v>
      </c>
      <c r="AA119" s="52">
        <v>1</v>
      </c>
      <c r="AB119">
        <v>0</v>
      </c>
    </row>
    <row r="120" spans="1:28">
      <c r="A120" s="49">
        <v>2019</v>
      </c>
      <c r="B120" s="59" t="s">
        <v>211</v>
      </c>
      <c r="C120" s="49" t="s">
        <v>212</v>
      </c>
      <c r="D120" s="50">
        <v>553095462520</v>
      </c>
      <c r="E120" s="50">
        <v>297319143583</v>
      </c>
      <c r="F120" s="50">
        <v>962025149261</v>
      </c>
      <c r="G120" s="50"/>
      <c r="H120" s="50">
        <v>106816001403</v>
      </c>
      <c r="I120" s="50">
        <v>553754286838</v>
      </c>
      <c r="J120" s="50">
        <v>408270862423</v>
      </c>
      <c r="K120" s="51">
        <v>1600000000</v>
      </c>
      <c r="L120" s="50">
        <v>1187269670295</v>
      </c>
      <c r="M120" s="50">
        <v>891846999972</v>
      </c>
      <c r="N120" s="50">
        <v>211484755362</v>
      </c>
      <c r="O120" s="50">
        <v>32133014664</v>
      </c>
      <c r="P120" s="50">
        <v>8000000000</v>
      </c>
      <c r="Q120" s="52">
        <v>338</v>
      </c>
      <c r="R120" s="51">
        <f t="shared" si="0"/>
        <v>0.99881025874894447</v>
      </c>
      <c r="S120" s="51">
        <f t="shared" si="1"/>
        <v>1.3563404538633668</v>
      </c>
      <c r="T120" s="51">
        <f t="shared" si="2"/>
        <v>3.3401428942563149E-2</v>
      </c>
      <c r="U120" s="51">
        <f t="shared" si="3"/>
        <v>7.8705138234204247E-2</v>
      </c>
      <c r="V120" s="51">
        <f t="shared" si="4"/>
        <v>2.7064630275627215E-2</v>
      </c>
      <c r="W120" s="51">
        <f t="shared" si="5"/>
        <v>1.4792899408284023E-2</v>
      </c>
      <c r="X120" s="58">
        <f t="shared" si="6"/>
        <v>0.24896512461256068</v>
      </c>
      <c r="Y120" s="51">
        <f t="shared" si="7"/>
        <v>16.830042423809104</v>
      </c>
      <c r="Z120" s="51">
        <f t="shared" si="8"/>
        <v>1.3246108154534173</v>
      </c>
      <c r="AA120" s="52">
        <v>1</v>
      </c>
      <c r="AB120">
        <v>0</v>
      </c>
    </row>
    <row r="121" spans="1:28">
      <c r="A121" s="49">
        <v>2020</v>
      </c>
      <c r="B121" s="59" t="s">
        <v>211</v>
      </c>
      <c r="C121" s="49" t="s">
        <v>212</v>
      </c>
      <c r="D121" s="50">
        <v>505972668218</v>
      </c>
      <c r="E121" s="50">
        <v>385727013711</v>
      </c>
      <c r="F121" s="50">
        <v>972015359252</v>
      </c>
      <c r="G121" s="50"/>
      <c r="H121" s="50">
        <v>151749817514</v>
      </c>
      <c r="I121" s="50">
        <v>601172001077</v>
      </c>
      <c r="J121" s="50">
        <v>370843358175</v>
      </c>
      <c r="K121" s="51">
        <v>1600000000</v>
      </c>
      <c r="L121" s="50">
        <v>984347363283</v>
      </c>
      <c r="M121" s="50">
        <v>745766889459</v>
      </c>
      <c r="N121" s="50">
        <v>189978072198</v>
      </c>
      <c r="O121" s="50">
        <v>1599783419</v>
      </c>
      <c r="P121" s="50">
        <v>8000000000</v>
      </c>
      <c r="Q121" s="52">
        <v>346</v>
      </c>
      <c r="R121" s="51">
        <f t="shared" si="0"/>
        <v>0.84164376802570584</v>
      </c>
      <c r="S121" s="51">
        <f t="shared" si="1"/>
        <v>1.6210941569386514</v>
      </c>
      <c r="T121" s="51">
        <f t="shared" si="2"/>
        <v>1.6458417079243373E-3</v>
      </c>
      <c r="U121" s="51">
        <f t="shared" si="3"/>
        <v>4.313906083886411E-3</v>
      </c>
      <c r="V121" s="51">
        <f t="shared" si="4"/>
        <v>1.6252224353650877E-3</v>
      </c>
      <c r="W121" s="51">
        <f>(P121/K120)/Q121</f>
        <v>1.4450867052023121E-2</v>
      </c>
      <c r="X121" s="58">
        <f t="shared" si="6"/>
        <v>5.0006769072532808</v>
      </c>
      <c r="Y121" s="51">
        <f>Q121/(O121/K120)</f>
        <v>346.04684198192706</v>
      </c>
      <c r="Z121" s="51">
        <f>Q121/(J121/K120)</f>
        <v>1.4928135769355146</v>
      </c>
      <c r="AA121" s="52">
        <v>1</v>
      </c>
      <c r="AB121">
        <v>0</v>
      </c>
    </row>
    <row r="122" spans="1:28">
      <c r="A122" s="49">
        <v>2018</v>
      </c>
      <c r="B122" s="59" t="s">
        <v>213</v>
      </c>
      <c r="C122" s="49" t="s">
        <v>214</v>
      </c>
      <c r="D122" s="50">
        <v>179359221655</v>
      </c>
      <c r="E122" s="50">
        <v>604523211</v>
      </c>
      <c r="F122" s="50">
        <v>1262027127785</v>
      </c>
      <c r="G122" s="50"/>
      <c r="H122" s="50"/>
      <c r="I122" s="50">
        <v>12074906518</v>
      </c>
      <c r="J122" s="50">
        <v>1249952221267</v>
      </c>
      <c r="K122" s="51">
        <f t="shared" ref="K122:K124" si="18">1109250000+1479000000</f>
        <v>2588250000</v>
      </c>
      <c r="L122" s="50">
        <v>3309695977</v>
      </c>
      <c r="M122" s="50">
        <v>4326032844</v>
      </c>
      <c r="N122" s="50">
        <v>38942653627</v>
      </c>
      <c r="O122" s="50">
        <v>36602219324</v>
      </c>
      <c r="Q122" s="52">
        <v>102</v>
      </c>
      <c r="R122" s="51">
        <f t="shared" si="0"/>
        <v>14.853880764015038</v>
      </c>
      <c r="S122" s="51">
        <f t="shared" si="1"/>
        <v>9.6602944597037541E-3</v>
      </c>
      <c r="T122" s="51">
        <f t="shared" si="2"/>
        <v>2.9002719924286432E-2</v>
      </c>
      <c r="U122" s="51">
        <f t="shared" si="3"/>
        <v>2.9282894738887358E-2</v>
      </c>
      <c r="V122" s="51">
        <f t="shared" si="4"/>
        <v>11.059088078892753</v>
      </c>
      <c r="W122" s="51">
        <f t="shared" ref="W122:W124" si="19">(P122/K122)/Q122</f>
        <v>0</v>
      </c>
      <c r="X122" s="58">
        <f t="shared" si="6"/>
        <v>0</v>
      </c>
      <c r="Y122" s="51">
        <f t="shared" ref="Y122:Y124" si="20">Q122/(O122/K122)</f>
        <v>7.2127183781693462</v>
      </c>
      <c r="Z122" s="51">
        <f t="shared" ref="Z122:Z124" si="21">Q122/(J122/K122)</f>
        <v>0.21120927304917131</v>
      </c>
      <c r="AA122" s="52">
        <v>1</v>
      </c>
      <c r="AB122">
        <v>0</v>
      </c>
    </row>
    <row r="123" spans="1:28">
      <c r="A123" s="49">
        <v>2019</v>
      </c>
      <c r="B123" s="59" t="s">
        <v>213</v>
      </c>
      <c r="C123" s="49" t="s">
        <v>214</v>
      </c>
      <c r="D123" s="50">
        <v>167434324974</v>
      </c>
      <c r="E123" s="50">
        <v>544048165</v>
      </c>
      <c r="F123" s="50">
        <v>1093765589044</v>
      </c>
      <c r="G123" s="50"/>
      <c r="H123" s="50"/>
      <c r="I123" s="50">
        <v>12322265710</v>
      </c>
      <c r="J123" s="50">
        <v>1081443323334</v>
      </c>
      <c r="K123" s="51">
        <f t="shared" si="18"/>
        <v>2588250000</v>
      </c>
      <c r="L123" s="50">
        <v>2864926016</v>
      </c>
      <c r="M123" s="50">
        <v>6271926871</v>
      </c>
      <c r="N123" s="50">
        <v>38109266181</v>
      </c>
      <c r="O123" s="50">
        <v>-40516442135</v>
      </c>
      <c r="Q123" s="52">
        <v>80</v>
      </c>
      <c r="R123" s="51">
        <f t="shared" si="0"/>
        <v>13.587949563376199</v>
      </c>
      <c r="S123" s="51">
        <f t="shared" si="1"/>
        <v>1.1394277854535619E-2</v>
      </c>
      <c r="T123" s="51">
        <f t="shared" si="2"/>
        <v>-3.7043076268666653E-2</v>
      </c>
      <c r="U123" s="51">
        <f t="shared" si="3"/>
        <v>-3.7465155372258599E-2</v>
      </c>
      <c r="V123" s="51">
        <f t="shared" si="4"/>
        <v>-14.142229819801392</v>
      </c>
      <c r="W123" s="51">
        <f t="shared" si="19"/>
        <v>0</v>
      </c>
      <c r="X123" s="58">
        <f t="shared" si="6"/>
        <v>0</v>
      </c>
      <c r="Y123" s="51">
        <f t="shared" si="20"/>
        <v>-5.110517831503568</v>
      </c>
      <c r="Z123" s="51">
        <f t="shared" si="21"/>
        <v>0.19146634458997924</v>
      </c>
      <c r="AA123" s="52">
        <v>1</v>
      </c>
      <c r="AB123">
        <v>0</v>
      </c>
    </row>
    <row r="124" spans="1:28">
      <c r="A124" s="49">
        <v>2020</v>
      </c>
      <c r="B124" s="59" t="s">
        <v>213</v>
      </c>
      <c r="C124" s="49" t="s">
        <v>214</v>
      </c>
      <c r="D124" s="50">
        <v>80574942090</v>
      </c>
      <c r="E124" s="50">
        <v>488353479</v>
      </c>
      <c r="F124" s="50">
        <v>1098807182384</v>
      </c>
      <c r="G124" s="50"/>
      <c r="H124" s="50"/>
      <c r="I124" s="50">
        <v>4057590748</v>
      </c>
      <c r="J124" s="50">
        <v>1094749591636</v>
      </c>
      <c r="K124" s="51">
        <f t="shared" si="18"/>
        <v>2588250000</v>
      </c>
      <c r="L124" s="50">
        <v>60000000</v>
      </c>
      <c r="M124" s="50">
        <v>0</v>
      </c>
      <c r="N124" s="50">
        <v>10339109764</v>
      </c>
      <c r="O124" s="50">
        <v>15645276591</v>
      </c>
      <c r="Q124" s="52">
        <v>88</v>
      </c>
      <c r="R124" s="51">
        <f t="shared" si="0"/>
        <v>19.857828720088555</v>
      </c>
      <c r="S124" s="51">
        <f t="shared" si="1"/>
        <v>3.7064099215020608E-3</v>
      </c>
      <c r="T124" s="51">
        <f t="shared" si="2"/>
        <v>1.4238418570449831E-2</v>
      </c>
      <c r="U124" s="51">
        <f t="shared" si="3"/>
        <v>1.4291191986305846E-2</v>
      </c>
      <c r="V124" s="51">
        <f t="shared" si="4"/>
        <v>260.75460985000001</v>
      </c>
      <c r="W124" s="51">
        <f t="shared" si="19"/>
        <v>0</v>
      </c>
      <c r="X124" s="58">
        <f t="shared" si="6"/>
        <v>0</v>
      </c>
      <c r="Y124" s="51">
        <f t="shared" si="20"/>
        <v>14.558131885697899</v>
      </c>
      <c r="Z124" s="51">
        <f t="shared" si="21"/>
        <v>0.20805305774046939</v>
      </c>
      <c r="AA124" s="52">
        <v>1</v>
      </c>
      <c r="AB124">
        <v>0</v>
      </c>
    </row>
    <row r="125" spans="1:28">
      <c r="A125" s="49">
        <v>2018</v>
      </c>
      <c r="B125" s="59" t="s">
        <v>215</v>
      </c>
      <c r="C125" s="49" t="s">
        <v>216</v>
      </c>
      <c r="D125" s="50">
        <v>92949676000000</v>
      </c>
      <c r="E125" s="50">
        <v>2642568000000</v>
      </c>
      <c r="F125" s="50">
        <v>100663451000000</v>
      </c>
      <c r="G125" s="50"/>
      <c r="H125" s="50"/>
      <c r="I125" s="50">
        <v>75550211000000</v>
      </c>
      <c r="J125" s="50">
        <v>25113240000000</v>
      </c>
      <c r="K125" s="51">
        <f t="shared" ref="K125:K127" si="22">142474368+6255190349</f>
        <v>6397664717</v>
      </c>
      <c r="L125" s="50">
        <v>37377268000000</v>
      </c>
      <c r="M125" s="50">
        <v>35730089000000</v>
      </c>
      <c r="N125" s="50">
        <v>4099487000000</v>
      </c>
      <c r="O125" s="50">
        <v>1537695000000</v>
      </c>
      <c r="P125" s="50">
        <v>556368000000</v>
      </c>
      <c r="Q125" s="52">
        <v>8650</v>
      </c>
      <c r="R125" s="51">
        <f t="shared" si="0"/>
        <v>1.2303033276770068</v>
      </c>
      <c r="S125" s="51">
        <f t="shared" si="1"/>
        <v>3.0083816743677838</v>
      </c>
      <c r="T125" s="51">
        <f t="shared" si="2"/>
        <v>1.5275603853478061E-2</v>
      </c>
      <c r="U125" s="51">
        <f t="shared" si="3"/>
        <v>6.1230450551183362E-2</v>
      </c>
      <c r="V125" s="51">
        <f t="shared" si="4"/>
        <v>4.1139844677786509E-2</v>
      </c>
      <c r="W125" s="51" t="e">
        <f>(P125/#REF!)/Q125</f>
        <v>#REF!</v>
      </c>
      <c r="X125" s="58">
        <f t="shared" si="6"/>
        <v>0.36181947655419311</v>
      </c>
      <c r="Y125" s="51" t="e">
        <f>Q125/(O125/#REF!)</f>
        <v>#REF!</v>
      </c>
      <c r="Z125" s="51" t="e">
        <f>Q125/(J125/#REF!)</f>
        <v>#REF!</v>
      </c>
      <c r="AA125" s="52">
        <v>1</v>
      </c>
      <c r="AB125">
        <v>0</v>
      </c>
    </row>
    <row r="126" spans="1:28">
      <c r="A126" s="49">
        <v>2019</v>
      </c>
      <c r="B126" s="59" t="s">
        <v>215</v>
      </c>
      <c r="C126" s="49" t="s">
        <v>216</v>
      </c>
      <c r="D126" s="50">
        <v>89775505000000</v>
      </c>
      <c r="E126" s="50">
        <v>2558102000000</v>
      </c>
      <c r="F126" s="50">
        <v>99624857000000</v>
      </c>
      <c r="G126" s="50"/>
      <c r="H126" s="50"/>
      <c r="I126" s="50">
        <v>77460250000000</v>
      </c>
      <c r="J126" s="50">
        <v>22164607000000</v>
      </c>
      <c r="K126" s="51">
        <f t="shared" si="22"/>
        <v>6397664717</v>
      </c>
      <c r="L126" s="50">
        <v>41919335000000</v>
      </c>
      <c r="M126" s="50">
        <v>36737570000000</v>
      </c>
      <c r="N126" s="50">
        <v>4397470000000</v>
      </c>
      <c r="O126" s="50">
        <v>5070554000000</v>
      </c>
      <c r="P126" s="50">
        <v>190000000000</v>
      </c>
      <c r="Q126" s="52">
        <v>15225</v>
      </c>
      <c r="R126" s="51">
        <f t="shared" si="0"/>
        <v>1.1589880616187012</v>
      </c>
      <c r="S126" s="51">
        <f t="shared" si="1"/>
        <v>3.4947720931844177</v>
      </c>
      <c r="T126" s="51">
        <f t="shared" si="2"/>
        <v>5.0896474561564486E-2</v>
      </c>
      <c r="U126" s="51">
        <f t="shared" si="3"/>
        <v>0.22876805350079069</v>
      </c>
      <c r="V126" s="51">
        <f t="shared" si="4"/>
        <v>0.12095979098905076</v>
      </c>
      <c r="W126" s="51">
        <f>(P126/K125)/Q126</f>
        <v>1.9506296594879943E-3</v>
      </c>
      <c r="X126" s="58">
        <f t="shared" si="6"/>
        <v>3.7471250675961638E-2</v>
      </c>
      <c r="Y126" s="51">
        <f>Q126/(O126/K125)</f>
        <v>19.209823091584273</v>
      </c>
      <c r="Z126" s="51">
        <f>Q126/(J126/K125)</f>
        <v>4.3945938367562754</v>
      </c>
      <c r="AA126" s="52">
        <v>1</v>
      </c>
      <c r="AB126">
        <v>0</v>
      </c>
    </row>
    <row r="127" spans="1:28">
      <c r="A127" s="49">
        <v>2020</v>
      </c>
      <c r="B127" s="59" t="s">
        <v>215</v>
      </c>
      <c r="C127" s="49" t="s">
        <v>216</v>
      </c>
      <c r="D127" s="50">
        <v>95051283000000</v>
      </c>
      <c r="E127" s="50">
        <v>3234752000000</v>
      </c>
      <c r="F127" s="50">
        <v>108456227000000</v>
      </c>
      <c r="G127" s="50"/>
      <c r="H127" s="50"/>
      <c r="I127" s="50">
        <v>85533983000000</v>
      </c>
      <c r="J127" s="50">
        <v>22922244000000</v>
      </c>
      <c r="K127" s="51">
        <f t="shared" si="22"/>
        <v>6397664717</v>
      </c>
      <c r="L127" s="50">
        <v>38259352000000</v>
      </c>
      <c r="M127" s="50">
        <v>37609184000000</v>
      </c>
      <c r="N127" s="50">
        <v>4221478000000</v>
      </c>
      <c r="O127" s="50">
        <v>559820000000</v>
      </c>
      <c r="P127" s="50">
        <v>0</v>
      </c>
      <c r="Q127" s="52">
        <v>11400</v>
      </c>
      <c r="R127" s="51">
        <f t="shared" si="0"/>
        <v>1.11126922500499</v>
      </c>
      <c r="S127" s="51">
        <f t="shared" si="1"/>
        <v>3.7314838372717785</v>
      </c>
      <c r="T127" s="51">
        <f t="shared" si="2"/>
        <v>5.1617137667899883E-3</v>
      </c>
      <c r="U127" s="51">
        <f t="shared" si="3"/>
        <v>2.4422565260190057E-2</v>
      </c>
      <c r="V127" s="51">
        <f t="shared" si="4"/>
        <v>1.4632239458734167E-2</v>
      </c>
      <c r="W127" s="51">
        <f t="shared" ref="W127:W364" si="23">(P127/K127)/Q127</f>
        <v>0</v>
      </c>
      <c r="X127" s="58">
        <f t="shared" si="6"/>
        <v>0</v>
      </c>
      <c r="Y127" s="51">
        <f t="shared" ref="Y127:Y364" si="24">Q127/(O127/K127)</f>
        <v>130.28005032653351</v>
      </c>
      <c r="Z127" s="51">
        <f t="shared" ref="Z127:Z364" si="25">Q127/(J127/K127)</f>
        <v>3.1817730312006103</v>
      </c>
      <c r="AA127" s="52">
        <v>1</v>
      </c>
      <c r="AB127">
        <v>0</v>
      </c>
    </row>
    <row r="128" spans="1:28">
      <c r="A128" s="49">
        <v>2018</v>
      </c>
      <c r="B128" s="59" t="s">
        <v>217</v>
      </c>
      <c r="C128" s="49" t="s">
        <v>218</v>
      </c>
      <c r="D128" s="50">
        <v>28940213807000</v>
      </c>
      <c r="E128" s="50">
        <v>544030482000</v>
      </c>
      <c r="F128" s="50">
        <v>30815122948000</v>
      </c>
      <c r="G128" s="50"/>
      <c r="H128" s="50"/>
      <c r="I128" s="50">
        <v>25993108259000</v>
      </c>
      <c r="J128" s="50">
        <v>3287794997000</v>
      </c>
      <c r="K128" s="51">
        <v>9150094680</v>
      </c>
      <c r="L128" s="50">
        <v>1112846234000</v>
      </c>
      <c r="M128" s="50">
        <v>662534518000</v>
      </c>
      <c r="N128" s="50">
        <v>48435751000</v>
      </c>
      <c r="O128" s="50">
        <v>80821884000</v>
      </c>
      <c r="P128" s="50">
        <v>403934000</v>
      </c>
      <c r="Q128" s="52">
        <v>104</v>
      </c>
      <c r="R128" s="51">
        <f t="shared" si="0"/>
        <v>1.1133802667474206</v>
      </c>
      <c r="S128" s="51">
        <f t="shared" si="1"/>
        <v>7.9059394769801097</v>
      </c>
      <c r="T128" s="51">
        <f t="shared" si="2"/>
        <v>2.622799335780213E-3</v>
      </c>
      <c r="U128" s="51">
        <f t="shared" si="3"/>
        <v>2.4582397647586664E-2</v>
      </c>
      <c r="V128" s="51">
        <f t="shared" si="4"/>
        <v>7.2626281628769926E-2</v>
      </c>
      <c r="W128" s="51">
        <f t="shared" si="23"/>
        <v>4.2447438032747978E-4</v>
      </c>
      <c r="X128" s="58">
        <f t="shared" si="6"/>
        <v>4.9978295482446316E-3</v>
      </c>
      <c r="Y128" s="76">
        <f t="shared" si="24"/>
        <v>11.77416065579466</v>
      </c>
      <c r="Z128" s="51">
        <f t="shared" si="25"/>
        <v>0.28943709920731409</v>
      </c>
      <c r="AA128" s="52">
        <v>1</v>
      </c>
      <c r="AB128">
        <v>0</v>
      </c>
    </row>
    <row r="129" spans="1:28">
      <c r="A129" s="49">
        <v>2019</v>
      </c>
      <c r="B129" s="59" t="s">
        <v>217</v>
      </c>
      <c r="C129" s="49" t="s">
        <v>218</v>
      </c>
      <c r="D129" s="50">
        <v>29212618048000</v>
      </c>
      <c r="E129" s="50">
        <v>529228073000</v>
      </c>
      <c r="F129" s="50">
        <v>31243747963000</v>
      </c>
      <c r="G129" s="50"/>
      <c r="H129" s="50"/>
      <c r="I129" s="50">
        <v>26052543404000</v>
      </c>
      <c r="J129" s="50">
        <v>3503719943000</v>
      </c>
      <c r="K129" s="51">
        <v>9150094680</v>
      </c>
      <c r="L129" s="50">
        <v>1081783774000</v>
      </c>
      <c r="M129" s="50">
        <v>835314940000</v>
      </c>
      <c r="N129" s="50">
        <v>52908931000</v>
      </c>
      <c r="O129" s="50">
        <v>47666013000</v>
      </c>
      <c r="P129" s="50">
        <v>3386773000</v>
      </c>
      <c r="Q129" s="52">
        <v>112</v>
      </c>
      <c r="R129" s="51">
        <f t="shared" si="0"/>
        <v>1.1212962049423096</v>
      </c>
      <c r="S129" s="51">
        <f t="shared" si="1"/>
        <v>7.4356808842698072</v>
      </c>
      <c r="T129" s="51">
        <f t="shared" si="2"/>
        <v>1.525617638973655E-3</v>
      </c>
      <c r="U129" s="51">
        <f t="shared" si="3"/>
        <v>1.3604401543345612E-2</v>
      </c>
      <c r="V129" s="51">
        <f t="shared" si="4"/>
        <v>4.4062421849562702E-2</v>
      </c>
      <c r="W129" s="51">
        <f t="shared" si="23"/>
        <v>3.3047794258296288E-3</v>
      </c>
      <c r="X129" s="58">
        <f t="shared" si="6"/>
        <v>7.1052156176771061E-2</v>
      </c>
      <c r="Y129" s="76">
        <f t="shared" si="24"/>
        <v>21.499817997364286</v>
      </c>
      <c r="Z129" s="51">
        <f t="shared" si="25"/>
        <v>0.29249215714499244</v>
      </c>
      <c r="AA129" s="52">
        <v>1</v>
      </c>
      <c r="AB129">
        <v>0</v>
      </c>
    </row>
    <row r="130" spans="1:28">
      <c r="A130" s="49">
        <v>2020</v>
      </c>
      <c r="B130" s="59" t="s">
        <v>217</v>
      </c>
      <c r="C130" s="49" t="s">
        <v>218</v>
      </c>
      <c r="D130" s="50">
        <v>24559677724000</v>
      </c>
      <c r="E130" s="50">
        <v>572564466000</v>
      </c>
      <c r="F130" s="50">
        <v>26961960681000</v>
      </c>
      <c r="G130" s="50"/>
      <c r="H130" s="50"/>
      <c r="I130" s="50">
        <v>22447783800000</v>
      </c>
      <c r="J130" s="50">
        <v>3134994520000</v>
      </c>
      <c r="K130" s="51">
        <v>9150094680</v>
      </c>
      <c r="L130" s="50">
        <v>864181616000</v>
      </c>
      <c r="M130" s="50">
        <v>596052897000</v>
      </c>
      <c r="N130" s="50">
        <v>99591995000</v>
      </c>
      <c r="O130" s="50">
        <v>-238080320000</v>
      </c>
      <c r="P130" s="50">
        <v>2649293000</v>
      </c>
      <c r="Q130" s="52">
        <v>80</v>
      </c>
      <c r="R130" s="51">
        <f t="shared" si="0"/>
        <v>1.0940802861795202</v>
      </c>
      <c r="S130" s="51">
        <f t="shared" si="1"/>
        <v>7.1603901240631194</v>
      </c>
      <c r="T130" s="51">
        <f t="shared" si="2"/>
        <v>-8.8302302201551074E-3</v>
      </c>
      <c r="U130" s="51">
        <f t="shared" si="3"/>
        <v>-7.5942818553953961E-2</v>
      </c>
      <c r="V130" s="51">
        <f t="shared" si="4"/>
        <v>-0.27549801522276307</v>
      </c>
      <c r="W130" s="51">
        <f t="shared" si="23"/>
        <v>3.6192152822619754E-3</v>
      </c>
      <c r="X130" s="58">
        <f t="shared" si="6"/>
        <v>-1.1127727818914222E-2</v>
      </c>
      <c r="Y130" s="51">
        <f t="shared" si="24"/>
        <v>-3.0746244561499245</v>
      </c>
      <c r="Z130" s="51">
        <f t="shared" si="25"/>
        <v>0.23349564719494309</v>
      </c>
      <c r="AA130" s="52">
        <v>1</v>
      </c>
      <c r="AB130">
        <v>0</v>
      </c>
    </row>
    <row r="131" spans="1:28">
      <c r="A131" s="49">
        <v>2018</v>
      </c>
      <c r="B131" s="59" t="s">
        <v>219</v>
      </c>
      <c r="C131" s="49" t="s">
        <v>220</v>
      </c>
      <c r="D131" s="50">
        <v>29757520000000</v>
      </c>
      <c r="E131" s="50">
        <v>245488000000</v>
      </c>
      <c r="F131" s="50">
        <v>31496441000000</v>
      </c>
      <c r="G131" s="50"/>
      <c r="H131" s="50"/>
      <c r="I131" s="50">
        <v>24468242000000</v>
      </c>
      <c r="J131" s="50">
        <v>7028199000000</v>
      </c>
      <c r="K131" s="51">
        <v>1000000000</v>
      </c>
      <c r="L131" s="50">
        <v>10138755000000</v>
      </c>
      <c r="M131" s="50"/>
      <c r="N131" s="50">
        <v>2166259000000</v>
      </c>
      <c r="O131" s="50">
        <v>1987284000000</v>
      </c>
      <c r="P131" s="50">
        <v>704500000000</v>
      </c>
      <c r="Q131" s="52">
        <v>9100</v>
      </c>
      <c r="R131" s="51">
        <f t="shared" si="0"/>
        <v>1.2161691060600104</v>
      </c>
      <c r="S131" s="51">
        <f t="shared" si="1"/>
        <v>3.4814384168689587</v>
      </c>
      <c r="T131" s="51">
        <f t="shared" si="2"/>
        <v>6.3095509743465936E-2</v>
      </c>
      <c r="U131" s="51">
        <f t="shared" si="3"/>
        <v>0.28275864129629796</v>
      </c>
      <c r="V131" s="51">
        <f t="shared" si="4"/>
        <v>0.19600868153930143</v>
      </c>
      <c r="W131" s="51">
        <f t="shared" si="23"/>
        <v>7.7417582417582412E-2</v>
      </c>
      <c r="X131" s="58">
        <f t="shared" si="6"/>
        <v>0.35450393602524854</v>
      </c>
      <c r="Y131" s="51">
        <f t="shared" si="24"/>
        <v>4.5791140068555878</v>
      </c>
      <c r="Z131" s="51">
        <f t="shared" si="25"/>
        <v>1.2947840549193328</v>
      </c>
      <c r="AA131" s="52">
        <v>1</v>
      </c>
      <c r="AB131">
        <v>0</v>
      </c>
    </row>
    <row r="132" spans="1:28">
      <c r="A132" s="49">
        <v>2019</v>
      </c>
      <c r="B132" s="59" t="s">
        <v>219</v>
      </c>
      <c r="C132" s="49" t="s">
        <v>220</v>
      </c>
      <c r="D132" s="50">
        <v>33504454000000</v>
      </c>
      <c r="E132" s="50">
        <v>266149000000</v>
      </c>
      <c r="F132" s="50">
        <v>35116853000000</v>
      </c>
      <c r="G132" s="50"/>
      <c r="H132" s="50"/>
      <c r="I132" s="50">
        <v>27038058000000</v>
      </c>
      <c r="J132" s="50">
        <v>8078795000000</v>
      </c>
      <c r="K132" s="51">
        <v>1000000000</v>
      </c>
      <c r="L132" s="50">
        <v>11337726000000</v>
      </c>
      <c r="M132" s="50"/>
      <c r="N132" s="50">
        <v>2354551000000</v>
      </c>
      <c r="O132" s="50">
        <v>1958596000000</v>
      </c>
      <c r="P132" s="50">
        <v>908000000000</v>
      </c>
      <c r="Q132" s="52">
        <v>10400</v>
      </c>
      <c r="R132" s="51">
        <f t="shared" si="0"/>
        <v>1.2391590401943808</v>
      </c>
      <c r="S132" s="51">
        <f t="shared" si="1"/>
        <v>3.3467934264949166</v>
      </c>
      <c r="T132" s="51">
        <f t="shared" si="2"/>
        <v>5.5773676530752915E-2</v>
      </c>
      <c r="U132" s="51">
        <f t="shared" si="3"/>
        <v>0.24243665051533056</v>
      </c>
      <c r="V132" s="51">
        <f t="shared" si="4"/>
        <v>0.17275033811894908</v>
      </c>
      <c r="W132" s="51">
        <f t="shared" si="23"/>
        <v>8.7307692307692308E-2</v>
      </c>
      <c r="X132" s="58">
        <f t="shared" si="6"/>
        <v>0.46359739323474569</v>
      </c>
      <c r="Y132" s="51">
        <f t="shared" si="24"/>
        <v>5.3099260899133869</v>
      </c>
      <c r="Z132" s="51">
        <f t="shared" si="25"/>
        <v>1.2873206957225676</v>
      </c>
      <c r="AA132" s="52">
        <v>1</v>
      </c>
      <c r="AB132">
        <v>0</v>
      </c>
    </row>
    <row r="133" spans="1:28">
      <c r="A133" s="49">
        <v>2020</v>
      </c>
      <c r="B133" s="59" t="s">
        <v>219</v>
      </c>
      <c r="C133" s="49" t="s">
        <v>220</v>
      </c>
      <c r="D133" s="50">
        <v>27479153000000</v>
      </c>
      <c r="E133" s="50">
        <v>244529000000</v>
      </c>
      <c r="F133" s="50">
        <v>29230513000000</v>
      </c>
      <c r="G133" s="50"/>
      <c r="H133" s="50"/>
      <c r="I133" s="50">
        <v>21305238000000</v>
      </c>
      <c r="J133" s="50">
        <v>7925275000000</v>
      </c>
      <c r="K133" s="51">
        <v>1000000000</v>
      </c>
      <c r="L133" s="50">
        <v>9434745000000</v>
      </c>
      <c r="M133" s="50"/>
      <c r="N133" s="50">
        <v>1976168000000</v>
      </c>
      <c r="O133" s="50">
        <v>1015111000000</v>
      </c>
      <c r="P133" s="50">
        <v>1054500000000</v>
      </c>
      <c r="Q133" s="52">
        <v>8975</v>
      </c>
      <c r="R133" s="51">
        <f t="shared" si="0"/>
        <v>1.2897839019681452</v>
      </c>
      <c r="S133" s="51">
        <f t="shared" si="1"/>
        <v>2.6882648236181077</v>
      </c>
      <c r="T133" s="51">
        <f t="shared" si="2"/>
        <v>3.4727785995408295E-2</v>
      </c>
      <c r="U133" s="51">
        <f t="shared" si="3"/>
        <v>0.12808527148900195</v>
      </c>
      <c r="V133" s="51">
        <f t="shared" si="4"/>
        <v>0.10759283902214634</v>
      </c>
      <c r="W133" s="51">
        <f t="shared" si="23"/>
        <v>0.11749303621169917</v>
      </c>
      <c r="X133" s="58">
        <f t="shared" si="6"/>
        <v>1.0388026531088719</v>
      </c>
      <c r="Y133" s="51">
        <f t="shared" si="24"/>
        <v>8.8413976402580605</v>
      </c>
      <c r="Z133" s="51">
        <f t="shared" si="25"/>
        <v>1.132452817094675</v>
      </c>
      <c r="AA133" s="52">
        <v>1</v>
      </c>
      <c r="AB133">
        <v>0</v>
      </c>
    </row>
    <row r="134" spans="1:28">
      <c r="A134" s="49">
        <v>2018</v>
      </c>
      <c r="B134" s="59" t="s">
        <v>223</v>
      </c>
      <c r="C134" s="49" t="s">
        <v>224</v>
      </c>
      <c r="D134" s="50">
        <v>4863569000000</v>
      </c>
      <c r="E134" s="50">
        <v>102764000000</v>
      </c>
      <c r="F134" s="50">
        <v>5019046000000</v>
      </c>
      <c r="G134" s="50"/>
      <c r="H134" s="50"/>
      <c r="I134" s="50">
        <v>3841990000000</v>
      </c>
      <c r="J134" s="50">
        <v>1177056000000</v>
      </c>
      <c r="K134" s="51">
        <v>1645796054</v>
      </c>
      <c r="L134" s="50">
        <v>739882000000</v>
      </c>
      <c r="M134" s="50">
        <v>662970000000</v>
      </c>
      <c r="N134" s="50">
        <v>192894000000</v>
      </c>
      <c r="O134" s="50">
        <v>57571000000</v>
      </c>
      <c r="P134" s="50">
        <v>26315000000</v>
      </c>
      <c r="Q134" s="52">
        <v>472</v>
      </c>
      <c r="R134" s="51">
        <f t="shared" si="0"/>
        <v>1.2658984016095824</v>
      </c>
      <c r="S134" s="51">
        <f t="shared" si="1"/>
        <v>3.2640673001114644</v>
      </c>
      <c r="T134" s="51">
        <f t="shared" si="2"/>
        <v>1.1470506546463212E-2</v>
      </c>
      <c r="U134" s="51">
        <f t="shared" si="3"/>
        <v>4.891101188048827E-2</v>
      </c>
      <c r="V134" s="51">
        <f t="shared" si="4"/>
        <v>7.7811056357635411E-2</v>
      </c>
      <c r="W134" s="51">
        <f t="shared" si="23"/>
        <v>3.3875472303245537E-2</v>
      </c>
      <c r="X134" s="58">
        <f t="shared" si="6"/>
        <v>0.45708776988414307</v>
      </c>
      <c r="Y134" s="51">
        <f t="shared" si="24"/>
        <v>13.493177771586391</v>
      </c>
      <c r="Z134" s="51">
        <f t="shared" si="25"/>
        <v>0.65996497829160206</v>
      </c>
      <c r="AA134" s="52">
        <v>1</v>
      </c>
      <c r="AB134">
        <v>0</v>
      </c>
    </row>
    <row r="135" spans="1:28">
      <c r="A135" s="49">
        <v>2019</v>
      </c>
      <c r="B135" s="59" t="s">
        <v>223</v>
      </c>
      <c r="C135" s="49" t="s">
        <v>224</v>
      </c>
      <c r="D135" s="50">
        <v>4899380000000</v>
      </c>
      <c r="E135" s="50">
        <v>100426000000</v>
      </c>
      <c r="F135" s="50">
        <v>5051402000000</v>
      </c>
      <c r="G135" s="50"/>
      <c r="H135" s="50"/>
      <c r="I135" s="50">
        <v>3843919000000</v>
      </c>
      <c r="J135" s="50">
        <v>1207483000000</v>
      </c>
      <c r="K135" s="51">
        <v>1645796054</v>
      </c>
      <c r="L135" s="50">
        <v>839267000000</v>
      </c>
      <c r="M135" s="50">
        <v>760878000000</v>
      </c>
      <c r="N135" s="50">
        <v>218494000000</v>
      </c>
      <c r="O135" s="50">
        <v>59269000000</v>
      </c>
      <c r="P135" s="50">
        <v>23025000000</v>
      </c>
      <c r="Q135" s="52">
        <v>404</v>
      </c>
      <c r="R135" s="51">
        <f t="shared" si="0"/>
        <v>1.2745794071102956</v>
      </c>
      <c r="S135" s="51">
        <f t="shared" si="1"/>
        <v>3.1834145905159743</v>
      </c>
      <c r="T135" s="51">
        <f t="shared" si="2"/>
        <v>1.1733178234478269E-2</v>
      </c>
      <c r="U135" s="51">
        <f t="shared" si="3"/>
        <v>4.9084749019240849E-2</v>
      </c>
      <c r="V135" s="51">
        <f t="shared" si="4"/>
        <v>7.0619957653523843E-2</v>
      </c>
      <c r="W135" s="51">
        <f t="shared" si="23"/>
        <v>3.4629183925255505E-2</v>
      </c>
      <c r="X135" s="58">
        <f t="shared" si="6"/>
        <v>0.38848301810389918</v>
      </c>
      <c r="Y135" s="51">
        <f t="shared" si="24"/>
        <v>11.218370578481162</v>
      </c>
      <c r="Z135" s="51">
        <f t="shared" si="25"/>
        <v>0.55065090424958363</v>
      </c>
      <c r="AA135" s="52">
        <v>1</v>
      </c>
      <c r="AB135">
        <v>0</v>
      </c>
    </row>
    <row r="136" spans="1:28">
      <c r="A136" s="49">
        <v>2020</v>
      </c>
      <c r="B136" s="59" t="s">
        <v>223</v>
      </c>
      <c r="C136" s="49" t="s">
        <v>224</v>
      </c>
      <c r="D136" s="50">
        <v>3978718000000</v>
      </c>
      <c r="E136" s="50">
        <v>88359000000</v>
      </c>
      <c r="F136" s="50">
        <v>4115895000000</v>
      </c>
      <c r="G136" s="50"/>
      <c r="H136" s="50"/>
      <c r="I136" s="50">
        <v>2907239000000</v>
      </c>
      <c r="J136" s="50">
        <v>1208656000000</v>
      </c>
      <c r="K136" s="51">
        <v>1645796054</v>
      </c>
      <c r="L136" s="50">
        <v>680194000000</v>
      </c>
      <c r="M136" s="50">
        <v>652982000000</v>
      </c>
      <c r="N136" s="50">
        <v>211172000000</v>
      </c>
      <c r="O136" s="50">
        <v>20053000000</v>
      </c>
      <c r="P136" s="50"/>
      <c r="Q136" s="52">
        <v>368</v>
      </c>
      <c r="R136" s="51">
        <f t="shared" si="0"/>
        <v>1.3685555263946307</v>
      </c>
      <c r="S136" s="51">
        <f t="shared" si="1"/>
        <v>2.4053485855363315</v>
      </c>
      <c r="T136" s="51">
        <f t="shared" si="2"/>
        <v>4.8720873588854914E-3</v>
      </c>
      <c r="U136" s="51">
        <f t="shared" si="3"/>
        <v>1.6591155796190148E-2</v>
      </c>
      <c r="V136" s="51">
        <f t="shared" si="4"/>
        <v>2.9481295042296757E-2</v>
      </c>
      <c r="W136" s="51">
        <f t="shared" si="23"/>
        <v>0</v>
      </c>
      <c r="X136" s="58">
        <f t="shared" si="6"/>
        <v>0</v>
      </c>
      <c r="Y136" s="51">
        <f t="shared" si="24"/>
        <v>30.202610475839023</v>
      </c>
      <c r="Z136" s="51">
        <f t="shared" si="25"/>
        <v>0.50109621585628994</v>
      </c>
      <c r="AA136" s="52">
        <v>1</v>
      </c>
      <c r="AB136">
        <v>0</v>
      </c>
    </row>
    <row r="137" spans="1:28">
      <c r="A137" s="49">
        <v>2018</v>
      </c>
      <c r="B137" s="59" t="s">
        <v>225</v>
      </c>
      <c r="C137" s="49" t="s">
        <v>226</v>
      </c>
      <c r="D137" s="50">
        <v>18234081000000</v>
      </c>
      <c r="E137" s="50">
        <v>530145000000</v>
      </c>
      <c r="F137" s="50">
        <v>19117376000000</v>
      </c>
      <c r="G137" s="50"/>
      <c r="H137" s="50"/>
      <c r="I137" s="50">
        <v>12913580000000</v>
      </c>
      <c r="J137" s="50">
        <v>6203796000000</v>
      </c>
      <c r="K137" s="51">
        <v>15967115620</v>
      </c>
      <c r="L137" s="50">
        <v>5017721000000</v>
      </c>
      <c r="M137" s="50">
        <v>3177622000000</v>
      </c>
      <c r="N137" s="50">
        <v>1558181000000</v>
      </c>
      <c r="O137" s="50">
        <v>1467794000000</v>
      </c>
      <c r="P137" s="50">
        <v>239430000000</v>
      </c>
      <c r="Q137" s="52">
        <v>665</v>
      </c>
      <c r="R137" s="51">
        <f t="shared" si="0"/>
        <v>1.4120082115106734</v>
      </c>
      <c r="S137" s="51">
        <f t="shared" si="1"/>
        <v>2.0815610313427455</v>
      </c>
      <c r="T137" s="51">
        <f t="shared" si="2"/>
        <v>7.6778005517075143E-2</v>
      </c>
      <c r="U137" s="51">
        <f t="shared" si="3"/>
        <v>0.23659610986563712</v>
      </c>
      <c r="V137" s="51">
        <f t="shared" si="4"/>
        <v>0.29252204337387433</v>
      </c>
      <c r="W137" s="51">
        <f t="shared" si="23"/>
        <v>2.2549164254248376E-2</v>
      </c>
      <c r="X137" s="58">
        <f t="shared" si="6"/>
        <v>0.16312234550624952</v>
      </c>
      <c r="Y137" s="51">
        <f t="shared" si="24"/>
        <v>7.2340750045987381</v>
      </c>
      <c r="Z137" s="51">
        <f t="shared" si="25"/>
        <v>1.7115540045643023</v>
      </c>
      <c r="AA137" s="52">
        <v>1</v>
      </c>
      <c r="AB137">
        <v>0</v>
      </c>
    </row>
    <row r="138" spans="1:28">
      <c r="A138" s="49">
        <v>2019</v>
      </c>
      <c r="B138" s="59" t="s">
        <v>225</v>
      </c>
      <c r="C138" s="49" t="s">
        <v>226</v>
      </c>
      <c r="D138" s="50">
        <v>18211551000000</v>
      </c>
      <c r="E138" s="50">
        <v>541056000000</v>
      </c>
      <c r="F138" s="50">
        <v>19089633000000</v>
      </c>
      <c r="G138" s="50"/>
      <c r="H138" s="50"/>
      <c r="I138" s="50">
        <v>13009453000000</v>
      </c>
      <c r="J138" s="50">
        <v>6080180000000</v>
      </c>
      <c r="K138" s="51">
        <v>15967115620</v>
      </c>
      <c r="L138" s="50">
        <v>5240729000000</v>
      </c>
      <c r="M138" s="50">
        <v>4148476000000</v>
      </c>
      <c r="N138" s="50">
        <v>1536451000000</v>
      </c>
      <c r="O138" s="50">
        <v>711682000000</v>
      </c>
      <c r="P138" s="50">
        <v>733255000000</v>
      </c>
      <c r="Q138" s="52">
        <v>560</v>
      </c>
      <c r="R138" s="51">
        <f t="shared" si="0"/>
        <v>1.3998706171581541</v>
      </c>
      <c r="S138" s="51">
        <f t="shared" si="1"/>
        <v>2.1396493195925119</v>
      </c>
      <c r="T138" s="51">
        <f t="shared" si="2"/>
        <v>3.7281072925812668E-2</v>
      </c>
      <c r="U138" s="51">
        <f t="shared" si="3"/>
        <v>0.11704949524520655</v>
      </c>
      <c r="V138" s="51">
        <f t="shared" si="4"/>
        <v>0.13579828302512875</v>
      </c>
      <c r="W138" s="51">
        <f t="shared" si="23"/>
        <v>8.2005038338378897E-2</v>
      </c>
      <c r="X138" s="58">
        <f t="shared" si="6"/>
        <v>1.0303126958388718</v>
      </c>
      <c r="Y138" s="51">
        <f t="shared" si="24"/>
        <v>12.564017000851504</v>
      </c>
      <c r="Z138" s="51">
        <f t="shared" si="25"/>
        <v>1.4706118482018624</v>
      </c>
      <c r="AA138" s="52">
        <v>1</v>
      </c>
      <c r="AB138">
        <v>0</v>
      </c>
    </row>
    <row r="139" spans="1:28">
      <c r="A139" s="49">
        <v>2020</v>
      </c>
      <c r="B139" s="59" t="s">
        <v>225</v>
      </c>
      <c r="C139" s="49" t="s">
        <v>226</v>
      </c>
      <c r="D139" s="50">
        <v>14248625000000</v>
      </c>
      <c r="E139" s="50">
        <v>606304000000</v>
      </c>
      <c r="F139" s="50">
        <v>15200531000000</v>
      </c>
      <c r="G139" s="50"/>
      <c r="H139" s="50"/>
      <c r="I139" s="50">
        <v>8594377000000</v>
      </c>
      <c r="J139" s="50">
        <v>6606154000000</v>
      </c>
      <c r="K139" s="51">
        <v>15967115620</v>
      </c>
      <c r="L139" s="50">
        <v>4569778000000</v>
      </c>
      <c r="M139" s="50">
        <v>3699782000000</v>
      </c>
      <c r="N139" s="50">
        <v>1771154000000</v>
      </c>
      <c r="O139" s="50">
        <v>701592000000</v>
      </c>
      <c r="P139" s="50">
        <v>179573000000</v>
      </c>
      <c r="Q139" s="52">
        <v>560</v>
      </c>
      <c r="R139" s="51">
        <f t="shared" si="0"/>
        <v>1.6579008577352379</v>
      </c>
      <c r="S139" s="51">
        <f t="shared" si="1"/>
        <v>1.3009652817660624</v>
      </c>
      <c r="T139" s="51">
        <f t="shared" si="2"/>
        <v>4.6155756006155312E-2</v>
      </c>
      <c r="U139" s="51">
        <f t="shared" si="3"/>
        <v>0.10620279212382878</v>
      </c>
      <c r="V139" s="51">
        <f t="shared" si="4"/>
        <v>0.15352868345026827</v>
      </c>
      <c r="W139" s="51">
        <f t="shared" si="23"/>
        <v>2.0082905332439213E-2</v>
      </c>
      <c r="X139" s="58">
        <f t="shared" si="6"/>
        <v>0.25595075200401374</v>
      </c>
      <c r="Y139" s="51">
        <f t="shared" si="24"/>
        <v>12.744707390050058</v>
      </c>
      <c r="Z139" s="51">
        <f t="shared" si="25"/>
        <v>1.3535235096245108</v>
      </c>
      <c r="AA139" s="52">
        <v>1</v>
      </c>
      <c r="AB139">
        <v>0</v>
      </c>
    </row>
    <row r="140" spans="1:28">
      <c r="A140" s="49">
        <v>2018</v>
      </c>
      <c r="B140" s="59" t="s">
        <v>227</v>
      </c>
      <c r="C140" s="49" t="s">
        <v>228</v>
      </c>
      <c r="D140" s="50">
        <v>10822261402000</v>
      </c>
      <c r="E140" s="50">
        <v>174129915000</v>
      </c>
      <c r="F140" s="50">
        <v>11077046941000</v>
      </c>
      <c r="G140" s="50"/>
      <c r="H140" s="50"/>
      <c r="I140" s="50">
        <v>6729921689000</v>
      </c>
      <c r="J140" s="50">
        <v>4347125252000</v>
      </c>
      <c r="K140" s="51">
        <v>3984520457</v>
      </c>
      <c r="L140" s="50">
        <v>1933912294000</v>
      </c>
      <c r="M140" s="50">
        <v>1521606045000</v>
      </c>
      <c r="N140" s="50">
        <v>934534244000</v>
      </c>
      <c r="O140" s="50">
        <v>305137586000</v>
      </c>
      <c r="P140" s="50"/>
      <c r="Q140" s="52">
        <v>314</v>
      </c>
      <c r="R140" s="51">
        <f t="shared" si="0"/>
        <v>1.6080813272595571</v>
      </c>
      <c r="S140" s="51">
        <f t="shared" si="1"/>
        <v>1.5481315349503069</v>
      </c>
      <c r="T140" s="51">
        <f t="shared" si="2"/>
        <v>2.7546835147062503E-2</v>
      </c>
      <c r="U140" s="51">
        <f t="shared" si="3"/>
        <v>7.0192959326307439E-2</v>
      </c>
      <c r="V140" s="51">
        <f t="shared" si="4"/>
        <v>0.15778253592300706</v>
      </c>
      <c r="W140" s="51">
        <f t="shared" si="23"/>
        <v>0</v>
      </c>
      <c r="X140" s="58">
        <f t="shared" si="6"/>
        <v>0</v>
      </c>
      <c r="Y140" s="51">
        <f t="shared" si="24"/>
        <v>4.1002468424129175</v>
      </c>
      <c r="Z140" s="51">
        <f t="shared" si="25"/>
        <v>0.2878084598373104</v>
      </c>
      <c r="AA140" s="52">
        <v>1</v>
      </c>
      <c r="AB140">
        <v>0</v>
      </c>
    </row>
    <row r="141" spans="1:28">
      <c r="A141" s="49">
        <v>2019</v>
      </c>
      <c r="B141" s="59" t="s">
        <v>227</v>
      </c>
      <c r="C141" s="49" t="s">
        <v>228</v>
      </c>
      <c r="D141" s="50">
        <v>11824160110000</v>
      </c>
      <c r="E141" s="50">
        <v>191064922000</v>
      </c>
      <c r="F141" s="50">
        <v>12117478069000</v>
      </c>
      <c r="G141" s="50"/>
      <c r="H141" s="50"/>
      <c r="I141" s="50">
        <v>7411795923000</v>
      </c>
      <c r="J141" s="50">
        <v>4705682146000</v>
      </c>
      <c r="K141" s="51">
        <v>3984520457</v>
      </c>
      <c r="L141" s="50">
        <v>2164662845000</v>
      </c>
      <c r="M141" s="50">
        <v>1677996298000</v>
      </c>
      <c r="N141" s="50">
        <v>1030421065000</v>
      </c>
      <c r="O141" s="50">
        <v>361596020000</v>
      </c>
      <c r="P141" s="50"/>
      <c r="Q141" s="52">
        <v>290</v>
      </c>
      <c r="R141" s="51">
        <f t="shared" si="0"/>
        <v>1.5953164702373579</v>
      </c>
      <c r="S141" s="51">
        <f t="shared" si="1"/>
        <v>1.5750736435312136</v>
      </c>
      <c r="T141" s="51">
        <f t="shared" si="2"/>
        <v>2.9840864406024122E-2</v>
      </c>
      <c r="U141" s="51">
        <f t="shared" si="3"/>
        <v>7.6842423432141441E-2</v>
      </c>
      <c r="V141" s="51">
        <f t="shared" si="4"/>
        <v>0.16704496075923547</v>
      </c>
      <c r="W141" s="51">
        <f t="shared" si="23"/>
        <v>0</v>
      </c>
      <c r="X141" s="58">
        <f t="shared" si="6"/>
        <v>0</v>
      </c>
      <c r="Y141" s="51">
        <f t="shared" si="24"/>
        <v>3.1955853179191522</v>
      </c>
      <c r="Z141" s="51">
        <f t="shared" si="25"/>
        <v>0.24555652011307777</v>
      </c>
      <c r="AA141" s="52">
        <v>1</v>
      </c>
      <c r="AB141">
        <v>0</v>
      </c>
    </row>
    <row r="142" spans="1:28">
      <c r="A142" s="49">
        <v>2020</v>
      </c>
      <c r="B142" s="59" t="s">
        <v>227</v>
      </c>
      <c r="C142" s="49" t="s">
        <v>228</v>
      </c>
      <c r="D142" s="50">
        <v>10644136835000</v>
      </c>
      <c r="E142" s="50">
        <v>173369724000</v>
      </c>
      <c r="F142" s="50">
        <v>10917456216000</v>
      </c>
      <c r="G142" s="50"/>
      <c r="H142" s="50"/>
      <c r="I142" s="50">
        <v>6172266324000</v>
      </c>
      <c r="J142" s="50">
        <v>4745189892000</v>
      </c>
      <c r="K142" s="51">
        <v>3984520457</v>
      </c>
      <c r="L142" s="50">
        <v>1847954148000</v>
      </c>
      <c r="M142" s="50">
        <v>1787420988000</v>
      </c>
      <c r="N142" s="50">
        <v>1210135188000</v>
      </c>
      <c r="O142" s="50">
        <v>46566702000</v>
      </c>
      <c r="P142" s="50"/>
      <c r="Q142" s="52">
        <v>234</v>
      </c>
      <c r="R142" s="51">
        <f t="shared" si="0"/>
        <v>1.7245102975566289</v>
      </c>
      <c r="S142" s="51">
        <f t="shared" si="1"/>
        <v>1.3007416909502258</v>
      </c>
      <c r="T142" s="51">
        <f t="shared" si="2"/>
        <v>4.2653436000736605E-3</v>
      </c>
      <c r="U142" s="51">
        <f t="shared" si="3"/>
        <v>9.8134538469171976E-3</v>
      </c>
      <c r="V142" s="51">
        <f t="shared" si="4"/>
        <v>2.5199057049331074E-2</v>
      </c>
      <c r="W142" s="51">
        <f t="shared" si="23"/>
        <v>0</v>
      </c>
      <c r="X142" s="58">
        <f t="shared" si="6"/>
        <v>0</v>
      </c>
      <c r="Y142" s="51">
        <f t="shared" si="24"/>
        <v>20.022414018884135</v>
      </c>
      <c r="Z142" s="51">
        <f t="shared" si="25"/>
        <v>0.19648903587818736</v>
      </c>
      <c r="AA142" s="52">
        <v>1</v>
      </c>
      <c r="AB142">
        <v>0</v>
      </c>
    </row>
    <row r="143" spans="1:28">
      <c r="A143" s="49">
        <v>2018</v>
      </c>
      <c r="B143" s="59" t="s">
        <v>229</v>
      </c>
      <c r="C143" s="49" t="s">
        <v>230</v>
      </c>
      <c r="D143" s="50">
        <v>3354231000000</v>
      </c>
      <c r="E143" s="50">
        <v>170262000000</v>
      </c>
      <c r="F143" s="50">
        <v>3621664000000</v>
      </c>
      <c r="G143" s="50"/>
      <c r="H143" s="50"/>
      <c r="I143" s="50">
        <v>1560997000000</v>
      </c>
      <c r="J143" s="50">
        <v>2060667000000</v>
      </c>
      <c r="K143" s="51">
        <v>2650000000</v>
      </c>
      <c r="L143" s="50">
        <v>1476141000000</v>
      </c>
      <c r="M143" s="50">
        <v>1030537000000</v>
      </c>
      <c r="N143" s="50">
        <v>265282000000</v>
      </c>
      <c r="O143" s="50">
        <v>333346000000</v>
      </c>
      <c r="P143" s="50">
        <v>198750000000</v>
      </c>
      <c r="Q143" s="52">
        <v>885</v>
      </c>
      <c r="R143" s="51">
        <f t="shared" si="0"/>
        <v>2.1487747894454632</v>
      </c>
      <c r="S143" s="51">
        <f t="shared" si="1"/>
        <v>0.75752025921703992</v>
      </c>
      <c r="T143" s="51">
        <f t="shared" si="2"/>
        <v>9.2042221476094963E-2</v>
      </c>
      <c r="U143" s="51">
        <f t="shared" si="3"/>
        <v>0.16176606894757861</v>
      </c>
      <c r="V143" s="51">
        <f t="shared" si="4"/>
        <v>0.22582260095749659</v>
      </c>
      <c r="W143" s="51">
        <f t="shared" si="23"/>
        <v>8.4745762711864403E-2</v>
      </c>
      <c r="X143" s="58">
        <f t="shared" si="6"/>
        <v>0.59622734336095229</v>
      </c>
      <c r="Y143" s="51">
        <f t="shared" si="24"/>
        <v>7.0354826516592368</v>
      </c>
      <c r="Z143" s="51">
        <f t="shared" si="25"/>
        <v>1.1381023717078014</v>
      </c>
      <c r="AA143" s="52">
        <v>1</v>
      </c>
      <c r="AB143">
        <v>0</v>
      </c>
    </row>
    <row r="144" spans="1:28">
      <c r="A144" s="49">
        <v>2019</v>
      </c>
      <c r="B144" s="59" t="s">
        <v>229</v>
      </c>
      <c r="C144" s="49" t="s">
        <v>230</v>
      </c>
      <c r="D144" s="50">
        <v>4466492000000</v>
      </c>
      <c r="E144" s="50">
        <v>167840000000</v>
      </c>
      <c r="F144" s="50">
        <v>4726154000000</v>
      </c>
      <c r="G144" s="50"/>
      <c r="H144" s="50"/>
      <c r="I144" s="50">
        <v>2448259000000</v>
      </c>
      <c r="J144" s="50">
        <v>2277895000000</v>
      </c>
      <c r="K144" s="51">
        <v>2650000000</v>
      </c>
      <c r="L144" s="50">
        <v>1745719000000</v>
      </c>
      <c r="M144" s="50">
        <v>1231859000000</v>
      </c>
      <c r="N144" s="50">
        <v>308465000000</v>
      </c>
      <c r="O144" s="50">
        <v>377084000000</v>
      </c>
      <c r="P144" s="50">
        <v>132500000000</v>
      </c>
      <c r="Q144" s="52">
        <v>1300</v>
      </c>
      <c r="R144" s="51">
        <f t="shared" si="0"/>
        <v>1.82435436773642</v>
      </c>
      <c r="S144" s="51">
        <f t="shared" si="1"/>
        <v>1.0747901022654687</v>
      </c>
      <c r="T144" s="51">
        <f t="shared" si="2"/>
        <v>7.9786651048611615E-2</v>
      </c>
      <c r="U144" s="51">
        <f t="shared" si="3"/>
        <v>0.16554055388856817</v>
      </c>
      <c r="V144" s="51">
        <f t="shared" si="4"/>
        <v>0.21600498132861015</v>
      </c>
      <c r="W144" s="51">
        <f t="shared" si="23"/>
        <v>3.8461538461538464E-2</v>
      </c>
      <c r="X144" s="58">
        <f t="shared" si="6"/>
        <v>0.35138059424425327</v>
      </c>
      <c r="Y144" s="51">
        <f t="shared" si="24"/>
        <v>9.1358954503505849</v>
      </c>
      <c r="Z144" s="51">
        <f t="shared" si="25"/>
        <v>1.5123611931190857</v>
      </c>
      <c r="AA144" s="52">
        <v>1</v>
      </c>
      <c r="AB144">
        <v>0</v>
      </c>
    </row>
    <row r="145" spans="1:28">
      <c r="A145" s="49">
        <v>2020</v>
      </c>
      <c r="B145" s="59" t="s">
        <v>229</v>
      </c>
      <c r="C145" s="49" t="s">
        <v>230</v>
      </c>
      <c r="D145" s="50">
        <v>3942336000000</v>
      </c>
      <c r="E145" s="50">
        <v>177857000000</v>
      </c>
      <c r="F145" s="50">
        <v>4210393000000</v>
      </c>
      <c r="G145" s="50"/>
      <c r="H145" s="50"/>
      <c r="I145" s="50">
        <v>1875421000000</v>
      </c>
      <c r="J145" s="50">
        <v>2334972000000</v>
      </c>
      <c r="K145" s="51">
        <v>2650000000</v>
      </c>
      <c r="L145" s="50">
        <v>1561215000000</v>
      </c>
      <c r="M145" s="50">
        <v>1327729000000</v>
      </c>
      <c r="N145" s="50">
        <v>282333000000</v>
      </c>
      <c r="O145" s="50">
        <v>174397000000</v>
      </c>
      <c r="P145" s="50">
        <v>79500000000</v>
      </c>
      <c r="Q145" s="52">
        <v>990</v>
      </c>
      <c r="R145" s="51">
        <f t="shared" si="0"/>
        <v>2.1021072068618194</v>
      </c>
      <c r="S145" s="51">
        <f t="shared" si="1"/>
        <v>0.80318778983216932</v>
      </c>
      <c r="T145" s="51">
        <f t="shared" si="2"/>
        <v>4.1420598979715194E-2</v>
      </c>
      <c r="U145" s="51">
        <f t="shared" si="3"/>
        <v>7.4689118327757251E-2</v>
      </c>
      <c r="V145" s="51">
        <f t="shared" si="4"/>
        <v>0.11170594697078878</v>
      </c>
      <c r="W145" s="51">
        <f t="shared" si="23"/>
        <v>3.0303030303030304E-2</v>
      </c>
      <c r="X145" s="58">
        <f t="shared" si="6"/>
        <v>0.45585646542085012</v>
      </c>
      <c r="Y145" s="51">
        <f t="shared" si="24"/>
        <v>15.043263358888053</v>
      </c>
      <c r="Z145" s="51">
        <f t="shared" si="25"/>
        <v>1.1235680770476049</v>
      </c>
      <c r="AA145" s="52">
        <v>1</v>
      </c>
      <c r="AB145">
        <v>0</v>
      </c>
    </row>
    <row r="146" spans="1:28">
      <c r="A146" s="49">
        <v>2018</v>
      </c>
      <c r="B146" s="59" t="s">
        <v>231</v>
      </c>
      <c r="C146" s="49" t="s">
        <v>232</v>
      </c>
      <c r="D146" s="50">
        <v>34715467684</v>
      </c>
      <c r="E146" s="50">
        <v>94780784029</v>
      </c>
      <c r="F146" s="50">
        <v>204476568540</v>
      </c>
      <c r="G146" s="50"/>
      <c r="H146" s="50">
        <v>69191522441</v>
      </c>
      <c r="I146" s="50">
        <v>187920313606</v>
      </c>
      <c r="J146" s="50">
        <v>16556254934</v>
      </c>
      <c r="K146" s="51">
        <v>4000000000</v>
      </c>
      <c r="L146" s="50">
        <v>257437549951</v>
      </c>
      <c r="M146" s="50">
        <v>246559849692</v>
      </c>
      <c r="N146" s="50">
        <v>24116093083</v>
      </c>
      <c r="O146" s="50">
        <v>-36887821525</v>
      </c>
      <c r="P146" s="50"/>
      <c r="Q146" s="52">
        <v>50</v>
      </c>
      <c r="R146" s="51">
        <f t="shared" si="0"/>
        <v>0.18473504549798489</v>
      </c>
      <c r="S146" s="51">
        <f t="shared" si="1"/>
        <v>11.350411935255115</v>
      </c>
      <c r="T146" s="51">
        <f t="shared" si="2"/>
        <v>-0.18040121559348229</v>
      </c>
      <c r="U146" s="51">
        <f t="shared" si="3"/>
        <v>-2.2280293262002751</v>
      </c>
      <c r="V146" s="51">
        <f t="shared" si="4"/>
        <v>-0.14328842677387635</v>
      </c>
      <c r="W146" s="51">
        <f t="shared" si="23"/>
        <v>0</v>
      </c>
      <c r="X146" s="58">
        <f t="shared" si="6"/>
        <v>0</v>
      </c>
      <c r="Y146" s="51">
        <f t="shared" si="24"/>
        <v>-5.4218436256652867</v>
      </c>
      <c r="Z146" s="51">
        <f t="shared" si="25"/>
        <v>12.080026600054286</v>
      </c>
      <c r="AA146" s="52">
        <v>1</v>
      </c>
      <c r="AB146">
        <v>0</v>
      </c>
    </row>
    <row r="147" spans="1:28">
      <c r="A147" s="49">
        <v>2019</v>
      </c>
      <c r="B147" s="59" t="s">
        <v>231</v>
      </c>
      <c r="C147" s="49" t="s">
        <v>232</v>
      </c>
      <c r="D147" s="50">
        <v>4047266662</v>
      </c>
      <c r="E147" s="50">
        <v>84360578661</v>
      </c>
      <c r="F147" s="50">
        <v>88838496383</v>
      </c>
      <c r="G147" s="50"/>
      <c r="H147" s="50">
        <v>19273152626</v>
      </c>
      <c r="I147" s="50">
        <v>193930594350</v>
      </c>
      <c r="J147" s="50">
        <v>-105092097967</v>
      </c>
      <c r="K147" s="51">
        <v>1003080977</v>
      </c>
      <c r="L147" s="50">
        <v>42286984239</v>
      </c>
      <c r="M147" s="50">
        <v>54315208841</v>
      </c>
      <c r="N147" s="50">
        <v>90466357206</v>
      </c>
      <c r="O147" s="50">
        <v>-121648352901</v>
      </c>
      <c r="P147" s="50"/>
      <c r="Q147" s="52">
        <v>50</v>
      </c>
      <c r="R147" s="51">
        <f t="shared" si="0"/>
        <v>2.0869665642831048E-2</v>
      </c>
      <c r="S147" s="51">
        <f t="shared" si="1"/>
        <v>-1.8453394508395502</v>
      </c>
      <c r="T147" s="51">
        <f t="shared" si="2"/>
        <v>-1.3693202592775811</v>
      </c>
      <c r="U147" s="51">
        <f t="shared" si="3"/>
        <v>1.157540436001181</v>
      </c>
      <c r="V147" s="51">
        <f t="shared" si="4"/>
        <v>-2.8767327604508486</v>
      </c>
      <c r="W147" s="51">
        <f t="shared" si="23"/>
        <v>0</v>
      </c>
      <c r="X147" s="58">
        <f t="shared" si="6"/>
        <v>0</v>
      </c>
      <c r="Y147" s="51">
        <f t="shared" si="24"/>
        <v>-0.41228711818906766</v>
      </c>
      <c r="Z147" s="51">
        <f t="shared" si="25"/>
        <v>-0.47723901054624385</v>
      </c>
      <c r="AA147" s="52">
        <v>1</v>
      </c>
      <c r="AB147">
        <v>2</v>
      </c>
    </row>
    <row r="148" spans="1:28">
      <c r="A148" s="49">
        <v>2020</v>
      </c>
      <c r="B148" s="59" t="s">
        <v>231</v>
      </c>
      <c r="C148" s="49" t="s">
        <v>232</v>
      </c>
      <c r="D148" s="50">
        <v>641399081</v>
      </c>
      <c r="E148" s="50">
        <v>29349403</v>
      </c>
      <c r="F148" s="50">
        <v>6805984418</v>
      </c>
      <c r="G148" s="50"/>
      <c r="H148" s="50"/>
      <c r="I148" s="50">
        <v>55861608352</v>
      </c>
      <c r="J148" s="50">
        <v>-49055623934</v>
      </c>
      <c r="K148" s="51">
        <v>1003080977</v>
      </c>
      <c r="L148" s="50">
        <v>0</v>
      </c>
      <c r="M148" s="50">
        <v>0</v>
      </c>
      <c r="N148" s="50">
        <v>5224403772</v>
      </c>
      <c r="O148" s="50">
        <v>56505757661</v>
      </c>
      <c r="P148" s="50"/>
      <c r="Q148" s="52">
        <v>50</v>
      </c>
      <c r="R148" s="51">
        <f t="shared" si="0"/>
        <v>1.1481930075452906E-2</v>
      </c>
      <c r="S148" s="51">
        <f t="shared" si="1"/>
        <v>-1.1387401458221558</v>
      </c>
      <c r="T148" s="51">
        <f t="shared" si="2"/>
        <v>8.3023636538980981</v>
      </c>
      <c r="U148" s="51">
        <f t="shared" si="3"/>
        <v>-1.151871144010389</v>
      </c>
      <c r="V148" s="51" t="e">
        <f>O148/L148</f>
        <v>#DIV/0!</v>
      </c>
      <c r="W148" s="51">
        <f t="shared" si="23"/>
        <v>0</v>
      </c>
      <c r="X148" s="58">
        <f t="shared" si="6"/>
        <v>0</v>
      </c>
      <c r="Y148" s="51">
        <f t="shared" si="24"/>
        <v>0.88759183003781017</v>
      </c>
      <c r="Z148" s="51">
        <f t="shared" si="25"/>
        <v>-1.0223914166799271</v>
      </c>
      <c r="AA148" s="52">
        <v>1</v>
      </c>
      <c r="AB148">
        <v>0</v>
      </c>
    </row>
    <row r="149" spans="1:28">
      <c r="A149" s="49">
        <v>2018</v>
      </c>
      <c r="B149" s="73" t="s">
        <v>233</v>
      </c>
      <c r="C149" s="49" t="s">
        <v>234</v>
      </c>
      <c r="D149" s="50">
        <v>1459281338000</v>
      </c>
      <c r="E149" s="50">
        <v>27406475000</v>
      </c>
      <c r="F149" s="50">
        <v>1565490561000</v>
      </c>
      <c r="G149" s="50"/>
      <c r="H149" s="50"/>
      <c r="I149" s="50">
        <v>1294360807000</v>
      </c>
      <c r="J149" s="50">
        <v>271129754000</v>
      </c>
      <c r="K149" s="51">
        <v>8272514905</v>
      </c>
      <c r="L149" s="50">
        <v>226985260000</v>
      </c>
      <c r="M149" s="50">
        <v>0</v>
      </c>
      <c r="N149" s="50">
        <v>420279335000</v>
      </c>
      <c r="O149" s="50">
        <v>-192758906000</v>
      </c>
      <c r="P149" s="50"/>
      <c r="Q149" s="52">
        <v>116</v>
      </c>
      <c r="R149" s="51">
        <f t="shared" si="0"/>
        <v>1.1274146513924845</v>
      </c>
      <c r="S149" s="51">
        <f t="shared" si="1"/>
        <v>4.773953385433308</v>
      </c>
      <c r="T149" s="51">
        <f t="shared" si="2"/>
        <v>-0.12313003399833339</v>
      </c>
      <c r="U149" s="51">
        <f t="shared" si="3"/>
        <v>-0.71094707665319534</v>
      </c>
      <c r="V149" s="51">
        <f t="shared" si="4"/>
        <v>-0.84921331896176866</v>
      </c>
      <c r="W149" s="51">
        <f t="shared" si="23"/>
        <v>0</v>
      </c>
      <c r="X149" s="58">
        <f t="shared" si="6"/>
        <v>0</v>
      </c>
      <c r="Y149" s="74">
        <f t="shared" si="24"/>
        <v>-4.978300348830575</v>
      </c>
      <c r="Z149" s="51">
        <f t="shared" si="25"/>
        <v>3.5393080797026801</v>
      </c>
      <c r="AA149" s="52">
        <v>1</v>
      </c>
      <c r="AB149">
        <v>0</v>
      </c>
    </row>
    <row r="150" spans="1:28">
      <c r="A150" s="49">
        <v>2019</v>
      </c>
      <c r="B150" s="73" t="s">
        <v>233</v>
      </c>
      <c r="C150" s="49" t="s">
        <v>234</v>
      </c>
      <c r="D150" s="50">
        <v>2577118587000</v>
      </c>
      <c r="E150" s="50">
        <v>42435986000</v>
      </c>
      <c r="F150" s="50">
        <v>2652723126000</v>
      </c>
      <c r="G150" s="50"/>
      <c r="H150" s="50"/>
      <c r="I150" s="50">
        <v>1984129298000</v>
      </c>
      <c r="J150" s="50">
        <v>668593828000</v>
      </c>
      <c r="K150" s="51">
        <v>8272514905</v>
      </c>
      <c r="L150" s="50">
        <v>333007101000</v>
      </c>
      <c r="M150" s="50">
        <v>0</v>
      </c>
      <c r="N150" s="50">
        <v>329197351000</v>
      </c>
      <c r="O150" s="50">
        <v>1771684000</v>
      </c>
      <c r="P150" s="50"/>
      <c r="Q150" s="52">
        <v>140</v>
      </c>
      <c r="R150" s="51">
        <f t="shared" si="0"/>
        <v>1.2988662531205666</v>
      </c>
      <c r="S150" s="51">
        <f t="shared" si="1"/>
        <v>2.9676153367063387</v>
      </c>
      <c r="T150" s="51">
        <f t="shared" si="2"/>
        <v>6.6787369651784756E-4</v>
      </c>
      <c r="U150" s="51">
        <f t="shared" si="3"/>
        <v>2.6498659212869672E-3</v>
      </c>
      <c r="V150" s="51">
        <f t="shared" si="4"/>
        <v>5.3202589214456425E-3</v>
      </c>
      <c r="W150" s="51">
        <f t="shared" si="23"/>
        <v>0</v>
      </c>
      <c r="X150" s="58">
        <f t="shared" si="6"/>
        <v>0</v>
      </c>
      <c r="Y150" s="74">
        <f t="shared" si="24"/>
        <v>653.7012733083327</v>
      </c>
      <c r="Z150" s="51">
        <f t="shared" si="25"/>
        <v>1.7322207268416483</v>
      </c>
      <c r="AA150" s="52">
        <v>1</v>
      </c>
      <c r="AB150">
        <v>0</v>
      </c>
    </row>
    <row r="151" spans="1:28">
      <c r="A151" s="49">
        <v>2020</v>
      </c>
      <c r="B151" s="73" t="s">
        <v>233</v>
      </c>
      <c r="C151" s="49" t="s">
        <v>234</v>
      </c>
      <c r="D151" s="50">
        <v>2555218949000</v>
      </c>
      <c r="E151" s="50">
        <v>39531943000</v>
      </c>
      <c r="F151" s="50">
        <v>2679921626000</v>
      </c>
      <c r="G151" s="50"/>
      <c r="H151" s="50"/>
      <c r="I151" s="50">
        <v>2048024392000</v>
      </c>
      <c r="J151" s="50">
        <v>631897234000</v>
      </c>
      <c r="K151" s="51">
        <v>8272514905</v>
      </c>
      <c r="L151" s="50">
        <v>309734085000</v>
      </c>
      <c r="M151" s="50">
        <v>0</v>
      </c>
      <c r="N151" s="50">
        <v>311304830000</v>
      </c>
      <c r="O151" s="50">
        <v>2995118000</v>
      </c>
      <c r="P151" s="50"/>
      <c r="Q151" s="52">
        <v>104</v>
      </c>
      <c r="R151" s="51">
        <f t="shared" si="0"/>
        <v>1.247650642727306</v>
      </c>
      <c r="S151" s="51">
        <f t="shared" si="1"/>
        <v>3.2410719367067209</v>
      </c>
      <c r="T151" s="51">
        <f t="shared" si="2"/>
        <v>1.117614026821544E-3</v>
      </c>
      <c r="U151" s="51">
        <f t="shared" si="3"/>
        <v>4.7398814852226429E-3</v>
      </c>
      <c r="V151" s="51">
        <f t="shared" si="4"/>
        <v>9.6699657707998137E-3</v>
      </c>
      <c r="W151" s="51">
        <f t="shared" si="23"/>
        <v>0</v>
      </c>
      <c r="X151" s="58">
        <f t="shared" si="6"/>
        <v>0</v>
      </c>
      <c r="Y151" s="74">
        <f t="shared" si="24"/>
        <v>287.24796489487227</v>
      </c>
      <c r="Z151" s="51">
        <f t="shared" si="25"/>
        <v>1.3615213104730888</v>
      </c>
      <c r="AA151" s="52">
        <v>1</v>
      </c>
      <c r="AB151">
        <v>0</v>
      </c>
    </row>
    <row r="152" spans="1:28">
      <c r="A152" s="6">
        <v>2018</v>
      </c>
      <c r="B152" s="6" t="s">
        <v>133</v>
      </c>
      <c r="C152" s="7" t="s">
        <v>134</v>
      </c>
      <c r="D152" s="51">
        <v>35820328250826</v>
      </c>
      <c r="E152" s="51">
        <v>41436061933356</v>
      </c>
      <c r="F152" s="51">
        <v>114968614731327</v>
      </c>
      <c r="G152" s="51">
        <v>23235117344046</v>
      </c>
      <c r="H152" s="51">
        <v>45366918001290</v>
      </c>
      <c r="I152" s="51">
        <v>68602035345336</v>
      </c>
      <c r="J152" s="51">
        <v>46366579385991</v>
      </c>
      <c r="K152" s="8">
        <v>24241508196</v>
      </c>
      <c r="L152" s="50">
        <v>56045332632978</v>
      </c>
      <c r="M152" s="50">
        <v>37082460251259</v>
      </c>
      <c r="N152" s="50">
        <v>10515185697510</v>
      </c>
      <c r="O152" s="50">
        <v>5280332435460</v>
      </c>
      <c r="P152" s="50">
        <v>796583982267</v>
      </c>
      <c r="Q152" s="51">
        <v>2130</v>
      </c>
      <c r="R152" s="51">
        <f t="shared" ref="R152:R364" si="26">D152/G152</f>
        <v>1.5416461092246199</v>
      </c>
      <c r="S152" s="51">
        <f t="shared" ref="S152:S364" si="27">H152/J152</f>
        <v>0.97844004457652456</v>
      </c>
      <c r="T152" s="51">
        <f t="shared" si="2"/>
        <v>4.5928468806897771E-2</v>
      </c>
      <c r="U152" s="51">
        <f t="shared" si="3"/>
        <v>0.11388229421675598</v>
      </c>
      <c r="V152" s="51">
        <f t="shared" si="4"/>
        <v>9.4215382216376833E-2</v>
      </c>
      <c r="W152" s="51">
        <f t="shared" si="23"/>
        <v>1.5427385426782427E-2</v>
      </c>
      <c r="X152" s="58">
        <f t="shared" si="6"/>
        <v>0.1508586802068656</v>
      </c>
      <c r="Y152" s="51">
        <f t="shared" si="24"/>
        <v>9.7786291087905397</v>
      </c>
      <c r="Z152" s="51">
        <f t="shared" si="25"/>
        <v>1.1136127172038186</v>
      </c>
      <c r="AA152" s="59">
        <v>2</v>
      </c>
      <c r="AB152">
        <v>0</v>
      </c>
    </row>
    <row r="153" spans="1:28">
      <c r="A153" s="6">
        <v>2019</v>
      </c>
      <c r="B153" s="6" t="s">
        <v>133</v>
      </c>
      <c r="C153" s="7" t="s">
        <v>134</v>
      </c>
      <c r="D153" s="13">
        <v>30852713195881</v>
      </c>
      <c r="E153" s="13">
        <v>38195772167402</v>
      </c>
      <c r="F153" s="13">
        <v>102501986581556</v>
      </c>
      <c r="G153" s="13">
        <v>15615845389597</v>
      </c>
      <c r="H153" s="13">
        <v>41926124645178</v>
      </c>
      <c r="I153" s="13">
        <v>57541970034775</v>
      </c>
      <c r="J153" s="13">
        <v>44960016546781</v>
      </c>
      <c r="K153" s="8">
        <v>24241508196</v>
      </c>
      <c r="L153" s="9">
        <v>53501024525284</v>
      </c>
      <c r="M153" s="9">
        <v>36439368501116</v>
      </c>
      <c r="N153" s="9">
        <v>10330208510406</v>
      </c>
      <c r="O153" s="9">
        <v>1570551591695</v>
      </c>
      <c r="P153" s="9">
        <v>1353577596878</v>
      </c>
      <c r="Q153" s="51">
        <v>2170</v>
      </c>
      <c r="R153" s="51">
        <f t="shared" si="26"/>
        <v>1.9757312157069979</v>
      </c>
      <c r="S153" s="51">
        <f t="shared" si="27"/>
        <v>0.93252022275289359</v>
      </c>
      <c r="T153" s="51">
        <f t="shared" si="2"/>
        <v>1.5322157590042278E-2</v>
      </c>
      <c r="U153" s="51">
        <f t="shared" si="3"/>
        <v>3.4932184467966941E-2</v>
      </c>
      <c r="V153" s="51">
        <f t="shared" si="4"/>
        <v>2.9355542358871549E-2</v>
      </c>
      <c r="W153" s="51">
        <f t="shared" si="23"/>
        <v>2.5731422021295226E-2</v>
      </c>
      <c r="X153" s="58">
        <f t="shared" si="6"/>
        <v>0.8618485403699262</v>
      </c>
      <c r="Y153" s="51">
        <f t="shared" si="24"/>
        <v>33.494011316462171</v>
      </c>
      <c r="Z153" s="51">
        <f t="shared" si="25"/>
        <v>1.1700189818788287</v>
      </c>
      <c r="AA153" s="59">
        <v>2</v>
      </c>
      <c r="AB153">
        <v>0</v>
      </c>
    </row>
    <row r="154" spans="1:28">
      <c r="A154" s="6">
        <v>2020</v>
      </c>
      <c r="B154" s="6" t="s">
        <v>133</v>
      </c>
      <c r="C154" s="7" t="s">
        <v>134</v>
      </c>
      <c r="D154" s="13">
        <v>28291608511530</v>
      </c>
      <c r="E154" s="13">
        <v>38050883273585</v>
      </c>
      <c r="F154" s="13">
        <v>106266878101475</v>
      </c>
      <c r="G154" s="13">
        <v>16688406014280</v>
      </c>
      <c r="H154" s="13">
        <v>47892007037420</v>
      </c>
      <c r="I154" s="13">
        <v>64580413051700</v>
      </c>
      <c r="J154" s="13">
        <v>41686465049775</v>
      </c>
      <c r="K154" s="8">
        <v>24241508196</v>
      </c>
      <c r="L154" s="9">
        <v>40700486761025</v>
      </c>
      <c r="M154" s="9">
        <v>28648929334025</v>
      </c>
      <c r="N154" s="9">
        <v>8359448650280</v>
      </c>
      <c r="O154" s="9">
        <v>-2473389962225</v>
      </c>
      <c r="P154" s="9">
        <v>953146912445</v>
      </c>
      <c r="Q154" s="51">
        <v>1655</v>
      </c>
      <c r="R154" s="51">
        <f t="shared" si="26"/>
        <v>1.6952852469745359</v>
      </c>
      <c r="S154" s="51">
        <f t="shared" si="27"/>
        <v>1.1488622741274748</v>
      </c>
      <c r="T154" s="51">
        <f t="shared" si="2"/>
        <v>-2.3275267010885014E-2</v>
      </c>
      <c r="U154" s="51">
        <f t="shared" si="3"/>
        <v>-5.9333166275233259E-2</v>
      </c>
      <c r="V154" s="51">
        <f t="shared" si="4"/>
        <v>-6.0770525344024419E-2</v>
      </c>
      <c r="W154" s="51">
        <f t="shared" si="23"/>
        <v>2.3757580588733444E-2</v>
      </c>
      <c r="X154" s="58">
        <f t="shared" si="6"/>
        <v>-0.3853605484788063</v>
      </c>
      <c r="Y154" s="51">
        <f t="shared" si="24"/>
        <v>-16.220529992079907</v>
      </c>
      <c r="Z154" s="51">
        <f t="shared" si="25"/>
        <v>0.96241540309248508</v>
      </c>
      <c r="AA154" s="59">
        <v>2</v>
      </c>
      <c r="AB154">
        <v>0</v>
      </c>
    </row>
    <row r="155" spans="1:28">
      <c r="A155" s="6">
        <v>2018</v>
      </c>
      <c r="B155" s="6" t="s">
        <v>137</v>
      </c>
      <c r="C155" s="7" t="s">
        <v>138</v>
      </c>
      <c r="D155" s="13">
        <v>968326542522</v>
      </c>
      <c r="E155" s="13">
        <v>799069023234</v>
      </c>
      <c r="F155" s="13">
        <v>2767379051340</v>
      </c>
      <c r="G155" s="13">
        <v>258247232082</v>
      </c>
      <c r="H155" s="13">
        <v>601184420514</v>
      </c>
      <c r="I155" s="13">
        <v>859431652596</v>
      </c>
      <c r="J155" s="13">
        <v>1907947398744</v>
      </c>
      <c r="K155" s="8">
        <v>4227082500</v>
      </c>
      <c r="L155" s="9">
        <v>1710322585164</v>
      </c>
      <c r="M155" s="9">
        <v>1413357025509</v>
      </c>
      <c r="N155" s="9">
        <v>222397112736</v>
      </c>
      <c r="O155" s="9">
        <v>180054987318</v>
      </c>
      <c r="P155" s="9">
        <v>47384597871</v>
      </c>
      <c r="Q155" s="51">
        <v>472</v>
      </c>
      <c r="R155" s="51">
        <f t="shared" si="26"/>
        <v>3.7496105368305823</v>
      </c>
      <c r="S155" s="51">
        <f t="shared" si="27"/>
        <v>0.31509486105841239</v>
      </c>
      <c r="T155" s="51">
        <f t="shared" si="2"/>
        <v>6.5063362834525726E-2</v>
      </c>
      <c r="U155" s="51">
        <f t="shared" si="3"/>
        <v>9.4371043686282977E-2</v>
      </c>
      <c r="V155" s="51">
        <f t="shared" si="4"/>
        <v>0.10527545439665396</v>
      </c>
      <c r="W155" s="51">
        <f t="shared" si="23"/>
        <v>2.3749500319504537E-2</v>
      </c>
      <c r="X155" s="58">
        <f t="shared" ref="X155:X331" si="28">P155/O155</f>
        <v>0.26316737223897485</v>
      </c>
      <c r="Y155" s="51">
        <f t="shared" si="24"/>
        <v>11.080964597088629</v>
      </c>
      <c r="Z155" s="51">
        <f t="shared" si="25"/>
        <v>1.0457221940780062</v>
      </c>
      <c r="AA155" s="59">
        <v>2</v>
      </c>
      <c r="AB155">
        <v>0</v>
      </c>
    </row>
    <row r="156" spans="1:28">
      <c r="A156" s="6">
        <v>2019</v>
      </c>
      <c r="B156" s="6" t="s">
        <v>137</v>
      </c>
      <c r="C156" s="7" t="s">
        <v>138</v>
      </c>
      <c r="D156" s="13">
        <v>984042226112</v>
      </c>
      <c r="E156" s="13">
        <v>803461591434</v>
      </c>
      <c r="F156" s="13">
        <v>2508297621585</v>
      </c>
      <c r="G156" s="13">
        <v>326901962935</v>
      </c>
      <c r="H156" s="13">
        <v>475724956855</v>
      </c>
      <c r="I156" s="13">
        <v>802626919790</v>
      </c>
      <c r="J156" s="13">
        <v>1705670701795</v>
      </c>
      <c r="K156" s="8">
        <v>4227082500</v>
      </c>
      <c r="L156" s="9">
        <v>1697756320356</v>
      </c>
      <c r="M156" s="9">
        <v>1460057977986</v>
      </c>
      <c r="N156" s="9">
        <v>215576318772</v>
      </c>
      <c r="O156" s="9">
        <v>88096225202</v>
      </c>
      <c r="P156" s="9">
        <v>32799770926</v>
      </c>
      <c r="Q156" s="51">
        <v>189</v>
      </c>
      <c r="R156" s="51">
        <f t="shared" si="26"/>
        <v>3.0102059261958711</v>
      </c>
      <c r="S156" s="51">
        <f t="shared" si="27"/>
        <v>0.2789078550474956</v>
      </c>
      <c r="T156" s="51">
        <f t="shared" si="2"/>
        <v>3.5121918724434209E-2</v>
      </c>
      <c r="U156" s="51">
        <f t="shared" si="3"/>
        <v>5.1649022938184963E-2</v>
      </c>
      <c r="V156" s="51">
        <f t="shared" si="4"/>
        <v>5.1889793691669031E-2</v>
      </c>
      <c r="W156" s="51">
        <f t="shared" si="23"/>
        <v>4.1055210423082002E-2</v>
      </c>
      <c r="X156" s="58">
        <f t="shared" si="28"/>
        <v>0.37231755220830237</v>
      </c>
      <c r="Y156" s="51">
        <f t="shared" si="24"/>
        <v>9.068704029805156</v>
      </c>
      <c r="Z156" s="51">
        <f t="shared" si="25"/>
        <v>0.46838970245501693</v>
      </c>
      <c r="AA156" s="59">
        <v>2</v>
      </c>
      <c r="AB156">
        <v>0</v>
      </c>
    </row>
    <row r="157" spans="1:28">
      <c r="A157" s="6">
        <v>2020</v>
      </c>
      <c r="B157" s="6" t="s">
        <v>137</v>
      </c>
      <c r="C157" s="7" t="s">
        <v>138</v>
      </c>
      <c r="D157" s="13">
        <v>2350514170095</v>
      </c>
      <c r="E157" s="13">
        <v>745978102870</v>
      </c>
      <c r="F157" s="13">
        <v>2350514155990</v>
      </c>
      <c r="G157" s="13">
        <v>307596000530</v>
      </c>
      <c r="H157" s="13">
        <v>304525088140</v>
      </c>
      <c r="I157" s="13">
        <v>612121088670</v>
      </c>
      <c r="J157" s="13">
        <v>1738393081425</v>
      </c>
      <c r="K157" s="8">
        <v>4227082500</v>
      </c>
      <c r="L157" s="9">
        <v>1393076432020</v>
      </c>
      <c r="M157" s="9">
        <v>1166087107185</v>
      </c>
      <c r="N157" s="9">
        <v>44814815045</v>
      </c>
      <c r="O157" s="9">
        <v>85004671115</v>
      </c>
      <c r="P157" s="9">
        <v>27326152490</v>
      </c>
      <c r="Q157" s="51">
        <v>252</v>
      </c>
      <c r="R157" s="51">
        <f t="shared" si="26"/>
        <v>7.6415628488178378</v>
      </c>
      <c r="S157" s="51">
        <f t="shared" si="27"/>
        <v>0.17517619656560871</v>
      </c>
      <c r="T157" s="51">
        <f t="shared" si="2"/>
        <v>3.6164288097723603E-2</v>
      </c>
      <c r="U157" s="51">
        <f t="shared" si="3"/>
        <v>4.8898417753319497E-2</v>
      </c>
      <c r="V157" s="51">
        <f t="shared" si="4"/>
        <v>6.1019387853501215E-2</v>
      </c>
      <c r="W157" s="51">
        <f t="shared" si="23"/>
        <v>2.5652944567690732E-2</v>
      </c>
      <c r="X157" s="58">
        <f t="shared" si="28"/>
        <v>0.32146648097763186</v>
      </c>
      <c r="Y157" s="51">
        <f t="shared" si="24"/>
        <v>12.531367700474867</v>
      </c>
      <c r="Z157" s="51">
        <f t="shared" si="25"/>
        <v>0.61276405283827484</v>
      </c>
      <c r="AA157" s="59">
        <v>2</v>
      </c>
      <c r="AB157">
        <v>0</v>
      </c>
    </row>
    <row r="158" spans="1:28">
      <c r="A158" s="6">
        <v>2018</v>
      </c>
      <c r="B158" s="6" t="s">
        <v>235</v>
      </c>
      <c r="C158" s="7" t="s">
        <v>236</v>
      </c>
      <c r="D158" s="13">
        <v>2254015683477</v>
      </c>
      <c r="E158" s="13">
        <v>672401254464</v>
      </c>
      <c r="F158" s="13">
        <v>2254015683477</v>
      </c>
      <c r="G158" s="13">
        <v>714813569289</v>
      </c>
      <c r="H158" s="13">
        <v>109402434495</v>
      </c>
      <c r="I158" s="13">
        <v>824216003784</v>
      </c>
      <c r="J158" s="13">
        <v>1429799679693</v>
      </c>
      <c r="K158" s="8">
        <v>800371500</v>
      </c>
      <c r="L158" s="9">
        <v>1239476562819</v>
      </c>
      <c r="M158" s="9">
        <v>1055003147262</v>
      </c>
      <c r="N158" s="9">
        <v>289740496401</v>
      </c>
      <c r="O158" s="9">
        <v>83913832674</v>
      </c>
      <c r="P158" s="9">
        <v>0</v>
      </c>
      <c r="Q158" s="51">
        <v>4300</v>
      </c>
      <c r="R158" s="51">
        <f t="shared" si="26"/>
        <v>3.153291683758872</v>
      </c>
      <c r="S158" s="51">
        <f t="shared" si="27"/>
        <v>7.6515917613361323E-2</v>
      </c>
      <c r="T158" s="51">
        <f t="shared" si="2"/>
        <v>3.7228593079066861E-2</v>
      </c>
      <c r="U158" s="51">
        <f t="shared" si="3"/>
        <v>5.8689223298761396E-2</v>
      </c>
      <c r="V158" s="51">
        <f t="shared" si="4"/>
        <v>6.7701024118722197E-2</v>
      </c>
      <c r="W158" s="51">
        <f t="shared" si="23"/>
        <v>0</v>
      </c>
      <c r="X158" s="58">
        <f t="shared" si="28"/>
        <v>0</v>
      </c>
      <c r="Y158" s="51">
        <f t="shared" si="24"/>
        <v>41.013469893222386</v>
      </c>
      <c r="Z158" s="51">
        <f t="shared" si="25"/>
        <v>2.4070486928203567</v>
      </c>
      <c r="AA158" s="59">
        <v>2</v>
      </c>
      <c r="AB158">
        <v>0</v>
      </c>
    </row>
    <row r="159" spans="1:28">
      <c r="A159" s="6">
        <v>2019</v>
      </c>
      <c r="B159" s="6" t="s">
        <v>235</v>
      </c>
      <c r="C159" s="7" t="s">
        <v>236</v>
      </c>
      <c r="D159" s="13">
        <v>2395446398276</v>
      </c>
      <c r="E159" s="13">
        <v>617721642309</v>
      </c>
      <c r="F159" s="13">
        <v>2395446398276</v>
      </c>
      <c r="G159" s="13">
        <v>852416965550</v>
      </c>
      <c r="H159" s="13">
        <v>132771272903</v>
      </c>
      <c r="I159" s="13">
        <v>985188238453</v>
      </c>
      <c r="J159" s="13">
        <v>1410258159823</v>
      </c>
      <c r="K159" s="8">
        <v>800371500</v>
      </c>
      <c r="L159" s="9">
        <v>1995615229813</v>
      </c>
      <c r="M159" s="9">
        <v>1631562719269</v>
      </c>
      <c r="N159" s="9">
        <v>314445540954</v>
      </c>
      <c r="O159" s="9">
        <v>22867965159</v>
      </c>
      <c r="P159" s="9">
        <v>252928695</v>
      </c>
      <c r="Q159" s="51">
        <v>3150</v>
      </c>
      <c r="R159" s="51">
        <f t="shared" si="26"/>
        <v>2.8101815133752064</v>
      </c>
      <c r="S159" s="51">
        <f t="shared" si="27"/>
        <v>9.4146785805276939E-2</v>
      </c>
      <c r="T159" s="51">
        <f t="shared" si="2"/>
        <v>9.5464315859699663E-3</v>
      </c>
      <c r="U159" s="51">
        <f t="shared" si="3"/>
        <v>1.621544608674353E-2</v>
      </c>
      <c r="V159" s="51">
        <f t="shared" si="4"/>
        <v>1.1459105351256943E-2</v>
      </c>
      <c r="W159" s="51">
        <f t="shared" si="23"/>
        <v>1.0032194275973572E-4</v>
      </c>
      <c r="X159" s="58">
        <f t="shared" si="28"/>
        <v>1.1060393578588975E-2</v>
      </c>
      <c r="Y159" s="51">
        <f t="shared" si="24"/>
        <v>110.24899712197433</v>
      </c>
      <c r="Z159" s="51">
        <f t="shared" si="25"/>
        <v>1.7877366689489174</v>
      </c>
      <c r="AA159" s="59">
        <v>2</v>
      </c>
      <c r="AB159">
        <v>0</v>
      </c>
    </row>
    <row r="160" spans="1:28">
      <c r="A160" s="6">
        <v>2020</v>
      </c>
      <c r="B160" s="6" t="s">
        <v>235</v>
      </c>
      <c r="C160" s="7" t="s">
        <v>236</v>
      </c>
      <c r="D160" s="13">
        <v>1074198843445</v>
      </c>
      <c r="E160" s="13">
        <v>603761986100</v>
      </c>
      <c r="F160" s="13">
        <v>1839922465290</v>
      </c>
      <c r="G160" s="13">
        <v>321104528290</v>
      </c>
      <c r="H160" s="13">
        <v>117549095300</v>
      </c>
      <c r="I160" s="13">
        <v>438653623590</v>
      </c>
      <c r="J160" s="13">
        <v>1401268841700</v>
      </c>
      <c r="K160" s="8">
        <v>800371500</v>
      </c>
      <c r="L160" s="9">
        <v>1779978175885</v>
      </c>
      <c r="M160" s="9">
        <v>1493795681105</v>
      </c>
      <c r="N160" s="9">
        <v>281118009900</v>
      </c>
      <c r="O160" s="9">
        <v>-43122327885</v>
      </c>
      <c r="P160" s="9">
        <v>81061435</v>
      </c>
      <c r="Q160" s="51">
        <v>3220</v>
      </c>
      <c r="R160" s="51">
        <f t="shared" si="26"/>
        <v>3.3453244934461215</v>
      </c>
      <c r="S160" s="51">
        <f t="shared" si="27"/>
        <v>8.3887610858021405E-2</v>
      </c>
      <c r="T160" s="51">
        <f t="shared" si="2"/>
        <v>-2.3437035363445741E-2</v>
      </c>
      <c r="U160" s="51">
        <f t="shared" si="3"/>
        <v>-3.077377202841718E-2</v>
      </c>
      <c r="V160" s="51">
        <f t="shared" si="4"/>
        <v>-2.4226323934314366E-2</v>
      </c>
      <c r="W160" s="51">
        <f t="shared" si="23"/>
        <v>3.1453342223770052E-5</v>
      </c>
      <c r="X160" s="58">
        <f t="shared" si="28"/>
        <v>-1.8798019257257451E-3</v>
      </c>
      <c r="Y160" s="51">
        <f t="shared" si="24"/>
        <v>-59.764775150194794</v>
      </c>
      <c r="Z160" s="51">
        <f t="shared" si="25"/>
        <v>1.8391875658017065</v>
      </c>
      <c r="AA160" s="59">
        <v>2</v>
      </c>
      <c r="AB160">
        <v>0</v>
      </c>
    </row>
    <row r="161" spans="1:28">
      <c r="A161" s="6">
        <v>2018</v>
      </c>
      <c r="B161" s="6" t="s">
        <v>239</v>
      </c>
      <c r="C161" s="7" t="s">
        <v>240</v>
      </c>
      <c r="D161" s="13">
        <v>3640720000000</v>
      </c>
      <c r="E161" s="8">
        <v>2197050000000</v>
      </c>
      <c r="F161" s="8">
        <v>6494070000000</v>
      </c>
      <c r="G161" s="8">
        <f t="shared" ref="G161:G163" si="29">I161-H161</f>
        <v>2579383000000</v>
      </c>
      <c r="H161" s="8">
        <v>999271000000</v>
      </c>
      <c r="I161" s="8">
        <v>3578654000000</v>
      </c>
      <c r="J161" s="8">
        <v>2915416000000</v>
      </c>
      <c r="K161" s="8">
        <v>7185992035</v>
      </c>
      <c r="L161" s="8">
        <v>4467590000000</v>
      </c>
      <c r="M161" s="8">
        <v>3935894000000</v>
      </c>
      <c r="N161" s="18">
        <f>110556000000+149591000000+257413000000+67212000000</f>
        <v>584772000000</v>
      </c>
      <c r="O161" s="10">
        <v>48741000000</v>
      </c>
      <c r="Q161" s="51">
        <v>87</v>
      </c>
      <c r="R161" s="51">
        <f t="shared" si="26"/>
        <v>1.411469332006918</v>
      </c>
      <c r="S161" s="51">
        <f t="shared" si="27"/>
        <v>0.34275417298937783</v>
      </c>
      <c r="T161" s="51">
        <f t="shared" si="2"/>
        <v>7.5054626759489809E-3</v>
      </c>
      <c r="U161" s="51">
        <f t="shared" si="3"/>
        <v>1.6718368836557116E-2</v>
      </c>
      <c r="V161" s="51">
        <f t="shared" si="4"/>
        <v>1.0909908921812431E-2</v>
      </c>
      <c r="W161" s="51">
        <f t="shared" si="23"/>
        <v>0</v>
      </c>
      <c r="X161" s="58">
        <f t="shared" si="28"/>
        <v>0</v>
      </c>
      <c r="Y161" s="51">
        <f t="shared" si="24"/>
        <v>12.826599927063457</v>
      </c>
      <c r="Z161" s="51">
        <f t="shared" si="25"/>
        <v>0.21443982849960347</v>
      </c>
      <c r="AA161" s="59">
        <v>2</v>
      </c>
      <c r="AB161">
        <v>0</v>
      </c>
    </row>
    <row r="162" spans="1:28">
      <c r="A162" s="6">
        <v>2019</v>
      </c>
      <c r="B162" s="6" t="s">
        <v>239</v>
      </c>
      <c r="C162" s="7" t="s">
        <v>240</v>
      </c>
      <c r="D162" s="13">
        <v>3547289000000</v>
      </c>
      <c r="E162" s="8">
        <v>2128844000000</v>
      </c>
      <c r="F162" s="8">
        <v>6424507000000</v>
      </c>
      <c r="G162" s="8">
        <f t="shared" si="29"/>
        <v>2542901000000</v>
      </c>
      <c r="H162" s="8">
        <v>782940000000</v>
      </c>
      <c r="I162" s="8">
        <v>3325841000000</v>
      </c>
      <c r="J162" s="8">
        <v>3098666000000</v>
      </c>
      <c r="K162" s="8">
        <v>7185992035</v>
      </c>
      <c r="L162" s="8">
        <v>4885875000000</v>
      </c>
      <c r="M162" s="8">
        <v>4197484000000</v>
      </c>
      <c r="N162" s="10">
        <f>149742000000+147856000000+261675000000+19267000000</f>
        <v>578540000000</v>
      </c>
      <c r="O162" s="10">
        <v>185694000000</v>
      </c>
      <c r="Q162" s="51">
        <v>184</v>
      </c>
      <c r="R162" s="51">
        <f t="shared" si="26"/>
        <v>1.3949772326960428</v>
      </c>
      <c r="S162" s="51">
        <f t="shared" si="27"/>
        <v>0.25267001993761184</v>
      </c>
      <c r="T162" s="51">
        <f t="shared" si="2"/>
        <v>2.8904007731643845E-2</v>
      </c>
      <c r="U162" s="51">
        <f t="shared" si="3"/>
        <v>5.9927078297564176E-2</v>
      </c>
      <c r="V162" s="51">
        <f t="shared" si="4"/>
        <v>3.8006293652621079E-2</v>
      </c>
      <c r="W162" s="51">
        <f t="shared" si="23"/>
        <v>0</v>
      </c>
      <c r="X162" s="58">
        <f t="shared" si="28"/>
        <v>0</v>
      </c>
      <c r="Y162" s="51">
        <f t="shared" si="24"/>
        <v>7.1204375717039863</v>
      </c>
      <c r="Z162" s="51">
        <f t="shared" si="25"/>
        <v>0.42670701987242249</v>
      </c>
      <c r="AA162" s="59">
        <v>2</v>
      </c>
      <c r="AB162">
        <v>0</v>
      </c>
    </row>
    <row r="163" spans="1:28">
      <c r="A163" s="6">
        <v>2020</v>
      </c>
      <c r="B163" s="6" t="s">
        <v>239</v>
      </c>
      <c r="C163" s="7" t="s">
        <v>240</v>
      </c>
      <c r="D163" s="13">
        <v>3113612000000</v>
      </c>
      <c r="E163" s="13">
        <v>2197790000000</v>
      </c>
      <c r="F163" s="8">
        <v>6076604000000</v>
      </c>
      <c r="G163" s="8">
        <f t="shared" si="29"/>
        <v>2162323000000</v>
      </c>
      <c r="H163" s="8">
        <v>578941000000</v>
      </c>
      <c r="I163" s="8">
        <v>2741264000000</v>
      </c>
      <c r="J163" s="8">
        <v>3335340000000</v>
      </c>
      <c r="K163" s="8">
        <v>7185992035</v>
      </c>
      <c r="L163" s="8">
        <v>3775530000000</v>
      </c>
      <c r="M163" s="8">
        <v>3217408000000</v>
      </c>
      <c r="N163" s="10">
        <f>111101000000+130681000000+205664000000+27162000000</f>
        <v>474608000000</v>
      </c>
      <c r="O163" s="10">
        <v>175835000000</v>
      </c>
      <c r="Q163" s="51">
        <v>160</v>
      </c>
      <c r="R163" s="51">
        <f t="shared" si="26"/>
        <v>1.4399384365795489</v>
      </c>
      <c r="S163" s="51">
        <f t="shared" si="27"/>
        <v>0.17357780616069127</v>
      </c>
      <c r="T163" s="51">
        <f t="shared" si="2"/>
        <v>2.8936392761483222E-2</v>
      </c>
      <c r="U163" s="51">
        <f t="shared" si="3"/>
        <v>5.2718763304490698E-2</v>
      </c>
      <c r="V163" s="51">
        <f t="shared" si="4"/>
        <v>4.657226932377706E-2</v>
      </c>
      <c r="W163" s="51">
        <f t="shared" si="23"/>
        <v>0</v>
      </c>
      <c r="X163" s="58">
        <f t="shared" si="28"/>
        <v>0</v>
      </c>
      <c r="Y163" s="51">
        <f t="shared" si="24"/>
        <v>6.5388502038843237</v>
      </c>
      <c r="Z163" s="51">
        <f t="shared" si="25"/>
        <v>0.34472009618209837</v>
      </c>
      <c r="AA163" s="59">
        <v>2</v>
      </c>
      <c r="AB163">
        <v>0</v>
      </c>
    </row>
    <row r="164" spans="1:28">
      <c r="A164" s="6">
        <v>2018</v>
      </c>
      <c r="B164" s="6" t="s">
        <v>241</v>
      </c>
      <c r="C164" s="7" t="s">
        <v>242</v>
      </c>
      <c r="D164" s="13">
        <v>1633538255625</v>
      </c>
      <c r="E164" s="13">
        <v>438353322849</v>
      </c>
      <c r="F164" s="13">
        <v>2139961806972</v>
      </c>
      <c r="G164" s="13">
        <v>1485155286090</v>
      </c>
      <c r="H164" s="13">
        <v>31348266066</v>
      </c>
      <c r="I164" s="13">
        <v>1516503552156</v>
      </c>
      <c r="J164" s="13">
        <v>623458254816</v>
      </c>
      <c r="K164" s="8">
        <v>2523350000</v>
      </c>
      <c r="L164" s="9">
        <v>2362363017831</v>
      </c>
      <c r="M164" s="9">
        <v>2241184156263</v>
      </c>
      <c r="N164" s="9">
        <v>97572413241</v>
      </c>
      <c r="O164" s="9">
        <v>-22261091022</v>
      </c>
      <c r="P164" s="9">
        <v>0</v>
      </c>
      <c r="Q164" s="51">
        <v>3500</v>
      </c>
      <c r="R164" s="51">
        <f t="shared" si="26"/>
        <v>1.0999107439637852</v>
      </c>
      <c r="S164" s="51">
        <f t="shared" si="27"/>
        <v>5.0281259128170101E-2</v>
      </c>
      <c r="T164" s="51">
        <f t="shared" si="2"/>
        <v>-1.0402564638991836E-2</v>
      </c>
      <c r="U164" s="51">
        <f t="shared" si="3"/>
        <v>-3.5705824487911979E-2</v>
      </c>
      <c r="V164" s="51">
        <f t="shared" si="4"/>
        <v>-9.4232304070011163E-3</v>
      </c>
      <c r="W164" s="51">
        <f t="shared" si="23"/>
        <v>0</v>
      </c>
      <c r="X164" s="58">
        <f t="shared" si="28"/>
        <v>0</v>
      </c>
      <c r="Y164" s="75">
        <f t="shared" si="24"/>
        <v>-396.73369967679747</v>
      </c>
      <c r="Z164" s="51">
        <f t="shared" si="25"/>
        <v>14.165703849099712</v>
      </c>
      <c r="AA164" s="59">
        <v>2</v>
      </c>
      <c r="AB164">
        <v>0</v>
      </c>
    </row>
    <row r="165" spans="1:28">
      <c r="A165" s="6">
        <v>2019</v>
      </c>
      <c r="B165" s="6" t="s">
        <v>241</v>
      </c>
      <c r="C165" s="7" t="s">
        <v>242</v>
      </c>
      <c r="D165" s="13">
        <v>1635991007928</v>
      </c>
      <c r="E165" s="13">
        <v>405386814321</v>
      </c>
      <c r="F165" s="13">
        <v>2108628483178</v>
      </c>
      <c r="G165" s="13">
        <v>1437911697143</v>
      </c>
      <c r="H165" s="13">
        <v>36286808974</v>
      </c>
      <c r="I165" s="13">
        <v>1474198506117</v>
      </c>
      <c r="J165" s="13">
        <v>634429977061</v>
      </c>
      <c r="K165" s="8">
        <v>2523350000</v>
      </c>
      <c r="L165" s="9">
        <v>2267048602389</v>
      </c>
      <c r="M165" s="9">
        <v>2120573320557</v>
      </c>
      <c r="N165" s="9">
        <v>101630628030</v>
      </c>
      <c r="O165" s="9">
        <v>37263938066</v>
      </c>
      <c r="P165" s="9">
        <v>0</v>
      </c>
      <c r="Q165" s="51">
        <v>675</v>
      </c>
      <c r="R165" s="51">
        <f t="shared" si="26"/>
        <v>1.1377548504394015</v>
      </c>
      <c r="S165" s="51">
        <f t="shared" si="27"/>
        <v>5.7195924351019514E-2</v>
      </c>
      <c r="T165" s="51">
        <f t="shared" si="2"/>
        <v>1.7672121174156768E-2</v>
      </c>
      <c r="U165" s="51">
        <f t="shared" si="3"/>
        <v>5.8736092891804037E-2</v>
      </c>
      <c r="V165" s="51">
        <f t="shared" si="4"/>
        <v>1.6437202990148302E-2</v>
      </c>
      <c r="W165" s="51">
        <f t="shared" si="23"/>
        <v>0</v>
      </c>
      <c r="X165" s="58">
        <f t="shared" si="28"/>
        <v>0</v>
      </c>
      <c r="Y165" s="51">
        <f t="shared" si="24"/>
        <v>45.70803136757231</v>
      </c>
      <c r="Z165" s="51">
        <f t="shared" si="25"/>
        <v>2.6847111763072204</v>
      </c>
      <c r="AA165" s="59">
        <v>2</v>
      </c>
      <c r="AB165">
        <v>0</v>
      </c>
    </row>
    <row r="166" spans="1:28">
      <c r="A166" s="6">
        <v>2020</v>
      </c>
      <c r="B166" s="6" t="s">
        <v>241</v>
      </c>
      <c r="C166" s="7" t="s">
        <v>242</v>
      </c>
      <c r="D166" s="13">
        <v>1398292277655</v>
      </c>
      <c r="E166" s="13">
        <v>385936891340</v>
      </c>
      <c r="F166" s="13">
        <v>1860803648340</v>
      </c>
      <c r="G166" s="13">
        <v>1134888102530</v>
      </c>
      <c r="H166" s="13">
        <v>43444020620</v>
      </c>
      <c r="I166" s="13">
        <v>1178332123150</v>
      </c>
      <c r="J166" s="13">
        <v>682471525190</v>
      </c>
      <c r="K166" s="8">
        <v>2523350000</v>
      </c>
      <c r="L166" s="9">
        <v>2041413970050</v>
      </c>
      <c r="M166" s="9">
        <v>1903450256890</v>
      </c>
      <c r="N166" s="9">
        <v>100600541405</v>
      </c>
      <c r="O166" s="9">
        <v>38338476085</v>
      </c>
      <c r="P166" s="9">
        <v>0</v>
      </c>
      <c r="Q166" s="51">
        <v>1445</v>
      </c>
      <c r="R166" s="51">
        <f t="shared" si="26"/>
        <v>1.2320970451076141</v>
      </c>
      <c r="S166" s="51">
        <f t="shared" si="27"/>
        <v>6.3656898517348681E-2</v>
      </c>
      <c r="T166" s="51">
        <f t="shared" si="2"/>
        <v>2.0603181920457476E-2</v>
      </c>
      <c r="U166" s="51">
        <f t="shared" si="3"/>
        <v>5.6175935068245628E-2</v>
      </c>
      <c r="V166" s="51">
        <f t="shared" si="4"/>
        <v>1.8780353542922498E-2</v>
      </c>
      <c r="W166" s="51">
        <f t="shared" si="23"/>
        <v>0</v>
      </c>
      <c r="X166" s="58">
        <f t="shared" si="28"/>
        <v>0</v>
      </c>
      <c r="Y166" s="51">
        <f t="shared" si="24"/>
        <v>95.106564536262269</v>
      </c>
      <c r="Z166" s="51">
        <f t="shared" si="25"/>
        <v>5.3427001939529815</v>
      </c>
      <c r="AA166" s="59">
        <v>2</v>
      </c>
      <c r="AB166">
        <v>0</v>
      </c>
    </row>
    <row r="167" spans="1:28">
      <c r="A167" s="6">
        <v>2018</v>
      </c>
      <c r="B167" s="6" t="s">
        <v>243</v>
      </c>
      <c r="C167" s="7" t="s">
        <v>244</v>
      </c>
      <c r="D167" s="13">
        <v>448247260</v>
      </c>
      <c r="E167" s="8">
        <v>224257888000</v>
      </c>
      <c r="F167" s="13">
        <v>686777211000</v>
      </c>
      <c r="G167" s="8">
        <f t="shared" ref="G167:G169" si="30">I167-H167</f>
        <v>182749220000</v>
      </c>
      <c r="H167" s="8">
        <v>26239975000</v>
      </c>
      <c r="I167" s="8">
        <v>208989195000</v>
      </c>
      <c r="J167" s="8">
        <v>477788016000</v>
      </c>
      <c r="K167" s="8">
        <v>6020000000</v>
      </c>
      <c r="L167" s="10">
        <v>600986872000</v>
      </c>
      <c r="M167" s="10">
        <v>458091261000</v>
      </c>
      <c r="N167" s="10">
        <f>83109088000+762203000</f>
        <v>83871291000</v>
      </c>
      <c r="O167" s="12">
        <v>38735092000</v>
      </c>
      <c r="Q167" s="51">
        <v>66</v>
      </c>
      <c r="R167" s="51">
        <f t="shared" si="26"/>
        <v>2.4527998532633956E-3</v>
      </c>
      <c r="S167" s="51">
        <f t="shared" si="27"/>
        <v>5.4919701041643537E-2</v>
      </c>
      <c r="T167" s="51">
        <f t="shared" si="2"/>
        <v>5.6401248293604198E-2</v>
      </c>
      <c r="U167" s="51">
        <f t="shared" si="3"/>
        <v>8.1071711099593588E-2</v>
      </c>
      <c r="V167" s="51">
        <f t="shared" si="4"/>
        <v>6.4452476093354666E-2</v>
      </c>
      <c r="W167" s="51">
        <f t="shared" si="23"/>
        <v>0</v>
      </c>
      <c r="X167" s="58">
        <f t="shared" si="28"/>
        <v>0</v>
      </c>
      <c r="Y167" s="51">
        <f t="shared" si="24"/>
        <v>10.257365595001041</v>
      </c>
      <c r="Z167" s="51">
        <f t="shared" si="25"/>
        <v>0.83158218016083518</v>
      </c>
      <c r="AA167" s="59">
        <v>2</v>
      </c>
      <c r="AB167">
        <v>0</v>
      </c>
    </row>
    <row r="168" spans="1:28">
      <c r="A168" s="6">
        <v>2019</v>
      </c>
      <c r="B168" s="6" t="s">
        <v>243</v>
      </c>
      <c r="C168" s="7" t="s">
        <v>244</v>
      </c>
      <c r="D168" s="13">
        <v>537425364</v>
      </c>
      <c r="E168" s="8">
        <v>228818788000</v>
      </c>
      <c r="F168" s="8">
        <v>779246858000</v>
      </c>
      <c r="G168" s="8">
        <f t="shared" si="30"/>
        <v>217673718000</v>
      </c>
      <c r="H168" s="8">
        <v>46972577000</v>
      </c>
      <c r="I168" s="8">
        <v>264646295000</v>
      </c>
      <c r="J168" s="8">
        <v>514600563000</v>
      </c>
      <c r="K168" s="8">
        <v>6020000000</v>
      </c>
      <c r="L168" s="10">
        <v>684464392000</v>
      </c>
      <c r="M168" s="10">
        <v>511519472000</v>
      </c>
      <c r="N168" s="10">
        <f>102044774000+1425442000</f>
        <v>103470216000</v>
      </c>
      <c r="O168" s="12">
        <v>42829128000</v>
      </c>
      <c r="P168" s="50">
        <v>6017384000</v>
      </c>
      <c r="Q168" s="51">
        <v>68</v>
      </c>
      <c r="R168" s="51">
        <f t="shared" si="26"/>
        <v>2.4689492555091102E-3</v>
      </c>
      <c r="S168" s="51">
        <f t="shared" si="27"/>
        <v>9.1279684433613811E-2</v>
      </c>
      <c r="T168" s="51">
        <f t="shared" si="2"/>
        <v>5.4962208137642563E-2</v>
      </c>
      <c r="U168" s="51">
        <f t="shared" si="3"/>
        <v>8.3227907389599967E-2</v>
      </c>
      <c r="V168" s="51">
        <f t="shared" si="4"/>
        <v>6.2573201032202125E-2</v>
      </c>
      <c r="W168" s="51">
        <f t="shared" si="23"/>
        <v>1.4699491889779167E-2</v>
      </c>
      <c r="X168" s="58">
        <f t="shared" si="28"/>
        <v>0.14049746705092853</v>
      </c>
      <c r="Y168" s="51">
        <f t="shared" si="24"/>
        <v>9.55798119448054</v>
      </c>
      <c r="Z168" s="51">
        <f t="shared" si="25"/>
        <v>0.79549077368576449</v>
      </c>
      <c r="AA168" s="59">
        <v>2</v>
      </c>
      <c r="AB168">
        <v>0</v>
      </c>
    </row>
    <row r="169" spans="1:28">
      <c r="A169" s="6">
        <v>2020</v>
      </c>
      <c r="B169" s="6" t="s">
        <v>243</v>
      </c>
      <c r="C169" s="7" t="s">
        <v>244</v>
      </c>
      <c r="D169" s="51">
        <v>579393962</v>
      </c>
      <c r="E169" s="8">
        <v>319819738000</v>
      </c>
      <c r="F169" s="8">
        <v>906846895000</v>
      </c>
      <c r="G169" s="8">
        <f t="shared" si="30"/>
        <v>266837335000</v>
      </c>
      <c r="H169" s="8">
        <v>52122162000</v>
      </c>
      <c r="I169" s="8">
        <v>318959497000</v>
      </c>
      <c r="J169" s="8">
        <v>587887398000</v>
      </c>
      <c r="K169" s="8">
        <v>6020000000</v>
      </c>
      <c r="L169" s="10">
        <v>890996866000</v>
      </c>
      <c r="M169" s="10">
        <v>699831445000</v>
      </c>
      <c r="N169" s="10">
        <f>111840300000+341413000</f>
        <v>112181713000</v>
      </c>
      <c r="O169" s="12">
        <v>44152245000</v>
      </c>
      <c r="P169" s="50">
        <v>12034736000</v>
      </c>
      <c r="Q169" s="51">
        <v>58</v>
      </c>
      <c r="R169" s="51">
        <f t="shared" si="26"/>
        <v>2.1713376878089419E-3</v>
      </c>
      <c r="S169" s="51">
        <f t="shared" si="27"/>
        <v>8.8660111064330041E-2</v>
      </c>
      <c r="T169" s="51">
        <f t="shared" si="2"/>
        <v>4.8687650852021716E-2</v>
      </c>
      <c r="U169" s="51">
        <f t="shared" si="3"/>
        <v>7.5103234310186728E-2</v>
      </c>
      <c r="V169" s="51">
        <f t="shared" si="4"/>
        <v>4.9553760158792745E-2</v>
      </c>
      <c r="W169" s="51">
        <f t="shared" si="23"/>
        <v>3.4467682437850838E-2</v>
      </c>
      <c r="X169" s="58">
        <f t="shared" si="28"/>
        <v>0.27257359167127287</v>
      </c>
      <c r="Y169" s="51">
        <f t="shared" si="24"/>
        <v>7.9080916496998057</v>
      </c>
      <c r="Z169" s="51">
        <f t="shared" si="25"/>
        <v>0.59392326011383556</v>
      </c>
      <c r="AA169" s="59">
        <v>2</v>
      </c>
      <c r="AB169">
        <v>0</v>
      </c>
    </row>
    <row r="170" spans="1:28">
      <c r="A170" s="6">
        <v>2018</v>
      </c>
      <c r="B170" s="6" t="s">
        <v>387</v>
      </c>
      <c r="C170" s="7" t="s">
        <v>388</v>
      </c>
      <c r="D170" s="8">
        <v>4089272082471</v>
      </c>
      <c r="E170" s="8">
        <v>1399191392727</v>
      </c>
      <c r="F170" s="8">
        <v>17634327314985</v>
      </c>
      <c r="G170" s="8">
        <v>6994044023535</v>
      </c>
      <c r="H170" s="8">
        <v>5328040524390</v>
      </c>
      <c r="I170" s="8">
        <v>12322084547925</v>
      </c>
      <c r="J170" s="8">
        <v>5312242767060</v>
      </c>
      <c r="K170" s="8">
        <f>36508170014+3650817000</f>
        <v>40158987014</v>
      </c>
      <c r="L170" s="10">
        <v>393305654277</v>
      </c>
      <c r="M170" s="10">
        <v>128270496888</v>
      </c>
      <c r="N170" s="10">
        <v>1426748344740</v>
      </c>
      <c r="O170" s="10">
        <v>316519688385</v>
      </c>
      <c r="P170" s="10">
        <v>0</v>
      </c>
      <c r="Q170" s="51">
        <v>50</v>
      </c>
      <c r="R170" s="51">
        <f t="shared" si="26"/>
        <v>0.58467920257730366</v>
      </c>
      <c r="S170" s="51">
        <f t="shared" si="27"/>
        <v>1.0029738394916661</v>
      </c>
      <c r="T170" s="51">
        <f t="shared" si="2"/>
        <v>1.7949065066748152E-2</v>
      </c>
      <c r="U170" s="51">
        <f t="shared" si="3"/>
        <v>5.9583061667976854E-2</v>
      </c>
      <c r="V170" s="51">
        <f t="shared" si="4"/>
        <v>0.80476770405665043</v>
      </c>
      <c r="W170" s="51">
        <f t="shared" si="23"/>
        <v>0</v>
      </c>
      <c r="X170" s="58">
        <f t="shared" si="28"/>
        <v>0</v>
      </c>
      <c r="Y170" s="51">
        <f t="shared" si="24"/>
        <v>6.3438371273057195</v>
      </c>
      <c r="Z170" s="51">
        <f t="shared" si="25"/>
        <v>0.37798523876785789</v>
      </c>
      <c r="AA170" s="59">
        <v>2</v>
      </c>
      <c r="AB170">
        <v>0</v>
      </c>
    </row>
    <row r="171" spans="1:28">
      <c r="A171" s="6">
        <v>2019</v>
      </c>
      <c r="B171" s="6" t="s">
        <v>387</v>
      </c>
      <c r="C171" s="7" t="s">
        <v>388</v>
      </c>
      <c r="D171" s="51">
        <v>4871941173051</v>
      </c>
      <c r="E171" s="51">
        <v>1270778472835</v>
      </c>
      <c r="F171" s="51">
        <v>17425618108707</v>
      </c>
      <c r="G171" s="51">
        <v>4174579395048</v>
      </c>
      <c r="H171" s="51">
        <v>8198421378258</v>
      </c>
      <c r="I171" s="51">
        <v>12373000773306</v>
      </c>
      <c r="J171" s="51">
        <v>5052617335401</v>
      </c>
      <c r="K171" s="8">
        <f t="shared" ref="K171:K172" si="31">41042249193+3650817000</f>
        <v>44693066193</v>
      </c>
      <c r="L171" s="87">
        <v>985413740475</v>
      </c>
      <c r="M171" s="50">
        <v>177307046485</v>
      </c>
      <c r="N171" s="50">
        <v>950520923781</v>
      </c>
      <c r="O171" s="50">
        <v>381395703966</v>
      </c>
      <c r="P171" s="50">
        <v>0</v>
      </c>
      <c r="Q171" s="51">
        <v>50</v>
      </c>
      <c r="R171" s="51">
        <f t="shared" si="26"/>
        <v>1.167049590392323</v>
      </c>
      <c r="S171" s="51">
        <f t="shared" si="27"/>
        <v>1.622608805304931</v>
      </c>
      <c r="T171" s="51">
        <f t="shared" si="2"/>
        <v>2.1887068888272566E-2</v>
      </c>
      <c r="U171" s="51">
        <f t="shared" si="3"/>
        <v>7.5484779204188557E-2</v>
      </c>
      <c r="V171" s="51">
        <f>O171/L171</f>
        <v>0.38704118716890984</v>
      </c>
      <c r="W171" s="51">
        <f t="shared" si="23"/>
        <v>0</v>
      </c>
      <c r="X171" s="58">
        <f t="shared" si="28"/>
        <v>0</v>
      </c>
      <c r="Y171" s="51">
        <f t="shared" si="24"/>
        <v>5.859146514794543</v>
      </c>
      <c r="Z171" s="51">
        <f t="shared" si="25"/>
        <v>0.44227638099425698</v>
      </c>
      <c r="AA171" s="59">
        <v>2</v>
      </c>
      <c r="AB171">
        <v>0</v>
      </c>
    </row>
    <row r="172" spans="1:28">
      <c r="A172" s="6">
        <v>2020</v>
      </c>
      <c r="B172" s="6" t="s">
        <v>387</v>
      </c>
      <c r="C172" s="7" t="s">
        <v>388</v>
      </c>
      <c r="D172" s="51">
        <v>2743346826675</v>
      </c>
      <c r="E172" s="51">
        <v>1759004633295</v>
      </c>
      <c r="F172" s="51">
        <v>18952683723610</v>
      </c>
      <c r="G172" s="51">
        <v>7215807323270</v>
      </c>
      <c r="H172" s="51">
        <v>6298449154270</v>
      </c>
      <c r="I172" s="51">
        <v>13514256477540</v>
      </c>
      <c r="J172" s="51">
        <v>5438427246070</v>
      </c>
      <c r="K172" s="8">
        <f t="shared" si="31"/>
        <v>44693066193</v>
      </c>
      <c r="L172" s="50">
        <v>1107410335395</v>
      </c>
      <c r="M172" s="50">
        <v>187898445735</v>
      </c>
      <c r="N172" s="50">
        <v>929563916645</v>
      </c>
      <c r="O172" s="50">
        <v>381477285280</v>
      </c>
      <c r="P172" s="50">
        <v>0</v>
      </c>
      <c r="Q172" s="51">
        <v>50</v>
      </c>
      <c r="R172" s="51">
        <f t="shared" si="26"/>
        <v>0.38018570948091679</v>
      </c>
      <c r="S172" s="51">
        <f t="shared" si="27"/>
        <v>1.1581379816787072</v>
      </c>
      <c r="T172" s="51">
        <f t="shared" si="2"/>
        <v>2.0127876919339968E-2</v>
      </c>
      <c r="U172" s="51">
        <f t="shared" si="3"/>
        <v>7.0144780470432697E-2</v>
      </c>
      <c r="V172" s="51">
        <f t="shared" si="4"/>
        <v>0.34447690534144387</v>
      </c>
      <c r="W172" s="51">
        <f t="shared" si="23"/>
        <v>0</v>
      </c>
      <c r="X172" s="58">
        <f t="shared" si="28"/>
        <v>0</v>
      </c>
      <c r="Y172" s="51">
        <f t="shared" si="24"/>
        <v>5.8578934995036205</v>
      </c>
      <c r="Z172" s="51">
        <f t="shared" si="25"/>
        <v>0.41090065354185612</v>
      </c>
      <c r="AA172" s="59">
        <v>2</v>
      </c>
      <c r="AB172">
        <v>0</v>
      </c>
    </row>
    <row r="173" spans="1:28">
      <c r="A173" s="6">
        <v>2018</v>
      </c>
      <c r="B173" s="6" t="s">
        <v>391</v>
      </c>
      <c r="C173" s="7" t="s">
        <v>392</v>
      </c>
      <c r="D173" s="51">
        <v>5657327000000</v>
      </c>
      <c r="E173" s="8">
        <v>1735854000000</v>
      </c>
      <c r="F173" s="8">
        <v>5657327000000</v>
      </c>
      <c r="G173" s="8">
        <f t="shared" ref="G173:G175" si="32">I173-H173</f>
        <v>2116898000000</v>
      </c>
      <c r="H173" s="8">
        <v>240229000000</v>
      </c>
      <c r="I173" s="8">
        <v>2357127000000</v>
      </c>
      <c r="J173" s="8">
        <v>3300200000000</v>
      </c>
      <c r="K173" s="8">
        <v>7298500000</v>
      </c>
      <c r="L173" s="8">
        <v>6624774000000</v>
      </c>
      <c r="M173" s="8">
        <v>5972680000000</v>
      </c>
      <c r="N173" s="9">
        <f>2579000000+268740000000+90092000000</f>
        <v>361411000000</v>
      </c>
      <c r="O173" s="12">
        <v>276316000000</v>
      </c>
      <c r="P173" s="50">
        <v>37071000000</v>
      </c>
      <c r="Q173" s="51">
        <v>360</v>
      </c>
      <c r="R173" s="51">
        <f t="shared" si="26"/>
        <v>2.672460836563689</v>
      </c>
      <c r="S173" s="51">
        <f t="shared" si="27"/>
        <v>7.2792255014847582E-2</v>
      </c>
      <c r="T173" s="51">
        <f t="shared" si="2"/>
        <v>4.8842147537167285E-2</v>
      </c>
      <c r="U173" s="51">
        <f t="shared" si="3"/>
        <v>8.372704684564572E-2</v>
      </c>
      <c r="V173" s="51">
        <f t="shared" si="4"/>
        <v>4.1709498316470868E-2</v>
      </c>
      <c r="W173" s="51">
        <f t="shared" si="23"/>
        <v>1.4109063506199905E-2</v>
      </c>
      <c r="X173" s="58">
        <f t="shared" si="28"/>
        <v>0.1341616120673432</v>
      </c>
      <c r="Y173" s="51">
        <f t="shared" si="24"/>
        <v>9.5088956122700097</v>
      </c>
      <c r="Z173" s="51">
        <f t="shared" si="25"/>
        <v>0.79615174837888614</v>
      </c>
      <c r="AA173" s="59">
        <v>2</v>
      </c>
      <c r="AB173">
        <v>0</v>
      </c>
    </row>
    <row r="174" spans="1:28">
      <c r="A174" s="6">
        <v>2019</v>
      </c>
      <c r="B174" s="6" t="s">
        <v>391</v>
      </c>
      <c r="C174" s="7" t="s">
        <v>392</v>
      </c>
      <c r="D174" s="13">
        <v>6805037000000</v>
      </c>
      <c r="E174" s="8">
        <v>1819321000000</v>
      </c>
      <c r="F174" s="8">
        <v>6805037000000</v>
      </c>
      <c r="G174" s="8">
        <f t="shared" si="32"/>
        <v>2504335000000</v>
      </c>
      <c r="H174" s="8">
        <v>724004000000</v>
      </c>
      <c r="I174" s="8">
        <v>3228339000000</v>
      </c>
      <c r="J174" s="8">
        <v>3576698000000</v>
      </c>
      <c r="K174" s="8">
        <v>7298500000</v>
      </c>
      <c r="L174" s="8">
        <v>8385122000000</v>
      </c>
      <c r="M174" s="8">
        <v>7514040000000</v>
      </c>
      <c r="N174" s="9">
        <f>4180000000+333221000000+40490000000+15705000000</f>
        <v>393596000000</v>
      </c>
      <c r="O174" s="12">
        <v>356477000000</v>
      </c>
      <c r="P174" s="50">
        <v>69079000000</v>
      </c>
      <c r="Q174" s="51">
        <v>306</v>
      </c>
      <c r="R174" s="51">
        <f t="shared" si="26"/>
        <v>2.7173029966038889</v>
      </c>
      <c r="S174" s="51">
        <f t="shared" si="27"/>
        <v>0.20242245780885051</v>
      </c>
      <c r="T174" s="51">
        <f t="shared" si="2"/>
        <v>5.2384285346281E-2</v>
      </c>
      <c r="U174" s="51">
        <f t="shared" si="3"/>
        <v>9.9666508047366598E-2</v>
      </c>
      <c r="V174" s="51">
        <f t="shared" si="4"/>
        <v>4.2513036781098711E-2</v>
      </c>
      <c r="W174" s="51">
        <f t="shared" si="23"/>
        <v>3.0930789342066438E-2</v>
      </c>
      <c r="X174" s="58">
        <f t="shared" si="28"/>
        <v>0.19378248807075912</v>
      </c>
      <c r="Y174" s="51">
        <f t="shared" si="24"/>
        <v>6.2650353318727436</v>
      </c>
      <c r="Z174" s="51">
        <f t="shared" si="25"/>
        <v>0.62441419432113077</v>
      </c>
      <c r="AA174" s="59">
        <v>2</v>
      </c>
      <c r="AB174">
        <v>0</v>
      </c>
    </row>
    <row r="175" spans="1:28">
      <c r="A175" s="6">
        <v>2020</v>
      </c>
      <c r="B175" s="6" t="s">
        <v>391</v>
      </c>
      <c r="C175" s="7" t="s">
        <v>392</v>
      </c>
      <c r="D175" s="51">
        <v>4217325000000</v>
      </c>
      <c r="E175" s="8">
        <v>1811979000000</v>
      </c>
      <c r="F175" s="8">
        <v>7562822000000</v>
      </c>
      <c r="G175" s="8">
        <f t="shared" si="32"/>
        <v>2573467000000</v>
      </c>
      <c r="H175" s="8">
        <v>1248409000000</v>
      </c>
      <c r="I175" s="8">
        <v>3821876000000</v>
      </c>
      <c r="J175" s="8">
        <v>3740946000000</v>
      </c>
      <c r="K175" s="8">
        <v>7298500000</v>
      </c>
      <c r="L175" s="8">
        <v>7726945000000</v>
      </c>
      <c r="M175" s="8">
        <v>7726945000000</v>
      </c>
      <c r="N175" s="9">
        <f>2744000000+302482000000+132199000000</f>
        <v>437425000000</v>
      </c>
      <c r="O175" s="12">
        <v>249085000000</v>
      </c>
      <c r="P175" s="50">
        <v>69079000000</v>
      </c>
      <c r="Q175" s="51">
        <v>352</v>
      </c>
      <c r="R175" s="51">
        <f t="shared" si="26"/>
        <v>1.6387717425558594</v>
      </c>
      <c r="S175" s="51">
        <f t="shared" si="27"/>
        <v>0.33371478764996876</v>
      </c>
      <c r="T175" s="51">
        <f t="shared" si="2"/>
        <v>3.2935457161361197E-2</v>
      </c>
      <c r="U175" s="51">
        <f t="shared" si="3"/>
        <v>6.6583425689651768E-2</v>
      </c>
      <c r="V175" s="51">
        <f t="shared" si="4"/>
        <v>3.2235896593026094E-2</v>
      </c>
      <c r="W175" s="51">
        <f t="shared" si="23"/>
        <v>2.6888697553046393E-2</v>
      </c>
      <c r="X175" s="58">
        <f t="shared" si="28"/>
        <v>0.2773310315755666</v>
      </c>
      <c r="Y175" s="51">
        <f t="shared" si="24"/>
        <v>10.314037376799085</v>
      </c>
      <c r="Z175" s="51">
        <f t="shared" si="25"/>
        <v>0.68674394123839266</v>
      </c>
      <c r="AA175" s="59">
        <v>2</v>
      </c>
      <c r="AB175">
        <v>0</v>
      </c>
    </row>
    <row r="176" spans="1:28">
      <c r="A176" s="6">
        <v>2018</v>
      </c>
      <c r="B176" s="82" t="s">
        <v>438</v>
      </c>
      <c r="C176" s="7" t="s">
        <v>439</v>
      </c>
      <c r="D176" s="51">
        <v>53144584947333</v>
      </c>
      <c r="E176" s="51">
        <v>9078886611954</v>
      </c>
      <c r="F176" s="51">
        <v>53144584947333</v>
      </c>
      <c r="G176" s="51">
        <v>9708395825025</v>
      </c>
      <c r="H176" s="51">
        <v>27113435866107</v>
      </c>
      <c r="I176" s="51">
        <v>36821831691132</v>
      </c>
      <c r="J176" s="51">
        <v>16322753256201</v>
      </c>
      <c r="K176" s="13">
        <v>5210192000</v>
      </c>
      <c r="L176" s="50">
        <v>42905188707381</v>
      </c>
      <c r="M176" s="50">
        <v>33619749716385</v>
      </c>
      <c r="N176" s="50">
        <v>3376167922827</v>
      </c>
      <c r="O176" s="50">
        <v>1417142358909</v>
      </c>
      <c r="P176" s="50">
        <v>0</v>
      </c>
      <c r="Q176" s="51">
        <v>2130</v>
      </c>
      <c r="R176" s="51">
        <f t="shared" si="26"/>
        <v>5.4740851017161889</v>
      </c>
      <c r="S176" s="51">
        <f t="shared" si="27"/>
        <v>1.6610822598697697</v>
      </c>
      <c r="T176" s="51">
        <f t="shared" si="2"/>
        <v>2.6665790321128806E-2</v>
      </c>
      <c r="U176" s="51">
        <f t="shared" si="3"/>
        <v>8.6820056436902202E-2</v>
      </c>
      <c r="V176" s="51">
        <f t="shared" si="4"/>
        <v>3.3029626523125126E-2</v>
      </c>
      <c r="W176" s="51">
        <f t="shared" si="23"/>
        <v>0</v>
      </c>
      <c r="X176" s="58">
        <f t="shared" si="28"/>
        <v>0</v>
      </c>
      <c r="Y176" s="74">
        <f t="shared" si="24"/>
        <v>7.8310473822430042</v>
      </c>
      <c r="Z176" s="51">
        <f t="shared" si="25"/>
        <v>0.67989197568639281</v>
      </c>
      <c r="AA176" s="59">
        <v>2</v>
      </c>
      <c r="AB176">
        <v>0</v>
      </c>
    </row>
    <row r="177" spans="1:28">
      <c r="A177" s="6">
        <v>2019</v>
      </c>
      <c r="B177" s="82" t="s">
        <v>438</v>
      </c>
      <c r="C177" s="7" t="s">
        <v>439</v>
      </c>
      <c r="D177" s="51">
        <v>50268282766565</v>
      </c>
      <c r="E177" s="51">
        <v>9490045651683</v>
      </c>
      <c r="F177" s="51">
        <v>50268282766565</v>
      </c>
      <c r="G177" s="51">
        <v>9889326201536</v>
      </c>
      <c r="H177" s="51">
        <v>25841649160611</v>
      </c>
      <c r="I177" s="51">
        <v>35730975362147</v>
      </c>
      <c r="J177" s="51">
        <v>14537307404418</v>
      </c>
      <c r="K177" s="13">
        <v>5210192000</v>
      </c>
      <c r="L177" s="50">
        <v>38681984914420</v>
      </c>
      <c r="M177" s="50">
        <v>32750407793851</v>
      </c>
      <c r="N177" s="50">
        <v>3428721170543</v>
      </c>
      <c r="O177" s="50">
        <v>69399825034</v>
      </c>
      <c r="P177" s="50">
        <v>0</v>
      </c>
      <c r="Q177" s="51">
        <v>1195</v>
      </c>
      <c r="R177" s="51">
        <f t="shared" si="26"/>
        <v>5.0830847058879884</v>
      </c>
      <c r="S177" s="51">
        <f t="shared" si="27"/>
        <v>1.777609046965432</v>
      </c>
      <c r="T177" s="51">
        <f t="shared" si="2"/>
        <v>1.380588737361046E-3</v>
      </c>
      <c r="U177" s="51">
        <f t="shared" si="3"/>
        <v>4.7739119152772997E-3</v>
      </c>
      <c r="V177" s="51">
        <f t="shared" si="4"/>
        <v>1.7941123028598488E-3</v>
      </c>
      <c r="W177" s="51">
        <f t="shared" si="23"/>
        <v>0</v>
      </c>
      <c r="X177" s="58">
        <f t="shared" si="28"/>
        <v>0</v>
      </c>
      <c r="Y177" s="74">
        <f>Q177/(O177/K177)</f>
        <v>89.714627334430631</v>
      </c>
      <c r="Z177" s="51">
        <f t="shared" si="25"/>
        <v>0.42828972840650092</v>
      </c>
      <c r="AA177" s="59">
        <v>2</v>
      </c>
      <c r="AB177">
        <v>0</v>
      </c>
    </row>
    <row r="178" spans="1:28">
      <c r="A178" s="6">
        <v>2020</v>
      </c>
      <c r="B178" s="82" t="s">
        <v>438</v>
      </c>
      <c r="C178" s="7" t="s">
        <v>439</v>
      </c>
      <c r="D178" s="51">
        <v>49278678797985</v>
      </c>
      <c r="E178" s="51">
        <v>8660333505915</v>
      </c>
      <c r="F178" s="51">
        <v>49278678797985</v>
      </c>
      <c r="G178" s="51">
        <v>9982303924775</v>
      </c>
      <c r="H178" s="51">
        <v>27063145130840</v>
      </c>
      <c r="I178" s="51">
        <v>37045449055615</v>
      </c>
      <c r="J178" s="51">
        <v>12233229742370</v>
      </c>
      <c r="K178" s="13">
        <v>5210192000</v>
      </c>
      <c r="L178" s="50">
        <v>29299080126225</v>
      </c>
      <c r="M178" s="50">
        <v>25718122628380</v>
      </c>
      <c r="N178" s="50">
        <v>3632451919005</v>
      </c>
      <c r="O178" s="50">
        <v>-1459130852270</v>
      </c>
      <c r="P178" s="50">
        <v>0</v>
      </c>
      <c r="Q178" s="51">
        <v>1730</v>
      </c>
      <c r="R178" s="51">
        <f t="shared" si="26"/>
        <v>4.9366037308962953</v>
      </c>
      <c r="S178" s="51">
        <f t="shared" si="27"/>
        <v>2.2122649292775347</v>
      </c>
      <c r="T178" s="51">
        <f t="shared" si="2"/>
        <v>-2.9609780291627131E-2</v>
      </c>
      <c r="U178" s="51">
        <f t="shared" si="3"/>
        <v>-0.11927601156841479</v>
      </c>
      <c r="V178" s="51">
        <f t="shared" si="4"/>
        <v>-4.9801251301537015E-2</v>
      </c>
      <c r="W178" s="51">
        <f t="shared" si="23"/>
        <v>0</v>
      </c>
      <c r="X178" s="58">
        <f t="shared" si="28"/>
        <v>0</v>
      </c>
      <c r="Y178" s="51">
        <f t="shared" si="24"/>
        <v>-6.1773981037939851</v>
      </c>
      <c r="Z178" s="51">
        <f t="shared" si="25"/>
        <v>0.73681540769083498</v>
      </c>
      <c r="AA178" s="59">
        <v>2</v>
      </c>
      <c r="AB178">
        <v>0</v>
      </c>
    </row>
    <row r="179" spans="1:28">
      <c r="A179" s="6">
        <v>2018</v>
      </c>
      <c r="B179" s="6" t="s">
        <v>194</v>
      </c>
      <c r="C179" s="7" t="s">
        <v>195</v>
      </c>
      <c r="D179" s="61">
        <v>364138000000</v>
      </c>
      <c r="E179" s="10">
        <v>447249000000</v>
      </c>
      <c r="F179" s="10">
        <v>881275000000</v>
      </c>
      <c r="G179" s="10">
        <f t="shared" ref="G179:G196" si="33">I179-H179</f>
        <v>262397000000</v>
      </c>
      <c r="H179" s="10">
        <v>136964000000</v>
      </c>
      <c r="I179" s="10">
        <v>399361000000</v>
      </c>
      <c r="J179" s="10">
        <v>481914000000</v>
      </c>
      <c r="K179" s="8">
        <v>589896800</v>
      </c>
      <c r="L179" s="10">
        <v>804302000000</v>
      </c>
      <c r="M179" s="10">
        <v>415212000000</v>
      </c>
      <c r="N179" s="10">
        <v>201877000000</v>
      </c>
      <c r="O179" s="10">
        <v>58903000000</v>
      </c>
      <c r="P179" s="61">
        <v>0</v>
      </c>
      <c r="Q179" s="51">
        <v>895</v>
      </c>
      <c r="R179" s="51">
        <f t="shared" si="26"/>
        <v>1.3877369024798303</v>
      </c>
      <c r="S179" s="51">
        <f t="shared" si="27"/>
        <v>0.28420838572857399</v>
      </c>
      <c r="T179" s="51">
        <f t="shared" si="2"/>
        <v>6.6838387563473378E-2</v>
      </c>
      <c r="U179" s="51">
        <f t="shared" si="3"/>
        <v>0.12222720236390726</v>
      </c>
      <c r="V179" s="51">
        <f t="shared" si="4"/>
        <v>7.3234929168396939E-2</v>
      </c>
      <c r="W179" s="51">
        <f t="shared" si="23"/>
        <v>0</v>
      </c>
      <c r="X179" s="58">
        <f t="shared" si="28"/>
        <v>0</v>
      </c>
      <c r="Y179" s="51">
        <f t="shared" si="24"/>
        <v>8.963170568561873</v>
      </c>
      <c r="Z179" s="51">
        <f t="shared" si="25"/>
        <v>1.0955432629058297</v>
      </c>
      <c r="AA179" s="52">
        <v>3</v>
      </c>
      <c r="AB179">
        <v>0</v>
      </c>
    </row>
    <row r="180" spans="1:28">
      <c r="A180" s="6">
        <v>2019</v>
      </c>
      <c r="B180" s="6" t="s">
        <v>194</v>
      </c>
      <c r="C180" s="7" t="s">
        <v>195</v>
      </c>
      <c r="D180" s="61">
        <v>351120000000</v>
      </c>
      <c r="E180" s="10">
        <v>405448000000</v>
      </c>
      <c r="F180" s="10">
        <v>822375000000</v>
      </c>
      <c r="G180" s="10">
        <f t="shared" si="33"/>
        <v>175191000000</v>
      </c>
      <c r="H180" s="10">
        <v>79247000000</v>
      </c>
      <c r="I180" s="10">
        <v>254438000000</v>
      </c>
      <c r="J180" s="10">
        <v>567937000000</v>
      </c>
      <c r="K180" s="8">
        <v>589896800</v>
      </c>
      <c r="L180" s="10">
        <v>834330000000</v>
      </c>
      <c r="M180" s="10">
        <v>417281000000</v>
      </c>
      <c r="N180" s="10">
        <v>182396000000</v>
      </c>
      <c r="O180" s="10">
        <v>86023000000</v>
      </c>
      <c r="P180" s="61">
        <v>0</v>
      </c>
      <c r="Q180" s="51">
        <v>1045</v>
      </c>
      <c r="R180" s="51">
        <f t="shared" si="26"/>
        <v>2.0042125451649913</v>
      </c>
      <c r="S180" s="51">
        <f t="shared" si="27"/>
        <v>0.13953484277305406</v>
      </c>
      <c r="T180" s="51">
        <f t="shared" si="2"/>
        <v>0.1046031311749506</v>
      </c>
      <c r="U180" s="51">
        <f t="shared" si="3"/>
        <v>0.15146574355958495</v>
      </c>
      <c r="V180" s="51">
        <f t="shared" si="4"/>
        <v>0.10310428727242218</v>
      </c>
      <c r="W180" s="51">
        <f t="shared" si="23"/>
        <v>0</v>
      </c>
      <c r="X180" s="58">
        <f t="shared" si="28"/>
        <v>0</v>
      </c>
      <c r="Y180" s="51">
        <f t="shared" si="24"/>
        <v>7.1660155539797499</v>
      </c>
      <c r="Z180" s="51">
        <f t="shared" si="25"/>
        <v>1.0854058742430939</v>
      </c>
      <c r="AA180" s="52">
        <v>3</v>
      </c>
      <c r="AB180">
        <v>0</v>
      </c>
    </row>
    <row r="181" spans="1:28">
      <c r="A181" s="6">
        <v>2020</v>
      </c>
      <c r="B181" s="6" t="s">
        <v>194</v>
      </c>
      <c r="C181" s="7" t="s">
        <v>195</v>
      </c>
      <c r="D181" s="61">
        <v>545239000000</v>
      </c>
      <c r="E181" s="10">
        <v>351626000000</v>
      </c>
      <c r="F181" s="10">
        <v>958791000000</v>
      </c>
      <c r="G181" s="10">
        <f t="shared" si="33"/>
        <v>183559000000</v>
      </c>
      <c r="H181" s="10">
        <v>74724000000</v>
      </c>
      <c r="I181" s="10">
        <v>258283000000</v>
      </c>
      <c r="J181" s="10">
        <v>700508000000</v>
      </c>
      <c r="K181" s="8">
        <v>589896800</v>
      </c>
      <c r="L181" s="10">
        <v>673364000000</v>
      </c>
      <c r="M181" s="10">
        <v>330799000000</v>
      </c>
      <c r="N181" s="10">
        <v>96707000000</v>
      </c>
      <c r="O181" s="10">
        <v>135765000000</v>
      </c>
      <c r="P181" s="61">
        <v>0</v>
      </c>
      <c r="Q181" s="51">
        <v>1460</v>
      </c>
      <c r="R181" s="51">
        <f t="shared" si="26"/>
        <v>2.9703746479333621</v>
      </c>
      <c r="S181" s="51">
        <f t="shared" si="27"/>
        <v>0.10667115864486915</v>
      </c>
      <c r="T181" s="51">
        <f t="shared" si="2"/>
        <v>0.14160020275534502</v>
      </c>
      <c r="U181" s="51">
        <f t="shared" si="3"/>
        <v>0.19380934978615519</v>
      </c>
      <c r="V181" s="51">
        <f t="shared" si="4"/>
        <v>0.20162200533441052</v>
      </c>
      <c r="W181" s="51">
        <f t="shared" si="23"/>
        <v>0</v>
      </c>
      <c r="X181" s="58">
        <f t="shared" si="28"/>
        <v>0</v>
      </c>
      <c r="Y181" s="51">
        <f t="shared" si="24"/>
        <v>6.3436771480131107</v>
      </c>
      <c r="Z181" s="51">
        <f t="shared" si="25"/>
        <v>1.2294639433097125</v>
      </c>
      <c r="AA181" s="52">
        <v>3</v>
      </c>
      <c r="AB181">
        <v>0</v>
      </c>
    </row>
    <row r="182" spans="1:28">
      <c r="A182" s="6">
        <v>2018</v>
      </c>
      <c r="B182" s="6" t="s">
        <v>198</v>
      </c>
      <c r="C182" s="7" t="s">
        <v>199</v>
      </c>
      <c r="D182" s="61">
        <v>1333428311186</v>
      </c>
      <c r="E182" s="10">
        <v>998708967039</v>
      </c>
      <c r="F182" s="10">
        <v>2445143511801</v>
      </c>
      <c r="G182" s="10">
        <f t="shared" si="33"/>
        <v>231533842787</v>
      </c>
      <c r="H182" s="10">
        <v>241146503875</v>
      </c>
      <c r="I182" s="10">
        <v>472680346662</v>
      </c>
      <c r="J182" s="10">
        <v>1972463165139</v>
      </c>
      <c r="K182" s="8">
        <v>201066667</v>
      </c>
      <c r="L182" s="10">
        <v>2648754344347</v>
      </c>
      <c r="M182" s="10">
        <v>1685791739001</v>
      </c>
      <c r="N182" s="10">
        <v>722004701096</v>
      </c>
      <c r="O182" s="10">
        <v>173049442756</v>
      </c>
      <c r="P182" s="61">
        <v>82362154537</v>
      </c>
      <c r="Q182" s="51">
        <v>17200</v>
      </c>
      <c r="R182" s="51">
        <f t="shared" si="26"/>
        <v>5.75910758935008</v>
      </c>
      <c r="S182" s="51">
        <f t="shared" si="27"/>
        <v>0.12225653088837597</v>
      </c>
      <c r="T182" s="51">
        <f t="shared" si="2"/>
        <v>7.077271412529007E-2</v>
      </c>
      <c r="U182" s="51">
        <f t="shared" si="3"/>
        <v>8.7732661280802759E-2</v>
      </c>
      <c r="V182" s="51">
        <f t="shared" si="4"/>
        <v>6.5332386570813555E-2</v>
      </c>
      <c r="W182" s="51">
        <f t="shared" si="23"/>
        <v>2.381547089952173E-2</v>
      </c>
      <c r="X182" s="58">
        <f t="shared" si="28"/>
        <v>0.47594579459658115</v>
      </c>
      <c r="Y182" s="51">
        <f t="shared" si="24"/>
        <v>19.984731631157427</v>
      </c>
      <c r="Z182" s="51">
        <f t="shared" si="25"/>
        <v>1.7533136909840796</v>
      </c>
      <c r="AA182" s="52">
        <v>3</v>
      </c>
      <c r="AB182">
        <v>0</v>
      </c>
    </row>
    <row r="183" spans="1:28">
      <c r="A183" s="6">
        <v>2019</v>
      </c>
      <c r="B183" s="6" t="s">
        <v>198</v>
      </c>
      <c r="C183" s="7" t="s">
        <v>199</v>
      </c>
      <c r="D183" s="61">
        <v>1428191709308</v>
      </c>
      <c r="E183" s="10">
        <v>938300134590</v>
      </c>
      <c r="F183" s="10">
        <v>2551192620939</v>
      </c>
      <c r="G183" s="10">
        <f t="shared" si="33"/>
        <v>260244280265</v>
      </c>
      <c r="H183" s="10">
        <v>271804523512</v>
      </c>
      <c r="I183" s="10">
        <v>532048803777</v>
      </c>
      <c r="J183" s="10">
        <v>2019143817162</v>
      </c>
      <c r="K183" s="8">
        <v>201066667</v>
      </c>
      <c r="L183" s="10">
        <v>2804151670769</v>
      </c>
      <c r="M183" s="10">
        <v>1873937759675</v>
      </c>
      <c r="N183" s="10">
        <f>739420214230+1218605208</f>
        <v>740638819438</v>
      </c>
      <c r="O183" s="10">
        <v>145149344561</v>
      </c>
      <c r="P183" s="61">
        <v>84653428243</v>
      </c>
      <c r="Q183" s="51">
        <v>11000</v>
      </c>
      <c r="R183" s="51">
        <f t="shared" si="26"/>
        <v>5.487888947467777</v>
      </c>
      <c r="S183" s="51">
        <f t="shared" si="27"/>
        <v>0.13461375123542899</v>
      </c>
      <c r="T183" s="51">
        <f t="shared" si="2"/>
        <v>5.6894702254028894E-2</v>
      </c>
      <c r="U183" s="51">
        <f t="shared" si="3"/>
        <v>7.1886580503717712E-2</v>
      </c>
      <c r="V183" s="51">
        <f t="shared" si="4"/>
        <v>5.1762301616586522E-2</v>
      </c>
      <c r="W183" s="51">
        <f t="shared" si="23"/>
        <v>3.8274699226546041E-2</v>
      </c>
      <c r="X183" s="58">
        <f t="shared" si="28"/>
        <v>0.58321605584256575</v>
      </c>
      <c r="Y183" s="51">
        <f t="shared" si="24"/>
        <v>15.23763916185308</v>
      </c>
      <c r="Z183" s="51">
        <f t="shared" si="25"/>
        <v>1.0953817742951533</v>
      </c>
      <c r="AA183" s="52">
        <v>3</v>
      </c>
      <c r="AB183">
        <v>0</v>
      </c>
    </row>
    <row r="184" spans="1:28">
      <c r="A184" s="6">
        <v>2020</v>
      </c>
      <c r="B184" s="6" t="s">
        <v>198</v>
      </c>
      <c r="C184" s="7" t="s">
        <v>199</v>
      </c>
      <c r="D184" s="61">
        <v>1343961709769</v>
      </c>
      <c r="E184" s="10">
        <v>822015923646</v>
      </c>
      <c r="F184" s="10">
        <v>2314790056002</v>
      </c>
      <c r="G184" s="10">
        <f t="shared" si="33"/>
        <v>131087175475</v>
      </c>
      <c r="H184" s="10">
        <v>317715961088</v>
      </c>
      <c r="I184" s="10">
        <v>448803136563</v>
      </c>
      <c r="J184" s="10">
        <v>1865986919439</v>
      </c>
      <c r="K184" s="8">
        <v>201066667</v>
      </c>
      <c r="L184" s="10">
        <v>1989005993587</v>
      </c>
      <c r="M184" s="10">
        <v>1534276464935</v>
      </c>
      <c r="N184" s="10">
        <v>523339628164</v>
      </c>
      <c r="O184" s="10">
        <v>-54776587213</v>
      </c>
      <c r="P184" s="61">
        <v>84393872136</v>
      </c>
      <c r="Q184" s="51">
        <v>6475</v>
      </c>
      <c r="R184" s="51">
        <f t="shared" si="26"/>
        <v>10.252427095931369</v>
      </c>
      <c r="S184" s="51">
        <f t="shared" si="27"/>
        <v>0.17026698192692571</v>
      </c>
      <c r="T184" s="51">
        <f t="shared" si="2"/>
        <v>-2.3663738778802096E-2</v>
      </c>
      <c r="U184" s="51">
        <f t="shared" si="3"/>
        <v>-2.9355290030365442E-2</v>
      </c>
      <c r="V184" s="51">
        <f t="shared" si="4"/>
        <v>-2.7539679311983957E-2</v>
      </c>
      <c r="W184" s="51">
        <f t="shared" si="23"/>
        <v>6.4823288916837155E-2</v>
      </c>
      <c r="X184" s="58">
        <f t="shared" si="28"/>
        <v>-1.5406924094747363</v>
      </c>
      <c r="Y184" s="51">
        <f t="shared" si="24"/>
        <v>-23.76757543807004</v>
      </c>
      <c r="Z184" s="51">
        <f t="shared" si="25"/>
        <v>0.69770407030313586</v>
      </c>
      <c r="AA184" s="52">
        <v>3</v>
      </c>
      <c r="AB184">
        <v>0</v>
      </c>
    </row>
    <row r="185" spans="1:28">
      <c r="A185" s="6">
        <v>2018</v>
      </c>
      <c r="B185" s="6" t="s">
        <v>200</v>
      </c>
      <c r="C185" s="7" t="s">
        <v>201</v>
      </c>
      <c r="D185" s="61">
        <v>8257910000000</v>
      </c>
      <c r="E185" s="10">
        <v>10627387000000</v>
      </c>
      <c r="F185" s="10">
        <v>19522970000000</v>
      </c>
      <c r="G185" s="10">
        <f t="shared" si="33"/>
        <v>11134786000000</v>
      </c>
      <c r="H185" s="10">
        <v>810051000000</v>
      </c>
      <c r="I185" s="10">
        <v>11944837000000</v>
      </c>
      <c r="J185" s="10">
        <v>7578133000000</v>
      </c>
      <c r="K185" s="8">
        <v>7630000000</v>
      </c>
      <c r="L185" s="10">
        <v>41802073000000</v>
      </c>
      <c r="M185" s="10">
        <v>20709800000000</v>
      </c>
      <c r="N185" s="10">
        <f>7678122000000+3925110000000</f>
        <v>11603232000000</v>
      </c>
      <c r="O185" s="10">
        <v>9081187000000</v>
      </c>
      <c r="P185" s="61">
        <v>6926201000000</v>
      </c>
      <c r="Q185" s="51">
        <v>44500</v>
      </c>
      <c r="R185" s="51">
        <f t="shared" si="26"/>
        <v>0.74163167572326938</v>
      </c>
      <c r="S185" s="51">
        <f t="shared" si="27"/>
        <v>0.10689321499108026</v>
      </c>
      <c r="T185" s="51">
        <f t="shared" si="2"/>
        <v>0.4651539699133892</v>
      </c>
      <c r="U185" s="51">
        <f t="shared" si="3"/>
        <v>1.1983409370091551</v>
      </c>
      <c r="V185" s="51">
        <f t="shared" si="4"/>
        <v>0.21724250373898921</v>
      </c>
      <c r="W185" s="51">
        <f t="shared" si="23"/>
        <v>2.0399078151000633E-2</v>
      </c>
      <c r="X185" s="58">
        <f t="shared" si="28"/>
        <v>0.76269776186747396</v>
      </c>
      <c r="Y185" s="51">
        <f t="shared" si="24"/>
        <v>37.388834741537643</v>
      </c>
      <c r="Z185" s="51">
        <f t="shared" si="25"/>
        <v>44.804571257854668</v>
      </c>
      <c r="AA185" s="52">
        <v>3</v>
      </c>
      <c r="AB185">
        <v>2</v>
      </c>
    </row>
    <row r="186" spans="1:28">
      <c r="A186" s="6">
        <v>2019</v>
      </c>
      <c r="B186" s="6" t="s">
        <v>200</v>
      </c>
      <c r="C186" s="7" t="s">
        <v>201</v>
      </c>
      <c r="D186" s="61">
        <v>8530334000000</v>
      </c>
      <c r="E186" s="10">
        <v>10715376000000</v>
      </c>
      <c r="F186" s="10">
        <v>20649371000000</v>
      </c>
      <c r="G186" s="10">
        <f t="shared" si="33"/>
        <v>13065308000000</v>
      </c>
      <c r="H186" s="10">
        <v>2302201000000</v>
      </c>
      <c r="I186" s="10">
        <v>15367509000000</v>
      </c>
      <c r="J186" s="10">
        <v>5281862000000</v>
      </c>
      <c r="K186" s="8">
        <v>7630000000</v>
      </c>
      <c r="L186" s="10">
        <v>42922563000000</v>
      </c>
      <c r="M186" s="10">
        <v>20893870000000</v>
      </c>
      <c r="N186" s="10">
        <f>8049388000000+3861481000000</f>
        <v>11910869000000</v>
      </c>
      <c r="O186" s="10">
        <v>7392837000000</v>
      </c>
      <c r="P186" s="61">
        <v>9176417000000</v>
      </c>
      <c r="Q186" s="51">
        <v>42000</v>
      </c>
      <c r="R186" s="51">
        <f t="shared" si="26"/>
        <v>0.65289957190446635</v>
      </c>
      <c r="S186" s="51">
        <f t="shared" si="27"/>
        <v>0.43586920673050528</v>
      </c>
      <c r="T186" s="51">
        <f t="shared" si="2"/>
        <v>0.35801753961416066</v>
      </c>
      <c r="U186" s="51">
        <f t="shared" si="3"/>
        <v>1.3996649287694378</v>
      </c>
      <c r="V186" s="51">
        <f t="shared" si="4"/>
        <v>0.17223661597281598</v>
      </c>
      <c r="W186" s="51">
        <f t="shared" si="23"/>
        <v>2.8635140111090307E-2</v>
      </c>
      <c r="X186" s="58">
        <f t="shared" si="28"/>
        <v>1.2412578554078766</v>
      </c>
      <c r="Y186" s="51">
        <f t="shared" si="24"/>
        <v>43.347364482674244</v>
      </c>
      <c r="Z186" s="51">
        <f t="shared" si="25"/>
        <v>60.6717858209851</v>
      </c>
      <c r="AA186" s="52">
        <v>3</v>
      </c>
      <c r="AB186">
        <v>2</v>
      </c>
    </row>
    <row r="187" spans="1:28">
      <c r="A187" s="6">
        <v>2020</v>
      </c>
      <c r="B187" s="6" t="s">
        <v>200</v>
      </c>
      <c r="C187" s="7" t="s">
        <v>201</v>
      </c>
      <c r="D187" s="61">
        <v>8828360000000</v>
      </c>
      <c r="E187" s="10">
        <v>10419902000000</v>
      </c>
      <c r="F187" s="10">
        <v>20534632000000</v>
      </c>
      <c r="G187" s="10">
        <f t="shared" si="33"/>
        <v>13357536000000</v>
      </c>
      <c r="H187" s="10">
        <v>2239728000000</v>
      </c>
      <c r="I187" s="10">
        <v>15597264000000</v>
      </c>
      <c r="J187" s="10">
        <v>4937368000000</v>
      </c>
      <c r="K187" s="8">
        <v>7630000000</v>
      </c>
      <c r="L187" s="10">
        <v>42972474000000</v>
      </c>
      <c r="M187" s="10">
        <v>20515484000000</v>
      </c>
      <c r="N187" s="10">
        <f>8628647000000+4357209000000+20122000000</f>
        <v>13005978000000</v>
      </c>
      <c r="O187" s="10">
        <v>7163536000000</v>
      </c>
      <c r="P187" s="61">
        <v>7371069000000</v>
      </c>
      <c r="Q187" s="51">
        <v>7350</v>
      </c>
      <c r="R187" s="51">
        <f t="shared" si="26"/>
        <v>0.6609272847926444</v>
      </c>
      <c r="S187" s="51">
        <f t="shared" si="27"/>
        <v>0.45362792483768682</v>
      </c>
      <c r="T187" s="51">
        <f t="shared" si="2"/>
        <v>0.34885144277238567</v>
      </c>
      <c r="U187" s="51">
        <f t="shared" si="3"/>
        <v>1.4508815223009506</v>
      </c>
      <c r="V187" s="51">
        <f t="shared" si="4"/>
        <v>0.16670057209179998</v>
      </c>
      <c r="W187" s="51">
        <f t="shared" si="23"/>
        <v>0.13143729103699148</v>
      </c>
      <c r="X187" s="58">
        <f t="shared" si="28"/>
        <v>1.0289707485241926</v>
      </c>
      <c r="Y187" s="51">
        <f t="shared" si="24"/>
        <v>7.8286058728538528</v>
      </c>
      <c r="Z187" s="51">
        <f t="shared" si="25"/>
        <v>11.35837960630036</v>
      </c>
      <c r="AA187" s="52">
        <v>3</v>
      </c>
      <c r="AB187">
        <v>2</v>
      </c>
    </row>
    <row r="188" spans="1:28">
      <c r="A188" s="6">
        <v>2018</v>
      </c>
      <c r="B188" s="82" t="s">
        <v>261</v>
      </c>
      <c r="C188" s="7" t="s">
        <v>262</v>
      </c>
      <c r="D188" s="61">
        <v>13334804000000</v>
      </c>
      <c r="E188" s="10">
        <v>8647396000000</v>
      </c>
      <c r="F188" s="10">
        <v>24827355000000</v>
      </c>
      <c r="G188" s="10">
        <f t="shared" si="33"/>
        <v>7689521000000</v>
      </c>
      <c r="H188" s="10">
        <v>6372157000000</v>
      </c>
      <c r="I188" s="10">
        <v>14061678000000</v>
      </c>
      <c r="J188" s="10">
        <v>10765677000000</v>
      </c>
      <c r="K188" s="8">
        <v>11726575201</v>
      </c>
      <c r="L188" s="10">
        <v>36228261000000</v>
      </c>
      <c r="M188" s="10">
        <v>28342636000000</v>
      </c>
      <c r="N188" s="10">
        <f>836629000000+2647489000000+164095000000</f>
        <v>3648213000000</v>
      </c>
      <c r="O188" s="10">
        <v>2253201000000</v>
      </c>
      <c r="P188" s="61">
        <v>1205915000000</v>
      </c>
      <c r="Q188" s="51">
        <v>2000</v>
      </c>
      <c r="R188" s="51">
        <f t="shared" si="26"/>
        <v>1.7341527515172921</v>
      </c>
      <c r="S188" s="51">
        <f t="shared" si="27"/>
        <v>0.5918956141819971</v>
      </c>
      <c r="T188" s="51">
        <f t="shared" si="2"/>
        <v>9.0754774320502524E-2</v>
      </c>
      <c r="U188" s="51">
        <f t="shared" si="3"/>
        <v>0.20929487295596924</v>
      </c>
      <c r="V188" s="51">
        <f t="shared" si="4"/>
        <v>6.2194566832782835E-2</v>
      </c>
      <c r="W188" s="51">
        <f t="shared" si="23"/>
        <v>5.1418038912894364E-2</v>
      </c>
      <c r="X188" s="58">
        <f t="shared" si="28"/>
        <v>0.53520080987004715</v>
      </c>
      <c r="Y188" s="74">
        <f t="shared" si="24"/>
        <v>10.408814127989469</v>
      </c>
      <c r="Z188" s="51">
        <f t="shared" si="25"/>
        <v>2.1785114305398539</v>
      </c>
      <c r="AA188" s="52">
        <v>3</v>
      </c>
      <c r="AB188">
        <v>0</v>
      </c>
    </row>
    <row r="189" spans="1:28">
      <c r="A189" s="6">
        <v>2019</v>
      </c>
      <c r="B189" s="82" t="s">
        <v>261</v>
      </c>
      <c r="C189" s="7" t="s">
        <v>262</v>
      </c>
      <c r="D189" s="61">
        <v>12873148000000</v>
      </c>
      <c r="E189" s="10">
        <v>10707724000000</v>
      </c>
      <c r="F189" s="10">
        <v>26650895000000</v>
      </c>
      <c r="G189" s="10">
        <f t="shared" si="33"/>
        <v>7741958000000</v>
      </c>
      <c r="H189" s="10">
        <v>7012123000000</v>
      </c>
      <c r="I189" s="10">
        <v>14754081000000</v>
      </c>
      <c r="J189" s="10">
        <v>11896814000000</v>
      </c>
      <c r="K189" s="8">
        <v>11726575201</v>
      </c>
      <c r="L189" s="10">
        <v>38872084000000</v>
      </c>
      <c r="M189" s="10">
        <v>31000234000000</v>
      </c>
      <c r="N189" s="10">
        <f>1048302000000+2895713000000+160828000000</f>
        <v>4104843000000</v>
      </c>
      <c r="O189" s="10">
        <v>1883857000000</v>
      </c>
      <c r="P189" s="61">
        <v>638281000000</v>
      </c>
      <c r="Q189" s="51">
        <v>1535</v>
      </c>
      <c r="R189" s="51">
        <f t="shared" si="26"/>
        <v>1.6627767807575293</v>
      </c>
      <c r="S189" s="51">
        <f t="shared" si="27"/>
        <v>0.58941183748859149</v>
      </c>
      <c r="T189" s="51">
        <f t="shared" si="2"/>
        <v>7.0686444113790547E-2</v>
      </c>
      <c r="U189" s="51">
        <f t="shared" si="3"/>
        <v>0.15834970606416138</v>
      </c>
      <c r="V189" s="51">
        <f t="shared" si="4"/>
        <v>4.8462979242378669E-2</v>
      </c>
      <c r="W189" s="51">
        <f t="shared" si="23"/>
        <v>3.5459478484978782E-2</v>
      </c>
      <c r="X189" s="58">
        <f t="shared" si="28"/>
        <v>0.33881605663274866</v>
      </c>
      <c r="Y189" s="74">
        <f t="shared" si="24"/>
        <v>9.5550208606783862</v>
      </c>
      <c r="Z189" s="51">
        <f t="shared" si="25"/>
        <v>1.5130347447253525</v>
      </c>
      <c r="AA189" s="52">
        <v>3</v>
      </c>
      <c r="AB189">
        <v>0</v>
      </c>
    </row>
    <row r="190" spans="1:28">
      <c r="A190" s="6">
        <v>2020</v>
      </c>
      <c r="B190" s="82" t="s">
        <v>261</v>
      </c>
      <c r="C190" s="7" t="s">
        <v>262</v>
      </c>
      <c r="D190" s="61">
        <v>11745138000000</v>
      </c>
      <c r="E190" s="10">
        <v>11143803000000</v>
      </c>
      <c r="F190" s="10">
        <v>25951760000000</v>
      </c>
      <c r="G190" s="10">
        <f t="shared" si="33"/>
        <v>6007679000000</v>
      </c>
      <c r="H190" s="10">
        <v>8532111000000</v>
      </c>
      <c r="I190" s="10">
        <v>14539790000000</v>
      </c>
      <c r="J190" s="10">
        <v>11411970000000</v>
      </c>
      <c r="K190" s="8">
        <v>11726575201</v>
      </c>
      <c r="L190" s="10">
        <v>36964948000000</v>
      </c>
      <c r="M190" s="10">
        <v>29535739000000</v>
      </c>
      <c r="N190" s="10">
        <f>1549972000000+3244208000000+236681000000</f>
        <v>5030861000000</v>
      </c>
      <c r="O190" s="10">
        <v>1002376000000</v>
      </c>
      <c r="P190" s="61">
        <v>258375000000</v>
      </c>
      <c r="Q190" s="51">
        <v>1465</v>
      </c>
      <c r="R190" s="51">
        <f t="shared" si="26"/>
        <v>1.9550208990859865</v>
      </c>
      <c r="S190" s="51">
        <f t="shared" si="27"/>
        <v>0.74764576142418881</v>
      </c>
      <c r="T190" s="51">
        <f t="shared" si="2"/>
        <v>3.8624586540566032E-2</v>
      </c>
      <c r="U190" s="51">
        <f t="shared" si="3"/>
        <v>8.7835492031612422E-2</v>
      </c>
      <c r="V190" s="51">
        <f t="shared" si="4"/>
        <v>2.7116932505897209E-2</v>
      </c>
      <c r="W190" s="51">
        <f t="shared" si="23"/>
        <v>1.5039786526783266E-2</v>
      </c>
      <c r="X190" s="58">
        <f t="shared" si="28"/>
        <v>0.25776255616654831</v>
      </c>
      <c r="Y190" s="74">
        <f t="shared" si="24"/>
        <v>17.138711091910618</v>
      </c>
      <c r="Z190" s="51">
        <f t="shared" si="25"/>
        <v>1.5053871215456227</v>
      </c>
      <c r="AA190" s="52">
        <v>3</v>
      </c>
      <c r="AB190">
        <v>0</v>
      </c>
    </row>
    <row r="191" spans="1:28">
      <c r="A191" s="6">
        <v>2018</v>
      </c>
      <c r="B191" s="6" t="s">
        <v>265</v>
      </c>
      <c r="C191" s="7" t="s">
        <v>266</v>
      </c>
      <c r="D191" s="61">
        <v>219577845340</v>
      </c>
      <c r="E191" s="10">
        <v>256898006885</v>
      </c>
      <c r="F191" s="10">
        <v>491382035136</v>
      </c>
      <c r="G191" s="10">
        <f t="shared" si="33"/>
        <v>81075913501</v>
      </c>
      <c r="H191" s="10">
        <v>21627543807</v>
      </c>
      <c r="I191" s="10">
        <v>102703457308</v>
      </c>
      <c r="J191" s="10">
        <v>388678577828</v>
      </c>
      <c r="K191" s="8">
        <v>2000000000</v>
      </c>
      <c r="L191" s="10">
        <v>370390736433</v>
      </c>
      <c r="M191" s="10">
        <v>256947701878</v>
      </c>
      <c r="N191" s="10">
        <f>58584770961+3331144467+33706922995</f>
        <v>95622838423</v>
      </c>
      <c r="O191" s="10">
        <v>13554152161</v>
      </c>
      <c r="P191" s="61">
        <v>8000000000</v>
      </c>
      <c r="Q191" s="51">
        <v>284</v>
      </c>
      <c r="R191" s="51">
        <f t="shared" si="26"/>
        <v>2.708299368557737</v>
      </c>
      <c r="S191" s="51">
        <f t="shared" si="27"/>
        <v>5.5643776222137793E-2</v>
      </c>
      <c r="T191" s="51">
        <f t="shared" si="2"/>
        <v>2.7583735651321911E-2</v>
      </c>
      <c r="U191" s="51">
        <f t="shared" si="3"/>
        <v>3.4872393113978231E-2</v>
      </c>
      <c r="V191" s="51">
        <f t="shared" si="4"/>
        <v>3.6594198579401598E-2</v>
      </c>
      <c r="W191" s="51">
        <f t="shared" si="23"/>
        <v>1.4084507042253521E-2</v>
      </c>
      <c r="X191" s="58">
        <f t="shared" si="28"/>
        <v>0.59022503989727781</v>
      </c>
      <c r="Y191" s="51">
        <f t="shared" si="24"/>
        <v>41.905977832706732</v>
      </c>
      <c r="Z191" s="51">
        <f t="shared" si="25"/>
        <v>1.4613617328078066</v>
      </c>
      <c r="AA191" s="52">
        <v>3</v>
      </c>
      <c r="AB191">
        <v>0</v>
      </c>
    </row>
    <row r="192" spans="1:28">
      <c r="A192" s="6">
        <v>2019</v>
      </c>
      <c r="B192" s="6" t="s">
        <v>265</v>
      </c>
      <c r="C192" s="7" t="s">
        <v>266</v>
      </c>
      <c r="D192" s="61">
        <v>250724734274</v>
      </c>
      <c r="E192" s="10">
        <v>249614390323</v>
      </c>
      <c r="F192" s="10">
        <v>521493784876</v>
      </c>
      <c r="G192" s="10">
        <f t="shared" si="33"/>
        <v>105476752401</v>
      </c>
      <c r="H192" s="10">
        <v>26345627806</v>
      </c>
      <c r="I192" s="10">
        <v>131822380207</v>
      </c>
      <c r="J192" s="10">
        <v>389671404669</v>
      </c>
      <c r="K192" s="8">
        <v>2000000000</v>
      </c>
      <c r="L192" s="10">
        <v>407452029013</v>
      </c>
      <c r="M192" s="10">
        <v>292192033789</v>
      </c>
      <c r="N192" s="10">
        <f>60822934424+4618458062+38111785637</f>
        <v>103553178123</v>
      </c>
      <c r="O192" s="10">
        <v>7221065916</v>
      </c>
      <c r="P192" s="61">
        <v>3300000000</v>
      </c>
      <c r="Q192" s="51">
        <v>302</v>
      </c>
      <c r="R192" s="51">
        <f t="shared" si="26"/>
        <v>2.3770615663326295</v>
      </c>
      <c r="S192" s="51">
        <f t="shared" si="27"/>
        <v>6.7609856639028632E-2</v>
      </c>
      <c r="T192" s="51">
        <f t="shared" si="2"/>
        <v>1.3846887777803553E-2</v>
      </c>
      <c r="U192" s="51">
        <f t="shared" si="3"/>
        <v>1.8531167105099274E-2</v>
      </c>
      <c r="V192" s="51">
        <f t="shared" si="4"/>
        <v>1.7722493451541033E-2</v>
      </c>
      <c r="W192" s="51">
        <f t="shared" si="23"/>
        <v>5.4635761589403968E-3</v>
      </c>
      <c r="X192" s="58">
        <f t="shared" si="28"/>
        <v>0.45699624382157489</v>
      </c>
      <c r="Y192" s="51">
        <f t="shared" si="24"/>
        <v>83.644160990373109</v>
      </c>
      <c r="Z192" s="51">
        <f t="shared" si="25"/>
        <v>1.5500239246784298</v>
      </c>
      <c r="AA192" s="52">
        <v>3</v>
      </c>
      <c r="AB192">
        <v>0</v>
      </c>
    </row>
    <row r="193" spans="1:28">
      <c r="A193" s="6">
        <v>2020</v>
      </c>
      <c r="B193" s="6" t="s">
        <v>265</v>
      </c>
      <c r="C193" s="7" t="s">
        <v>266</v>
      </c>
      <c r="D193" s="61">
        <v>235891593162</v>
      </c>
      <c r="E193" s="10">
        <v>239840874085</v>
      </c>
      <c r="F193" s="10">
        <v>498020612974</v>
      </c>
      <c r="G193" s="10">
        <f t="shared" si="33"/>
        <v>94587795350</v>
      </c>
      <c r="H193" s="10">
        <v>18075450551</v>
      </c>
      <c r="I193" s="10">
        <v>112663245901</v>
      </c>
      <c r="J193" s="10">
        <v>385357367073</v>
      </c>
      <c r="K193" s="8">
        <v>2000000000</v>
      </c>
      <c r="L193" s="10">
        <v>330675687019</v>
      </c>
      <c r="M193" s="10">
        <v>233761111651</v>
      </c>
      <c r="N193" s="10">
        <f>30572099655+56246224164+6860466956</f>
        <v>93678790775</v>
      </c>
      <c r="O193" s="10">
        <v>249076655</v>
      </c>
      <c r="P193" s="61">
        <v>2000000000</v>
      </c>
      <c r="Q193" s="51">
        <v>240</v>
      </c>
      <c r="R193" s="51">
        <f t="shared" si="26"/>
        <v>2.4938903828885994</v>
      </c>
      <c r="S193" s="51">
        <f t="shared" si="27"/>
        <v>4.6905683128086885E-2</v>
      </c>
      <c r="T193" s="51">
        <f t="shared" si="2"/>
        <v>5.0013322443142217E-4</v>
      </c>
      <c r="U193" s="51">
        <f t="shared" si="3"/>
        <v>6.4635238945053377E-4</v>
      </c>
      <c r="V193" s="51">
        <f t="shared" si="4"/>
        <v>7.5323546537513816E-4</v>
      </c>
      <c r="W193" s="51">
        <f t="shared" si="23"/>
        <v>4.1666666666666666E-3</v>
      </c>
      <c r="X193" s="58">
        <f t="shared" si="28"/>
        <v>8.0296565729935629</v>
      </c>
      <c r="Y193" s="51">
        <f t="shared" si="24"/>
        <v>1927.1175775184552</v>
      </c>
      <c r="Z193" s="51">
        <f t="shared" si="25"/>
        <v>1.2455970509811778</v>
      </c>
      <c r="AA193" s="52">
        <v>3</v>
      </c>
      <c r="AB193">
        <v>0</v>
      </c>
    </row>
    <row r="194" spans="1:28">
      <c r="A194" s="6">
        <v>2018</v>
      </c>
      <c r="B194" s="6" t="s">
        <v>268</v>
      </c>
      <c r="C194" s="7" t="s">
        <v>269</v>
      </c>
      <c r="D194" s="62">
        <v>6960395955329</v>
      </c>
      <c r="E194" s="10">
        <v>1215546692942</v>
      </c>
      <c r="F194" s="10">
        <v>8322960974230</v>
      </c>
      <c r="G194" s="10">
        <f t="shared" si="33"/>
        <v>2442855705213</v>
      </c>
      <c r="H194" s="10">
        <v>92250390844</v>
      </c>
      <c r="I194" s="10">
        <v>2535106096057</v>
      </c>
      <c r="J194" s="10">
        <v>5787854878173</v>
      </c>
      <c r="K194" s="8">
        <v>9120000000</v>
      </c>
      <c r="L194" s="10">
        <v>20604487293751</v>
      </c>
      <c r="M194" s="10">
        <v>18207487072775</v>
      </c>
      <c r="N194" s="10">
        <f>1362204479737+206695250349+22161406875+5391026594</f>
        <v>1596452163555</v>
      </c>
      <c r="O194" s="10">
        <v>653250886056</v>
      </c>
      <c r="P194" s="61">
        <v>13543200000</v>
      </c>
      <c r="Q194" s="51">
        <v>2100</v>
      </c>
      <c r="R194" s="51">
        <f t="shared" si="26"/>
        <v>2.8492865708259676</v>
      </c>
      <c r="S194" s="51">
        <f t="shared" si="27"/>
        <v>1.5938615045773201E-2</v>
      </c>
      <c r="T194" s="51">
        <f t="shared" si="2"/>
        <v>7.8487798762799751E-2</v>
      </c>
      <c r="U194" s="51">
        <f t="shared" si="3"/>
        <v>0.11286580258249423</v>
      </c>
      <c r="V194" s="51">
        <f t="shared" si="4"/>
        <v>3.170430191942316E-2</v>
      </c>
      <c r="W194" s="51">
        <f t="shared" si="23"/>
        <v>7.0714285714285714E-4</v>
      </c>
      <c r="X194" s="58">
        <f t="shared" si="28"/>
        <v>2.0732004026457619E-2</v>
      </c>
      <c r="Y194" s="51">
        <f t="shared" si="24"/>
        <v>29.317985491960272</v>
      </c>
      <c r="Z194" s="51">
        <f t="shared" si="25"/>
        <v>3.3089979626520178</v>
      </c>
      <c r="AA194" s="52">
        <v>3</v>
      </c>
      <c r="AB194">
        <v>0</v>
      </c>
    </row>
    <row r="195" spans="1:28">
      <c r="A195" s="6">
        <v>2019</v>
      </c>
      <c r="B195" s="6" t="s">
        <v>268</v>
      </c>
      <c r="C195" s="7" t="s">
        <v>269</v>
      </c>
      <c r="D195" s="61">
        <v>7120602478197</v>
      </c>
      <c r="E195" s="10">
        <v>1433166129304</v>
      </c>
      <c r="F195" s="10">
        <v>8704958834283</v>
      </c>
      <c r="G195" s="10">
        <f t="shared" si="33"/>
        <v>2463953517223</v>
      </c>
      <c r="H195" s="10">
        <v>111696870012</v>
      </c>
      <c r="I195" s="10">
        <v>2575650387235</v>
      </c>
      <c r="J195" s="10">
        <v>6129308447048</v>
      </c>
      <c r="K195" s="8">
        <v>9120000000</v>
      </c>
      <c r="L195" s="10">
        <v>22226912485948</v>
      </c>
      <c r="M195" s="10">
        <v>19771990916170</v>
      </c>
      <c r="N195" s="10">
        <f>1504815891702+222490672344+6161028189+2683149488</f>
        <v>1736150741723</v>
      </c>
      <c r="O195" s="10">
        <v>580814677453</v>
      </c>
      <c r="P195" s="61">
        <v>243777600000</v>
      </c>
      <c r="Q195" s="51">
        <v>2050</v>
      </c>
      <c r="R195" s="51">
        <f t="shared" si="26"/>
        <v>2.8899094193230881</v>
      </c>
      <c r="S195" s="51">
        <f t="shared" si="27"/>
        <v>1.8223404969249915E-2</v>
      </c>
      <c r="T195" s="51">
        <f t="shared" si="2"/>
        <v>6.6722277326063867E-2</v>
      </c>
      <c r="U195" s="51">
        <f t="shared" si="3"/>
        <v>9.4760229880865632E-2</v>
      </c>
      <c r="V195" s="51">
        <f t="shared" si="4"/>
        <v>2.6131145197075611E-2</v>
      </c>
      <c r="W195" s="51">
        <f t="shared" si="23"/>
        <v>1.3039024390243903E-2</v>
      </c>
      <c r="X195" s="58">
        <f t="shared" si="28"/>
        <v>0.41971666602679247</v>
      </c>
      <c r="Y195" s="51">
        <f t="shared" si="24"/>
        <v>32.189269186491757</v>
      </c>
      <c r="Z195" s="51">
        <f t="shared" si="25"/>
        <v>3.0502625478090231</v>
      </c>
      <c r="AA195" s="52">
        <v>3</v>
      </c>
      <c r="AB195">
        <v>0</v>
      </c>
    </row>
    <row r="196" spans="1:28">
      <c r="A196" s="6">
        <v>2020</v>
      </c>
      <c r="B196" s="6" t="s">
        <v>268</v>
      </c>
      <c r="C196" s="7" t="s">
        <v>269</v>
      </c>
      <c r="D196" s="61">
        <v>7540695065075</v>
      </c>
      <c r="E196" s="10">
        <v>1531423663540</v>
      </c>
      <c r="F196" s="10">
        <v>9211731059218</v>
      </c>
      <c r="G196" s="10">
        <f t="shared" si="33"/>
        <v>2533986369290</v>
      </c>
      <c r="H196" s="10">
        <v>118288329421</v>
      </c>
      <c r="I196" s="10">
        <v>2652274698711</v>
      </c>
      <c r="J196" s="10">
        <v>6559456360507</v>
      </c>
      <c r="K196" s="8">
        <v>9120000000</v>
      </c>
      <c r="L196" s="10">
        <v>22545419368639</v>
      </c>
      <c r="M196" s="10">
        <v>20086788571564</v>
      </c>
      <c r="N196" s="10">
        <f>1478722246303+231348697736+10852235264+12082117088</f>
        <v>1733005296391</v>
      </c>
      <c r="O196" s="10">
        <v>679870547997</v>
      </c>
      <c r="P196" s="61">
        <v>243777600000</v>
      </c>
      <c r="Q196" s="51">
        <v>2110</v>
      </c>
      <c r="R196" s="51">
        <f t="shared" si="26"/>
        <v>2.9758230574807056</v>
      </c>
      <c r="S196" s="51">
        <f t="shared" si="27"/>
        <v>1.8033251983073966E-2</v>
      </c>
      <c r="T196" s="51">
        <f t="shared" si="2"/>
        <v>7.3804862910827898E-2</v>
      </c>
      <c r="U196" s="51">
        <f t="shared" si="3"/>
        <v>0.10364739250196807</v>
      </c>
      <c r="V196" s="51">
        <f t="shared" si="4"/>
        <v>3.0155595550496152E-2</v>
      </c>
      <c r="W196" s="51">
        <f t="shared" si="23"/>
        <v>1.2668246445497631E-2</v>
      </c>
      <c r="X196" s="58">
        <f t="shared" si="28"/>
        <v>0.35856473076853401</v>
      </c>
      <c r="Y196" s="51">
        <f t="shared" si="24"/>
        <v>28.304211818990154</v>
      </c>
      <c r="Z196" s="51">
        <f t="shared" si="25"/>
        <v>2.9336577518617162</v>
      </c>
      <c r="AA196" s="52">
        <v>3</v>
      </c>
      <c r="AB196">
        <v>0</v>
      </c>
    </row>
    <row r="197" spans="1:28">
      <c r="A197" s="6">
        <v>2018</v>
      </c>
      <c r="B197" s="82" t="s">
        <v>272</v>
      </c>
      <c r="C197" s="7" t="s">
        <v>273</v>
      </c>
      <c r="D197" s="63">
        <f>303730658*14481</f>
        <v>4398323658498</v>
      </c>
      <c r="E197" s="10">
        <f>33931351*14481</f>
        <v>491359893831</v>
      </c>
      <c r="F197" s="10">
        <f>283350512*14481</f>
        <v>4103198764272</v>
      </c>
      <c r="G197" s="10">
        <f>(I197-H197)*14481</f>
        <v>2.5826130835108288E+16</v>
      </c>
      <c r="H197" s="10">
        <f>9889254*14481</f>
        <v>143206287174</v>
      </c>
      <c r="I197" s="10">
        <f>133047144*14481</f>
        <v>1926655692264</v>
      </c>
      <c r="J197" s="10">
        <f>150303368*14481</f>
        <v>2176543072008</v>
      </c>
      <c r="K197" s="8">
        <v>840000000</v>
      </c>
      <c r="L197" s="10">
        <f>343228140*14481</f>
        <v>4970286695340</v>
      </c>
      <c r="M197" s="10">
        <f>272719324*14481</f>
        <v>3949248530844</v>
      </c>
      <c r="N197" s="10">
        <f>(24818529+14936978+1642242)*14481</f>
        <v>599480803269</v>
      </c>
      <c r="O197" s="10">
        <f>22549481*14481</f>
        <v>326539034361</v>
      </c>
      <c r="P197" s="10">
        <f>17932883*14481</f>
        <v>259686078723</v>
      </c>
      <c r="Q197" s="51">
        <v>2850</v>
      </c>
      <c r="R197" s="51">
        <f t="shared" si="26"/>
        <v>1.7030517217541844E-4</v>
      </c>
      <c r="S197" s="51">
        <f t="shared" si="27"/>
        <v>6.579529209219051E-2</v>
      </c>
      <c r="T197" s="51">
        <f t="shared" si="2"/>
        <v>7.9581578451497562E-2</v>
      </c>
      <c r="U197" s="51">
        <f t="shared" si="3"/>
        <v>0.15002645183572999</v>
      </c>
      <c r="V197" s="51">
        <f t="shared" si="4"/>
        <v>6.5698229172002034E-2</v>
      </c>
      <c r="W197" s="51">
        <f t="shared" si="23"/>
        <v>0.10847371709398497</v>
      </c>
      <c r="X197" s="58">
        <f t="shared" si="28"/>
        <v>0.79526810395325731</v>
      </c>
      <c r="Y197" s="74">
        <f t="shared" si="24"/>
        <v>7.3314359022491375</v>
      </c>
      <c r="Z197" s="74">
        <f t="shared" si="25"/>
        <v>1.0999093152755217</v>
      </c>
      <c r="AA197" s="52">
        <v>3</v>
      </c>
      <c r="AB197">
        <v>0</v>
      </c>
    </row>
    <row r="198" spans="1:28">
      <c r="A198" s="6">
        <v>2019</v>
      </c>
      <c r="B198" s="82" t="s">
        <v>272</v>
      </c>
      <c r="C198" s="7" t="s">
        <v>273</v>
      </c>
      <c r="D198" s="10">
        <f>224442718*13901</f>
        <v>3119978222918</v>
      </c>
      <c r="E198" s="10">
        <f>32395945*13901</f>
        <v>450336031445</v>
      </c>
      <c r="F198" s="10">
        <f>346312450*13901</f>
        <v>4814089367450</v>
      </c>
      <c r="G198" s="10">
        <f>(I198-H198)*13901</f>
        <v>3.205303792044774E+16</v>
      </c>
      <c r="H198" s="10">
        <f>11149711*13901</f>
        <v>154992132611</v>
      </c>
      <c r="I198" s="10">
        <f>177023250*13901</f>
        <v>2460800198250</v>
      </c>
      <c r="J198" s="10">
        <f>169289200*13901</f>
        <v>2353289169200</v>
      </c>
      <c r="K198" s="8">
        <v>840000000</v>
      </c>
      <c r="L198" s="10">
        <f>461333111*13901</f>
        <v>6412991576011</v>
      </c>
      <c r="M198" s="10">
        <f>364810934*13901</f>
        <v>5071236793534</v>
      </c>
      <c r="N198" s="10">
        <f>(28314962+15621674+3812225)*13901</f>
        <v>663756916761</v>
      </c>
      <c r="O198" s="10">
        <f>37600177*13901</f>
        <v>522680060477</v>
      </c>
      <c r="P198" s="61">
        <f>30165579*13901</f>
        <v>419331713679</v>
      </c>
      <c r="Q198" s="51">
        <v>3470</v>
      </c>
      <c r="R198" s="51">
        <f t="shared" si="26"/>
        <v>9.733798807655789E-5</v>
      </c>
      <c r="S198" s="51">
        <f t="shared" si="27"/>
        <v>6.5861915585873163E-2</v>
      </c>
      <c r="T198" s="51">
        <f t="shared" si="2"/>
        <v>0.10857298661945304</v>
      </c>
      <c r="U198" s="51">
        <f t="shared" si="3"/>
        <v>0.22210617688547171</v>
      </c>
      <c r="V198" s="51">
        <f t="shared" si="4"/>
        <v>8.1503313123345272E-2</v>
      </c>
      <c r="W198" s="51">
        <f t="shared" si="23"/>
        <v>0.14386294554652121</v>
      </c>
      <c r="X198" s="58">
        <f t="shared" si="28"/>
        <v>0.80227226058004997</v>
      </c>
      <c r="Y198" s="74">
        <f t="shared" si="24"/>
        <v>5.5766428077243688</v>
      </c>
      <c r="Z198" s="74">
        <f t="shared" si="25"/>
        <v>1.2386068138795223</v>
      </c>
      <c r="AA198" s="52">
        <v>3</v>
      </c>
      <c r="AB198">
        <v>0</v>
      </c>
    </row>
    <row r="199" spans="1:28">
      <c r="A199" s="6">
        <v>2020</v>
      </c>
      <c r="B199" s="82" t="s">
        <v>272</v>
      </c>
      <c r="C199" s="7" t="s">
        <v>273</v>
      </c>
      <c r="D199" s="9">
        <f>214359738*14105</f>
        <v>3023544104490</v>
      </c>
      <c r="E199" s="10">
        <f>32253909*14105</f>
        <v>454941386445</v>
      </c>
      <c r="F199" s="10">
        <f>266022591*14105</f>
        <v>3752248646055</v>
      </c>
      <c r="G199" s="10">
        <f>(I199-H199)*14105</f>
        <v>1.5449805854385176E+16</v>
      </c>
      <c r="H199" s="10">
        <f>10039504*14105</f>
        <v>141607203920</v>
      </c>
      <c r="I199" s="10">
        <f>87695831*14105</f>
        <v>1236949696255</v>
      </c>
      <c r="J199" s="10">
        <f>178326760*14105</f>
        <v>2515298949800</v>
      </c>
      <c r="K199" s="8">
        <v>840000000</v>
      </c>
      <c r="L199" s="10">
        <f>424431271*14105</f>
        <v>5986603077455</v>
      </c>
      <c r="M199" s="10">
        <f>316530893*14105</f>
        <v>4464668245765</v>
      </c>
      <c r="N199" s="10">
        <f>(28766111+19868641+9990238)*14105</f>
        <v>826905483950</v>
      </c>
      <c r="O199" s="9">
        <f>38436806*14105</f>
        <v>542151148630</v>
      </c>
      <c r="P199" s="64">
        <f>30851443*14105</f>
        <v>435159603515</v>
      </c>
      <c r="Q199" s="51">
        <v>3290</v>
      </c>
      <c r="R199" s="51">
        <f t="shared" si="26"/>
        <v>1.9570110673150084E-4</v>
      </c>
      <c r="S199" s="51">
        <f t="shared" si="27"/>
        <v>5.6298359259148764E-2</v>
      </c>
      <c r="T199" s="51">
        <f t="shared" si="2"/>
        <v>0.14448699960222552</v>
      </c>
      <c r="U199" s="51">
        <f t="shared" si="3"/>
        <v>0.21554143640584283</v>
      </c>
      <c r="V199" s="51">
        <f t="shared" si="4"/>
        <v>9.056073062062385E-2</v>
      </c>
      <c r="W199" s="51">
        <f t="shared" si="23"/>
        <v>0.15746113891843971</v>
      </c>
      <c r="X199" s="58">
        <f t="shared" si="28"/>
        <v>0.80265365961989665</v>
      </c>
      <c r="Y199" s="74">
        <f t="shared" si="24"/>
        <v>5.0974714468161437</v>
      </c>
      <c r="Z199" s="74">
        <f t="shared" si="25"/>
        <v>1.0987163176845214</v>
      </c>
      <c r="AA199" s="52">
        <v>3</v>
      </c>
      <c r="AB199">
        <v>0</v>
      </c>
    </row>
    <row r="200" spans="1:28">
      <c r="A200" s="6">
        <v>2018</v>
      </c>
      <c r="B200" s="6" t="s">
        <v>274</v>
      </c>
      <c r="C200" s="7" t="s">
        <v>275</v>
      </c>
      <c r="D200" s="9">
        <v>2842640000000</v>
      </c>
      <c r="E200" s="10">
        <v>1901953000000</v>
      </c>
      <c r="F200" s="10">
        <v>6318441000000</v>
      </c>
      <c r="G200" s="10">
        <f t="shared" ref="G200:G364" si="34">I200-H200</f>
        <v>2987480000000</v>
      </c>
      <c r="H200" s="10">
        <v>1205919000000</v>
      </c>
      <c r="I200" s="10">
        <v>4193399000000</v>
      </c>
      <c r="J200" s="10">
        <v>2125042000000</v>
      </c>
      <c r="K200" s="8">
        <v>4800000000</v>
      </c>
      <c r="L200" s="10">
        <v>7076493000000</v>
      </c>
      <c r="M200" s="10">
        <v>5787390000000</v>
      </c>
      <c r="N200" s="10">
        <f>838800000000+57067000000</f>
        <v>895867000000</v>
      </c>
      <c r="O200" s="9">
        <v>233141000000</v>
      </c>
      <c r="P200" s="64">
        <v>45380000000</v>
      </c>
      <c r="Q200" s="51">
        <v>615</v>
      </c>
      <c r="R200" s="51">
        <f t="shared" si="26"/>
        <v>0.95151766706387997</v>
      </c>
      <c r="S200" s="51">
        <f t="shared" si="27"/>
        <v>0.56748007804081047</v>
      </c>
      <c r="T200" s="51">
        <f t="shared" si="2"/>
        <v>3.689850075358779E-2</v>
      </c>
      <c r="U200" s="51">
        <f t="shared" si="3"/>
        <v>0.10971124335424901</v>
      </c>
      <c r="V200" s="51">
        <f t="shared" si="4"/>
        <v>3.2945839132462927E-2</v>
      </c>
      <c r="W200" s="51">
        <f t="shared" si="23"/>
        <v>1.5372628726287264E-2</v>
      </c>
      <c r="X200" s="58">
        <f t="shared" si="28"/>
        <v>0.19464615833336907</v>
      </c>
      <c r="Y200" s="51">
        <f t="shared" si="24"/>
        <v>12.661865566331105</v>
      </c>
      <c r="Z200" s="51">
        <f t="shared" si="25"/>
        <v>1.3891490144665375</v>
      </c>
      <c r="AA200" s="52">
        <v>3</v>
      </c>
      <c r="AB200">
        <v>0</v>
      </c>
    </row>
    <row r="201" spans="1:28">
      <c r="A201" s="6">
        <v>2019</v>
      </c>
      <c r="B201" s="6" t="s">
        <v>274</v>
      </c>
      <c r="C201" s="7" t="s">
        <v>275</v>
      </c>
      <c r="D201" s="9">
        <v>2508089000000</v>
      </c>
      <c r="E201" s="10">
        <v>1880861000000</v>
      </c>
      <c r="F201" s="10">
        <v>5863204000000</v>
      </c>
      <c r="G201" s="10">
        <f t="shared" si="34"/>
        <v>2971594000000</v>
      </c>
      <c r="H201" s="10">
        <v>731430000000</v>
      </c>
      <c r="I201" s="10">
        <v>3703024000000</v>
      </c>
      <c r="J201" s="10">
        <v>2160180000000</v>
      </c>
      <c r="K201" s="8">
        <v>4800000000</v>
      </c>
      <c r="L201" s="10">
        <v>6534734000000</v>
      </c>
      <c r="M201" s="10">
        <v>5253452000000</v>
      </c>
      <c r="N201" s="10">
        <f>873976000000+5811000000</f>
        <v>879787000000</v>
      </c>
      <c r="O201" s="10">
        <v>225747000000</v>
      </c>
      <c r="P201" s="64">
        <v>61647000000</v>
      </c>
      <c r="Q201" s="51">
        <v>610</v>
      </c>
      <c r="R201" s="51">
        <f t="shared" si="26"/>
        <v>0.84402142419186466</v>
      </c>
      <c r="S201" s="51">
        <f t="shared" si="27"/>
        <v>0.33859678360136658</v>
      </c>
      <c r="T201" s="51">
        <f t="shared" si="2"/>
        <v>3.8502327396420115E-2</v>
      </c>
      <c r="U201" s="51">
        <f t="shared" si="3"/>
        <v>0.10450379135072077</v>
      </c>
      <c r="V201" s="51">
        <f t="shared" si="4"/>
        <v>3.4545706068525514E-2</v>
      </c>
      <c r="W201" s="51">
        <f t="shared" si="23"/>
        <v>2.1054303278688527E-2</v>
      </c>
      <c r="X201" s="58">
        <f t="shared" si="28"/>
        <v>0.27308004093077648</v>
      </c>
      <c r="Y201" s="51">
        <f t="shared" si="24"/>
        <v>12.970272030193092</v>
      </c>
      <c r="Z201" s="51">
        <f t="shared" si="25"/>
        <v>1.3554426020053885</v>
      </c>
      <c r="AA201" s="52">
        <v>3</v>
      </c>
      <c r="AB201">
        <v>0</v>
      </c>
    </row>
    <row r="202" spans="1:28">
      <c r="A202" s="6">
        <v>2020</v>
      </c>
      <c r="B202" s="6" t="s">
        <v>274</v>
      </c>
      <c r="C202" s="7" t="s">
        <v>275</v>
      </c>
      <c r="D202" s="9">
        <v>2138024000000</v>
      </c>
      <c r="E202" s="10">
        <v>1828809000000</v>
      </c>
      <c r="F202" s="10">
        <v>5524302000000</v>
      </c>
      <c r="G202" s="10">
        <f t="shared" si="34"/>
        <v>2189930000000</v>
      </c>
      <c r="H202" s="9">
        <v>1091250000000</v>
      </c>
      <c r="I202" s="10">
        <v>3281180000000</v>
      </c>
      <c r="J202" s="10">
        <v>2243122000000</v>
      </c>
      <c r="K202" s="8">
        <v>4800000000</v>
      </c>
      <c r="L202" s="10">
        <v>5592338000000</v>
      </c>
      <c r="M202" s="10">
        <v>4417520000000</v>
      </c>
      <c r="N202" s="10">
        <f>775644000000+87519000000</f>
        <v>863163000000</v>
      </c>
      <c r="O202" s="10">
        <v>118196000000</v>
      </c>
      <c r="P202" s="64">
        <v>53603000000</v>
      </c>
      <c r="Q202" s="51">
        <v>490</v>
      </c>
      <c r="R202" s="51">
        <f t="shared" si="26"/>
        <v>0.97629787253473854</v>
      </c>
      <c r="S202" s="51">
        <f t="shared" si="27"/>
        <v>0.48648713712406189</v>
      </c>
      <c r="T202" s="51">
        <f t="shared" si="2"/>
        <v>2.1395644191791109E-2</v>
      </c>
      <c r="U202" s="51">
        <f t="shared" si="3"/>
        <v>5.2692631074012022E-2</v>
      </c>
      <c r="V202" s="51">
        <f t="shared" si="4"/>
        <v>2.1135346254106957E-2</v>
      </c>
      <c r="W202" s="51">
        <f t="shared" si="23"/>
        <v>2.2790391156462586E-2</v>
      </c>
      <c r="X202" s="58">
        <f t="shared" si="28"/>
        <v>0.45350942502284342</v>
      </c>
      <c r="Y202" s="51">
        <f t="shared" si="24"/>
        <v>19.899150563470844</v>
      </c>
      <c r="Z202" s="51">
        <f t="shared" si="25"/>
        <v>1.0485385993271876</v>
      </c>
      <c r="AA202" s="52">
        <v>3</v>
      </c>
      <c r="AB202">
        <v>0</v>
      </c>
    </row>
    <row r="203" spans="1:28">
      <c r="A203" s="6">
        <v>2018</v>
      </c>
      <c r="B203" s="6" t="s">
        <v>276</v>
      </c>
      <c r="C203" s="7" t="s">
        <v>277</v>
      </c>
      <c r="D203" s="9">
        <v>426630096664</v>
      </c>
      <c r="E203" s="10">
        <v>396613573360</v>
      </c>
      <c r="F203" s="10">
        <v>928832007829</v>
      </c>
      <c r="G203" s="10">
        <f t="shared" si="34"/>
        <v>218195329431</v>
      </c>
      <c r="H203" s="10">
        <v>72924681977</v>
      </c>
      <c r="I203" s="10">
        <v>291120011408</v>
      </c>
      <c r="J203" s="10">
        <v>637711996421</v>
      </c>
      <c r="K203" s="8">
        <v>2000000000</v>
      </c>
      <c r="L203" s="10">
        <v>28935125276</v>
      </c>
      <c r="M203" s="10">
        <v>23917401115</v>
      </c>
      <c r="N203" s="10">
        <f>314144918983+1364477909</f>
        <v>315509396892</v>
      </c>
      <c r="O203" s="10">
        <v>32997196204</v>
      </c>
      <c r="P203" s="64">
        <v>5954230000</v>
      </c>
      <c r="Q203" s="51">
        <v>370</v>
      </c>
      <c r="R203" s="51">
        <f t="shared" si="26"/>
        <v>1.9552668600952496</v>
      </c>
      <c r="S203" s="51">
        <f t="shared" si="27"/>
        <v>0.11435363045743477</v>
      </c>
      <c r="T203" s="51">
        <f t="shared" si="2"/>
        <v>3.5525472772117102E-2</v>
      </c>
      <c r="U203" s="51">
        <f t="shared" si="3"/>
        <v>5.1743100943981858E-2</v>
      </c>
      <c r="V203" s="51">
        <f t="shared" si="4"/>
        <v>1.1403854619343656</v>
      </c>
      <c r="W203" s="51">
        <f t="shared" si="23"/>
        <v>8.0462567567567561E-3</v>
      </c>
      <c r="X203" s="58">
        <f t="shared" si="28"/>
        <v>0.18044654349384429</v>
      </c>
      <c r="Y203" s="51">
        <f t="shared" si="24"/>
        <v>22.426147828593251</v>
      </c>
      <c r="Z203" s="51">
        <f t="shared" si="25"/>
        <v>1.1603984308795601</v>
      </c>
      <c r="AA203" s="52">
        <v>3</v>
      </c>
      <c r="AB203">
        <v>0</v>
      </c>
    </row>
    <row r="204" spans="1:28">
      <c r="A204" s="6">
        <v>2019</v>
      </c>
      <c r="B204" s="6" t="s">
        <v>276</v>
      </c>
      <c r="C204" s="7" t="s">
        <v>277</v>
      </c>
      <c r="D204" s="9">
        <v>471241593838</v>
      </c>
      <c r="E204" s="10">
        <v>441663263719</v>
      </c>
      <c r="F204" s="10">
        <v>1044252437786</v>
      </c>
      <c r="G204" s="10">
        <f t="shared" si="34"/>
        <v>303796823069</v>
      </c>
      <c r="H204" s="10">
        <v>61600581292</v>
      </c>
      <c r="I204" s="10">
        <v>365397404361</v>
      </c>
      <c r="J204" s="10">
        <v>678855033425</v>
      </c>
      <c r="K204" s="8">
        <v>2000000000</v>
      </c>
      <c r="L204" s="10">
        <v>704897521423</v>
      </c>
      <c r="M204" s="10">
        <v>325702387052</v>
      </c>
      <c r="N204" s="10">
        <f>359462091901+4452173918</f>
        <v>363914265819</v>
      </c>
      <c r="O204" s="10">
        <v>34333566183</v>
      </c>
      <c r="P204" s="64">
        <v>5954230000</v>
      </c>
      <c r="Q204" s="51">
        <v>346</v>
      </c>
      <c r="R204" s="51">
        <f t="shared" si="26"/>
        <v>1.5511735411761334</v>
      </c>
      <c r="S204" s="51">
        <f t="shared" si="27"/>
        <v>9.074187898586987E-2</v>
      </c>
      <c r="T204" s="51">
        <f t="shared" si="2"/>
        <v>3.287860764375445E-2</v>
      </c>
      <c r="U204" s="51">
        <f t="shared" si="3"/>
        <v>5.0575696566287853E-2</v>
      </c>
      <c r="V204" s="51">
        <f t="shared" si="4"/>
        <v>4.8707173935992415E-2</v>
      </c>
      <c r="W204" s="51">
        <f t="shared" si="23"/>
        <v>8.6043786127167621E-3</v>
      </c>
      <c r="X204" s="58">
        <f t="shared" si="28"/>
        <v>0.17342299859745391</v>
      </c>
      <c r="Y204" s="51">
        <f t="shared" si="24"/>
        <v>20.155203112650685</v>
      </c>
      <c r="Z204" s="51">
        <f t="shared" si="25"/>
        <v>1.0193634368573217</v>
      </c>
      <c r="AA204" s="52">
        <v>3</v>
      </c>
      <c r="AB204">
        <v>0</v>
      </c>
    </row>
    <row r="205" spans="1:28">
      <c r="A205" s="6">
        <v>2020</v>
      </c>
      <c r="B205" s="6" t="s">
        <v>276</v>
      </c>
      <c r="C205" s="7" t="s">
        <v>277</v>
      </c>
      <c r="D205" s="9">
        <v>451410867230</v>
      </c>
      <c r="E205" s="10">
        <v>425497809009</v>
      </c>
      <c r="F205" s="10">
        <v>1000283894657</v>
      </c>
      <c r="G205" s="10">
        <f t="shared" si="34"/>
        <v>265301685348</v>
      </c>
      <c r="H205" s="10">
        <v>54270499572</v>
      </c>
      <c r="I205" s="10">
        <v>319572184920</v>
      </c>
      <c r="J205" s="10">
        <v>680711709737</v>
      </c>
      <c r="K205" s="8">
        <v>2000000000</v>
      </c>
      <c r="L205" s="10">
        <v>654285313569</v>
      </c>
      <c r="M205" s="10">
        <v>282419815086</v>
      </c>
      <c r="N205" s="10">
        <f>339163629799+26439740478</f>
        <v>365603370277</v>
      </c>
      <c r="O205" s="10">
        <v>2701416962</v>
      </c>
      <c r="P205" s="64">
        <v>2959520000</v>
      </c>
      <c r="Q205" s="51">
        <v>298</v>
      </c>
      <c r="R205" s="51">
        <f t="shared" si="26"/>
        <v>1.7015001869960906</v>
      </c>
      <c r="S205" s="51">
        <f t="shared" si="27"/>
        <v>7.9726114294358136E-2</v>
      </c>
      <c r="T205" s="51">
        <f t="shared" si="2"/>
        <v>2.7006502618202436E-3</v>
      </c>
      <c r="U205" s="51">
        <f t="shared" si="3"/>
        <v>3.9685184246995254E-3</v>
      </c>
      <c r="V205" s="51">
        <f t="shared" si="4"/>
        <v>4.128805745714041E-3</v>
      </c>
      <c r="W205" s="51">
        <f t="shared" si="23"/>
        <v>4.9656375838926176E-3</v>
      </c>
      <c r="X205" s="58">
        <f t="shared" si="28"/>
        <v>1.0955435764380901</v>
      </c>
      <c r="Y205" s="51">
        <f t="shared" si="24"/>
        <v>220.62495660009111</v>
      </c>
      <c r="Z205" s="51">
        <f t="shared" si="25"/>
        <v>0.87555420521599481</v>
      </c>
      <c r="AA205" s="52">
        <v>3</v>
      </c>
      <c r="AB205">
        <v>0</v>
      </c>
    </row>
    <row r="206" spans="1:28">
      <c r="A206" s="6">
        <v>2018</v>
      </c>
      <c r="B206" s="6" t="s">
        <v>278</v>
      </c>
      <c r="C206" s="7" t="s">
        <v>279</v>
      </c>
      <c r="D206" s="9">
        <v>1093923908933</v>
      </c>
      <c r="E206" s="10">
        <v>19895955091</v>
      </c>
      <c r="F206" s="10">
        <v>1192891220453</v>
      </c>
      <c r="G206" s="10">
        <f t="shared" si="34"/>
        <v>935926818869</v>
      </c>
      <c r="H206" s="10">
        <v>24856461000</v>
      </c>
      <c r="I206" s="10">
        <v>960783279869</v>
      </c>
      <c r="J206" s="10">
        <v>232107940584</v>
      </c>
      <c r="K206" s="8">
        <v>2184000000</v>
      </c>
      <c r="L206" s="9">
        <v>2376182739151</v>
      </c>
      <c r="M206" s="10">
        <v>2166026999864</v>
      </c>
      <c r="N206" s="10">
        <f>42305260589+102159744732+2830832908</f>
        <v>147295838229</v>
      </c>
      <c r="O206" s="10">
        <v>19444262069</v>
      </c>
      <c r="P206" s="64">
        <v>2548000000</v>
      </c>
      <c r="Q206" s="51">
        <v>95</v>
      </c>
      <c r="R206" s="51">
        <f t="shared" si="26"/>
        <v>1.1688135085763736</v>
      </c>
      <c r="S206" s="51">
        <f t="shared" si="27"/>
        <v>0.10709009324480406</v>
      </c>
      <c r="T206" s="51">
        <f t="shared" si="2"/>
        <v>1.6300113317638511E-2</v>
      </c>
      <c r="U206" s="51">
        <f t="shared" si="3"/>
        <v>8.3772498347436372E-2</v>
      </c>
      <c r="V206" s="51">
        <f t="shared" si="4"/>
        <v>8.1829826252956261E-3</v>
      </c>
      <c r="W206" s="51">
        <f t="shared" si="23"/>
        <v>1.2280701754385965E-2</v>
      </c>
      <c r="X206" s="58">
        <f t="shared" si="28"/>
        <v>0.13104122907612309</v>
      </c>
      <c r="Y206" s="51">
        <f t="shared" si="24"/>
        <v>10.670500081912879</v>
      </c>
      <c r="Z206" s="51">
        <f t="shared" si="25"/>
        <v>0.89389445047836646</v>
      </c>
      <c r="AA206" s="52">
        <v>3</v>
      </c>
      <c r="AB206">
        <v>0</v>
      </c>
    </row>
    <row r="207" spans="1:28">
      <c r="A207" s="6">
        <v>2019</v>
      </c>
      <c r="B207" s="6" t="s">
        <v>278</v>
      </c>
      <c r="C207" s="7" t="s">
        <v>279</v>
      </c>
      <c r="D207" s="9">
        <v>1110540241160</v>
      </c>
      <c r="E207" s="10">
        <v>24821572603</v>
      </c>
      <c r="F207" s="10">
        <v>1230844175984</v>
      </c>
      <c r="G207" s="10">
        <f t="shared" si="34"/>
        <v>966343568608</v>
      </c>
      <c r="H207" s="10">
        <v>29062791000</v>
      </c>
      <c r="I207" s="10">
        <v>995406359608</v>
      </c>
      <c r="J207" s="10">
        <v>235437816376</v>
      </c>
      <c r="K207" s="8">
        <v>2184000000</v>
      </c>
      <c r="L207" s="10">
        <v>2726755413484</v>
      </c>
      <c r="M207" s="10">
        <v>2497998546107</v>
      </c>
      <c r="N207" s="10">
        <f>50968036953+113057481128+1343858926</f>
        <v>165369377007</v>
      </c>
      <c r="O207" s="10">
        <v>7880007292</v>
      </c>
      <c r="P207" s="64">
        <v>3822000000</v>
      </c>
      <c r="Q207" s="51">
        <v>95</v>
      </c>
      <c r="R207" s="51">
        <f t="shared" si="26"/>
        <v>1.1492188464188908</v>
      </c>
      <c r="S207" s="51">
        <f t="shared" si="27"/>
        <v>0.12344147362285253</v>
      </c>
      <c r="T207" s="51">
        <f t="shared" si="2"/>
        <v>6.4021160807787207E-3</v>
      </c>
      <c r="U207" s="51">
        <f t="shared" si="3"/>
        <v>3.3469590456171386E-2</v>
      </c>
      <c r="V207" s="51">
        <f t="shared" si="4"/>
        <v>2.8898841652730575E-3</v>
      </c>
      <c r="W207" s="51">
        <f t="shared" si="23"/>
        <v>1.8421052631578946E-2</v>
      </c>
      <c r="X207" s="58">
        <f t="shared" si="28"/>
        <v>0.48502493187794377</v>
      </c>
      <c r="Y207" s="51">
        <f t="shared" si="24"/>
        <v>26.32992487337409</v>
      </c>
      <c r="Z207" s="51">
        <f t="shared" si="25"/>
        <v>0.8812518022535909</v>
      </c>
      <c r="AA207" s="52">
        <v>3</v>
      </c>
      <c r="AB207">
        <v>0</v>
      </c>
    </row>
    <row r="208" spans="1:28">
      <c r="A208" s="6">
        <v>2020</v>
      </c>
      <c r="B208" s="6" t="s">
        <v>278</v>
      </c>
      <c r="C208" s="7" t="s">
        <v>279</v>
      </c>
      <c r="D208" s="9">
        <v>1028893089973</v>
      </c>
      <c r="E208" s="10">
        <v>21788531959</v>
      </c>
      <c r="F208" s="10">
        <v>1164826486522</v>
      </c>
      <c r="G208" s="10">
        <f t="shared" si="34"/>
        <v>903258283864</v>
      </c>
      <c r="H208" s="10">
        <v>32371714072</v>
      </c>
      <c r="I208" s="10">
        <v>935629997936</v>
      </c>
      <c r="J208" s="10">
        <v>229196488586</v>
      </c>
      <c r="K208" s="8">
        <v>2184000000</v>
      </c>
      <c r="L208" s="10">
        <v>2643626505412</v>
      </c>
      <c r="M208" s="10">
        <v>2421934897535</v>
      </c>
      <c r="N208" s="10">
        <f>50801392553+113456884154+4661838637</f>
        <v>168920115344</v>
      </c>
      <c r="O208" s="9">
        <v>2804331066</v>
      </c>
      <c r="P208" s="64">
        <v>1274000000</v>
      </c>
      <c r="Q208" s="51">
        <v>104</v>
      </c>
      <c r="R208" s="51">
        <f t="shared" si="26"/>
        <v>1.139090676889841</v>
      </c>
      <c r="S208" s="51">
        <f t="shared" si="27"/>
        <v>0.14124000883134541</v>
      </c>
      <c r="T208" s="51">
        <f t="shared" si="2"/>
        <v>2.4075097007566497E-3</v>
      </c>
      <c r="U208" s="51">
        <f t="shared" si="3"/>
        <v>1.2235488786503585E-2</v>
      </c>
      <c r="V208" s="51">
        <f t="shared" si="4"/>
        <v>1.060789434611511E-3</v>
      </c>
      <c r="W208" s="51">
        <f t="shared" si="23"/>
        <v>5.608974358974359E-3</v>
      </c>
      <c r="X208" s="58">
        <f t="shared" si="28"/>
        <v>0.45429728873530939</v>
      </c>
      <c r="Y208" s="51">
        <f t="shared" si="24"/>
        <v>80.994716620238023</v>
      </c>
      <c r="Z208" s="51">
        <f t="shared" si="25"/>
        <v>0.99100994697295797</v>
      </c>
      <c r="AA208" s="52">
        <v>3</v>
      </c>
      <c r="AB208">
        <v>0</v>
      </c>
    </row>
    <row r="209" spans="1:28">
      <c r="A209" s="6">
        <v>2018</v>
      </c>
      <c r="B209" s="6" t="s">
        <v>280</v>
      </c>
      <c r="C209" s="7" t="s">
        <v>281</v>
      </c>
      <c r="D209" s="9">
        <v>3293438978537</v>
      </c>
      <c r="E209" s="10">
        <v>94064002067</v>
      </c>
      <c r="F209" s="10">
        <v>3485510411961</v>
      </c>
      <c r="G209" s="10">
        <f t="shared" si="34"/>
        <v>1928698918596</v>
      </c>
      <c r="H209" s="9">
        <v>308958990481</v>
      </c>
      <c r="I209" s="10">
        <v>2237657909077</v>
      </c>
      <c r="J209" s="10">
        <v>1247852502884</v>
      </c>
      <c r="K209" s="8">
        <v>2000000000</v>
      </c>
      <c r="L209" s="10">
        <v>12940108219350</v>
      </c>
      <c r="M209" s="10">
        <v>11524839503101</v>
      </c>
      <c r="N209" s="10">
        <f>791086675772+190832440112</f>
        <v>981919115884</v>
      </c>
      <c r="O209" s="10">
        <v>318607055495</v>
      </c>
      <c r="P209" s="64">
        <v>146958840000</v>
      </c>
      <c r="Q209" s="51">
        <v>3350</v>
      </c>
      <c r="R209" s="51">
        <f t="shared" si="26"/>
        <v>1.7075962177313113</v>
      </c>
      <c r="S209" s="51">
        <f t="shared" si="27"/>
        <v>0.24759255582446088</v>
      </c>
      <c r="T209" s="51">
        <f t="shared" si="2"/>
        <v>9.140900982583694E-2</v>
      </c>
      <c r="U209" s="51">
        <f t="shared" si="3"/>
        <v>0.25532429093874859</v>
      </c>
      <c r="V209" s="51">
        <f t="shared" si="4"/>
        <v>2.4621668543588431E-2</v>
      </c>
      <c r="W209" s="51">
        <f t="shared" si="23"/>
        <v>2.1934155223880598E-2</v>
      </c>
      <c r="X209" s="58">
        <f t="shared" si="28"/>
        <v>0.46125419216369573</v>
      </c>
      <c r="Y209" s="51">
        <f t="shared" si="24"/>
        <v>21.029038385828041</v>
      </c>
      <c r="Z209" s="51">
        <f t="shared" si="25"/>
        <v>5.3692243149852708</v>
      </c>
      <c r="AA209" s="52">
        <v>3</v>
      </c>
      <c r="AB209">
        <v>0</v>
      </c>
    </row>
    <row r="210" spans="1:28">
      <c r="A210" s="6">
        <v>2019</v>
      </c>
      <c r="B210" s="6" t="s">
        <v>280</v>
      </c>
      <c r="C210" s="7" t="s">
        <v>281</v>
      </c>
      <c r="D210" s="9">
        <v>2761095717618</v>
      </c>
      <c r="E210" s="10">
        <v>86888676915</v>
      </c>
      <c r="F210" s="10">
        <v>2995872438975</v>
      </c>
      <c r="G210" s="10">
        <f t="shared" si="34"/>
        <v>1281093781950</v>
      </c>
      <c r="H210" s="9">
        <v>322779610313</v>
      </c>
      <c r="I210" s="10">
        <v>1603873392263</v>
      </c>
      <c r="J210" s="10">
        <v>1391999046712</v>
      </c>
      <c r="K210" s="8">
        <v>2000000000</v>
      </c>
      <c r="L210" s="10">
        <v>13372043554341</v>
      </c>
      <c r="M210" s="10">
        <v>11691107341759</v>
      </c>
      <c r="N210" s="10">
        <f>927876755512+212932735867</f>
        <v>1140809491379</v>
      </c>
      <c r="O210" s="10">
        <v>428418484105</v>
      </c>
      <c r="P210" s="64">
        <v>219519767250</v>
      </c>
      <c r="Q210" s="51">
        <v>4850</v>
      </c>
      <c r="R210" s="51">
        <f t="shared" si="26"/>
        <v>2.1552643190690026</v>
      </c>
      <c r="S210" s="51">
        <f t="shared" si="27"/>
        <v>0.2318820627610545</v>
      </c>
      <c r="T210" s="51">
        <f t="shared" si="2"/>
        <v>0.14300291245096469</v>
      </c>
      <c r="U210" s="51">
        <f t="shared" si="3"/>
        <v>0.30777211027331858</v>
      </c>
      <c r="V210" s="51">
        <f t="shared" si="4"/>
        <v>3.2038370378020598E-2</v>
      </c>
      <c r="W210" s="51">
        <f t="shared" si="23"/>
        <v>2.2630903840206187E-2</v>
      </c>
      <c r="X210" s="58">
        <f t="shared" si="28"/>
        <v>0.51239564910135493</v>
      </c>
      <c r="Y210" s="51">
        <f t="shared" si="24"/>
        <v>22.641413384074838</v>
      </c>
      <c r="Z210" s="51">
        <f t="shared" si="25"/>
        <v>6.9683955767872714</v>
      </c>
      <c r="AA210" s="52">
        <v>3</v>
      </c>
      <c r="AB210">
        <v>0</v>
      </c>
    </row>
    <row r="211" spans="1:28">
      <c r="A211" s="6">
        <v>2020</v>
      </c>
      <c r="B211" s="6" t="s">
        <v>280</v>
      </c>
      <c r="C211" s="7" t="s">
        <v>281</v>
      </c>
      <c r="D211" s="9">
        <v>3067116650845</v>
      </c>
      <c r="E211" s="10">
        <v>75635303975</v>
      </c>
      <c r="F211" s="10">
        <v>3361956197960</v>
      </c>
      <c r="G211" s="10">
        <f t="shared" si="34"/>
        <v>1406291340510</v>
      </c>
      <c r="H211" s="10">
        <v>356992629183</v>
      </c>
      <c r="I211" s="10">
        <v>1763283969693</v>
      </c>
      <c r="J211" s="10">
        <v>1598672228267</v>
      </c>
      <c r="K211" s="8">
        <v>2000000000</v>
      </c>
      <c r="L211" s="10">
        <v>12488883541697</v>
      </c>
      <c r="M211" s="10">
        <v>10806684751704</v>
      </c>
      <c r="N211" s="10">
        <f>782823289521+242980385483</f>
        <v>1025803675004</v>
      </c>
      <c r="O211" s="10">
        <v>478561152411</v>
      </c>
      <c r="P211" s="64">
        <v>261770433750</v>
      </c>
      <c r="Q211" s="51">
        <v>7275</v>
      </c>
      <c r="R211" s="51">
        <f t="shared" si="26"/>
        <v>2.1809966132143654</v>
      </c>
      <c r="S211" s="51">
        <f t="shared" si="27"/>
        <v>0.22330570511629441</v>
      </c>
      <c r="T211" s="51">
        <f t="shared" si="2"/>
        <v>0.1423460402908836</v>
      </c>
      <c r="U211" s="51">
        <f t="shared" si="3"/>
        <v>0.29934913733365598</v>
      </c>
      <c r="V211" s="51">
        <f t="shared" si="4"/>
        <v>3.8318969891360896E-2</v>
      </c>
      <c r="W211" s="51">
        <f t="shared" si="23"/>
        <v>1.7991095103092783E-2</v>
      </c>
      <c r="X211" s="58">
        <f t="shared" si="28"/>
        <v>0.54699474128059844</v>
      </c>
      <c r="Y211" s="51">
        <f t="shared" si="24"/>
        <v>30.403637918992857</v>
      </c>
      <c r="Z211" s="51">
        <f t="shared" si="25"/>
        <v>9.1013027828553437</v>
      </c>
      <c r="AA211" s="52">
        <v>3</v>
      </c>
      <c r="AB211">
        <v>0</v>
      </c>
    </row>
    <row r="212" spans="1:28">
      <c r="A212" s="6">
        <v>2018</v>
      </c>
      <c r="B212" s="6" t="s">
        <v>282</v>
      </c>
      <c r="C212" s="7" t="s">
        <v>283</v>
      </c>
      <c r="D212" s="10">
        <v>333578357832</v>
      </c>
      <c r="E212" s="10">
        <v>48379981073</v>
      </c>
      <c r="F212" s="10">
        <v>386108236920</v>
      </c>
      <c r="G212" s="10">
        <f t="shared" si="34"/>
        <v>82000239837</v>
      </c>
      <c r="H212" s="9">
        <v>26423708521</v>
      </c>
      <c r="I212" s="10">
        <v>108423948358</v>
      </c>
      <c r="J212" s="10">
        <v>277684288562</v>
      </c>
      <c r="K212" s="8">
        <v>1800000000</v>
      </c>
      <c r="L212" s="10">
        <v>972305391346</v>
      </c>
      <c r="M212" s="10">
        <v>872653118697</v>
      </c>
      <c r="N212" s="10">
        <f>35555045193+98161336450</f>
        <v>133716381643</v>
      </c>
      <c r="O212" s="10">
        <v>-21172048346</v>
      </c>
      <c r="P212" s="64">
        <v>0</v>
      </c>
      <c r="Q212" s="51">
        <v>600</v>
      </c>
      <c r="R212" s="51">
        <f t="shared" si="26"/>
        <v>4.068016855744407</v>
      </c>
      <c r="S212" s="51">
        <f t="shared" si="27"/>
        <v>9.5157376954368961E-2</v>
      </c>
      <c r="T212" s="51">
        <f t="shared" si="2"/>
        <v>-5.4834490232299186E-2</v>
      </c>
      <c r="U212" s="51">
        <f t="shared" si="3"/>
        <v>-7.624503516436007E-2</v>
      </c>
      <c r="V212" s="51">
        <f t="shared" si="4"/>
        <v>-2.1775101253620237E-2</v>
      </c>
      <c r="W212" s="51">
        <f t="shared" si="23"/>
        <v>0</v>
      </c>
      <c r="X212" s="58">
        <f t="shared" si="28"/>
        <v>0</v>
      </c>
      <c r="Y212" s="51">
        <f t="shared" si="24"/>
        <v>-51.010652457915938</v>
      </c>
      <c r="Z212" s="51">
        <f t="shared" si="25"/>
        <v>3.8893089904107518</v>
      </c>
      <c r="AA212" s="52">
        <v>3</v>
      </c>
      <c r="AB212">
        <v>0</v>
      </c>
    </row>
    <row r="213" spans="1:28">
      <c r="A213" s="6">
        <v>2019</v>
      </c>
      <c r="B213" s="6" t="s">
        <v>282</v>
      </c>
      <c r="C213" s="7" t="s">
        <v>283</v>
      </c>
      <c r="D213" s="10">
        <v>643568004520</v>
      </c>
      <c r="E213" s="10">
        <v>47881444521</v>
      </c>
      <c r="F213" s="10">
        <v>695853450844</v>
      </c>
      <c r="G213" s="10">
        <f t="shared" si="34"/>
        <v>421129759476</v>
      </c>
      <c r="H213" s="9">
        <v>27188829231</v>
      </c>
      <c r="I213" s="9">
        <v>448318588707</v>
      </c>
      <c r="J213" s="10">
        <v>247534862137</v>
      </c>
      <c r="K213" s="8">
        <v>1800000000</v>
      </c>
      <c r="L213" s="10">
        <v>1855354419901</v>
      </c>
      <c r="M213" s="10">
        <v>1693554680390</v>
      </c>
      <c r="N213" s="10">
        <f>49620223178+151316722585</f>
        <v>200936945763</v>
      </c>
      <c r="O213" s="10">
        <v>-27568919425</v>
      </c>
      <c r="P213" s="64">
        <v>0</v>
      </c>
      <c r="Q213" s="51">
        <v>535</v>
      </c>
      <c r="R213" s="51">
        <f t="shared" si="26"/>
        <v>1.5281940780456211</v>
      </c>
      <c r="S213" s="51">
        <f t="shared" si="27"/>
        <v>0.10983838396044651</v>
      </c>
      <c r="T213" s="51">
        <f t="shared" si="2"/>
        <v>-3.9618858527699592E-2</v>
      </c>
      <c r="U213" s="51">
        <f t="shared" si="3"/>
        <v>-0.11137388562966043</v>
      </c>
      <c r="V213" s="51">
        <f t="shared" si="4"/>
        <v>-1.4859112161692025E-2</v>
      </c>
      <c r="W213" s="51">
        <f t="shared" si="23"/>
        <v>0</v>
      </c>
      <c r="X213" s="58">
        <f t="shared" si="28"/>
        <v>0</v>
      </c>
      <c r="Y213" s="51">
        <f t="shared" si="24"/>
        <v>-34.930640013650084</v>
      </c>
      <c r="Z213" s="51">
        <f t="shared" si="25"/>
        <v>3.8903611058511043</v>
      </c>
      <c r="AA213" s="52">
        <v>3</v>
      </c>
      <c r="AB213">
        <v>0</v>
      </c>
    </row>
    <row r="214" spans="1:28">
      <c r="A214" s="6">
        <v>2020</v>
      </c>
      <c r="B214" s="6" t="s">
        <v>282</v>
      </c>
      <c r="C214" s="7" t="s">
        <v>283</v>
      </c>
      <c r="D214" s="10">
        <v>594790929582</v>
      </c>
      <c r="E214" s="10">
        <v>61258028492</v>
      </c>
      <c r="F214" s="9">
        <v>677619067915</v>
      </c>
      <c r="G214" s="10">
        <f t="shared" si="34"/>
        <v>446454025409</v>
      </c>
      <c r="H214" s="9">
        <v>22494563659</v>
      </c>
      <c r="I214" s="10">
        <v>468948589068</v>
      </c>
      <c r="J214" s="9">
        <v>208670478847</v>
      </c>
      <c r="K214" s="8">
        <v>1800000000</v>
      </c>
      <c r="L214" s="10">
        <v>3097194461934</v>
      </c>
      <c r="M214" s="10">
        <v>2842951459588</v>
      </c>
      <c r="N214" s="10">
        <f>85221384316+226404617260</f>
        <v>311626001576</v>
      </c>
      <c r="O214" s="10">
        <v>-41008773290</v>
      </c>
      <c r="P214" s="64">
        <v>0</v>
      </c>
      <c r="Q214" s="51">
        <v>446</v>
      </c>
      <c r="R214" s="51">
        <f t="shared" si="26"/>
        <v>1.3322557211509234</v>
      </c>
      <c r="S214" s="51">
        <f t="shared" si="27"/>
        <v>0.10779945387240576</v>
      </c>
      <c r="T214" s="51">
        <f t="shared" si="2"/>
        <v>-6.0518918713698459E-2</v>
      </c>
      <c r="U214" s="51">
        <f t="shared" si="3"/>
        <v>-0.19652407717944703</v>
      </c>
      <c r="V214" s="51">
        <f t="shared" si="4"/>
        <v>-1.3240619468366426E-2</v>
      </c>
      <c r="W214" s="51">
        <f t="shared" si="23"/>
        <v>0</v>
      </c>
      <c r="X214" s="58">
        <f t="shared" si="28"/>
        <v>0</v>
      </c>
      <c r="Y214" s="51">
        <f t="shared" si="24"/>
        <v>-19.57629881593564</v>
      </c>
      <c r="Z214" s="51">
        <f t="shared" si="25"/>
        <v>3.8472140593908533</v>
      </c>
      <c r="AA214" s="52">
        <v>3</v>
      </c>
      <c r="AB214">
        <v>0</v>
      </c>
    </row>
    <row r="215" spans="1:28">
      <c r="A215" s="6">
        <v>2018</v>
      </c>
      <c r="B215" s="6" t="s">
        <v>284</v>
      </c>
      <c r="C215" s="7" t="s">
        <v>285</v>
      </c>
      <c r="D215" s="10">
        <v>3906136917474</v>
      </c>
      <c r="E215" s="10">
        <v>413836506054</v>
      </c>
      <c r="F215" s="10">
        <v>5857570698119</v>
      </c>
      <c r="G215" s="10">
        <f t="shared" si="34"/>
        <v>778853385563</v>
      </c>
      <c r="H215" s="10">
        <v>896465230114</v>
      </c>
      <c r="I215" s="10">
        <v>1675318615677</v>
      </c>
      <c r="J215" s="10">
        <v>4182252082442</v>
      </c>
      <c r="K215" s="8">
        <v>48000000000</v>
      </c>
      <c r="L215" s="10">
        <v>7239754268263</v>
      </c>
      <c r="M215" s="10">
        <v>3796596070656</v>
      </c>
      <c r="N215" s="10">
        <f>2370738606721+1280358948</f>
        <v>2372018965669</v>
      </c>
      <c r="O215" s="10">
        <v>1044485235597</v>
      </c>
      <c r="P215" s="64">
        <v>389343686991</v>
      </c>
      <c r="Q215" s="51">
        <v>1490</v>
      </c>
      <c r="R215" s="51">
        <f t="shared" si="26"/>
        <v>5.0152403390407292</v>
      </c>
      <c r="S215" s="51">
        <f t="shared" si="27"/>
        <v>0.21434987954876158</v>
      </c>
      <c r="T215" s="51">
        <f t="shared" si="2"/>
        <v>0.17831372243315954</v>
      </c>
      <c r="U215" s="51">
        <f t="shared" si="3"/>
        <v>0.24974229554023661</v>
      </c>
      <c r="V215" s="51">
        <f t="shared" si="4"/>
        <v>0.14427081319261384</v>
      </c>
      <c r="W215" s="51">
        <f t="shared" si="23"/>
        <v>5.4438434981963083E-3</v>
      </c>
      <c r="X215" s="58">
        <f t="shared" si="28"/>
        <v>0.37276131219649217</v>
      </c>
      <c r="Y215" s="51">
        <f t="shared" si="24"/>
        <v>68.473921471107317</v>
      </c>
      <c r="Z215" s="51">
        <f t="shared" si="25"/>
        <v>17.100834332836236</v>
      </c>
      <c r="AA215" s="52">
        <v>3</v>
      </c>
      <c r="AB215">
        <v>0</v>
      </c>
    </row>
    <row r="216" spans="1:28">
      <c r="A216" s="6">
        <v>2019</v>
      </c>
      <c r="B216" s="6" t="s">
        <v>284</v>
      </c>
      <c r="C216" s="7" t="s">
        <v>285</v>
      </c>
      <c r="D216" s="10">
        <v>4369550647718</v>
      </c>
      <c r="E216" s="10">
        <v>471979028144</v>
      </c>
      <c r="F216" s="10">
        <v>6641808005145</v>
      </c>
      <c r="G216" s="10">
        <f t="shared" si="34"/>
        <v>783375432849</v>
      </c>
      <c r="H216" s="10">
        <v>1182131278030</v>
      </c>
      <c r="I216" s="10">
        <v>1965506710879</v>
      </c>
      <c r="J216" s="10">
        <v>4676301294266</v>
      </c>
      <c r="K216" s="8">
        <v>48000000000</v>
      </c>
      <c r="L216" s="10">
        <v>8142717045655</v>
      </c>
      <c r="M216" s="10">
        <v>4255626726811</v>
      </c>
      <c r="N216" s="10">
        <f>2724515688299+17528968515</f>
        <v>2742044656814</v>
      </c>
      <c r="O216" s="10">
        <v>990585488760</v>
      </c>
      <c r="P216" s="64">
        <v>483562258825</v>
      </c>
      <c r="Q216" s="51">
        <v>1495</v>
      </c>
      <c r="R216" s="51">
        <f t="shared" si="26"/>
        <v>5.5778499867256564</v>
      </c>
      <c r="S216" s="51">
        <f t="shared" si="27"/>
        <v>0.25279194039090447</v>
      </c>
      <c r="T216" s="51">
        <f t="shared" si="2"/>
        <v>0.14914395116399848</v>
      </c>
      <c r="U216" s="51">
        <f t="shared" si="3"/>
        <v>0.21183098060311872</v>
      </c>
      <c r="V216" s="51">
        <f t="shared" si="4"/>
        <v>0.12165294252593267</v>
      </c>
      <c r="W216" s="51">
        <f t="shared" si="23"/>
        <v>6.7386044986761425E-3</v>
      </c>
      <c r="X216" s="58">
        <f t="shared" si="28"/>
        <v>0.48815802806713426</v>
      </c>
      <c r="Y216" s="51">
        <f t="shared" si="24"/>
        <v>72.442006080492959</v>
      </c>
      <c r="Z216" s="51">
        <f t="shared" si="25"/>
        <v>15.34546118488791</v>
      </c>
      <c r="AA216" s="52">
        <v>3</v>
      </c>
      <c r="AB216">
        <v>0</v>
      </c>
    </row>
    <row r="217" spans="1:28">
      <c r="A217" s="6">
        <v>2020</v>
      </c>
      <c r="B217" s="6" t="s">
        <v>284</v>
      </c>
      <c r="C217" s="7" t="s">
        <v>285</v>
      </c>
      <c r="D217" s="10">
        <v>5034737166320</v>
      </c>
      <c r="E217" s="10">
        <v>511639035778</v>
      </c>
      <c r="F217" s="10">
        <v>7247063894294</v>
      </c>
      <c r="G217" s="10">
        <f t="shared" si="34"/>
        <v>844928054206</v>
      </c>
      <c r="H217" s="10">
        <v>1179893285690</v>
      </c>
      <c r="I217" s="10">
        <v>2024821339896</v>
      </c>
      <c r="J217" s="10">
        <v>5222242554398</v>
      </c>
      <c r="K217" s="8">
        <v>48000000000</v>
      </c>
      <c r="L217" s="10">
        <v>7412766872302</v>
      </c>
      <c r="M217" s="10">
        <v>3753585066580</v>
      </c>
      <c r="N217" s="9">
        <f>2806097154344+5423065820</f>
        <v>2811520220164</v>
      </c>
      <c r="O217" s="10">
        <v>833806976851</v>
      </c>
      <c r="P217" s="64">
        <v>309286244180</v>
      </c>
      <c r="Q217" s="51">
        <v>1715</v>
      </c>
      <c r="R217" s="51">
        <f t="shared" si="26"/>
        <v>5.9587761836731392</v>
      </c>
      <c r="S217" s="51">
        <f t="shared" si="27"/>
        <v>0.22593613249471395</v>
      </c>
      <c r="T217" s="51">
        <f t="shared" si="2"/>
        <v>0.11505445363983899</v>
      </c>
      <c r="U217" s="51">
        <f t="shared" si="3"/>
        <v>0.15966454414278314</v>
      </c>
      <c r="V217" s="51">
        <f t="shared" si="4"/>
        <v>0.11248255762184318</v>
      </c>
      <c r="W217" s="51">
        <f t="shared" si="23"/>
        <v>3.757121527939747E-3</v>
      </c>
      <c r="X217" s="58">
        <f t="shared" si="28"/>
        <v>0.37093266519316853</v>
      </c>
      <c r="Y217" s="51">
        <f t="shared" si="24"/>
        <v>98.727885812246512</v>
      </c>
      <c r="Z217" s="51">
        <f t="shared" si="25"/>
        <v>15.763342882393085</v>
      </c>
      <c r="AA217" s="52">
        <v>3</v>
      </c>
      <c r="AB217">
        <v>0</v>
      </c>
    </row>
    <row r="218" spans="1:28">
      <c r="A218" s="6">
        <v>2018</v>
      </c>
      <c r="B218" s="6" t="s">
        <v>288</v>
      </c>
      <c r="C218" s="7" t="s">
        <v>289</v>
      </c>
      <c r="D218" s="9">
        <v>940154000000</v>
      </c>
      <c r="E218" s="10">
        <v>2601811000000</v>
      </c>
      <c r="F218" s="10">
        <v>5207342000000</v>
      </c>
      <c r="G218" s="10">
        <f t="shared" si="34"/>
        <v>778970000000</v>
      </c>
      <c r="H218" s="10">
        <v>1389948000000</v>
      </c>
      <c r="I218" s="10">
        <v>2168918000000</v>
      </c>
      <c r="J218" s="10">
        <v>3038424000000</v>
      </c>
      <c r="K218" s="8">
        <v>35000000000</v>
      </c>
      <c r="L218" s="10">
        <v>801161000000</v>
      </c>
      <c r="M218" s="10">
        <v>398416000000</v>
      </c>
      <c r="N218" s="9">
        <f>216629000000+168708000000</f>
        <v>385337000000</v>
      </c>
      <c r="O218" s="10">
        <v>35637000000</v>
      </c>
      <c r="P218" s="64">
        <v>0</v>
      </c>
      <c r="Q218" s="51">
        <v>86</v>
      </c>
      <c r="R218" s="51">
        <f t="shared" si="26"/>
        <v>1.2069193935581601</v>
      </c>
      <c r="S218" s="51">
        <f t="shared" si="27"/>
        <v>0.4574568921256546</v>
      </c>
      <c r="T218" s="51">
        <f t="shared" si="2"/>
        <v>6.8436065847029062E-3</v>
      </c>
      <c r="U218" s="51">
        <f t="shared" si="3"/>
        <v>1.1728777813761344E-2</v>
      </c>
      <c r="V218" s="51">
        <f t="shared" si="4"/>
        <v>4.4481695938768863E-2</v>
      </c>
      <c r="W218" s="51">
        <f t="shared" si="23"/>
        <v>0</v>
      </c>
      <c r="X218" s="58">
        <f t="shared" si="28"/>
        <v>0</v>
      </c>
      <c r="Y218" s="51">
        <f t="shared" si="24"/>
        <v>84.462777450402669</v>
      </c>
      <c r="Z218" s="51">
        <f t="shared" si="25"/>
        <v>0.99064515024894484</v>
      </c>
      <c r="AA218" s="52">
        <v>3</v>
      </c>
      <c r="AB218">
        <v>0</v>
      </c>
    </row>
    <row r="219" spans="1:28">
      <c r="A219" s="6">
        <v>2019</v>
      </c>
      <c r="B219" s="6" t="s">
        <v>288</v>
      </c>
      <c r="C219" s="7" t="s">
        <v>289</v>
      </c>
      <c r="D219" s="9">
        <v>1285023000000</v>
      </c>
      <c r="E219" s="10">
        <v>2896487000000</v>
      </c>
      <c r="F219" s="10">
        <v>5729085000000</v>
      </c>
      <c r="G219" s="10">
        <f t="shared" si="34"/>
        <v>1255977000000</v>
      </c>
      <c r="H219" s="10">
        <v>1458216000000</v>
      </c>
      <c r="I219" s="10">
        <v>2714193000000</v>
      </c>
      <c r="J219" s="10">
        <v>3014892000000</v>
      </c>
      <c r="K219" s="8">
        <v>35000000000</v>
      </c>
      <c r="L219" s="10">
        <v>831777000000</v>
      </c>
      <c r="M219" s="10">
        <v>400255000000</v>
      </c>
      <c r="N219" s="9">
        <f>153353000000+230643000000</f>
        <v>383996000000</v>
      </c>
      <c r="O219" s="10">
        <v>8912000000</v>
      </c>
      <c r="P219" s="64">
        <v>0</v>
      </c>
      <c r="Q219" s="51">
        <v>73</v>
      </c>
      <c r="R219" s="51">
        <f t="shared" si="26"/>
        <v>1.0231262196680353</v>
      </c>
      <c r="S219" s="51">
        <f t="shared" si="27"/>
        <v>0.48367105687367906</v>
      </c>
      <c r="T219" s="51">
        <f t="shared" si="2"/>
        <v>1.5555712648703938E-3</v>
      </c>
      <c r="U219" s="51">
        <f t="shared" si="3"/>
        <v>2.9559931168346991E-3</v>
      </c>
      <c r="V219" s="51">
        <f t="shared" si="4"/>
        <v>1.0714410232550311E-2</v>
      </c>
      <c r="W219" s="51">
        <f t="shared" si="23"/>
        <v>0</v>
      </c>
      <c r="X219" s="58">
        <f t="shared" si="28"/>
        <v>0</v>
      </c>
      <c r="Y219" s="51">
        <f t="shared" si="24"/>
        <v>286.69210053859962</v>
      </c>
      <c r="Z219" s="51">
        <f t="shared" si="25"/>
        <v>0.84745987584298221</v>
      </c>
      <c r="AA219" s="52">
        <v>3</v>
      </c>
      <c r="AB219">
        <v>0</v>
      </c>
    </row>
    <row r="220" spans="1:28">
      <c r="A220" s="6">
        <v>2020</v>
      </c>
      <c r="B220" s="6" t="s">
        <v>288</v>
      </c>
      <c r="C220" s="7" t="s">
        <v>289</v>
      </c>
      <c r="D220" s="9">
        <v>1116644000000</v>
      </c>
      <c r="E220" s="10">
        <v>4540432000000</v>
      </c>
      <c r="F220" s="10">
        <v>7629153000000</v>
      </c>
      <c r="G220" s="10">
        <f t="shared" si="34"/>
        <v>4983388000000</v>
      </c>
      <c r="H220" s="10">
        <v>174026000000</v>
      </c>
      <c r="I220" s="9">
        <v>5157414000000</v>
      </c>
      <c r="J220" s="10">
        <v>2471739000000</v>
      </c>
      <c r="K220" s="8">
        <v>35000000000</v>
      </c>
      <c r="L220" s="10">
        <v>1096044000000</v>
      </c>
      <c r="M220" s="10">
        <v>518577000000</v>
      </c>
      <c r="N220" s="9">
        <f>512197000000+495354000000</f>
        <v>1007551000000</v>
      </c>
      <c r="O220" s="10">
        <v>-509181000000</v>
      </c>
      <c r="P220" s="64">
        <v>0</v>
      </c>
      <c r="Q220" s="51">
        <v>142</v>
      </c>
      <c r="R220" s="51">
        <f t="shared" si="26"/>
        <v>0.22407326100235422</v>
      </c>
      <c r="S220" s="51">
        <f t="shared" si="27"/>
        <v>7.0406300988898912E-2</v>
      </c>
      <c r="T220" s="51">
        <f t="shared" si="2"/>
        <v>-6.6741484932862138E-2</v>
      </c>
      <c r="U220" s="51">
        <f t="shared" si="3"/>
        <v>-0.20600111905019097</v>
      </c>
      <c r="V220" s="51">
        <f t="shared" si="4"/>
        <v>-0.46456255405804875</v>
      </c>
      <c r="W220" s="51">
        <f t="shared" si="23"/>
        <v>0</v>
      </c>
      <c r="X220" s="58">
        <f t="shared" si="28"/>
        <v>0</v>
      </c>
      <c r="Y220" s="51">
        <f t="shared" si="24"/>
        <v>-9.760772691832571</v>
      </c>
      <c r="Z220" s="51">
        <f t="shared" si="25"/>
        <v>2.0107300973120545</v>
      </c>
      <c r="AA220" s="52">
        <v>3</v>
      </c>
      <c r="AB220">
        <v>0</v>
      </c>
    </row>
    <row r="221" spans="1:28">
      <c r="A221" s="6">
        <v>2018</v>
      </c>
      <c r="B221" s="6" t="s">
        <v>290</v>
      </c>
      <c r="C221" s="7" t="s">
        <v>291</v>
      </c>
      <c r="D221" s="9">
        <v>752676010865</v>
      </c>
      <c r="E221" s="10">
        <v>595947250015</v>
      </c>
      <c r="F221" s="10">
        <v>1751622687179</v>
      </c>
      <c r="G221" s="10">
        <f t="shared" si="34"/>
        <v>353191107837</v>
      </c>
      <c r="H221" s="10">
        <v>51884263504</v>
      </c>
      <c r="I221" s="10">
        <v>405075371341</v>
      </c>
      <c r="J221" s="10">
        <v>1346547315838</v>
      </c>
      <c r="K221" s="8">
        <v>1334333000</v>
      </c>
      <c r="L221" s="10">
        <v>2003208506432</v>
      </c>
      <c r="M221" s="10">
        <v>1680758856692</v>
      </c>
      <c r="N221" s="9">
        <v>311685274501</v>
      </c>
      <c r="O221" s="10">
        <v>9325792298</v>
      </c>
      <c r="P221" s="64">
        <v>0</v>
      </c>
      <c r="Q221" s="51">
        <v>1130</v>
      </c>
      <c r="R221" s="51">
        <f t="shared" si="26"/>
        <v>2.1310729352007494</v>
      </c>
      <c r="S221" s="51">
        <f t="shared" si="27"/>
        <v>3.8531333354380304E-2</v>
      </c>
      <c r="T221" s="51">
        <f t="shared" si="2"/>
        <v>5.3240874112102593E-3</v>
      </c>
      <c r="U221" s="51">
        <f t="shared" si="3"/>
        <v>6.925707094218414E-3</v>
      </c>
      <c r="V221" s="51">
        <f t="shared" si="4"/>
        <v>4.6554276641978549E-3</v>
      </c>
      <c r="W221" s="51">
        <f t="shared" si="23"/>
        <v>0</v>
      </c>
      <c r="X221" s="58">
        <f t="shared" si="28"/>
        <v>0</v>
      </c>
      <c r="Y221" s="51">
        <f t="shared" si="24"/>
        <v>161.6802349676349</v>
      </c>
      <c r="Z221" s="51">
        <f t="shared" si="25"/>
        <v>1.1197499503102493</v>
      </c>
      <c r="AA221" s="52">
        <v>3</v>
      </c>
      <c r="AB221">
        <v>0</v>
      </c>
    </row>
    <row r="222" spans="1:28">
      <c r="A222" s="6">
        <v>2019</v>
      </c>
      <c r="B222" s="6" t="s">
        <v>290</v>
      </c>
      <c r="C222" s="7" t="s">
        <v>291</v>
      </c>
      <c r="D222" s="9">
        <v>831937034323</v>
      </c>
      <c r="E222" s="10">
        <v>635301490253</v>
      </c>
      <c r="F222" s="10">
        <v>1845324374750</v>
      </c>
      <c r="G222" s="10">
        <f t="shared" si="34"/>
        <v>399844207730</v>
      </c>
      <c r="H222" s="10">
        <v>65484325206</v>
      </c>
      <c r="I222" s="10">
        <v>465328532936</v>
      </c>
      <c r="J222" s="10">
        <v>1379995841814</v>
      </c>
      <c r="K222" s="8">
        <v>1334333000</v>
      </c>
      <c r="L222" s="10">
        <v>1978631967708</v>
      </c>
      <c r="M222" s="10">
        <v>1631941216390</v>
      </c>
      <c r="N222" s="9">
        <v>336739921456</v>
      </c>
      <c r="O222" s="10">
        <v>33269247689</v>
      </c>
      <c r="P222" s="64">
        <v>0</v>
      </c>
      <c r="Q222" s="51">
        <v>1010</v>
      </c>
      <c r="R222" s="51">
        <f t="shared" si="26"/>
        <v>2.0806529599267729</v>
      </c>
      <c r="S222" s="51">
        <f t="shared" si="27"/>
        <v>4.7452552552564989E-2</v>
      </c>
      <c r="T222" s="51">
        <f t="shared" si="2"/>
        <v>1.8028942848331061E-2</v>
      </c>
      <c r="U222" s="51">
        <f t="shared" si="3"/>
        <v>2.4108223141649242E-2</v>
      </c>
      <c r="V222" s="51">
        <f t="shared" si="4"/>
        <v>1.6814267752652507E-2</v>
      </c>
      <c r="W222" s="51">
        <f t="shared" si="23"/>
        <v>0</v>
      </c>
      <c r="X222" s="58">
        <f t="shared" si="28"/>
        <v>0</v>
      </c>
      <c r="Y222" s="51">
        <f t="shared" si="24"/>
        <v>40.508169664611621</v>
      </c>
      <c r="Z222" s="51">
        <f t="shared" si="25"/>
        <v>0.97657999333424361</v>
      </c>
      <c r="AA222" s="52">
        <v>3</v>
      </c>
      <c r="AB222">
        <v>0</v>
      </c>
    </row>
    <row r="223" spans="1:28">
      <c r="A223" s="6">
        <v>2020</v>
      </c>
      <c r="B223" s="6" t="s">
        <v>290</v>
      </c>
      <c r="C223" s="7" t="s">
        <v>291</v>
      </c>
      <c r="D223" s="9">
        <v>953327437749</v>
      </c>
      <c r="E223" s="10">
        <v>649791168201</v>
      </c>
      <c r="F223" s="10">
        <v>1730596456562</v>
      </c>
      <c r="G223" s="10">
        <f t="shared" si="34"/>
        <v>397514035472</v>
      </c>
      <c r="H223" s="10">
        <v>80268968169</v>
      </c>
      <c r="I223" s="10">
        <v>477783003641</v>
      </c>
      <c r="J223" s="10">
        <v>1252813452921</v>
      </c>
      <c r="K223" s="8">
        <v>1334333000</v>
      </c>
      <c r="L223" s="10">
        <v>1618490505399</v>
      </c>
      <c r="M223" s="10">
        <v>1340438220353</v>
      </c>
      <c r="N223" s="9">
        <f>307355207331+3439979352+725615310</f>
        <v>311520801993</v>
      </c>
      <c r="O223" s="10">
        <v>-20502166781</v>
      </c>
      <c r="P223" s="64">
        <v>0</v>
      </c>
      <c r="Q223" s="51">
        <v>655</v>
      </c>
      <c r="R223" s="51">
        <f t="shared" si="26"/>
        <v>2.3982233397546291</v>
      </c>
      <c r="S223" s="51">
        <f t="shared" si="27"/>
        <v>6.4070966018004286E-2</v>
      </c>
      <c r="T223" s="51">
        <f t="shared" si="2"/>
        <v>-1.1846878978204757E-2</v>
      </c>
      <c r="U223" s="51">
        <f t="shared" si="3"/>
        <v>-1.6364899924404649E-2</v>
      </c>
      <c r="V223" s="51">
        <f t="shared" si="4"/>
        <v>-1.2667461880442531E-2</v>
      </c>
      <c r="W223" s="51">
        <f t="shared" si="23"/>
        <v>0</v>
      </c>
      <c r="X223" s="58">
        <f t="shared" si="28"/>
        <v>0</v>
      </c>
      <c r="Y223" s="51">
        <f t="shared" si="24"/>
        <v>-42.629060837118551</v>
      </c>
      <c r="Z223" s="51">
        <f t="shared" si="25"/>
        <v>0.69762031447080264</v>
      </c>
      <c r="AA223" s="52">
        <v>3</v>
      </c>
      <c r="AB223">
        <v>0</v>
      </c>
    </row>
    <row r="224" spans="1:28">
      <c r="A224" s="6">
        <v>2018</v>
      </c>
      <c r="B224" s="6" t="s">
        <v>292</v>
      </c>
      <c r="C224" s="7" t="s">
        <v>293</v>
      </c>
      <c r="D224" s="9">
        <v>10053691913000</v>
      </c>
      <c r="E224" s="10">
        <v>553675716000</v>
      </c>
      <c r="F224" s="10">
        <v>12682902626000</v>
      </c>
      <c r="G224" s="10">
        <f t="shared" si="34"/>
        <v>7740591920000</v>
      </c>
      <c r="H224" s="10">
        <v>116692469000</v>
      </c>
      <c r="I224" s="10">
        <v>7857284389000</v>
      </c>
      <c r="J224" s="10">
        <v>4825618237000</v>
      </c>
      <c r="K224" s="8">
        <v>7800000000</v>
      </c>
      <c r="L224" s="10">
        <v>34744177481000</v>
      </c>
      <c r="M224" s="10">
        <v>31574695864000</v>
      </c>
      <c r="N224" s="9">
        <f>1080320007000+771635051000+6170369000</f>
        <v>1858125427000</v>
      </c>
      <c r="O224" s="10">
        <v>889340783000</v>
      </c>
      <c r="P224" s="64">
        <v>110200000</v>
      </c>
      <c r="Q224" s="51">
        <v>2200</v>
      </c>
      <c r="R224" s="51">
        <f t="shared" si="26"/>
        <v>1.2988272753435632</v>
      </c>
      <c r="S224" s="51">
        <f t="shared" si="27"/>
        <v>2.4181869196628701E-2</v>
      </c>
      <c r="T224" s="51">
        <f t="shared" si="2"/>
        <v>7.0121234012855069E-2</v>
      </c>
      <c r="U224" s="51">
        <f t="shared" si="3"/>
        <v>0.18429571908135178</v>
      </c>
      <c r="V224" s="51">
        <f t="shared" si="4"/>
        <v>2.5596829382026377E-2</v>
      </c>
      <c r="W224" s="51">
        <f t="shared" si="23"/>
        <v>6.421911421911422E-6</v>
      </c>
      <c r="X224" s="58">
        <f t="shared" si="28"/>
        <v>1.2391200550621774E-4</v>
      </c>
      <c r="Y224" s="51">
        <f t="shared" si="24"/>
        <v>19.295190694071657</v>
      </c>
      <c r="Z224" s="51">
        <f t="shared" si="25"/>
        <v>3.5560210437757429</v>
      </c>
      <c r="AA224" s="52">
        <v>3</v>
      </c>
      <c r="AB224">
        <v>0</v>
      </c>
    </row>
    <row r="225" spans="1:28">
      <c r="A225" s="6">
        <v>2019</v>
      </c>
      <c r="B225" s="6" t="s">
        <v>292</v>
      </c>
      <c r="C225" s="7" t="s">
        <v>293</v>
      </c>
      <c r="D225" s="9">
        <v>6944525743000</v>
      </c>
      <c r="E225" s="10">
        <v>614540334000</v>
      </c>
      <c r="F225" s="10">
        <v>9747703198000</v>
      </c>
      <c r="G225" s="10">
        <f t="shared" si="34"/>
        <v>4615531135000</v>
      </c>
      <c r="H225" s="10">
        <v>153455511000</v>
      </c>
      <c r="I225" s="10">
        <v>4768986646000</v>
      </c>
      <c r="J225" s="10">
        <v>4978716552000</v>
      </c>
      <c r="K225" s="8">
        <v>7800000000</v>
      </c>
      <c r="L225" s="10">
        <v>32944902671000</v>
      </c>
      <c r="M225" s="10">
        <v>30095879138000</v>
      </c>
      <c r="N225" s="9">
        <f>1363502575000+972931223000+7228447000</f>
        <v>2343662245000</v>
      </c>
      <c r="O225" s="10">
        <v>325583191000</v>
      </c>
      <c r="P225" s="64">
        <v>159500000</v>
      </c>
      <c r="Q225" s="51">
        <v>1795</v>
      </c>
      <c r="R225" s="51">
        <f t="shared" si="26"/>
        <v>1.5045994794269761</v>
      </c>
      <c r="S225" s="51">
        <f t="shared" si="27"/>
        <v>3.0822303177383215E-2</v>
      </c>
      <c r="T225" s="51">
        <f t="shared" si="2"/>
        <v>3.3401016053381888E-2</v>
      </c>
      <c r="U225" s="51">
        <f t="shared" si="3"/>
        <v>6.5395004435271575E-2</v>
      </c>
      <c r="V225" s="51">
        <f t="shared" si="4"/>
        <v>9.8826575464919207E-3</v>
      </c>
      <c r="W225" s="51">
        <f t="shared" si="23"/>
        <v>1.1392043425469609E-5</v>
      </c>
      <c r="X225" s="58">
        <f t="shared" si="28"/>
        <v>4.8989015529367428E-4</v>
      </c>
      <c r="Y225" s="51">
        <f t="shared" si="24"/>
        <v>43.002834258725599</v>
      </c>
      <c r="Z225" s="51">
        <f t="shared" si="25"/>
        <v>2.8121705370786088</v>
      </c>
      <c r="AA225" s="52">
        <v>3</v>
      </c>
      <c r="AB225">
        <v>0</v>
      </c>
    </row>
    <row r="226" spans="1:28">
      <c r="A226" s="6">
        <v>2020</v>
      </c>
      <c r="B226" s="6" t="s">
        <v>292</v>
      </c>
      <c r="C226" s="7" t="s">
        <v>293</v>
      </c>
      <c r="D226" s="9">
        <v>7546995255000</v>
      </c>
      <c r="E226" s="10">
        <v>716457366000</v>
      </c>
      <c r="F226" s="10">
        <v>11211369042000</v>
      </c>
      <c r="G226" s="10">
        <f t="shared" si="34"/>
        <v>5142950705000</v>
      </c>
      <c r="H226" s="10">
        <v>380422147000</v>
      </c>
      <c r="I226" s="10">
        <v>5523372852000</v>
      </c>
      <c r="J226" s="10">
        <v>5687996190000</v>
      </c>
      <c r="K226" s="8">
        <v>7800000000</v>
      </c>
      <c r="L226" s="10">
        <v>34113454845000</v>
      </c>
      <c r="M226" s="10">
        <v>30703442235000</v>
      </c>
      <c r="N226" s="9">
        <f>1473722276000+1078462146000+47152494000</f>
        <v>2599336916000</v>
      </c>
      <c r="O226" s="10">
        <v>671172137000</v>
      </c>
      <c r="P226" s="64">
        <v>0</v>
      </c>
      <c r="Q226" s="51">
        <v>2200</v>
      </c>
      <c r="R226" s="51">
        <f t="shared" si="26"/>
        <v>1.4674446028935835</v>
      </c>
      <c r="S226" s="51">
        <f t="shared" si="27"/>
        <v>6.6881575565893622E-2</v>
      </c>
      <c r="T226" s="51">
        <f t="shared" si="2"/>
        <v>5.9865314796583427E-2</v>
      </c>
      <c r="U226" s="51">
        <f t="shared" si="3"/>
        <v>0.11799799341989363</v>
      </c>
      <c r="V226" s="51">
        <f t="shared" si="4"/>
        <v>1.9674704308009234E-2</v>
      </c>
      <c r="W226" s="51">
        <f t="shared" si="23"/>
        <v>0</v>
      </c>
      <c r="X226" s="58">
        <f t="shared" si="28"/>
        <v>0</v>
      </c>
      <c r="Y226" s="51">
        <f t="shared" si="24"/>
        <v>25.567211530415484</v>
      </c>
      <c r="Z226" s="51">
        <f t="shared" si="25"/>
        <v>3.0168796579309949</v>
      </c>
      <c r="AA226" s="52">
        <v>3</v>
      </c>
      <c r="AB226">
        <v>0</v>
      </c>
    </row>
    <row r="227" spans="1:28">
      <c r="A227" s="6">
        <v>2018</v>
      </c>
      <c r="B227" s="6" t="s">
        <v>294</v>
      </c>
      <c r="C227" s="7" t="s">
        <v>295</v>
      </c>
      <c r="D227" s="9">
        <v>22136300869</v>
      </c>
      <c r="E227" s="10">
        <v>2809271072</v>
      </c>
      <c r="F227" s="10">
        <v>37180128513</v>
      </c>
      <c r="G227" s="10">
        <f t="shared" si="34"/>
        <v>258420563998</v>
      </c>
      <c r="H227" s="10">
        <v>484071843890</v>
      </c>
      <c r="I227" s="10">
        <v>742492407888</v>
      </c>
      <c r="J227" s="10">
        <v>-705312279375</v>
      </c>
      <c r="K227" s="13">
        <v>4000000000</v>
      </c>
      <c r="L227" s="10">
        <v>514434171115</v>
      </c>
      <c r="M227" s="10">
        <v>479607062647</v>
      </c>
      <c r="N227" s="10">
        <f>24087854625+12622132656</f>
        <v>36709987281</v>
      </c>
      <c r="O227" s="9">
        <v>-21385174417</v>
      </c>
      <c r="P227" s="64">
        <v>0</v>
      </c>
      <c r="Q227" s="51">
        <v>324</v>
      </c>
      <c r="R227" s="51">
        <f t="shared" si="26"/>
        <v>8.5659982032897819E-2</v>
      </c>
      <c r="S227" s="51">
        <f t="shared" si="27"/>
        <v>-0.68632272263705896</v>
      </c>
      <c r="T227" s="51">
        <f t="shared" si="2"/>
        <v>-0.57517752821975032</v>
      </c>
      <c r="U227" s="51">
        <f t="shared" si="3"/>
        <v>3.0320150438824196E-2</v>
      </c>
      <c r="V227" s="51">
        <f t="shared" si="4"/>
        <v>-4.1570283658741283E-2</v>
      </c>
      <c r="W227" s="51">
        <f t="shared" si="23"/>
        <v>0</v>
      </c>
      <c r="X227" s="58">
        <f t="shared" si="28"/>
        <v>0</v>
      </c>
      <c r="Y227" s="51">
        <f t="shared" si="24"/>
        <v>-60.602732282125018</v>
      </c>
      <c r="Z227" s="51">
        <f t="shared" si="25"/>
        <v>-1.8374839597978181</v>
      </c>
      <c r="AA227" s="52">
        <v>3</v>
      </c>
      <c r="AB227">
        <v>0</v>
      </c>
    </row>
    <row r="228" spans="1:28">
      <c r="A228" s="6">
        <v>2019</v>
      </c>
      <c r="B228" s="6" t="s">
        <v>294</v>
      </c>
      <c r="C228" s="7" t="s">
        <v>295</v>
      </c>
      <c r="D228" s="9">
        <v>6415449405</v>
      </c>
      <c r="E228" s="10">
        <v>1350165824</v>
      </c>
      <c r="F228" s="10">
        <v>8278414392</v>
      </c>
      <c r="G228" s="10">
        <f t="shared" si="34"/>
        <v>300809467631</v>
      </c>
      <c r="H228" s="10">
        <v>452441152549</v>
      </c>
      <c r="I228" s="10">
        <v>753250620180</v>
      </c>
      <c r="J228" s="10">
        <v>-744972205788</v>
      </c>
      <c r="K228" s="13">
        <v>4000000000</v>
      </c>
      <c r="L228" s="10">
        <v>238615469362</v>
      </c>
      <c r="M228" s="10">
        <v>227423967638</v>
      </c>
      <c r="N228" s="10">
        <f>13753763369+5491231060</f>
        <v>19244994429</v>
      </c>
      <c r="O228" s="10">
        <v>-39725601460</v>
      </c>
      <c r="P228" s="64">
        <v>0</v>
      </c>
      <c r="Q228" s="51">
        <v>382</v>
      </c>
      <c r="R228" s="51">
        <f t="shared" si="26"/>
        <v>2.1327285525699506E-2</v>
      </c>
      <c r="S228" s="51">
        <f t="shared" si="27"/>
        <v>-0.60732621839284184</v>
      </c>
      <c r="T228" s="51">
        <f t="shared" si="2"/>
        <v>-4.798696897607539</v>
      </c>
      <c r="U228" s="51">
        <f t="shared" si="3"/>
        <v>5.3324944409140665E-2</v>
      </c>
      <c r="V228" s="51">
        <f t="shared" si="4"/>
        <v>-0.16648376388260427</v>
      </c>
      <c r="W228" s="51">
        <f t="shared" si="23"/>
        <v>0</v>
      </c>
      <c r="X228" s="58">
        <f t="shared" si="28"/>
        <v>0</v>
      </c>
      <c r="Y228" s="51">
        <f t="shared" si="24"/>
        <v>-38.46386068033619</v>
      </c>
      <c r="Z228" s="51">
        <f t="shared" si="25"/>
        <v>-2.0510832325398587</v>
      </c>
      <c r="AA228" s="52">
        <v>3</v>
      </c>
      <c r="AB228">
        <v>0</v>
      </c>
    </row>
    <row r="229" spans="1:28">
      <c r="A229" s="6">
        <v>2020</v>
      </c>
      <c r="B229" s="6" t="s">
        <v>294</v>
      </c>
      <c r="C229" s="7" t="s">
        <v>295</v>
      </c>
      <c r="D229" s="9">
        <v>8968497949</v>
      </c>
      <c r="E229" s="10">
        <v>777340368</v>
      </c>
      <c r="F229" s="10">
        <v>10616363611</v>
      </c>
      <c r="G229" s="10">
        <f t="shared" si="34"/>
        <v>408738803147</v>
      </c>
      <c r="H229" s="10">
        <v>397440428209</v>
      </c>
      <c r="I229" s="10">
        <v>806179231356</v>
      </c>
      <c r="J229" s="10">
        <v>-795562867745</v>
      </c>
      <c r="K229" s="13">
        <v>4000000000</v>
      </c>
      <c r="L229" s="10">
        <v>30671505593</v>
      </c>
      <c r="M229" s="10">
        <v>28603624638</v>
      </c>
      <c r="N229" s="10">
        <f>3843034228+4417158562</f>
        <v>8260192790</v>
      </c>
      <c r="O229" s="9">
        <v>-50608122770</v>
      </c>
      <c r="P229" s="64">
        <v>0</v>
      </c>
      <c r="Q229" s="51">
        <v>109</v>
      </c>
      <c r="R229" s="51">
        <f t="shared" si="26"/>
        <v>2.1941880437944483E-2</v>
      </c>
      <c r="S229" s="51">
        <f t="shared" si="27"/>
        <v>-0.49957136553586701</v>
      </c>
      <c r="T229" s="51">
        <f t="shared" si="2"/>
        <v>-4.7669922229833093</v>
      </c>
      <c r="U229" s="51">
        <f t="shared" si="3"/>
        <v>6.3612977455128422E-2</v>
      </c>
      <c r="V229" s="51">
        <f t="shared" si="4"/>
        <v>-1.6500045169465052</v>
      </c>
      <c r="W229" s="51">
        <f t="shared" si="23"/>
        <v>0</v>
      </c>
      <c r="X229" s="58">
        <f t="shared" si="28"/>
        <v>0</v>
      </c>
      <c r="Y229" s="51">
        <f t="shared" si="24"/>
        <v>-8.6152177977732958</v>
      </c>
      <c r="Z229" s="51">
        <f t="shared" si="25"/>
        <v>-0.54803965554077383</v>
      </c>
      <c r="AA229" s="52">
        <v>3</v>
      </c>
      <c r="AB229">
        <v>0</v>
      </c>
    </row>
    <row r="230" spans="1:28">
      <c r="A230" s="6">
        <v>2018</v>
      </c>
      <c r="B230" s="82" t="s">
        <v>296</v>
      </c>
      <c r="C230" s="7" t="s">
        <v>297</v>
      </c>
      <c r="D230" s="9">
        <v>2845304000000</v>
      </c>
      <c r="E230" s="10">
        <v>2782800000000</v>
      </c>
      <c r="F230" s="10">
        <v>6271858000000</v>
      </c>
      <c r="G230" s="10">
        <f t="shared" si="34"/>
        <v>2167159000000</v>
      </c>
      <c r="H230" s="10">
        <v>163211000000</v>
      </c>
      <c r="I230" s="10">
        <v>2330370000000</v>
      </c>
      <c r="J230" s="10">
        <v>3941488000000</v>
      </c>
      <c r="K230" s="13">
        <v>9000000000</v>
      </c>
      <c r="L230" s="10">
        <v>12970389000000</v>
      </c>
      <c r="M230" s="10">
        <v>9275890000000</v>
      </c>
      <c r="N230" s="10">
        <f>3844363000000+1380487000000</f>
        <v>5224850000000</v>
      </c>
      <c r="O230" s="9">
        <v>-1250189000000</v>
      </c>
      <c r="P230" s="64">
        <v>0</v>
      </c>
      <c r="Q230" s="51">
        <v>790</v>
      </c>
      <c r="R230" s="51">
        <f t="shared" si="26"/>
        <v>1.3129188951987372</v>
      </c>
      <c r="S230" s="51">
        <f t="shared" si="27"/>
        <v>4.1408473145167511E-2</v>
      </c>
      <c r="T230" s="51">
        <f t="shared" si="2"/>
        <v>-0.19933311627909944</v>
      </c>
      <c r="U230" s="51">
        <f t="shared" si="3"/>
        <v>-0.31718706234802696</v>
      </c>
      <c r="V230" s="51">
        <f t="shared" si="4"/>
        <v>-9.6387934085862811E-2</v>
      </c>
      <c r="W230" s="51">
        <f t="shared" si="23"/>
        <v>0</v>
      </c>
      <c r="X230" s="58">
        <f t="shared" si="28"/>
        <v>0</v>
      </c>
      <c r="Y230" s="51">
        <f t="shared" si="24"/>
        <v>-5.687140104416212</v>
      </c>
      <c r="Z230" s="51">
        <f t="shared" si="25"/>
        <v>1.8038872628814295</v>
      </c>
      <c r="AA230" s="52">
        <v>3</v>
      </c>
      <c r="AB230">
        <v>0</v>
      </c>
    </row>
    <row r="231" spans="1:28">
      <c r="A231" s="6">
        <v>2019</v>
      </c>
      <c r="B231" s="82" t="s">
        <v>296</v>
      </c>
      <c r="C231" s="7" t="s">
        <v>297</v>
      </c>
      <c r="D231" s="9">
        <v>2417001000000</v>
      </c>
      <c r="E231" s="10">
        <v>2782800000000</v>
      </c>
      <c r="F231" s="10">
        <v>6054384000000</v>
      </c>
      <c r="G231" s="10">
        <f t="shared" si="34"/>
        <v>2261663000000</v>
      </c>
      <c r="H231" s="10">
        <v>126159000000</v>
      </c>
      <c r="I231" s="9">
        <v>2387822000000</v>
      </c>
      <c r="J231" s="10">
        <v>3666562000000</v>
      </c>
      <c r="K231" s="13">
        <v>9000000000</v>
      </c>
      <c r="L231" s="10">
        <v>12181025000000</v>
      </c>
      <c r="M231" s="10">
        <v>8733377000000</v>
      </c>
      <c r="N231" s="10">
        <f>3488590000000+239351000000</f>
        <v>3727941000000</v>
      </c>
      <c r="O231" s="10">
        <v>-28216000000</v>
      </c>
      <c r="P231" s="64">
        <v>0</v>
      </c>
      <c r="Q231" s="51">
        <v>890</v>
      </c>
      <c r="R231" s="51">
        <f t="shared" si="26"/>
        <v>1.0686830885061125</v>
      </c>
      <c r="S231" s="51">
        <f t="shared" si="27"/>
        <v>3.4407982191491646E-2</v>
      </c>
      <c r="T231" s="51">
        <f t="shared" si="2"/>
        <v>-4.6604245782890545E-3</v>
      </c>
      <c r="U231" s="51">
        <f t="shared" si="3"/>
        <v>-7.6954923986011963E-3</v>
      </c>
      <c r="V231" s="51">
        <f t="shared" si="4"/>
        <v>-2.3163896305934844E-3</v>
      </c>
      <c r="W231" s="51">
        <f t="shared" si="23"/>
        <v>0</v>
      </c>
      <c r="X231" s="58">
        <f t="shared" si="28"/>
        <v>0</v>
      </c>
      <c r="Y231" s="74">
        <f t="shared" si="24"/>
        <v>-283.88148568188262</v>
      </c>
      <c r="Z231" s="74">
        <f t="shared" si="25"/>
        <v>2.1846078151685422</v>
      </c>
      <c r="AA231" s="52">
        <v>3</v>
      </c>
      <c r="AB231">
        <v>0</v>
      </c>
    </row>
    <row r="232" spans="1:28">
      <c r="A232" s="6">
        <v>2020</v>
      </c>
      <c r="B232" s="82" t="s">
        <v>296</v>
      </c>
      <c r="C232" s="7" t="s">
        <v>297</v>
      </c>
      <c r="D232" s="9">
        <v>1540143000000</v>
      </c>
      <c r="E232" s="10">
        <v>2933236000000</v>
      </c>
      <c r="F232" s="10">
        <v>4838417000000</v>
      </c>
      <c r="G232" s="10">
        <f t="shared" si="34"/>
        <v>2278042000000</v>
      </c>
      <c r="H232" s="10">
        <v>705687000000</v>
      </c>
      <c r="I232" s="10">
        <v>2983729000000</v>
      </c>
      <c r="J232" s="10">
        <v>1854688000000</v>
      </c>
      <c r="K232" s="13">
        <v>9000000000</v>
      </c>
      <c r="L232" s="10">
        <v>8893785000000</v>
      </c>
      <c r="M232" s="10">
        <v>6493920000000</v>
      </c>
      <c r="N232" s="10">
        <f>3554440000000</f>
        <v>3554440000000</v>
      </c>
      <c r="O232" s="10">
        <v>-1214602000000</v>
      </c>
      <c r="P232" s="64">
        <v>0</v>
      </c>
      <c r="Q232" s="51">
        <v>830</v>
      </c>
      <c r="R232" s="51">
        <f t="shared" si="26"/>
        <v>0.67608191596116318</v>
      </c>
      <c r="S232" s="51">
        <f t="shared" si="27"/>
        <v>0.38048825462827168</v>
      </c>
      <c r="T232" s="51">
        <f t="shared" si="2"/>
        <v>-0.25103293081187505</v>
      </c>
      <c r="U232" s="51">
        <f t="shared" si="3"/>
        <v>-0.65488211494332205</v>
      </c>
      <c r="V232" s="51">
        <f t="shared" si="4"/>
        <v>-0.13656750191285263</v>
      </c>
      <c r="W232" s="51">
        <f t="shared" si="23"/>
        <v>0</v>
      </c>
      <c r="X232" s="58">
        <f t="shared" si="28"/>
        <v>0</v>
      </c>
      <c r="Y232" s="51">
        <f t="shared" si="24"/>
        <v>-6.1501627693680732</v>
      </c>
      <c r="Z232" s="51">
        <f t="shared" si="25"/>
        <v>4.0276316016494418</v>
      </c>
      <c r="AA232" s="52">
        <v>3</v>
      </c>
      <c r="AB232">
        <v>0</v>
      </c>
    </row>
    <row r="233" spans="1:28">
      <c r="A233" s="6">
        <v>2018</v>
      </c>
      <c r="B233" s="6" t="s">
        <v>298</v>
      </c>
      <c r="C233" s="7" t="s">
        <v>299</v>
      </c>
      <c r="D233" s="9">
        <v>803042816102</v>
      </c>
      <c r="E233" s="10">
        <v>23434425176</v>
      </c>
      <c r="F233" s="10">
        <v>855572807455</v>
      </c>
      <c r="G233" s="10">
        <f t="shared" si="34"/>
        <v>734503822439</v>
      </c>
      <c r="H233" s="10">
        <v>17989355076</v>
      </c>
      <c r="I233" s="10">
        <v>752493177515</v>
      </c>
      <c r="J233" s="10">
        <v>103079629940</v>
      </c>
      <c r="K233" s="8">
        <v>2400000000</v>
      </c>
      <c r="L233" s="10">
        <v>1750649236912</v>
      </c>
      <c r="M233" s="10">
        <v>1506613211796</v>
      </c>
      <c r="N233" s="10">
        <f>154436007434+91582145434+3045332990</f>
        <v>249063485858</v>
      </c>
      <c r="O233" s="10">
        <v>-9993012908</v>
      </c>
      <c r="P233" s="64">
        <v>0</v>
      </c>
      <c r="Q233" s="51">
        <v>232</v>
      </c>
      <c r="R233" s="51">
        <f t="shared" si="26"/>
        <v>1.0933133246814275</v>
      </c>
      <c r="S233" s="51">
        <f t="shared" si="27"/>
        <v>0.17451901104487028</v>
      </c>
      <c r="T233" s="51">
        <f t="shared" si="2"/>
        <v>-1.1679909437193743E-2</v>
      </c>
      <c r="U233" s="51">
        <f t="shared" si="3"/>
        <v>-9.694459432786745E-2</v>
      </c>
      <c r="V233" s="51">
        <f t="shared" si="4"/>
        <v>-5.708175399902979E-3</v>
      </c>
      <c r="W233" s="51">
        <f t="shared" si="23"/>
        <v>0</v>
      </c>
      <c r="X233" s="58">
        <f t="shared" si="28"/>
        <v>0</v>
      </c>
      <c r="Y233" s="51">
        <f t="shared" si="24"/>
        <v>-55.718931329934392</v>
      </c>
      <c r="Z233" s="51">
        <f t="shared" si="25"/>
        <v>5.4016491941627933</v>
      </c>
      <c r="AA233" s="52">
        <v>3</v>
      </c>
      <c r="AB233">
        <v>0</v>
      </c>
    </row>
    <row r="234" spans="1:28">
      <c r="A234" s="6">
        <v>2019</v>
      </c>
      <c r="B234" s="6" t="s">
        <v>298</v>
      </c>
      <c r="C234" s="7" t="s">
        <v>299</v>
      </c>
      <c r="D234" s="9">
        <v>592578908193</v>
      </c>
      <c r="E234" s="9">
        <v>28228320173</v>
      </c>
      <c r="F234" s="10">
        <v>652346214673</v>
      </c>
      <c r="G234" s="10">
        <f t="shared" si="34"/>
        <v>553865665830</v>
      </c>
      <c r="H234" s="10">
        <v>12452213573</v>
      </c>
      <c r="I234" s="10">
        <v>566317879403</v>
      </c>
      <c r="J234" s="10">
        <v>86028335270</v>
      </c>
      <c r="K234" s="8">
        <v>2400000000</v>
      </c>
      <c r="L234" s="10">
        <v>1618048001660</v>
      </c>
      <c r="M234" s="10">
        <v>1437005463891</v>
      </c>
      <c r="N234" s="10">
        <f>94135654872+568970135+6512798532</f>
        <v>101217423539</v>
      </c>
      <c r="O234" s="10">
        <v>-18643690989</v>
      </c>
      <c r="P234" s="64">
        <v>0</v>
      </c>
      <c r="Q234" s="51">
        <v>110</v>
      </c>
      <c r="R234" s="51">
        <f t="shared" si="26"/>
        <v>1.069896447372281</v>
      </c>
      <c r="S234" s="51">
        <f t="shared" si="27"/>
        <v>0.14474549035406437</v>
      </c>
      <c r="T234" s="51">
        <f t="shared" si="2"/>
        <v>-2.8579442280270574E-2</v>
      </c>
      <c r="U234" s="51">
        <f t="shared" si="3"/>
        <v>-0.21671570105927029</v>
      </c>
      <c r="V234" s="51">
        <f t="shared" si="4"/>
        <v>-1.1522334918292241E-2</v>
      </c>
      <c r="W234" s="51">
        <f t="shared" si="23"/>
        <v>0</v>
      </c>
      <c r="X234" s="58">
        <f t="shared" si="28"/>
        <v>0</v>
      </c>
      <c r="Y234" s="51">
        <f t="shared" si="24"/>
        <v>-14.160286187738423</v>
      </c>
      <c r="Z234" s="51">
        <f t="shared" si="25"/>
        <v>3.0687563483756346</v>
      </c>
      <c r="AA234" s="52">
        <v>3</v>
      </c>
      <c r="AB234">
        <v>0</v>
      </c>
    </row>
    <row r="235" spans="1:28">
      <c r="A235" s="6">
        <v>2020</v>
      </c>
      <c r="B235" s="6" t="s">
        <v>298</v>
      </c>
      <c r="C235" s="7" t="s">
        <v>299</v>
      </c>
      <c r="D235" s="9">
        <v>606903824102</v>
      </c>
      <c r="E235" s="9">
        <v>32005744503</v>
      </c>
      <c r="F235" s="10">
        <v>675863759206</v>
      </c>
      <c r="G235" s="10">
        <f t="shared" si="34"/>
        <v>529614198284</v>
      </c>
      <c r="H235" s="10">
        <v>19653074898</v>
      </c>
      <c r="I235" s="10">
        <v>549267273182</v>
      </c>
      <c r="J235" s="10">
        <v>126596486024</v>
      </c>
      <c r="K235" s="8">
        <v>2400000000</v>
      </c>
      <c r="L235" s="10">
        <v>1446474839632</v>
      </c>
      <c r="M235" s="10">
        <v>1283821135165</v>
      </c>
      <c r="N235" s="10">
        <f>69372687390+80714831225+2457853119</f>
        <v>152545371734</v>
      </c>
      <c r="O235" s="10">
        <v>41124681020</v>
      </c>
      <c r="P235" s="64">
        <v>0</v>
      </c>
      <c r="Q235" s="51">
        <v>101</v>
      </c>
      <c r="R235" s="51">
        <f t="shared" si="26"/>
        <v>1.1459357133332635</v>
      </c>
      <c r="S235" s="51">
        <f t="shared" si="27"/>
        <v>0.15524186741071308</v>
      </c>
      <c r="T235" s="51">
        <f t="shared" si="2"/>
        <v>6.0847590153839566E-2</v>
      </c>
      <c r="U235" s="51">
        <f t="shared" si="3"/>
        <v>0.32484851919352353</v>
      </c>
      <c r="V235" s="51">
        <f t="shared" si="4"/>
        <v>2.8430968789241156E-2</v>
      </c>
      <c r="W235" s="51">
        <f t="shared" si="23"/>
        <v>0</v>
      </c>
      <c r="X235" s="58">
        <f t="shared" si="28"/>
        <v>0</v>
      </c>
      <c r="Y235" s="51">
        <f t="shared" si="24"/>
        <v>5.8942706420534812</v>
      </c>
      <c r="Z235" s="51">
        <f t="shared" si="25"/>
        <v>1.9147450897969325</v>
      </c>
      <c r="AA235" s="52">
        <v>3</v>
      </c>
      <c r="AB235">
        <v>0</v>
      </c>
    </row>
    <row r="236" spans="1:28">
      <c r="A236" s="6">
        <v>2018</v>
      </c>
      <c r="B236" s="6" t="s">
        <v>300</v>
      </c>
      <c r="C236" s="7" t="s">
        <v>301</v>
      </c>
      <c r="D236" s="9">
        <v>2472849000000</v>
      </c>
      <c r="E236" s="9">
        <v>1097913000000</v>
      </c>
      <c r="F236" s="10">
        <v>4808545000000</v>
      </c>
      <c r="G236" s="10">
        <f t="shared" si="34"/>
        <v>2887516000000</v>
      </c>
      <c r="H236" s="10">
        <v>771786000000</v>
      </c>
      <c r="I236" s="10">
        <v>3659302000000</v>
      </c>
      <c r="J236" s="10">
        <v>1149243000000</v>
      </c>
      <c r="K236" s="13">
        <v>10800000000</v>
      </c>
      <c r="L236" s="10">
        <v>10692363000000</v>
      </c>
      <c r="M236" s="10">
        <v>9210950000000</v>
      </c>
      <c r="N236" s="10">
        <f>419089000000+1672033000000+431072000000</f>
        <v>2522194000000</v>
      </c>
      <c r="O236" s="10">
        <v>-826004000000</v>
      </c>
      <c r="P236" s="64">
        <v>0</v>
      </c>
      <c r="Q236" s="51">
        <v>152</v>
      </c>
      <c r="R236" s="51">
        <f t="shared" si="26"/>
        <v>0.85639317669581749</v>
      </c>
      <c r="S236" s="51">
        <f t="shared" si="27"/>
        <v>0.67156032275158517</v>
      </c>
      <c r="T236" s="51">
        <f t="shared" si="2"/>
        <v>-0.17177836538911459</v>
      </c>
      <c r="U236" s="51">
        <f t="shared" si="3"/>
        <v>-0.71873746457450682</v>
      </c>
      <c r="V236" s="51">
        <f t="shared" si="4"/>
        <v>-7.725177306456954E-2</v>
      </c>
      <c r="W236" s="51">
        <f t="shared" si="23"/>
        <v>0</v>
      </c>
      <c r="X236" s="58">
        <f t="shared" si="28"/>
        <v>0</v>
      </c>
      <c r="Y236" s="51">
        <f t="shared" si="24"/>
        <v>-1.9873995767574975</v>
      </c>
      <c r="Z236" s="51">
        <f t="shared" si="25"/>
        <v>1.4284185328951318</v>
      </c>
      <c r="AA236" s="52">
        <v>3</v>
      </c>
      <c r="AB236">
        <v>0</v>
      </c>
    </row>
    <row r="237" spans="1:28">
      <c r="A237" s="6">
        <v>2019</v>
      </c>
      <c r="B237" s="6" t="s">
        <v>300</v>
      </c>
      <c r="C237" s="7" t="s">
        <v>301</v>
      </c>
      <c r="D237" s="9">
        <v>1904047000000</v>
      </c>
      <c r="E237" s="10">
        <v>926287000000</v>
      </c>
      <c r="F237" s="10">
        <v>3820809000000</v>
      </c>
      <c r="G237" s="10">
        <f t="shared" si="34"/>
        <v>2618390000000</v>
      </c>
      <c r="H237" s="10">
        <v>671738000000</v>
      </c>
      <c r="I237" s="10">
        <v>3290128000000</v>
      </c>
      <c r="J237" s="10">
        <v>530681000000</v>
      </c>
      <c r="K237" s="13">
        <v>10800000000</v>
      </c>
      <c r="L237" s="10">
        <v>8654646000000</v>
      </c>
      <c r="M237" s="10">
        <v>7074249000000</v>
      </c>
      <c r="N237" s="10">
        <f>359499000000+1432633000000+88573000000</f>
        <v>1880705000000</v>
      </c>
      <c r="O237" s="10">
        <v>-618562000000</v>
      </c>
      <c r="P237" s="64">
        <v>0</v>
      </c>
      <c r="Q237" s="51">
        <v>140</v>
      </c>
      <c r="R237" s="51">
        <f t="shared" si="26"/>
        <v>0.72718235251433128</v>
      </c>
      <c r="S237" s="51">
        <f t="shared" si="27"/>
        <v>1.2658037502755892</v>
      </c>
      <c r="T237" s="51">
        <f t="shared" si="2"/>
        <v>-0.16189293942722602</v>
      </c>
      <c r="U237" s="51">
        <f t="shared" si="3"/>
        <v>-1.1656004266216426</v>
      </c>
      <c r="V237" s="51">
        <f t="shared" si="4"/>
        <v>-7.1471669667367094E-2</v>
      </c>
      <c r="W237" s="51">
        <f t="shared" si="23"/>
        <v>0</v>
      </c>
      <c r="X237" s="58">
        <f t="shared" si="28"/>
        <v>0</v>
      </c>
      <c r="Y237" s="51">
        <f t="shared" si="24"/>
        <v>-2.4443790598193873</v>
      </c>
      <c r="Z237" s="51">
        <f t="shared" si="25"/>
        <v>2.8491692749504884</v>
      </c>
      <c r="AA237" s="52">
        <v>3</v>
      </c>
      <c r="AB237">
        <v>0</v>
      </c>
    </row>
    <row r="238" spans="1:28">
      <c r="A238" s="6">
        <v>2020</v>
      </c>
      <c r="B238" s="6" t="s">
        <v>300</v>
      </c>
      <c r="C238" s="7" t="s">
        <v>301</v>
      </c>
      <c r="D238" s="9">
        <v>1535266000000</v>
      </c>
      <c r="E238" s="10">
        <v>789871000000</v>
      </c>
      <c r="F238" s="10">
        <v>4510511000000</v>
      </c>
      <c r="G238" s="10">
        <f t="shared" si="34"/>
        <v>2763099000000</v>
      </c>
      <c r="H238" s="10">
        <v>1562678000000</v>
      </c>
      <c r="I238" s="10">
        <v>4325777000000</v>
      </c>
      <c r="J238" s="10">
        <v>184734000000</v>
      </c>
      <c r="K238" s="13">
        <v>10800000000</v>
      </c>
      <c r="L238" s="10">
        <v>6746594000000</v>
      </c>
      <c r="M238" s="10">
        <v>5439936000000</v>
      </c>
      <c r="N238" s="9">
        <f>279376000000+1239746000000+5841000000</f>
        <v>1524963000000</v>
      </c>
      <c r="O238" s="10">
        <v>405307000000</v>
      </c>
      <c r="P238" s="64">
        <v>0</v>
      </c>
      <c r="Q238" s="51">
        <v>105</v>
      </c>
      <c r="R238" s="51">
        <f t="shared" si="26"/>
        <v>0.55563191908795162</v>
      </c>
      <c r="S238" s="51">
        <f t="shared" si="27"/>
        <v>8.4590708802927459</v>
      </c>
      <c r="T238" s="51">
        <f t="shared" si="2"/>
        <v>8.9858333124561721E-2</v>
      </c>
      <c r="U238" s="51">
        <f t="shared" si="3"/>
        <v>2.1940032695659704</v>
      </c>
      <c r="V238" s="51">
        <f t="shared" si="4"/>
        <v>6.0075795282775277E-2</v>
      </c>
      <c r="W238" s="51">
        <f t="shared" si="23"/>
        <v>0</v>
      </c>
      <c r="X238" s="58">
        <f t="shared" si="28"/>
        <v>0</v>
      </c>
      <c r="Y238" s="51">
        <f t="shared" si="24"/>
        <v>2.7978791385295594</v>
      </c>
      <c r="Z238" s="51">
        <f t="shared" si="25"/>
        <v>6.1385559777842733</v>
      </c>
      <c r="AA238" s="52">
        <v>3</v>
      </c>
      <c r="AB238">
        <v>2</v>
      </c>
    </row>
    <row r="239" spans="1:28">
      <c r="A239" s="6">
        <v>2018</v>
      </c>
      <c r="B239" s="6" t="s">
        <v>302</v>
      </c>
      <c r="C239" s="7" t="s">
        <v>303</v>
      </c>
      <c r="D239" s="10">
        <v>3557488000000</v>
      </c>
      <c r="E239" s="10">
        <v>1164225000000</v>
      </c>
      <c r="F239" s="10">
        <v>5243047000000</v>
      </c>
      <c r="G239" s="10">
        <f t="shared" si="34"/>
        <v>1093095000000</v>
      </c>
      <c r="H239" s="9">
        <v>322487000000</v>
      </c>
      <c r="I239" s="10">
        <v>1415582000000</v>
      </c>
      <c r="J239" s="10">
        <v>3827465000000</v>
      </c>
      <c r="K239" s="8">
        <v>28000000000</v>
      </c>
      <c r="L239" s="10">
        <v>5739553000000</v>
      </c>
      <c r="M239" s="9">
        <v>3232948000000</v>
      </c>
      <c r="N239" s="10">
        <f>425171000000+1473612000000+19295000000</f>
        <v>1918078000000</v>
      </c>
      <c r="O239" s="10">
        <v>587105000000</v>
      </c>
      <c r="P239" s="64">
        <v>268913000000</v>
      </c>
      <c r="Q239" s="51">
        <v>1420</v>
      </c>
      <c r="R239" s="51">
        <f t="shared" si="26"/>
        <v>3.254509443369515</v>
      </c>
      <c r="S239" s="51">
        <f t="shared" si="27"/>
        <v>8.4256028467928512E-2</v>
      </c>
      <c r="T239" s="51">
        <f t="shared" si="2"/>
        <v>0.11197782510818614</v>
      </c>
      <c r="U239" s="51">
        <f t="shared" si="3"/>
        <v>0.15339265022671664</v>
      </c>
      <c r="V239" s="51">
        <f t="shared" si="4"/>
        <v>0.10229106691758051</v>
      </c>
      <c r="W239" s="51">
        <f t="shared" si="23"/>
        <v>6.7634054325955741E-3</v>
      </c>
      <c r="X239" s="58">
        <f t="shared" si="28"/>
        <v>0.45803220888938095</v>
      </c>
      <c r="Y239" s="51">
        <f t="shared" si="24"/>
        <v>67.722128069084746</v>
      </c>
      <c r="Z239" s="51">
        <f t="shared" si="25"/>
        <v>10.388076703510025</v>
      </c>
      <c r="AA239" s="52">
        <v>3</v>
      </c>
      <c r="AB239">
        <v>0</v>
      </c>
    </row>
    <row r="240" spans="1:28">
      <c r="A240" s="6">
        <v>2019</v>
      </c>
      <c r="B240" s="6" t="s">
        <v>302</v>
      </c>
      <c r="C240" s="7" t="s">
        <v>303</v>
      </c>
      <c r="D240" s="10">
        <v>4017659000000</v>
      </c>
      <c r="E240" s="10">
        <v>1107325000000</v>
      </c>
      <c r="F240" s="10">
        <v>5649823000000</v>
      </c>
      <c r="G240" s="10">
        <f t="shared" si="34"/>
        <v>1135638000000</v>
      </c>
      <c r="H240" s="9">
        <v>345255000000</v>
      </c>
      <c r="I240" s="10">
        <v>1480893000000</v>
      </c>
      <c r="J240" s="10">
        <v>4168930000000</v>
      </c>
      <c r="K240" s="8">
        <v>28000000000</v>
      </c>
      <c r="L240" s="10">
        <v>5596398000000</v>
      </c>
      <c r="M240" s="10">
        <v>3102317000000</v>
      </c>
      <c r="N240" s="10">
        <f>405125000000+1571474000000+7316000000</f>
        <v>1983915000000</v>
      </c>
      <c r="O240" s="10">
        <v>647898000000</v>
      </c>
      <c r="P240" s="64">
        <v>337141000000</v>
      </c>
      <c r="Q240" s="51">
        <v>1065</v>
      </c>
      <c r="R240" s="51">
        <f t="shared" si="26"/>
        <v>3.5377990169402573</v>
      </c>
      <c r="S240" s="51">
        <f t="shared" si="27"/>
        <v>8.281621423242895E-2</v>
      </c>
      <c r="T240" s="51">
        <f t="shared" si="2"/>
        <v>0.11467580488804693</v>
      </c>
      <c r="U240" s="51">
        <f t="shared" si="3"/>
        <v>0.15541110069010514</v>
      </c>
      <c r="V240" s="51">
        <f t="shared" si="4"/>
        <v>0.1157705366916363</v>
      </c>
      <c r="W240" s="51">
        <f t="shared" si="23"/>
        <v>1.1305868544600937E-2</v>
      </c>
      <c r="X240" s="58">
        <f t="shared" si="28"/>
        <v>0.52036122969973664</v>
      </c>
      <c r="Y240" s="51">
        <f t="shared" si="24"/>
        <v>46.025763314595814</v>
      </c>
      <c r="Z240" s="51">
        <f t="shared" si="25"/>
        <v>7.1529145368235971</v>
      </c>
      <c r="AA240" s="52">
        <v>3</v>
      </c>
      <c r="AB240">
        <v>0</v>
      </c>
    </row>
    <row r="241" spans="1:28">
      <c r="A241" s="6">
        <v>2020</v>
      </c>
      <c r="B241" s="6" t="s">
        <v>302</v>
      </c>
      <c r="C241" s="7" t="s">
        <v>303</v>
      </c>
      <c r="D241" s="9">
        <v>3200854000000</v>
      </c>
      <c r="E241" s="10">
        <v>1002168000000</v>
      </c>
      <c r="F241" s="10">
        <v>5285218000000</v>
      </c>
      <c r="G241" s="10">
        <f t="shared" si="34"/>
        <v>925658000000</v>
      </c>
      <c r="H241" s="10">
        <v>640816000000</v>
      </c>
      <c r="I241" s="10">
        <v>1566474000000</v>
      </c>
      <c r="J241" s="10">
        <v>3718744000000</v>
      </c>
      <c r="K241" s="8">
        <v>28000000000</v>
      </c>
      <c r="L241" s="10">
        <v>2527951000000</v>
      </c>
      <c r="M241" s="10">
        <v>1450362000000</v>
      </c>
      <c r="N241" s="10">
        <f>106968000000+1266663000000+36303000000</f>
        <v>1409934000000</v>
      </c>
      <c r="O241" s="10">
        <v>138874000000</v>
      </c>
      <c r="P241" s="64">
        <v>337124000000</v>
      </c>
      <c r="Q241" s="51">
        <v>775</v>
      </c>
      <c r="R241" s="51">
        <f t="shared" si="26"/>
        <v>3.4579229045716668</v>
      </c>
      <c r="S241" s="51">
        <f t="shared" si="27"/>
        <v>0.17232054693735305</v>
      </c>
      <c r="T241" s="51">
        <f t="shared" si="2"/>
        <v>2.6275926555915007E-2</v>
      </c>
      <c r="U241" s="51">
        <f t="shared" si="3"/>
        <v>3.7344329160598308E-2</v>
      </c>
      <c r="V241" s="51">
        <f t="shared" si="4"/>
        <v>5.4935400251033349E-2</v>
      </c>
      <c r="W241" s="51">
        <f t="shared" si="23"/>
        <v>1.5535668202764977E-2</v>
      </c>
      <c r="X241" s="58">
        <f t="shared" si="28"/>
        <v>2.4275530336852111</v>
      </c>
      <c r="Y241" s="51">
        <f t="shared" si="24"/>
        <v>156.25675072367758</v>
      </c>
      <c r="Z241" s="51">
        <f t="shared" si="25"/>
        <v>5.835303532590574</v>
      </c>
      <c r="AA241" s="52">
        <v>3</v>
      </c>
      <c r="AB241">
        <v>0</v>
      </c>
    </row>
    <row r="242" spans="1:28">
      <c r="A242" s="6">
        <v>2018</v>
      </c>
      <c r="B242" s="6" t="s">
        <v>304</v>
      </c>
      <c r="C242" s="7" t="s">
        <v>305</v>
      </c>
      <c r="D242" s="9">
        <v>544178319988</v>
      </c>
      <c r="E242" s="10">
        <v>255260217838</v>
      </c>
      <c r="F242" s="10">
        <v>904003739438</v>
      </c>
      <c r="G242" s="10">
        <f t="shared" si="34"/>
        <v>348666837381</v>
      </c>
      <c r="H242" s="10">
        <v>51292877616</v>
      </c>
      <c r="I242" s="10">
        <v>399959714997</v>
      </c>
      <c r="J242" s="10">
        <v>504044024441</v>
      </c>
      <c r="K242" s="8">
        <v>5000000000</v>
      </c>
      <c r="L242" s="10">
        <v>2355625271907</v>
      </c>
      <c r="M242" s="10">
        <v>1760399334375</v>
      </c>
      <c r="N242" s="10">
        <f>350121343001+234627546530</f>
        <v>584748889531</v>
      </c>
      <c r="O242" s="10">
        <v>49966984744</v>
      </c>
      <c r="P242" s="64">
        <v>7822437500</v>
      </c>
      <c r="Q242" s="51">
        <v>314</v>
      </c>
      <c r="R242" s="51">
        <f t="shared" si="26"/>
        <v>1.5607401153364007</v>
      </c>
      <c r="S242" s="51">
        <f t="shared" si="27"/>
        <v>0.101762693591865</v>
      </c>
      <c r="T242" s="51">
        <f t="shared" si="2"/>
        <v>5.5272984573120701E-2</v>
      </c>
      <c r="U242" s="51">
        <f t="shared" si="3"/>
        <v>9.9132183541735044E-2</v>
      </c>
      <c r="V242" s="51">
        <f t="shared" si="4"/>
        <v>2.1211771388217938E-2</v>
      </c>
      <c r="W242" s="51">
        <f t="shared" si="23"/>
        <v>4.9824442675159234E-3</v>
      </c>
      <c r="X242" s="58">
        <f t="shared" si="28"/>
        <v>0.15655212216781428</v>
      </c>
      <c r="Y242" s="51">
        <f t="shared" si="24"/>
        <v>31.420747280303413</v>
      </c>
      <c r="Z242" s="51">
        <f t="shared" si="25"/>
        <v>3.1148072864095102</v>
      </c>
      <c r="AA242" s="52">
        <v>3</v>
      </c>
      <c r="AB242">
        <v>0</v>
      </c>
    </row>
    <row r="243" spans="1:28">
      <c r="A243" s="6">
        <v>2019</v>
      </c>
      <c r="B243" s="6" t="s">
        <v>304</v>
      </c>
      <c r="C243" s="7" t="s">
        <v>305</v>
      </c>
      <c r="D243" s="9">
        <v>570849048409</v>
      </c>
      <c r="E243" s="10">
        <v>257452233884</v>
      </c>
      <c r="F243" s="10">
        <v>952496300846</v>
      </c>
      <c r="G243" s="10">
        <f t="shared" si="34"/>
        <v>348625244359</v>
      </c>
      <c r="H243" s="9">
        <v>56067821742</v>
      </c>
      <c r="I243" s="10">
        <v>404693066101</v>
      </c>
      <c r="J243" s="10">
        <v>547803234745</v>
      </c>
      <c r="K243" s="8">
        <v>5000000000</v>
      </c>
      <c r="L243" s="10">
        <v>2397792415330</v>
      </c>
      <c r="M243" s="10">
        <v>1748429029000</v>
      </c>
      <c r="N243" s="10">
        <f>382756148310+266706597134</f>
        <v>649462745444</v>
      </c>
      <c r="O243" s="10">
        <v>55464434251</v>
      </c>
      <c r="P243" s="64">
        <v>10951412500</v>
      </c>
      <c r="Q243" s="51">
        <v>334</v>
      </c>
      <c r="R243" s="51">
        <f t="shared" si="26"/>
        <v>1.6374288943377922</v>
      </c>
      <c r="S243" s="51">
        <f t="shared" si="27"/>
        <v>0.10235029329116563</v>
      </c>
      <c r="T243" s="51">
        <f t="shared" si="2"/>
        <v>5.8230603312303585E-2</v>
      </c>
      <c r="U243" s="51">
        <f t="shared" si="3"/>
        <v>0.10124882573360205</v>
      </c>
      <c r="V243" s="51">
        <f t="shared" si="4"/>
        <v>2.3131457876167574E-2</v>
      </c>
      <c r="W243" s="51">
        <f t="shared" si="23"/>
        <v>6.5577320359281434E-3</v>
      </c>
      <c r="X243" s="58">
        <f t="shared" si="28"/>
        <v>0.19744927804438123</v>
      </c>
      <c r="Y243" s="51">
        <f t="shared" si="24"/>
        <v>30.109384915792063</v>
      </c>
      <c r="Z243" s="51">
        <f t="shared" si="25"/>
        <v>3.0485398662849765</v>
      </c>
      <c r="AA243" s="52">
        <v>3</v>
      </c>
      <c r="AB243">
        <v>0</v>
      </c>
    </row>
    <row r="244" spans="1:28">
      <c r="A244" s="6">
        <v>2020</v>
      </c>
      <c r="B244" s="6" t="s">
        <v>304</v>
      </c>
      <c r="C244" s="7" t="s">
        <v>305</v>
      </c>
      <c r="D244" s="9">
        <v>625866677394</v>
      </c>
      <c r="E244" s="10">
        <v>329542756308</v>
      </c>
      <c r="F244" s="10">
        <v>1319134443995</v>
      </c>
      <c r="G244" s="10">
        <f t="shared" si="34"/>
        <v>512965592357</v>
      </c>
      <c r="H244" s="9">
        <v>261664232698</v>
      </c>
      <c r="I244" s="10">
        <v>774629825055</v>
      </c>
      <c r="J244" s="10">
        <v>544504618940</v>
      </c>
      <c r="K244" s="8">
        <v>5000000000</v>
      </c>
      <c r="L244" s="10">
        <v>3011422750334</v>
      </c>
      <c r="M244" s="10">
        <v>2225048462226</v>
      </c>
      <c r="N244" s="10">
        <f>428548630896+295584403379</f>
        <v>724133034275</v>
      </c>
      <c r="O244" s="10">
        <v>76002689458</v>
      </c>
      <c r="P244" s="64">
        <v>43805650000</v>
      </c>
      <c r="Q244" s="51">
        <v>436</v>
      </c>
      <c r="R244" s="51">
        <f t="shared" si="26"/>
        <v>1.2200948498674862</v>
      </c>
      <c r="S244" s="51">
        <f t="shared" si="27"/>
        <v>0.48055466123939949</v>
      </c>
      <c r="T244" s="51">
        <f t="shared" si="2"/>
        <v>5.7615574973408912E-2</v>
      </c>
      <c r="U244" s="51">
        <f t="shared" si="3"/>
        <v>0.13958134938498085</v>
      </c>
      <c r="V244" s="51">
        <f t="shared" si="4"/>
        <v>2.5238133519968415E-2</v>
      </c>
      <c r="W244" s="51">
        <f t="shared" si="23"/>
        <v>2.0094334862385321E-2</v>
      </c>
      <c r="X244" s="58">
        <f t="shared" si="28"/>
        <v>0.57636973523427126</v>
      </c>
      <c r="Y244" s="51">
        <f t="shared" si="24"/>
        <v>28.683195496715864</v>
      </c>
      <c r="Z244" s="51">
        <f t="shared" si="25"/>
        <v>4.0036391321048068</v>
      </c>
      <c r="AA244" s="52">
        <v>3</v>
      </c>
      <c r="AB244">
        <v>0</v>
      </c>
    </row>
    <row r="245" spans="1:28">
      <c r="A245" s="6">
        <v>2018</v>
      </c>
      <c r="B245" s="82" t="s">
        <v>331</v>
      </c>
      <c r="C245" s="7" t="s">
        <v>332</v>
      </c>
      <c r="D245" s="9">
        <v>92279000</v>
      </c>
      <c r="E245" s="10">
        <v>85121000</v>
      </c>
      <c r="F245" s="10">
        <v>195826000</v>
      </c>
      <c r="G245" s="10">
        <f t="shared" si="34"/>
        <v>79199000</v>
      </c>
      <c r="H245" s="10">
        <v>14092000</v>
      </c>
      <c r="I245" s="10">
        <v>93291000</v>
      </c>
      <c r="J245" s="10">
        <v>102535000</v>
      </c>
      <c r="K245" s="8">
        <v>8000000000</v>
      </c>
      <c r="L245" s="10">
        <v>433868000</v>
      </c>
      <c r="M245" s="10">
        <v>415763000</v>
      </c>
      <c r="N245" s="10">
        <f>4837000+4316000+64000</f>
        <v>9217000</v>
      </c>
      <c r="O245" s="10">
        <v>6125000</v>
      </c>
      <c r="P245" s="64">
        <v>0</v>
      </c>
      <c r="Q245" s="51">
        <v>160</v>
      </c>
      <c r="R245" s="51">
        <f t="shared" si="26"/>
        <v>1.1651536004242478</v>
      </c>
      <c r="S245" s="51">
        <f t="shared" si="27"/>
        <v>0.13743599746428048</v>
      </c>
      <c r="T245" s="51">
        <f t="shared" si="2"/>
        <v>3.127776699723224E-2</v>
      </c>
      <c r="U245" s="51">
        <f t="shared" si="3"/>
        <v>5.9735700004876387E-2</v>
      </c>
      <c r="V245" s="51">
        <f t="shared" si="4"/>
        <v>1.4117196935473463E-2</v>
      </c>
      <c r="W245" s="51">
        <f t="shared" si="23"/>
        <v>0</v>
      </c>
      <c r="X245" s="58">
        <f t="shared" si="28"/>
        <v>0</v>
      </c>
      <c r="Y245" s="74">
        <f t="shared" si="24"/>
        <v>208979.59183673467</v>
      </c>
      <c r="Z245" s="74">
        <f t="shared" si="25"/>
        <v>12483.542205100697</v>
      </c>
      <c r="AA245" s="52">
        <v>3</v>
      </c>
      <c r="AB245">
        <v>0</v>
      </c>
    </row>
    <row r="246" spans="1:28">
      <c r="A246" s="6">
        <v>2019</v>
      </c>
      <c r="B246" s="82" t="s">
        <v>331</v>
      </c>
      <c r="C246" s="7" t="s">
        <v>332</v>
      </c>
      <c r="D246" s="9">
        <v>71356000</v>
      </c>
      <c r="E246" s="10">
        <v>69087000</v>
      </c>
      <c r="F246" s="10">
        <v>165728000</v>
      </c>
      <c r="G246" s="10">
        <f t="shared" si="34"/>
        <v>54106000</v>
      </c>
      <c r="H246" s="10">
        <v>12426000</v>
      </c>
      <c r="I246" s="10">
        <v>66532000</v>
      </c>
      <c r="J246" s="10">
        <v>99196000</v>
      </c>
      <c r="K246" s="8">
        <v>8000000000</v>
      </c>
      <c r="L246" s="10">
        <v>331945000</v>
      </c>
      <c r="M246" s="10">
        <v>327289000</v>
      </c>
      <c r="N246" s="10">
        <f>5420000+4761000+52000+256000</f>
        <v>10489000</v>
      </c>
      <c r="O246" s="10">
        <v>-3286000</v>
      </c>
      <c r="P246" s="64">
        <v>0</v>
      </c>
      <c r="Q246" s="51">
        <v>119</v>
      </c>
      <c r="R246" s="51">
        <f t="shared" si="26"/>
        <v>1.3188186153106864</v>
      </c>
      <c r="S246" s="51">
        <f t="shared" si="27"/>
        <v>0.12526714786886567</v>
      </c>
      <c r="T246" s="51">
        <f t="shared" si="2"/>
        <v>-1.9827669434253715E-2</v>
      </c>
      <c r="U246" s="51">
        <f t="shared" si="3"/>
        <v>-3.3126335739344329E-2</v>
      </c>
      <c r="V246" s="51">
        <f t="shared" si="4"/>
        <v>-9.8992302941752399E-3</v>
      </c>
      <c r="W246" s="51">
        <f t="shared" si="23"/>
        <v>0</v>
      </c>
      <c r="X246" s="58">
        <f t="shared" si="28"/>
        <v>0</v>
      </c>
      <c r="Y246" s="74">
        <f t="shared" si="24"/>
        <v>-289713.93791844189</v>
      </c>
      <c r="Z246" s="74">
        <f t="shared" si="25"/>
        <v>9597.1611758538638</v>
      </c>
      <c r="AA246" s="52">
        <v>3</v>
      </c>
      <c r="AB246">
        <v>0</v>
      </c>
    </row>
    <row r="247" spans="1:28">
      <c r="A247" s="6">
        <v>2020</v>
      </c>
      <c r="B247" s="82" t="s">
        <v>331</v>
      </c>
      <c r="C247" s="7" t="s">
        <v>332</v>
      </c>
      <c r="D247" s="9">
        <v>71563000</v>
      </c>
      <c r="E247" s="9">
        <v>60206000</v>
      </c>
      <c r="F247" s="10">
        <v>149377000</v>
      </c>
      <c r="G247" s="10">
        <f t="shared" si="34"/>
        <v>45164000</v>
      </c>
      <c r="H247" s="10">
        <v>9051000</v>
      </c>
      <c r="I247" s="10">
        <v>54215000</v>
      </c>
      <c r="J247" s="10">
        <v>95162000</v>
      </c>
      <c r="K247" s="8">
        <v>8000000000</v>
      </c>
      <c r="L247" s="10">
        <v>309367000</v>
      </c>
      <c r="M247" s="10">
        <v>307424000</v>
      </c>
      <c r="N247" s="10">
        <f>5961000+4955000+101000+12665000</f>
        <v>23682000</v>
      </c>
      <c r="O247" s="10">
        <v>-4172000</v>
      </c>
      <c r="P247" s="64">
        <v>0</v>
      </c>
      <c r="Q247" s="51">
        <v>362</v>
      </c>
      <c r="R247" s="51">
        <f t="shared" si="26"/>
        <v>1.584514214861394</v>
      </c>
      <c r="S247" s="51">
        <f t="shared" si="27"/>
        <v>9.5111494083772938E-2</v>
      </c>
      <c r="T247" s="51">
        <f t="shared" si="2"/>
        <v>-2.7929333163740067E-2</v>
      </c>
      <c r="U247" s="51">
        <f t="shared" si="3"/>
        <v>-4.3841028982156742E-2</v>
      </c>
      <c r="V247" s="51">
        <f t="shared" si="4"/>
        <v>-1.3485601243830143E-2</v>
      </c>
      <c r="W247" s="51">
        <f t="shared" si="23"/>
        <v>0</v>
      </c>
      <c r="X247" s="58">
        <f t="shared" si="28"/>
        <v>0</v>
      </c>
      <c r="Y247" s="74">
        <f t="shared" si="24"/>
        <v>-694151.48609779472</v>
      </c>
      <c r="Z247" s="74">
        <f t="shared" si="25"/>
        <v>30432.315420020597</v>
      </c>
      <c r="AA247" s="52">
        <v>3</v>
      </c>
      <c r="AB247">
        <v>0</v>
      </c>
    </row>
    <row r="248" spans="1:28">
      <c r="A248" s="6">
        <v>2018</v>
      </c>
      <c r="B248" s="6" t="s">
        <v>333</v>
      </c>
      <c r="C248" s="7" t="s">
        <v>334</v>
      </c>
      <c r="D248" s="9">
        <v>416191470230</v>
      </c>
      <c r="E248" s="10">
        <v>129189294974</v>
      </c>
      <c r="F248" s="10">
        <v>570197810698</v>
      </c>
      <c r="G248" s="10">
        <f t="shared" si="34"/>
        <v>72223978098</v>
      </c>
      <c r="H248" s="10">
        <v>15059589263</v>
      </c>
      <c r="I248" s="10">
        <v>87283567361</v>
      </c>
      <c r="J248" s="10">
        <v>482914243337</v>
      </c>
      <c r="K248" s="8">
        <v>1750000000</v>
      </c>
      <c r="L248" s="10">
        <v>777316506801</v>
      </c>
      <c r="M248" s="10">
        <v>676188716685</v>
      </c>
      <c r="N248" s="10">
        <f>49302815633+3829961076</f>
        <v>53132776709</v>
      </c>
      <c r="O248" s="10">
        <v>44672438405</v>
      </c>
      <c r="P248" s="64">
        <f>3782065060+5070489666</f>
        <v>8852554726</v>
      </c>
      <c r="Q248" s="51">
        <v>384</v>
      </c>
      <c r="R248" s="51">
        <f t="shared" si="26"/>
        <v>5.7625110273664779</v>
      </c>
      <c r="S248" s="51">
        <f t="shared" si="27"/>
        <v>3.1184810700418127E-2</v>
      </c>
      <c r="T248" s="51">
        <f t="shared" si="2"/>
        <v>7.8345510219190131E-2</v>
      </c>
      <c r="U248" s="51">
        <f t="shared" si="3"/>
        <v>9.2505944940260335E-2</v>
      </c>
      <c r="V248" s="51">
        <f t="shared" si="4"/>
        <v>5.7470075592305082E-2</v>
      </c>
      <c r="W248" s="51">
        <f t="shared" si="23"/>
        <v>1.3173444532738096E-2</v>
      </c>
      <c r="X248" s="58">
        <f t="shared" si="28"/>
        <v>0.19816591710850442</v>
      </c>
      <c r="Y248" s="51">
        <f t="shared" si="24"/>
        <v>15.04283231436021</v>
      </c>
      <c r="Z248" s="51">
        <f t="shared" si="25"/>
        <v>1.3915514178177741</v>
      </c>
      <c r="AA248" s="52">
        <v>3</v>
      </c>
      <c r="AB248">
        <v>0</v>
      </c>
    </row>
    <row r="249" spans="1:28">
      <c r="A249" s="6">
        <v>2019</v>
      </c>
      <c r="B249" s="6" t="s">
        <v>333</v>
      </c>
      <c r="C249" s="7" t="s">
        <v>334</v>
      </c>
      <c r="D249" s="65">
        <v>446573796440</v>
      </c>
      <c r="E249" s="10">
        <v>144745920744</v>
      </c>
      <c r="F249" s="10">
        <v>617594780669</v>
      </c>
      <c r="G249" s="10">
        <f t="shared" si="34"/>
        <v>57853674597</v>
      </c>
      <c r="H249" s="10">
        <v>22815734567</v>
      </c>
      <c r="I249" s="10">
        <v>80669409164</v>
      </c>
      <c r="J249" s="10">
        <v>536295371505</v>
      </c>
      <c r="K249" s="8">
        <v>1750000000</v>
      </c>
      <c r="L249" s="10">
        <v>776541441414</v>
      </c>
      <c r="M249" s="10">
        <v>652946761824</v>
      </c>
      <c r="N249" s="10">
        <f>53355998377+806685924</f>
        <v>54162684301</v>
      </c>
      <c r="O249" s="10">
        <v>60836752751</v>
      </c>
      <c r="P249" s="64">
        <f>5070489666+1777225450</f>
        <v>6847715116</v>
      </c>
      <c r="Q249" s="51">
        <v>340</v>
      </c>
      <c r="R249" s="51">
        <f t="shared" si="26"/>
        <v>7.7190221632552456</v>
      </c>
      <c r="S249" s="51">
        <f t="shared" si="27"/>
        <v>4.2543224833308642E-2</v>
      </c>
      <c r="T249" s="51">
        <f t="shared" si="2"/>
        <v>9.8505937315563979E-2</v>
      </c>
      <c r="U249" s="51">
        <f t="shared" si="3"/>
        <v>0.11343889204241027</v>
      </c>
      <c r="V249" s="51">
        <f t="shared" si="4"/>
        <v>7.8343214549145876E-2</v>
      </c>
      <c r="W249" s="51">
        <f t="shared" si="23"/>
        <v>1.1508764900840336E-2</v>
      </c>
      <c r="X249" s="58">
        <f t="shared" si="28"/>
        <v>0.1125588531003151</v>
      </c>
      <c r="Y249" s="51">
        <f t="shared" si="24"/>
        <v>9.7802721725679174</v>
      </c>
      <c r="Z249" s="51">
        <f t="shared" si="25"/>
        <v>1.1094632391293213</v>
      </c>
      <c r="AA249" s="52">
        <v>3</v>
      </c>
      <c r="AB249">
        <v>0</v>
      </c>
    </row>
    <row r="250" spans="1:28">
      <c r="A250" s="6">
        <v>2020</v>
      </c>
      <c r="B250" s="6" t="s">
        <v>333</v>
      </c>
      <c r="C250" s="7" t="s">
        <v>334</v>
      </c>
      <c r="D250" s="9">
        <v>509735319690</v>
      </c>
      <c r="E250" s="10">
        <v>140087552996</v>
      </c>
      <c r="F250" s="10">
        <v>665586417235</v>
      </c>
      <c r="G250" s="10">
        <f t="shared" si="34"/>
        <v>48639860198</v>
      </c>
      <c r="H250" s="10">
        <v>23641182035</v>
      </c>
      <c r="I250" s="10">
        <v>72281042233</v>
      </c>
      <c r="J250" s="10">
        <v>593582375012</v>
      </c>
      <c r="K250" s="8">
        <v>1750000000</v>
      </c>
      <c r="L250" s="10">
        <v>739402296030</v>
      </c>
      <c r="M250" s="10">
        <v>610537250674</v>
      </c>
      <c r="N250" s="10">
        <f>16696318068+35104646560+1722272231+3440944756</f>
        <v>56964181615</v>
      </c>
      <c r="O250" s="10">
        <v>60770710445</v>
      </c>
      <c r="P250" s="64">
        <f>4727523825+1777225450</f>
        <v>6504749275</v>
      </c>
      <c r="Q250" s="51">
        <v>354</v>
      </c>
      <c r="R250" s="51">
        <f t="shared" si="26"/>
        <v>10.47978587140264</v>
      </c>
      <c r="S250" s="51">
        <f t="shared" si="27"/>
        <v>3.982797170236408E-2</v>
      </c>
      <c r="T250" s="51">
        <f t="shared" si="2"/>
        <v>9.1304012328640355E-2</v>
      </c>
      <c r="U250" s="51">
        <f t="shared" si="3"/>
        <v>0.10237957359123313</v>
      </c>
      <c r="V250" s="51">
        <f t="shared" si="4"/>
        <v>8.2188966373637456E-2</v>
      </c>
      <c r="W250" s="51">
        <f t="shared" si="23"/>
        <v>1.0499998829701372E-2</v>
      </c>
      <c r="X250" s="58">
        <f t="shared" si="28"/>
        <v>0.10703757167504346</v>
      </c>
      <c r="Y250" s="51">
        <f t="shared" si="24"/>
        <v>10.19405558144121</v>
      </c>
      <c r="Z250" s="51">
        <f t="shared" si="25"/>
        <v>1.0436630635932813</v>
      </c>
      <c r="AA250" s="52">
        <v>3</v>
      </c>
      <c r="AB250">
        <v>0</v>
      </c>
    </row>
    <row r="251" spans="1:28">
      <c r="A251" s="6">
        <v>2018</v>
      </c>
      <c r="B251" s="6" t="s">
        <v>335</v>
      </c>
      <c r="C251" s="7" t="s">
        <v>336</v>
      </c>
      <c r="D251" s="9">
        <v>1220137554014</v>
      </c>
      <c r="E251" s="10">
        <v>757379485281</v>
      </c>
      <c r="F251" s="10">
        <v>2370198817803</v>
      </c>
      <c r="G251" s="10">
        <f t="shared" si="34"/>
        <v>342328901816</v>
      </c>
      <c r="H251" s="10">
        <v>655646584965</v>
      </c>
      <c r="I251" s="10">
        <v>997975486781</v>
      </c>
      <c r="J251" s="10">
        <v>1372223331022</v>
      </c>
      <c r="K251" s="13">
        <v>17000000000</v>
      </c>
      <c r="L251" s="10">
        <v>1395298815177</v>
      </c>
      <c r="M251" s="10">
        <v>978652263708</v>
      </c>
      <c r="N251" s="10">
        <f>257005280578+15979424352</f>
        <v>272984704930</v>
      </c>
      <c r="O251" s="10">
        <v>105523929164</v>
      </c>
      <c r="P251" s="64">
        <v>43598000000</v>
      </c>
      <c r="Q251" s="51">
        <v>940</v>
      </c>
      <c r="R251" s="51">
        <f t="shared" si="26"/>
        <v>3.5642259462796324</v>
      </c>
      <c r="S251" s="51">
        <f t="shared" si="27"/>
        <v>0.47779874466694111</v>
      </c>
      <c r="T251" s="51">
        <f t="shared" si="2"/>
        <v>4.4521129776704943E-2</v>
      </c>
      <c r="U251" s="51">
        <f t="shared" si="3"/>
        <v>7.6899967212631662E-2</v>
      </c>
      <c r="V251" s="51">
        <f t="shared" si="4"/>
        <v>7.5628193771965474E-2</v>
      </c>
      <c r="W251" s="51">
        <f t="shared" si="23"/>
        <v>2.7282853566958699E-3</v>
      </c>
      <c r="X251" s="58">
        <f t="shared" si="28"/>
        <v>0.41315747381091328</v>
      </c>
      <c r="Y251" s="51">
        <f t="shared" si="24"/>
        <v>151.43484635759427</v>
      </c>
      <c r="Z251" s="51">
        <f t="shared" si="25"/>
        <v>11.645334719748913</v>
      </c>
      <c r="AA251" s="52">
        <v>3</v>
      </c>
      <c r="AB251">
        <v>0</v>
      </c>
    </row>
    <row r="252" spans="1:28">
      <c r="A252" s="6">
        <v>2019</v>
      </c>
      <c r="B252" s="6" t="s">
        <v>335</v>
      </c>
      <c r="C252" s="7" t="s">
        <v>336</v>
      </c>
      <c r="D252" s="9">
        <v>1174699544323</v>
      </c>
      <c r="E252" s="10">
        <v>851624396191</v>
      </c>
      <c r="F252" s="10">
        <v>2501132856219</v>
      </c>
      <c r="G252" s="10">
        <f t="shared" si="34"/>
        <v>479079545266</v>
      </c>
      <c r="H252" s="10">
        <v>613765478165</v>
      </c>
      <c r="I252" s="10">
        <v>1092845023431</v>
      </c>
      <c r="J252" s="10">
        <v>1408287832788</v>
      </c>
      <c r="K252" s="13">
        <v>17000000000</v>
      </c>
      <c r="L252" s="10">
        <v>1495759701262</v>
      </c>
      <c r="M252" s="10">
        <v>1001042927237</v>
      </c>
      <c r="N252" s="10">
        <f>279134329437+70965395209+23904990387</f>
        <v>374004715033</v>
      </c>
      <c r="O252" s="10">
        <v>93145200039</v>
      </c>
      <c r="P252" s="64">
        <v>77775000000</v>
      </c>
      <c r="Q252" s="51">
        <v>1050</v>
      </c>
      <c r="R252" s="51">
        <f t="shared" si="26"/>
        <v>2.4519926929269542</v>
      </c>
      <c r="S252" s="51">
        <f t="shared" si="27"/>
        <v>0.43582388761388574</v>
      </c>
      <c r="T252" s="51">
        <f t="shared" si="2"/>
        <v>3.7241204443577217E-2</v>
      </c>
      <c r="U252" s="51">
        <f t="shared" si="3"/>
        <v>6.6140740458290839E-2</v>
      </c>
      <c r="V252" s="51">
        <f t="shared" si="4"/>
        <v>6.2272836980707312E-2</v>
      </c>
      <c r="W252" s="51">
        <f t="shared" si="23"/>
        <v>4.3571428571428572E-3</v>
      </c>
      <c r="X252" s="58">
        <f t="shared" si="28"/>
        <v>0.83498666562995749</v>
      </c>
      <c r="Y252" s="51">
        <f t="shared" si="24"/>
        <v>191.63628391507223</v>
      </c>
      <c r="Z252" s="51">
        <f t="shared" si="25"/>
        <v>12.674965716818129</v>
      </c>
      <c r="AA252" s="52">
        <v>3</v>
      </c>
      <c r="AB252">
        <v>0</v>
      </c>
    </row>
    <row r="253" spans="1:28">
      <c r="A253" s="6">
        <v>2020</v>
      </c>
      <c r="B253" s="6" t="s">
        <v>335</v>
      </c>
      <c r="C253" s="7" t="s">
        <v>336</v>
      </c>
      <c r="D253" s="10">
        <v>1261952159927</v>
      </c>
      <c r="E253" s="10">
        <v>907748683255</v>
      </c>
      <c r="F253" s="10">
        <v>2697100062756</v>
      </c>
      <c r="G253" s="10">
        <f t="shared" si="34"/>
        <v>608353619395</v>
      </c>
      <c r="H253" s="10">
        <v>622838614595</v>
      </c>
      <c r="I253" s="10">
        <v>1231192233990</v>
      </c>
      <c r="J253" s="10">
        <v>1465907828766</v>
      </c>
      <c r="K253" s="13">
        <v>17000000000</v>
      </c>
      <c r="L253" s="10">
        <v>1797514877242</v>
      </c>
      <c r="M253" s="10">
        <v>1146328782026</v>
      </c>
      <c r="N253" s="10">
        <f>413457936700+66391570721+25729951405</f>
        <v>505579458826</v>
      </c>
      <c r="O253" s="10">
        <v>115805324362</v>
      </c>
      <c r="P253" s="64">
        <v>53280000000</v>
      </c>
      <c r="Q253" s="51">
        <v>1325</v>
      </c>
      <c r="R253" s="51">
        <f t="shared" si="26"/>
        <v>2.0743727327240946</v>
      </c>
      <c r="S253" s="51">
        <f t="shared" si="27"/>
        <v>0.42488252151522038</v>
      </c>
      <c r="T253" s="51">
        <f t="shared" si="2"/>
        <v>4.2936977371045584E-2</v>
      </c>
      <c r="U253" s="51">
        <f t="shared" si="3"/>
        <v>7.8999048978055347E-2</v>
      </c>
      <c r="V253" s="51">
        <f t="shared" si="4"/>
        <v>6.4425238326641723E-2</v>
      </c>
      <c r="W253" s="51">
        <f t="shared" si="23"/>
        <v>2.3653718091009991E-3</v>
      </c>
      <c r="X253" s="58">
        <f t="shared" si="28"/>
        <v>0.46008247283561976</v>
      </c>
      <c r="Y253" s="51">
        <f t="shared" si="24"/>
        <v>194.50746435101979</v>
      </c>
      <c r="Z253" s="51">
        <f t="shared" si="25"/>
        <v>15.365904702863569</v>
      </c>
      <c r="AA253" s="52">
        <v>3</v>
      </c>
      <c r="AB253">
        <v>0</v>
      </c>
    </row>
    <row r="254" spans="1:28">
      <c r="A254" s="6">
        <v>2018</v>
      </c>
      <c r="B254" s="6" t="s">
        <v>383</v>
      </c>
      <c r="C254" s="7" t="s">
        <v>384</v>
      </c>
      <c r="D254" s="10">
        <v>888979741744</v>
      </c>
      <c r="E254" s="10">
        <v>319990859164</v>
      </c>
      <c r="F254" s="10">
        <v>1255573914558</v>
      </c>
      <c r="G254" s="10">
        <f t="shared" si="34"/>
        <v>150202377711</v>
      </c>
      <c r="H254" s="9">
        <v>100134734182</v>
      </c>
      <c r="I254" s="9">
        <v>250337111893</v>
      </c>
      <c r="J254" s="9">
        <v>1005236802665</v>
      </c>
      <c r="K254" s="8">
        <v>4050000000</v>
      </c>
      <c r="L254" s="10">
        <v>1405384153405</v>
      </c>
      <c r="M254" s="10">
        <v>963851587401</v>
      </c>
      <c r="N254" s="10">
        <v>389346287885</v>
      </c>
      <c r="O254" s="10">
        <v>51142850919</v>
      </c>
      <c r="P254" s="64">
        <v>0</v>
      </c>
      <c r="Q254" s="51">
        <v>141</v>
      </c>
      <c r="R254" s="51">
        <f t="shared" si="26"/>
        <v>5.9185463991419622</v>
      </c>
      <c r="S254" s="51">
        <f t="shared" si="27"/>
        <v>9.961308013846204E-2</v>
      </c>
      <c r="T254" s="51">
        <f t="shared" si="2"/>
        <v>4.0732648493262011E-2</v>
      </c>
      <c r="U254" s="51">
        <f t="shared" si="3"/>
        <v>5.0876421141182196E-2</v>
      </c>
      <c r="V254" s="51">
        <f t="shared" si="4"/>
        <v>3.6390655747106454E-2</v>
      </c>
      <c r="W254" s="51">
        <f t="shared" si="23"/>
        <v>0</v>
      </c>
      <c r="X254" s="58">
        <f t="shared" si="28"/>
        <v>0</v>
      </c>
      <c r="Y254" s="51">
        <f t="shared" si="24"/>
        <v>11.165783481730974</v>
      </c>
      <c r="Z254" s="51">
        <f t="shared" si="25"/>
        <v>0.56807510278780071</v>
      </c>
      <c r="AA254" s="52">
        <v>3</v>
      </c>
      <c r="AB254">
        <v>0</v>
      </c>
    </row>
    <row r="255" spans="1:28">
      <c r="A255" s="6">
        <v>2019</v>
      </c>
      <c r="B255" s="6" t="s">
        <v>383</v>
      </c>
      <c r="C255" s="7" t="s">
        <v>384</v>
      </c>
      <c r="D255" s="10">
        <v>948430163983</v>
      </c>
      <c r="E255" s="10">
        <v>329061638626</v>
      </c>
      <c r="F255" s="10">
        <v>1299521608556</v>
      </c>
      <c r="G255" s="10">
        <f t="shared" si="34"/>
        <v>157443942631</v>
      </c>
      <c r="H255" s="9">
        <v>108907088448</v>
      </c>
      <c r="I255" s="10">
        <v>266351031079</v>
      </c>
      <c r="J255" s="10">
        <v>1033170577477</v>
      </c>
      <c r="K255" s="8">
        <v>4050000000</v>
      </c>
      <c r="L255" s="10">
        <v>1393574099760</v>
      </c>
      <c r="M255" s="10">
        <v>962040733573</v>
      </c>
      <c r="N255" s="10">
        <v>402885126126</v>
      </c>
      <c r="O255" s="10">
        <v>27328091481</v>
      </c>
      <c r="P255" s="64">
        <f>5249684400+12366950</f>
        <v>5262051350</v>
      </c>
      <c r="Q255" s="51">
        <v>168</v>
      </c>
      <c r="R255" s="51">
        <f t="shared" si="26"/>
        <v>6.0239228523756392</v>
      </c>
      <c r="S255" s="51">
        <f t="shared" si="27"/>
        <v>0.10541055932307987</v>
      </c>
      <c r="T255" s="51">
        <f t="shared" si="2"/>
        <v>2.1029347493010431E-2</v>
      </c>
      <c r="U255" s="51">
        <f t="shared" si="3"/>
        <v>2.645070627904942E-2</v>
      </c>
      <c r="V255" s="51">
        <f t="shared" si="4"/>
        <v>1.9610074186730664E-2</v>
      </c>
      <c r="W255" s="51">
        <f t="shared" si="23"/>
        <v>7.7337615373309814E-3</v>
      </c>
      <c r="X255" s="58">
        <f t="shared" si="28"/>
        <v>0.19255100026500091</v>
      </c>
      <c r="Y255" s="51">
        <f t="shared" si="24"/>
        <v>24.897457638893361</v>
      </c>
      <c r="Z255" s="51">
        <f t="shared" si="25"/>
        <v>0.65855533910144348</v>
      </c>
      <c r="AA255" s="52">
        <v>3</v>
      </c>
      <c r="AB255">
        <v>0</v>
      </c>
    </row>
    <row r="256" spans="1:28">
      <c r="A256" s="6">
        <v>2020</v>
      </c>
      <c r="B256" s="6" t="s">
        <v>383</v>
      </c>
      <c r="C256" s="7" t="s">
        <v>384</v>
      </c>
      <c r="D256" s="10">
        <v>1288718539539</v>
      </c>
      <c r="E256" s="10">
        <v>298904982008</v>
      </c>
      <c r="F256" s="10">
        <v>1614442007528</v>
      </c>
      <c r="G256" s="10">
        <f t="shared" si="34"/>
        <v>351790782502</v>
      </c>
      <c r="H256" s="9">
        <v>76799383517</v>
      </c>
      <c r="I256" s="10">
        <v>428590166019</v>
      </c>
      <c r="J256" s="10">
        <v>1185851841509</v>
      </c>
      <c r="K256" s="8">
        <v>4050000000</v>
      </c>
      <c r="L256" s="10">
        <v>1994066771177</v>
      </c>
      <c r="M256" s="10">
        <v>1368626457514</v>
      </c>
      <c r="N256" s="10">
        <v>420569492780</v>
      </c>
      <c r="O256" s="10">
        <v>172506562986</v>
      </c>
      <c r="P256" s="64">
        <f>7349558160+47082300</f>
        <v>7396640460</v>
      </c>
      <c r="Q256" s="51">
        <v>540</v>
      </c>
      <c r="R256" s="51">
        <f t="shared" si="26"/>
        <v>3.663309568185384</v>
      </c>
      <c r="S256" s="51">
        <f t="shared" si="27"/>
        <v>6.4763051191346593E-2</v>
      </c>
      <c r="T256" s="51">
        <f t="shared" si="2"/>
        <v>0.10685212734902659</v>
      </c>
      <c r="U256" s="51">
        <f t="shared" si="3"/>
        <v>0.14547058658397399</v>
      </c>
      <c r="V256" s="51">
        <f t="shared" si="4"/>
        <v>8.6509923077539588E-2</v>
      </c>
      <c r="W256" s="51">
        <f t="shared" si="23"/>
        <v>3.3820944032921813E-3</v>
      </c>
      <c r="X256" s="58">
        <f t="shared" si="28"/>
        <v>4.2877443802531064E-2</v>
      </c>
      <c r="Y256" s="51">
        <f t="shared" si="24"/>
        <v>12.677778527055164</v>
      </c>
      <c r="Z256" s="51">
        <f t="shared" si="25"/>
        <v>1.8442438789124245</v>
      </c>
      <c r="AA256" s="52">
        <v>3</v>
      </c>
      <c r="AB256">
        <v>0</v>
      </c>
    </row>
    <row r="257" spans="1:28">
      <c r="A257" s="66">
        <v>2018</v>
      </c>
      <c r="B257" s="59" t="s">
        <v>479</v>
      </c>
      <c r="C257" s="49" t="s">
        <v>480</v>
      </c>
      <c r="D257" s="64">
        <v>382330851179</v>
      </c>
      <c r="E257" s="64">
        <v>59744095869</v>
      </c>
      <c r="F257" s="64">
        <v>511887783867</v>
      </c>
      <c r="G257" s="10">
        <f t="shared" si="34"/>
        <v>122929175890</v>
      </c>
      <c r="H257" s="64">
        <v>20984611197</v>
      </c>
      <c r="I257" s="64">
        <v>143913787087</v>
      </c>
      <c r="J257" s="64">
        <v>367973996780</v>
      </c>
      <c r="K257" s="67">
        <v>428000000</v>
      </c>
      <c r="L257" s="64">
        <v>300572751733</v>
      </c>
      <c r="M257" s="64">
        <v>126237236215</v>
      </c>
      <c r="N257" s="64">
        <f>121854966846+43793006242</f>
        <v>165647973088</v>
      </c>
      <c r="O257" s="10">
        <v>1242582777</v>
      </c>
      <c r="P257" s="64">
        <v>0</v>
      </c>
      <c r="Q257" s="51">
        <v>179</v>
      </c>
      <c r="R257" s="51">
        <f t="shared" si="26"/>
        <v>3.1101717587460187</v>
      </c>
      <c r="S257" s="51">
        <f t="shared" si="27"/>
        <v>5.702742960271194E-2</v>
      </c>
      <c r="T257" s="51">
        <f t="shared" ref="T257:T364" si="35">O257/F257</f>
        <v>2.4274515160589397E-3</v>
      </c>
      <c r="U257" s="51">
        <f t="shared" ref="U257:U364" si="36">O257/J257</f>
        <v>3.3768222425317215E-3</v>
      </c>
      <c r="V257" s="51">
        <f t="shared" ref="V257:V364" si="37">O257/L257</f>
        <v>4.1340499757070177E-3</v>
      </c>
      <c r="W257" s="51">
        <f t="shared" si="23"/>
        <v>0</v>
      </c>
      <c r="X257" s="58">
        <f t="shared" si="28"/>
        <v>0</v>
      </c>
      <c r="Y257" s="51">
        <f t="shared" si="24"/>
        <v>61.655449776123852</v>
      </c>
      <c r="Z257" s="51">
        <f t="shared" si="25"/>
        <v>0.20819949417731246</v>
      </c>
      <c r="AA257" s="52">
        <v>3</v>
      </c>
      <c r="AB257">
        <v>0</v>
      </c>
    </row>
    <row r="258" spans="1:28">
      <c r="A258" s="66">
        <v>2019</v>
      </c>
      <c r="B258" s="59" t="s">
        <v>479</v>
      </c>
      <c r="C258" s="49" t="s">
        <v>480</v>
      </c>
      <c r="D258" s="64">
        <v>412707718061</v>
      </c>
      <c r="E258" s="64">
        <v>54872479523</v>
      </c>
      <c r="F258" s="64">
        <v>532762947995</v>
      </c>
      <c r="G258" s="10">
        <f t="shared" si="34"/>
        <v>142931525716</v>
      </c>
      <c r="H258" s="64">
        <v>21189897229</v>
      </c>
      <c r="I258" s="64">
        <v>164121422945</v>
      </c>
      <c r="J258" s="64">
        <v>368641525050</v>
      </c>
      <c r="K258" s="67">
        <v>428000000</v>
      </c>
      <c r="L258" s="64">
        <v>305224577860</v>
      </c>
      <c r="M258" s="64">
        <v>120805351025</v>
      </c>
      <c r="N258" s="64">
        <f>127264471191+48192315737</f>
        <v>175456786928</v>
      </c>
      <c r="O258" s="10">
        <v>667528270</v>
      </c>
      <c r="P258" s="64">
        <v>0</v>
      </c>
      <c r="Q258" s="51">
        <v>153</v>
      </c>
      <c r="R258" s="51">
        <f t="shared" si="26"/>
        <v>2.8874505886198678</v>
      </c>
      <c r="S258" s="51">
        <f t="shared" si="27"/>
        <v>5.7481037238346785E-2</v>
      </c>
      <c r="T258" s="51">
        <f t="shared" si="35"/>
        <v>1.2529555077209775E-3</v>
      </c>
      <c r="U258" s="51">
        <f t="shared" si="36"/>
        <v>1.8107788315748234E-3</v>
      </c>
      <c r="V258" s="51">
        <f t="shared" si="37"/>
        <v>2.1870069398742227E-3</v>
      </c>
      <c r="W258" s="51">
        <f t="shared" si="23"/>
        <v>0</v>
      </c>
      <c r="X258" s="58">
        <f t="shared" si="28"/>
        <v>0</v>
      </c>
      <c r="Y258" s="51">
        <f t="shared" si="24"/>
        <v>98.099216082638719</v>
      </c>
      <c r="Z258" s="51">
        <f t="shared" si="25"/>
        <v>0.17763598387652665</v>
      </c>
      <c r="AA258" s="52">
        <v>3</v>
      </c>
      <c r="AB258">
        <v>0</v>
      </c>
    </row>
    <row r="259" spans="1:28">
      <c r="A259" s="66">
        <v>2020</v>
      </c>
      <c r="B259" s="66" t="s">
        <v>479</v>
      </c>
      <c r="C259" s="49" t="s">
        <v>480</v>
      </c>
      <c r="D259" s="64">
        <v>432576455286</v>
      </c>
      <c r="E259" s="64">
        <v>55965014371</v>
      </c>
      <c r="F259" s="64">
        <v>559795937451</v>
      </c>
      <c r="G259" s="10">
        <f t="shared" si="34"/>
        <v>195801413331</v>
      </c>
      <c r="H259" s="64">
        <v>21575918643</v>
      </c>
      <c r="I259" s="64">
        <v>217377331974</v>
      </c>
      <c r="J259" s="64">
        <v>342418605477</v>
      </c>
      <c r="K259" s="67">
        <v>428000000</v>
      </c>
      <c r="L259" s="64">
        <v>318408499475</v>
      </c>
      <c r="M259" s="64">
        <v>113949955107</v>
      </c>
      <c r="N259" s="64">
        <f>132164370165+58327364740</f>
        <v>190491734905</v>
      </c>
      <c r="O259" s="10">
        <v>7263926826</v>
      </c>
      <c r="P259" s="64">
        <v>0</v>
      </c>
      <c r="Q259" s="51">
        <v>169</v>
      </c>
      <c r="R259" s="51">
        <f t="shared" si="26"/>
        <v>2.2092611484613474</v>
      </c>
      <c r="S259" s="51">
        <f t="shared" si="27"/>
        <v>6.301035719990758E-2</v>
      </c>
      <c r="T259" s="51">
        <f t="shared" si="35"/>
        <v>1.2976026333945708E-2</v>
      </c>
      <c r="U259" s="51">
        <f t="shared" si="36"/>
        <v>2.1213586849000564E-2</v>
      </c>
      <c r="V259" s="51">
        <f t="shared" si="37"/>
        <v>2.2813231549964737E-2</v>
      </c>
      <c r="W259" s="51">
        <f t="shared" si="23"/>
        <v>0</v>
      </c>
      <c r="X259" s="58">
        <f t="shared" si="28"/>
        <v>0</v>
      </c>
      <c r="Y259" s="51">
        <f t="shared" si="24"/>
        <v>9.9576994279595183</v>
      </c>
      <c r="Z259" s="51">
        <f t="shared" si="25"/>
        <v>0.21123852163126247</v>
      </c>
      <c r="AA259" s="52">
        <v>3</v>
      </c>
      <c r="AB259">
        <v>0</v>
      </c>
    </row>
    <row r="260" spans="1:28">
      <c r="A260" s="66">
        <v>2018</v>
      </c>
      <c r="B260" s="66" t="s">
        <v>481</v>
      </c>
      <c r="C260" s="49" t="s">
        <v>482</v>
      </c>
      <c r="D260" s="64">
        <v>1384227944</v>
      </c>
      <c r="E260" s="64">
        <v>90191394000</v>
      </c>
      <c r="F260" s="64">
        <v>1523517170000</v>
      </c>
      <c r="G260" s="10">
        <f t="shared" si="34"/>
        <v>192299843000</v>
      </c>
      <c r="H260" s="64">
        <v>47053513000</v>
      </c>
      <c r="I260" s="64">
        <v>239353356000</v>
      </c>
      <c r="J260" s="64">
        <v>1284163814000</v>
      </c>
      <c r="K260" s="67">
        <v>800659050</v>
      </c>
      <c r="L260" s="64">
        <v>893006350000</v>
      </c>
      <c r="M260" s="64">
        <v>241721111000</v>
      </c>
      <c r="N260" s="64">
        <f>166486011000+68361970000</f>
        <v>234847981000</v>
      </c>
      <c r="O260" s="10">
        <v>338129985000</v>
      </c>
      <c r="P260" s="10">
        <v>207667269000</v>
      </c>
      <c r="Q260" s="51">
        <v>5500</v>
      </c>
      <c r="R260" s="51">
        <f t="shared" si="26"/>
        <v>7.1982791166397362E-3</v>
      </c>
      <c r="S260" s="51">
        <f t="shared" si="27"/>
        <v>3.6641363420321392E-2</v>
      </c>
      <c r="T260" s="51">
        <f t="shared" si="35"/>
        <v>0.22194038351402368</v>
      </c>
      <c r="U260" s="51">
        <f t="shared" si="36"/>
        <v>0.26330751677760639</v>
      </c>
      <c r="V260" s="51">
        <f t="shared" si="37"/>
        <v>0.37864230752670458</v>
      </c>
      <c r="W260" s="51">
        <f t="shared" si="23"/>
        <v>4.7158257029290149E-2</v>
      </c>
      <c r="X260" s="58">
        <f t="shared" si="28"/>
        <v>0.61416401446916935</v>
      </c>
      <c r="Y260" s="51">
        <f t="shared" si="24"/>
        <v>13.023467217791998</v>
      </c>
      <c r="Z260" s="51">
        <f t="shared" si="25"/>
        <v>3.4291768129513733</v>
      </c>
      <c r="AA260" s="52">
        <v>3</v>
      </c>
      <c r="AB260">
        <v>0</v>
      </c>
    </row>
    <row r="261" spans="1:28">
      <c r="A261" s="66">
        <v>2019</v>
      </c>
      <c r="B261" s="66" t="s">
        <v>481</v>
      </c>
      <c r="C261" s="49" t="s">
        <v>482</v>
      </c>
      <c r="D261" s="64">
        <v>1292805083</v>
      </c>
      <c r="E261" s="64">
        <v>85234517000</v>
      </c>
      <c r="F261" s="64">
        <v>1425983722000</v>
      </c>
      <c r="G261" s="10">
        <f t="shared" si="34"/>
        <v>160587363000</v>
      </c>
      <c r="H261" s="64">
        <v>51833027000</v>
      </c>
      <c r="I261" s="64">
        <v>212420390000</v>
      </c>
      <c r="J261" s="64">
        <v>1213563332000</v>
      </c>
      <c r="K261" s="67">
        <v>800659050</v>
      </c>
      <c r="L261" s="64">
        <v>827136727000</v>
      </c>
      <c r="M261" s="64">
        <v>230440697000</v>
      </c>
      <c r="N261" s="64">
        <f>175692185000+79000788000</f>
        <v>254692973000</v>
      </c>
      <c r="O261" s="10">
        <v>317815177000</v>
      </c>
      <c r="P261" s="10">
        <v>382134244000</v>
      </c>
      <c r="Q261" s="51">
        <v>6800</v>
      </c>
      <c r="R261" s="51">
        <f t="shared" si="26"/>
        <v>8.0504783119204719E-3</v>
      </c>
      <c r="S261" s="51">
        <f t="shared" si="27"/>
        <v>4.2711431396478615E-2</v>
      </c>
      <c r="T261" s="51">
        <f t="shared" si="35"/>
        <v>0.2228743372710113</v>
      </c>
      <c r="U261" s="51">
        <f t="shared" si="36"/>
        <v>0.2618859425129697</v>
      </c>
      <c r="V261" s="51">
        <f t="shared" si="37"/>
        <v>0.38423535870871806</v>
      </c>
      <c r="W261" s="51">
        <f t="shared" si="23"/>
        <v>7.0187444147344846E-2</v>
      </c>
      <c r="X261" s="58">
        <f t="shared" si="28"/>
        <v>1.20237884045418</v>
      </c>
      <c r="Y261" s="51">
        <f t="shared" si="24"/>
        <v>17.13096772593714</v>
      </c>
      <c r="Z261" s="51">
        <f t="shared" si="25"/>
        <v>4.4863596290663139</v>
      </c>
      <c r="AA261" s="52">
        <v>3</v>
      </c>
      <c r="AB261">
        <v>0</v>
      </c>
    </row>
    <row r="262" spans="1:28">
      <c r="A262" s="66">
        <v>2020</v>
      </c>
      <c r="B262" s="66" t="s">
        <v>481</v>
      </c>
      <c r="C262" s="49" t="s">
        <v>482</v>
      </c>
      <c r="D262" s="64">
        <v>1103831856</v>
      </c>
      <c r="E262" s="64">
        <v>79117279000</v>
      </c>
      <c r="F262" s="64">
        <v>1225580913000</v>
      </c>
      <c r="G262" s="10">
        <f t="shared" si="34"/>
        <v>147207676000</v>
      </c>
      <c r="H262" s="64">
        <v>58474274000</v>
      </c>
      <c r="I262" s="64">
        <v>205681950000</v>
      </c>
      <c r="J262" s="64">
        <v>1019898963000</v>
      </c>
      <c r="K262" s="67">
        <v>800659050</v>
      </c>
      <c r="L262" s="64">
        <v>546336411000</v>
      </c>
      <c r="M262" s="64">
        <v>179156903000</v>
      </c>
      <c r="N262" s="64">
        <f>156629572000+78513510000</f>
        <v>235143082000</v>
      </c>
      <c r="O262" s="10">
        <v>123465762000</v>
      </c>
      <c r="P262" s="10">
        <v>311711537000</v>
      </c>
      <c r="Q262" s="51">
        <v>4400</v>
      </c>
      <c r="R262" s="51">
        <f t="shared" si="26"/>
        <v>7.4984666968045876E-3</v>
      </c>
      <c r="S262" s="51">
        <f t="shared" si="27"/>
        <v>5.733339881825137E-2</v>
      </c>
      <c r="T262" s="51">
        <f t="shared" si="35"/>
        <v>0.10074060446794833</v>
      </c>
      <c r="U262" s="51">
        <f t="shared" si="36"/>
        <v>0.12105685609957817</v>
      </c>
      <c r="V262" s="51">
        <f t="shared" si="37"/>
        <v>0.22598852925436816</v>
      </c>
      <c r="W262" s="51">
        <f t="shared" si="23"/>
        <v>8.848152173682873E-2</v>
      </c>
      <c r="X262" s="58">
        <f t="shared" si="28"/>
        <v>2.5246799756518734</v>
      </c>
      <c r="Y262" s="51">
        <f t="shared" si="24"/>
        <v>28.533414955961636</v>
      </c>
      <c r="Z262" s="51">
        <f t="shared" si="25"/>
        <v>3.4541655083533995</v>
      </c>
      <c r="AA262" s="52">
        <v>3</v>
      </c>
      <c r="AB262">
        <v>0</v>
      </c>
    </row>
    <row r="263" spans="1:28">
      <c r="A263" s="66">
        <v>2018</v>
      </c>
      <c r="B263" s="59" t="s">
        <v>483</v>
      </c>
      <c r="C263" s="49" t="s">
        <v>484</v>
      </c>
      <c r="D263" s="64">
        <v>1570545769306</v>
      </c>
      <c r="E263" s="64">
        <v>2280734909765</v>
      </c>
      <c r="F263" s="64">
        <v>4212408305683</v>
      </c>
      <c r="G263" s="10">
        <f t="shared" si="34"/>
        <v>1329358276278</v>
      </c>
      <c r="H263" s="64">
        <v>393641552725</v>
      </c>
      <c r="I263" s="64">
        <v>1722999829003</v>
      </c>
      <c r="J263" s="64">
        <v>2489408476680</v>
      </c>
      <c r="K263" s="67">
        <v>7130087567</v>
      </c>
      <c r="L263" s="64">
        <v>8048946664266</v>
      </c>
      <c r="M263" s="64">
        <v>5495794976776</v>
      </c>
      <c r="N263" s="64">
        <f>1361526966344+574981609169+48046719655</f>
        <v>1984555295168</v>
      </c>
      <c r="O263" s="10">
        <v>425481597110</v>
      </c>
      <c r="P263" s="10">
        <v>183082141237</v>
      </c>
      <c r="Q263" s="51">
        <v>1875</v>
      </c>
      <c r="R263" s="51">
        <f t="shared" si="26"/>
        <v>1.1814315202544856</v>
      </c>
      <c r="S263" s="51">
        <f t="shared" si="27"/>
        <v>0.15812654147059871</v>
      </c>
      <c r="T263" s="51">
        <f t="shared" si="35"/>
        <v>0.10100673207200231</v>
      </c>
      <c r="U263" s="51">
        <f t="shared" si="36"/>
        <v>0.17091674632579526</v>
      </c>
      <c r="V263" s="51">
        <f t="shared" si="37"/>
        <v>5.2861773702509746E-2</v>
      </c>
      <c r="W263" s="51">
        <f t="shared" si="23"/>
        <v>1.3694615633005077E-2</v>
      </c>
      <c r="X263" s="58">
        <f t="shared" si="28"/>
        <v>0.43029391278153839</v>
      </c>
      <c r="Y263" s="51">
        <f t="shared" si="24"/>
        <v>31.420663734767189</v>
      </c>
      <c r="Z263" s="51">
        <f t="shared" si="25"/>
        <v>5.3703176129433183</v>
      </c>
      <c r="AA263" s="52">
        <v>3</v>
      </c>
      <c r="AB263">
        <v>0</v>
      </c>
    </row>
    <row r="264" spans="1:28">
      <c r="A264" s="66">
        <v>2019</v>
      </c>
      <c r="B264" s="59" t="s">
        <v>483</v>
      </c>
      <c r="C264" s="49" t="s">
        <v>484</v>
      </c>
      <c r="D264" s="64">
        <v>1999886108743</v>
      </c>
      <c r="E264" s="64">
        <v>2715366689138</v>
      </c>
      <c r="F264" s="64">
        <v>5063067672414</v>
      </c>
      <c r="G264" s="10">
        <f t="shared" si="34"/>
        <v>1303881731637</v>
      </c>
      <c r="H264" s="64">
        <v>993665175862</v>
      </c>
      <c r="I264" s="64">
        <v>2297546907499</v>
      </c>
      <c r="J264" s="64">
        <v>2765520764915</v>
      </c>
      <c r="K264" s="67">
        <v>7379580291</v>
      </c>
      <c r="L264" s="64">
        <v>8438631355699</v>
      </c>
      <c r="M264" s="64">
        <v>5910489349236</v>
      </c>
      <c r="N264" s="64">
        <f>1355631464428+554177456534+57788727828</f>
        <v>1967597648790</v>
      </c>
      <c r="O264" s="10">
        <v>435766359480</v>
      </c>
      <c r="P264" s="10">
        <v>132379748022</v>
      </c>
      <c r="Q264" s="51">
        <v>1510</v>
      </c>
      <c r="R264" s="51">
        <f t="shared" si="26"/>
        <v>1.5337941012734178</v>
      </c>
      <c r="S264" s="51">
        <f t="shared" si="27"/>
        <v>0.35930490505376511</v>
      </c>
      <c r="T264" s="51">
        <f t="shared" si="35"/>
        <v>8.606765456726212E-2</v>
      </c>
      <c r="U264" s="51">
        <f t="shared" si="36"/>
        <v>0.15757117610845114</v>
      </c>
      <c r="V264" s="51">
        <f t="shared" si="37"/>
        <v>5.1639459186199277E-2</v>
      </c>
      <c r="W264" s="51">
        <f t="shared" si="23"/>
        <v>1.1879904255023404E-2</v>
      </c>
      <c r="X264" s="58">
        <f t="shared" si="28"/>
        <v>0.30378606595508828</v>
      </c>
      <c r="Y264" s="51">
        <f t="shared" si="24"/>
        <v>25.571423761823059</v>
      </c>
      <c r="Z264" s="51">
        <f t="shared" si="25"/>
        <v>4.0293193169180537</v>
      </c>
      <c r="AA264" s="52">
        <v>3</v>
      </c>
      <c r="AB264">
        <v>0</v>
      </c>
    </row>
    <row r="265" spans="1:28">
      <c r="A265" s="66">
        <v>2020</v>
      </c>
      <c r="B265" s="59" t="s">
        <v>483</v>
      </c>
      <c r="C265" s="49" t="s">
        <v>484</v>
      </c>
      <c r="D265" s="64">
        <v>2314323530275</v>
      </c>
      <c r="E265" s="64">
        <v>3217662289685</v>
      </c>
      <c r="F265" s="64">
        <v>6570969641033</v>
      </c>
      <c r="G265" s="10">
        <f t="shared" si="34"/>
        <v>1321529767664</v>
      </c>
      <c r="H265" s="64">
        <v>2355003084216</v>
      </c>
      <c r="I265" s="64">
        <v>3676532851880</v>
      </c>
      <c r="J265" s="64">
        <v>2894436789153</v>
      </c>
      <c r="K265" s="67">
        <v>7369648898</v>
      </c>
      <c r="L265" s="64">
        <v>7711334590144</v>
      </c>
      <c r="M265" s="64">
        <v>5568907814506</v>
      </c>
      <c r="N265" s="64">
        <f>1111326412293+603575877329+97215317609</f>
        <v>1812117607231</v>
      </c>
      <c r="O265" s="10">
        <v>245103761907</v>
      </c>
      <c r="P265" s="10">
        <v>213786027325</v>
      </c>
      <c r="Q265" s="51">
        <v>1270</v>
      </c>
      <c r="R265" s="51">
        <f t="shared" si="26"/>
        <v>1.7512458568117693</v>
      </c>
      <c r="S265" s="51">
        <f t="shared" si="27"/>
        <v>0.8136308566286381</v>
      </c>
      <c r="T265" s="51">
        <f t="shared" si="35"/>
        <v>3.7301003549982628E-2</v>
      </c>
      <c r="U265" s="51">
        <f t="shared" si="36"/>
        <v>8.4680986237299999E-2</v>
      </c>
      <c r="V265" s="51">
        <f t="shared" si="37"/>
        <v>3.1784869278045809E-2</v>
      </c>
      <c r="W265" s="51">
        <f t="shared" si="23"/>
        <v>2.2841719723214714E-2</v>
      </c>
      <c r="X265" s="58">
        <f t="shared" si="28"/>
        <v>0.87222662623235081</v>
      </c>
      <c r="Y265" s="51">
        <f t="shared" si="24"/>
        <v>38.185681148424266</v>
      </c>
      <c r="Z265" s="51">
        <f t="shared" si="25"/>
        <v>3.2336011397916415</v>
      </c>
      <c r="AA265" s="52">
        <v>3</v>
      </c>
      <c r="AB265">
        <v>0</v>
      </c>
    </row>
    <row r="266" spans="1:28">
      <c r="A266" s="66">
        <v>2018</v>
      </c>
      <c r="B266" s="73" t="s">
        <v>485</v>
      </c>
      <c r="C266" s="49" t="s">
        <v>486</v>
      </c>
      <c r="D266" s="64">
        <v>33272618000000</v>
      </c>
      <c r="E266" s="64">
        <v>42388236000000</v>
      </c>
      <c r="F266" s="64">
        <v>96537796000000</v>
      </c>
      <c r="G266" s="10">
        <f t="shared" si="34"/>
        <v>31204102000000</v>
      </c>
      <c r="H266" s="64">
        <v>15416894000000</v>
      </c>
      <c r="I266" s="64">
        <v>46620996000000</v>
      </c>
      <c r="J266" s="64">
        <v>49916800000000</v>
      </c>
      <c r="K266" s="67">
        <v>8780426500</v>
      </c>
      <c r="L266" s="64">
        <v>73394728000000</v>
      </c>
      <c r="M266" s="64">
        <v>53182723000000</v>
      </c>
      <c r="N266" s="64">
        <f>7817444000000+4466279000000+278450000000</f>
        <v>12562173000000</v>
      </c>
      <c r="O266" s="10">
        <v>4961851000000</v>
      </c>
      <c r="P266" s="10">
        <v>2651689000000</v>
      </c>
      <c r="Q266" s="51">
        <v>7450</v>
      </c>
      <c r="R266" s="51">
        <f t="shared" si="26"/>
        <v>1.0662898743248563</v>
      </c>
      <c r="S266" s="51">
        <f t="shared" si="27"/>
        <v>0.30885180941085966</v>
      </c>
      <c r="T266" s="51">
        <f t="shared" si="35"/>
        <v>5.1398014100094022E-2</v>
      </c>
      <c r="U266" s="51">
        <f t="shared" si="36"/>
        <v>9.9402425636258729E-2</v>
      </c>
      <c r="V266" s="51">
        <f t="shared" si="37"/>
        <v>6.7605005634737148E-2</v>
      </c>
      <c r="W266" s="51">
        <f t="shared" si="23"/>
        <v>4.0536915763257422E-2</v>
      </c>
      <c r="X266" s="58">
        <f t="shared" si="28"/>
        <v>0.53441528171644015</v>
      </c>
      <c r="Y266" s="74">
        <f t="shared" si="24"/>
        <v>13.183422360929418</v>
      </c>
      <c r="Z266" s="74">
        <f t="shared" si="25"/>
        <v>1.3104641608636771</v>
      </c>
      <c r="AA266" s="52">
        <v>3</v>
      </c>
      <c r="AB266">
        <v>0</v>
      </c>
    </row>
    <row r="267" spans="1:28">
      <c r="A267" s="66">
        <v>2019</v>
      </c>
      <c r="B267" s="73" t="s">
        <v>485</v>
      </c>
      <c r="C267" s="49" t="s">
        <v>486</v>
      </c>
      <c r="D267" s="64">
        <v>31403445000000</v>
      </c>
      <c r="E267" s="64">
        <v>43072504000000</v>
      </c>
      <c r="F267" s="64">
        <v>96198559000000</v>
      </c>
      <c r="G267" s="10">
        <f t="shared" si="34"/>
        <v>24686862000000</v>
      </c>
      <c r="H267" s="64">
        <v>17309209000000</v>
      </c>
      <c r="I267" s="64">
        <v>41996071000000</v>
      </c>
      <c r="J267" s="64">
        <v>54202488000000</v>
      </c>
      <c r="K267" s="67">
        <v>8780426500</v>
      </c>
      <c r="L267" s="64">
        <v>76592955000000</v>
      </c>
      <c r="M267" s="64">
        <v>53876594000000</v>
      </c>
      <c r="N267" s="64">
        <f>8489356000000+4697173000000+759131000000</f>
        <v>13945660000000</v>
      </c>
      <c r="O267" s="10">
        <v>5902729000000</v>
      </c>
      <c r="P267" s="10">
        <v>1501453000000</v>
      </c>
      <c r="Q267" s="51">
        <v>7925</v>
      </c>
      <c r="R267" s="51">
        <f t="shared" si="26"/>
        <v>1.2720711526641175</v>
      </c>
      <c r="S267" s="51">
        <f t="shared" si="27"/>
        <v>0.31934344047085073</v>
      </c>
      <c r="T267" s="51">
        <f t="shared" si="35"/>
        <v>6.1359848435983327E-2</v>
      </c>
      <c r="U267" s="51">
        <f t="shared" si="36"/>
        <v>0.10890144009625537</v>
      </c>
      <c r="V267" s="51">
        <f t="shared" si="37"/>
        <v>7.7066213204595641E-2</v>
      </c>
      <c r="W267" s="51">
        <f t="shared" si="23"/>
        <v>2.1577288050655313E-2</v>
      </c>
      <c r="X267" s="58">
        <f t="shared" si="28"/>
        <v>0.25436590431307282</v>
      </c>
      <c r="Y267" s="74">
        <f t="shared" si="24"/>
        <v>11.788594735164024</v>
      </c>
      <c r="Z267" s="74">
        <f t="shared" si="25"/>
        <v>1.2837949433704963</v>
      </c>
      <c r="AA267" s="52">
        <v>3</v>
      </c>
      <c r="AB267">
        <v>0</v>
      </c>
    </row>
    <row r="268" spans="1:28">
      <c r="A268" s="66">
        <v>2020</v>
      </c>
      <c r="B268" s="73" t="s">
        <v>485</v>
      </c>
      <c r="C268" s="49" t="s">
        <v>486</v>
      </c>
      <c r="D268" s="64">
        <v>38418238000000</v>
      </c>
      <c r="E268" s="64">
        <v>45862919000000</v>
      </c>
      <c r="F268" s="64">
        <v>163136516000000</v>
      </c>
      <c r="G268" s="10">
        <f t="shared" si="34"/>
        <v>27975875000000</v>
      </c>
      <c r="H268" s="64">
        <v>56022597000000</v>
      </c>
      <c r="I268" s="64">
        <v>83998472000000</v>
      </c>
      <c r="J268" s="64">
        <v>79138044000000</v>
      </c>
      <c r="K268" s="67">
        <v>8780426500</v>
      </c>
      <c r="L268" s="64">
        <v>81731469000000</v>
      </c>
      <c r="M268" s="64">
        <v>54979425000000</v>
      </c>
      <c r="N268" s="64">
        <f>9077860000000+5087140000000+563315000000</f>
        <v>14728315000000</v>
      </c>
      <c r="O268" s="10">
        <v>8752066000000</v>
      </c>
      <c r="P268" s="10">
        <v>2440959000000</v>
      </c>
      <c r="Q268" s="51">
        <v>6850</v>
      </c>
      <c r="R268" s="51">
        <f t="shared" si="26"/>
        <v>1.3732631419035151</v>
      </c>
      <c r="S268" s="51">
        <f t="shared" si="27"/>
        <v>0.70790980125816605</v>
      </c>
      <c r="T268" s="51">
        <f t="shared" si="35"/>
        <v>5.3648724482996804E-2</v>
      </c>
      <c r="U268" s="51">
        <f t="shared" si="36"/>
        <v>0.11059239725459982</v>
      </c>
      <c r="V268" s="51">
        <f t="shared" si="37"/>
        <v>0.10708318481342848</v>
      </c>
      <c r="W268" s="51">
        <f t="shared" si="23"/>
        <v>4.0583948804997549E-2</v>
      </c>
      <c r="X268" s="58">
        <f t="shared" si="28"/>
        <v>0.27890089037262744</v>
      </c>
      <c r="Y268" s="74">
        <f t="shared" si="24"/>
        <v>6.8721969789761648</v>
      </c>
      <c r="Z268" s="74">
        <f t="shared" si="25"/>
        <v>0.76001273831079263</v>
      </c>
      <c r="AA268" s="52">
        <v>3</v>
      </c>
      <c r="AB268">
        <v>0</v>
      </c>
    </row>
    <row r="269" spans="1:28">
      <c r="A269" s="66">
        <v>2018</v>
      </c>
      <c r="B269" s="59" t="s">
        <v>487</v>
      </c>
      <c r="C269" s="49" t="s">
        <v>488</v>
      </c>
      <c r="D269" s="64">
        <v>12647858727872</v>
      </c>
      <c r="E269" s="64">
        <v>4258300525120</v>
      </c>
      <c r="F269" s="64">
        <v>17591706426634</v>
      </c>
      <c r="G269" s="10">
        <f t="shared" si="34"/>
        <v>4764510387113</v>
      </c>
      <c r="H269" s="64">
        <v>4284651557827</v>
      </c>
      <c r="I269" s="64">
        <v>9049161944940</v>
      </c>
      <c r="J269" s="64">
        <v>8542544481694</v>
      </c>
      <c r="K269" s="67">
        <v>22358699725</v>
      </c>
      <c r="L269" s="64">
        <v>24060802395725</v>
      </c>
      <c r="M269" s="64">
        <v>17664148865078</v>
      </c>
      <c r="N269" s="64">
        <v>3768761522641</v>
      </c>
      <c r="O269" s="10">
        <v>1760434280304</v>
      </c>
      <c r="P269" s="10">
        <v>603684892575</v>
      </c>
      <c r="Q269" s="51">
        <v>2620</v>
      </c>
      <c r="R269" s="51">
        <f t="shared" si="26"/>
        <v>2.6545977866019146</v>
      </c>
      <c r="S269" s="51">
        <f t="shared" si="27"/>
        <v>0.5015661981051045</v>
      </c>
      <c r="T269" s="51">
        <f t="shared" si="35"/>
        <v>0.10007183144204174</v>
      </c>
      <c r="U269" s="51">
        <f t="shared" si="36"/>
        <v>0.20607844466908801</v>
      </c>
      <c r="V269" s="51">
        <f t="shared" si="37"/>
        <v>7.3166067006010777E-2</v>
      </c>
      <c r="W269" s="51">
        <f t="shared" si="23"/>
        <v>1.0305343511450382E-2</v>
      </c>
      <c r="X269" s="58">
        <f t="shared" si="28"/>
        <v>0.3429181647557743</v>
      </c>
      <c r="Y269" s="51">
        <f t="shared" si="24"/>
        <v>33.275762654078839</v>
      </c>
      <c r="Z269" s="51">
        <f t="shared" si="25"/>
        <v>6.8574174129302907</v>
      </c>
      <c r="AA269" s="52">
        <v>3</v>
      </c>
      <c r="AB269">
        <v>0</v>
      </c>
    </row>
    <row r="270" spans="1:28">
      <c r="A270" s="66">
        <v>2019</v>
      </c>
      <c r="B270" s="59" t="s">
        <v>487</v>
      </c>
      <c r="C270" s="49" t="s">
        <v>488</v>
      </c>
      <c r="D270" s="64">
        <v>12776102781513</v>
      </c>
      <c r="E270" s="64">
        <v>4674963819225</v>
      </c>
      <c r="F270" s="64">
        <v>19037918806473</v>
      </c>
      <c r="G270" s="10">
        <f t="shared" si="34"/>
        <v>3726359539201</v>
      </c>
      <c r="H270" s="64">
        <v>5411619071954</v>
      </c>
      <c r="I270" s="64">
        <v>9137978611155</v>
      </c>
      <c r="J270" s="64">
        <v>9899940195318</v>
      </c>
      <c r="K270" s="67">
        <v>22358699725</v>
      </c>
      <c r="L270" s="64">
        <v>25026739472547</v>
      </c>
      <c r="M270" s="64">
        <v>17109498526032</v>
      </c>
      <c r="N270" s="64">
        <v>4744976395481</v>
      </c>
      <c r="O270" s="10">
        <v>2039404206764</v>
      </c>
      <c r="P270" s="10">
        <v>648402292025</v>
      </c>
      <c r="Q270" s="51">
        <v>2050</v>
      </c>
      <c r="R270" s="51">
        <f t="shared" si="26"/>
        <v>3.4285748992037499</v>
      </c>
      <c r="S270" s="51">
        <f t="shared" si="27"/>
        <v>0.54663149121984889</v>
      </c>
      <c r="T270" s="51">
        <f t="shared" si="35"/>
        <v>0.10712327473896942</v>
      </c>
      <c r="U270" s="51">
        <f t="shared" si="36"/>
        <v>0.20600166935639669</v>
      </c>
      <c r="V270" s="51">
        <f t="shared" si="37"/>
        <v>8.1489009345429034E-2</v>
      </c>
      <c r="W270" s="51">
        <f t="shared" si="23"/>
        <v>1.4146341463414635E-2</v>
      </c>
      <c r="X270" s="58">
        <f t="shared" si="28"/>
        <v>0.31793711608246827</v>
      </c>
      <c r="Y270" s="51">
        <f t="shared" si="24"/>
        <v>22.474865102381376</v>
      </c>
      <c r="Z270" s="51">
        <f t="shared" si="25"/>
        <v>4.6298597296503878</v>
      </c>
      <c r="AA270" s="52">
        <v>3</v>
      </c>
      <c r="AB270">
        <v>0</v>
      </c>
    </row>
    <row r="271" spans="1:28">
      <c r="A271" s="66">
        <v>2020</v>
      </c>
      <c r="B271" s="66" t="s">
        <v>487</v>
      </c>
      <c r="C271" s="49" t="s">
        <v>488</v>
      </c>
      <c r="D271" s="64">
        <v>12838729162094</v>
      </c>
      <c r="E271" s="64">
        <v>6043201970326</v>
      </c>
      <c r="F271" s="64">
        <v>19777500514550</v>
      </c>
      <c r="G271" s="10">
        <f t="shared" si="34"/>
        <v>3475323711943</v>
      </c>
      <c r="H271" s="64">
        <v>5030708752649</v>
      </c>
      <c r="I271" s="64">
        <v>8506032464592</v>
      </c>
      <c r="J271" s="64">
        <v>11271468049958</v>
      </c>
      <c r="K271" s="67">
        <v>22358699725</v>
      </c>
      <c r="L271" s="64">
        <v>24476953742651</v>
      </c>
      <c r="M271" s="64">
        <v>17177830782966</v>
      </c>
      <c r="N271" s="64">
        <v>4468194765530</v>
      </c>
      <c r="O271" s="10">
        <v>2098168514645</v>
      </c>
      <c r="P271" s="10">
        <v>670760991750</v>
      </c>
      <c r="Q271" s="51">
        <v>2710</v>
      </c>
      <c r="R271" s="51">
        <f t="shared" si="26"/>
        <v>3.6942541835667053</v>
      </c>
      <c r="S271" s="51">
        <f t="shared" si="27"/>
        <v>0.44632240719235733</v>
      </c>
      <c r="T271" s="51">
        <f t="shared" si="35"/>
        <v>0.10608865933798915</v>
      </c>
      <c r="U271" s="51">
        <f t="shared" si="36"/>
        <v>0.18614864588582303</v>
      </c>
      <c r="V271" s="51">
        <f t="shared" si="37"/>
        <v>8.5720165046067359E-2</v>
      </c>
      <c r="W271" s="51">
        <f t="shared" si="23"/>
        <v>1.107011070110701E-2</v>
      </c>
      <c r="X271" s="58">
        <f t="shared" si="28"/>
        <v>0.31968880815251843</v>
      </c>
      <c r="Y271" s="51">
        <f t="shared" si="24"/>
        <v>28.878555669777501</v>
      </c>
      <c r="Z271" s="51">
        <f t="shared" si="25"/>
        <v>5.3757040330674384</v>
      </c>
      <c r="AA271" s="52">
        <v>3</v>
      </c>
      <c r="AB271">
        <v>0</v>
      </c>
    </row>
    <row r="272" spans="1:28">
      <c r="A272" s="66">
        <v>2018</v>
      </c>
      <c r="B272" s="66" t="s">
        <v>489</v>
      </c>
      <c r="C272" s="49" t="s">
        <v>490</v>
      </c>
      <c r="D272" s="64">
        <v>322856090927</v>
      </c>
      <c r="E272" s="64">
        <v>182939273529</v>
      </c>
      <c r="F272" s="64">
        <v>536474618119576</v>
      </c>
      <c r="G272" s="10">
        <f t="shared" si="34"/>
        <v>140400984686</v>
      </c>
      <c r="H272" s="64">
        <v>21288318855</v>
      </c>
      <c r="I272" s="64">
        <v>161689303541</v>
      </c>
      <c r="J272" s="64">
        <v>374784906962</v>
      </c>
      <c r="K272" s="67">
        <v>1230000000</v>
      </c>
      <c r="L272" s="64">
        <v>856750384301</v>
      </c>
      <c r="M272" s="64">
        <v>555042585618</v>
      </c>
      <c r="N272" s="64">
        <f>175978684559+22971515012+8891681794</f>
        <v>207841881365</v>
      </c>
      <c r="O272" s="10">
        <v>67479160972</v>
      </c>
      <c r="P272" s="10">
        <v>48666666666</v>
      </c>
      <c r="Q272" s="51"/>
      <c r="R272" s="51">
        <f t="shared" si="26"/>
        <v>2.2995286795819276</v>
      </c>
      <c r="S272" s="51">
        <f t="shared" si="27"/>
        <v>5.6801430526012227E-2</v>
      </c>
      <c r="T272" s="51">
        <f t="shared" si="35"/>
        <v>1.2578257888234224E-4</v>
      </c>
      <c r="U272" s="51">
        <f t="shared" si="36"/>
        <v>0.18004770127747383</v>
      </c>
      <c r="V272" s="51">
        <f t="shared" si="37"/>
        <v>7.8761751623904391E-2</v>
      </c>
      <c r="W272" s="51" t="e">
        <f t="shared" si="23"/>
        <v>#DIV/0!</v>
      </c>
      <c r="X272" s="58">
        <f t="shared" si="28"/>
        <v>0.72121031093130938</v>
      </c>
      <c r="Y272" s="51">
        <f t="shared" si="24"/>
        <v>0</v>
      </c>
      <c r="Z272" s="51">
        <f t="shared" si="25"/>
        <v>0</v>
      </c>
      <c r="AA272" s="52">
        <v>3</v>
      </c>
      <c r="AB272">
        <v>0</v>
      </c>
    </row>
    <row r="273" spans="1:28">
      <c r="A273" s="66">
        <v>2019</v>
      </c>
      <c r="B273" s="66" t="s">
        <v>489</v>
      </c>
      <c r="C273" s="49" t="s">
        <v>490</v>
      </c>
      <c r="D273" s="64">
        <v>498883575576</v>
      </c>
      <c r="E273" s="64">
        <v>138148991989</v>
      </c>
      <c r="F273" s="64">
        <v>167429811097</v>
      </c>
      <c r="G273" s="10">
        <f t="shared" si="34"/>
        <v>201269847299</v>
      </c>
      <c r="H273" s="64">
        <v>29349562487</v>
      </c>
      <c r="I273" s="64">
        <v>230619409786</v>
      </c>
      <c r="J273" s="64">
        <v>435693976887</v>
      </c>
      <c r="K273" s="67">
        <v>1230000000</v>
      </c>
      <c r="L273" s="64">
        <v>978806205312</v>
      </c>
      <c r="M273" s="64">
        <v>623784665515</v>
      </c>
      <c r="N273" s="64">
        <f>190933841644+23843523817+6822224341</f>
        <v>221599589802</v>
      </c>
      <c r="O273" s="10">
        <v>98047666143</v>
      </c>
      <c r="P273" s="10">
        <v>208000000000</v>
      </c>
      <c r="Q273" s="51">
        <v>940</v>
      </c>
      <c r="R273" s="51">
        <f t="shared" si="26"/>
        <v>2.4786801514032781</v>
      </c>
      <c r="S273" s="51">
        <f t="shared" si="27"/>
        <v>6.7362791417729412E-2</v>
      </c>
      <c r="T273" s="51">
        <f t="shared" si="35"/>
        <v>0.58560459156342448</v>
      </c>
      <c r="U273" s="51">
        <f t="shared" si="36"/>
        <v>0.22503791960481767</v>
      </c>
      <c r="V273" s="51">
        <f t="shared" si="37"/>
        <v>0.10017066259990327</v>
      </c>
      <c r="W273" s="51">
        <f t="shared" si="23"/>
        <v>0.17989967133713888</v>
      </c>
      <c r="X273" s="58">
        <f t="shared" si="28"/>
        <v>2.1214171451734236</v>
      </c>
      <c r="Y273" s="51">
        <f t="shared" si="24"/>
        <v>11.792223573314963</v>
      </c>
      <c r="Z273" s="51">
        <f t="shared" si="25"/>
        <v>2.6536974604536887</v>
      </c>
      <c r="AA273" s="52">
        <v>3</v>
      </c>
      <c r="AB273">
        <v>0</v>
      </c>
    </row>
    <row r="274" spans="1:28">
      <c r="A274" s="66">
        <v>2020</v>
      </c>
      <c r="B274" s="66" t="s">
        <v>489</v>
      </c>
      <c r="C274" s="49" t="s">
        <v>490</v>
      </c>
      <c r="D274" s="64">
        <v>500560734326</v>
      </c>
      <c r="E274" s="64">
        <v>131897013807</v>
      </c>
      <c r="F274" s="64">
        <v>674806910037</v>
      </c>
      <c r="G274" s="10">
        <f t="shared" si="34"/>
        <v>197366118342</v>
      </c>
      <c r="H274" s="64">
        <v>36539827577</v>
      </c>
      <c r="I274" s="64">
        <v>233905945919</v>
      </c>
      <c r="J274" s="64">
        <v>440900964118</v>
      </c>
      <c r="K274" s="67">
        <v>1500000000</v>
      </c>
      <c r="L274" s="64">
        <v>900852668263</v>
      </c>
      <c r="M274" s="64">
        <v>610850195613</v>
      </c>
      <c r="N274" s="64">
        <f>114037904664+27757363797+2119771465</f>
        <v>143915039926</v>
      </c>
      <c r="O274" s="10">
        <v>157207256439</v>
      </c>
      <c r="P274" s="10">
        <v>165500000000</v>
      </c>
      <c r="Q274" s="51">
        <v>1355</v>
      </c>
      <c r="R274" s="51">
        <f t="shared" si="26"/>
        <v>2.5362039773139697</v>
      </c>
      <c r="S274" s="51">
        <f t="shared" si="27"/>
        <v>8.2875363291836007E-2</v>
      </c>
      <c r="T274" s="51">
        <f t="shared" si="35"/>
        <v>0.23296628131798508</v>
      </c>
      <c r="U274" s="51">
        <f t="shared" si="36"/>
        <v>0.35655911243806221</v>
      </c>
      <c r="V274" s="51">
        <f t="shared" si="37"/>
        <v>0.17450939757121753</v>
      </c>
      <c r="W274" s="51">
        <f t="shared" si="23"/>
        <v>8.1426814268142675E-2</v>
      </c>
      <c r="X274" s="58">
        <f t="shared" si="28"/>
        <v>1.0527503866478185</v>
      </c>
      <c r="Y274" s="51">
        <f t="shared" si="24"/>
        <v>12.928792512759463</v>
      </c>
      <c r="Z274" s="51">
        <f t="shared" si="25"/>
        <v>4.609878783245378</v>
      </c>
      <c r="AA274" s="52">
        <v>3</v>
      </c>
      <c r="AB274">
        <v>0</v>
      </c>
    </row>
    <row r="275" spans="1:28">
      <c r="A275" s="66">
        <v>2018</v>
      </c>
      <c r="B275" s="66" t="s">
        <v>491</v>
      </c>
      <c r="C275" s="49" t="s">
        <v>492</v>
      </c>
      <c r="D275" s="64">
        <v>1228961000000</v>
      </c>
      <c r="E275" s="64">
        <v>1524061000000</v>
      </c>
      <c r="F275" s="64">
        <v>2889501000000</v>
      </c>
      <c r="G275" s="10">
        <f t="shared" si="34"/>
        <v>1578919000000</v>
      </c>
      <c r="H275" s="64">
        <v>143046000000</v>
      </c>
      <c r="I275" s="64">
        <v>1721965000000</v>
      </c>
      <c r="J275" s="64">
        <v>1167536000000</v>
      </c>
      <c r="K275" s="67">
        <v>2107000000</v>
      </c>
      <c r="L275" s="64">
        <v>3574801000000</v>
      </c>
      <c r="M275" s="64">
        <v>1364750000000</v>
      </c>
      <c r="N275" s="64">
        <f>338337000000+198772000000+15</f>
        <v>537109000015</v>
      </c>
      <c r="O275" s="10">
        <v>1224807000000</v>
      </c>
      <c r="P275" s="10">
        <v>1121756000000</v>
      </c>
      <c r="Q275" s="51">
        <v>16000</v>
      </c>
      <c r="R275" s="51">
        <f t="shared" si="26"/>
        <v>0.77835595112858857</v>
      </c>
      <c r="S275" s="51">
        <f t="shared" si="27"/>
        <v>0.12251956256595085</v>
      </c>
      <c r="T275" s="51">
        <f t="shared" si="35"/>
        <v>0.4238818398055581</v>
      </c>
      <c r="U275" s="51">
        <f t="shared" si="36"/>
        <v>1.0490528771703826</v>
      </c>
      <c r="V275" s="51">
        <f t="shared" si="37"/>
        <v>0.34262242849322244</v>
      </c>
      <c r="W275" s="51">
        <f t="shared" si="23"/>
        <v>3.3274679639297582E-2</v>
      </c>
      <c r="X275" s="58">
        <f t="shared" si="28"/>
        <v>0.91586347889912456</v>
      </c>
      <c r="Y275" s="51">
        <f t="shared" si="24"/>
        <v>27.524336487299628</v>
      </c>
      <c r="Z275" s="51">
        <f t="shared" si="25"/>
        <v>28.874484384207427</v>
      </c>
      <c r="AA275" s="52">
        <v>3</v>
      </c>
      <c r="AB275">
        <v>2</v>
      </c>
    </row>
    <row r="276" spans="1:28">
      <c r="A276" s="66">
        <v>2019</v>
      </c>
      <c r="B276" s="66" t="s">
        <v>491</v>
      </c>
      <c r="C276" s="49" t="s">
        <v>492</v>
      </c>
      <c r="D276" s="64">
        <v>1162802000000</v>
      </c>
      <c r="E276" s="64">
        <v>1559289000000</v>
      </c>
      <c r="F276" s="64">
        <v>2896950000000</v>
      </c>
      <c r="G276" s="10">
        <f t="shared" si="34"/>
        <v>1588693000000</v>
      </c>
      <c r="H276" s="64">
        <v>162250000000</v>
      </c>
      <c r="I276" s="64">
        <v>1750943000000</v>
      </c>
      <c r="J276" s="64">
        <v>1146007000000</v>
      </c>
      <c r="K276" s="67">
        <v>2107000000</v>
      </c>
      <c r="L276" s="64">
        <v>3711405000000</v>
      </c>
      <c r="M276" s="64">
        <v>1426351000000</v>
      </c>
      <c r="N276" s="64">
        <f>367927000000+207854000000</f>
        <v>575781000000</v>
      </c>
      <c r="O276" s="10">
        <v>1206059000000</v>
      </c>
      <c r="P276" s="10">
        <v>1224323000000</v>
      </c>
      <c r="Q276" s="51">
        <v>15500</v>
      </c>
      <c r="R276" s="51">
        <f t="shared" si="26"/>
        <v>0.73192366303621903</v>
      </c>
      <c r="S276" s="51">
        <f t="shared" si="27"/>
        <v>0.14157854184136745</v>
      </c>
      <c r="T276" s="51">
        <f t="shared" si="35"/>
        <v>0.41632026786793008</v>
      </c>
      <c r="U276" s="51">
        <f t="shared" si="36"/>
        <v>1.0524010760841775</v>
      </c>
      <c r="V276" s="51">
        <f t="shared" si="37"/>
        <v>0.32496022395831231</v>
      </c>
      <c r="W276" s="51">
        <f t="shared" si="23"/>
        <v>3.7488647672122108E-2</v>
      </c>
      <c r="X276" s="58">
        <f t="shared" si="28"/>
        <v>1.0151435377539573</v>
      </c>
      <c r="Y276" s="51">
        <f t="shared" si="24"/>
        <v>27.07869183845898</v>
      </c>
      <c r="Z276" s="51">
        <f t="shared" si="25"/>
        <v>28.497644429746064</v>
      </c>
      <c r="AA276" s="52">
        <v>3</v>
      </c>
      <c r="AB276">
        <v>2</v>
      </c>
    </row>
    <row r="277" spans="1:28">
      <c r="A277" s="66">
        <v>2020</v>
      </c>
      <c r="B277" s="66" t="s">
        <v>491</v>
      </c>
      <c r="C277" s="49" t="s">
        <v>492</v>
      </c>
      <c r="D277" s="64">
        <v>1189261000000</v>
      </c>
      <c r="E277" s="64">
        <v>1479447000000</v>
      </c>
      <c r="F277" s="64">
        <v>2907425000000</v>
      </c>
      <c r="G277" s="10">
        <f t="shared" si="34"/>
        <v>1338441000000</v>
      </c>
      <c r="H277" s="64">
        <v>135578000000</v>
      </c>
      <c r="I277" s="64">
        <v>1474019000000</v>
      </c>
      <c r="J277" s="64">
        <v>1433406000000</v>
      </c>
      <c r="K277" s="67">
        <v>2107000000</v>
      </c>
      <c r="L277" s="64">
        <v>1985009000000</v>
      </c>
      <c r="M277" s="64">
        <v>1044783000000</v>
      </c>
      <c r="N277" s="64">
        <f>257864000000+191970000000</f>
        <v>449834000000</v>
      </c>
      <c r="O277" s="10">
        <v>285617000000</v>
      </c>
      <c r="P277" s="10">
        <v>500000000</v>
      </c>
      <c r="Q277" s="51">
        <v>9700</v>
      </c>
      <c r="R277" s="51">
        <f t="shared" si="26"/>
        <v>0.8885419678566332</v>
      </c>
      <c r="S277" s="51">
        <f t="shared" si="27"/>
        <v>9.4584507111034832E-2</v>
      </c>
      <c r="T277" s="51">
        <f t="shared" si="35"/>
        <v>9.8237099839204797E-2</v>
      </c>
      <c r="U277" s="51">
        <f t="shared" si="36"/>
        <v>0.19925757252306744</v>
      </c>
      <c r="V277" s="51">
        <f t="shared" si="37"/>
        <v>0.14388700504632473</v>
      </c>
      <c r="W277" s="51">
        <f t="shared" si="23"/>
        <v>2.4464352991256439E-5</v>
      </c>
      <c r="X277" s="58">
        <f t="shared" si="28"/>
        <v>1.750596077964547E-3</v>
      </c>
      <c r="Y277" s="51">
        <f t="shared" si="24"/>
        <v>71.557015163663237</v>
      </c>
      <c r="Z277" s="51">
        <f t="shared" si="25"/>
        <v>14.258277138507861</v>
      </c>
      <c r="AA277" s="52">
        <v>3</v>
      </c>
      <c r="AB277">
        <v>0</v>
      </c>
    </row>
    <row r="278" spans="1:28">
      <c r="A278" s="6">
        <v>2018</v>
      </c>
      <c r="B278" s="6" t="s">
        <v>245</v>
      </c>
      <c r="C278" s="7" t="s">
        <v>246</v>
      </c>
      <c r="D278" s="10">
        <v>788973000000</v>
      </c>
      <c r="E278" s="10">
        <v>764532000000</v>
      </c>
      <c r="F278" s="10">
        <v>1816406000000</v>
      </c>
      <c r="G278" s="10">
        <f t="shared" si="34"/>
        <v>5177830000000</v>
      </c>
      <c r="H278" s="10">
        <v>89518000000</v>
      </c>
      <c r="I278" s="10">
        <v>5267348000000</v>
      </c>
      <c r="J278" s="10">
        <v>-3450942000000</v>
      </c>
      <c r="K278" s="8">
        <v>23450000000</v>
      </c>
      <c r="L278" s="10">
        <v>1583265000000</v>
      </c>
      <c r="M278" s="10">
        <v>1123521000000</v>
      </c>
      <c r="N278" s="9">
        <f>395353000000+91748000000</f>
        <v>487101000000</v>
      </c>
      <c r="O278" s="10">
        <v>-123513000000</v>
      </c>
      <c r="P278" s="10">
        <v>0</v>
      </c>
      <c r="Q278" s="51">
        <v>168</v>
      </c>
      <c r="R278" s="51">
        <f t="shared" si="26"/>
        <v>0.15237522282500585</v>
      </c>
      <c r="S278" s="51">
        <f t="shared" si="27"/>
        <v>-2.5940163584319876E-2</v>
      </c>
      <c r="T278" s="51">
        <f t="shared" si="35"/>
        <v>-6.7998564197651851E-2</v>
      </c>
      <c r="U278" s="51">
        <f t="shared" si="36"/>
        <v>3.5791097039590929E-2</v>
      </c>
      <c r="V278" s="51">
        <f t="shared" si="37"/>
        <v>-7.8011577341758967E-2</v>
      </c>
      <c r="W278" s="51">
        <f t="shared" si="23"/>
        <v>0</v>
      </c>
      <c r="X278" s="58">
        <f t="shared" si="28"/>
        <v>0</v>
      </c>
      <c r="Y278" s="51">
        <f t="shared" si="24"/>
        <v>-31.89623764300114</v>
      </c>
      <c r="Z278" s="51">
        <f t="shared" si="25"/>
        <v>-1.1416013366785067</v>
      </c>
      <c r="AA278" s="52">
        <v>3</v>
      </c>
      <c r="AB278">
        <v>0</v>
      </c>
    </row>
    <row r="279" spans="1:28">
      <c r="A279" s="6">
        <v>2019</v>
      </c>
      <c r="B279" s="6" t="s">
        <v>245</v>
      </c>
      <c r="C279" s="7" t="s">
        <v>246</v>
      </c>
      <c r="D279" s="10">
        <v>474261000000</v>
      </c>
      <c r="E279" s="10">
        <v>1150417000000</v>
      </c>
      <c r="F279" s="10">
        <v>1868966000000</v>
      </c>
      <c r="G279" s="10">
        <f t="shared" si="34"/>
        <v>1152923000000</v>
      </c>
      <c r="H279" s="10">
        <v>2373896000000</v>
      </c>
      <c r="I279" s="10">
        <v>3526819000000</v>
      </c>
      <c r="J279" s="10">
        <v>-1657853000000</v>
      </c>
      <c r="K279" s="8">
        <v>23450000000</v>
      </c>
      <c r="L279" s="10">
        <v>1510427000000</v>
      </c>
      <c r="M279" s="10">
        <v>1062970000000</v>
      </c>
      <c r="N279" s="9">
        <f>538628000000+322278000000</f>
        <v>860906000000</v>
      </c>
      <c r="O279" s="10">
        <v>1134776000000</v>
      </c>
      <c r="P279" s="10">
        <v>0</v>
      </c>
      <c r="Q279" s="51">
        <v>168</v>
      </c>
      <c r="R279" s="51">
        <f t="shared" si="26"/>
        <v>0.41135531167302586</v>
      </c>
      <c r="S279" s="51">
        <f t="shared" si="27"/>
        <v>-1.4319098255394176</v>
      </c>
      <c r="T279" s="51">
        <f t="shared" si="35"/>
        <v>0.60716781364669015</v>
      </c>
      <c r="U279" s="51">
        <f t="shared" si="36"/>
        <v>-0.68448529513774747</v>
      </c>
      <c r="V279" s="51">
        <f t="shared" si="37"/>
        <v>0.75129483252086993</v>
      </c>
      <c r="W279" s="51">
        <f t="shared" si="23"/>
        <v>0</v>
      </c>
      <c r="X279" s="58">
        <f t="shared" si="28"/>
        <v>0</v>
      </c>
      <c r="Y279" s="51">
        <f t="shared" si="24"/>
        <v>3.4716983792396032</v>
      </c>
      <c r="Z279" s="51">
        <f t="shared" si="25"/>
        <v>-2.3763264897430592</v>
      </c>
      <c r="AA279" s="52">
        <v>3</v>
      </c>
      <c r="AB279">
        <v>0</v>
      </c>
    </row>
    <row r="280" spans="1:28">
      <c r="A280" s="6">
        <v>2020</v>
      </c>
      <c r="B280" s="6" t="s">
        <v>245</v>
      </c>
      <c r="C280" s="7" t="s">
        <v>246</v>
      </c>
      <c r="D280" s="10">
        <v>695360000000</v>
      </c>
      <c r="E280" s="10">
        <v>1081687000000</v>
      </c>
      <c r="F280" s="10">
        <v>2011557000000</v>
      </c>
      <c r="G280" s="10">
        <f t="shared" si="34"/>
        <v>855449000000</v>
      </c>
      <c r="H280" s="10">
        <v>327851000000</v>
      </c>
      <c r="I280" s="10">
        <v>1183300000000</v>
      </c>
      <c r="J280" s="10">
        <v>828257000000</v>
      </c>
      <c r="K280" s="8">
        <v>23450000000</v>
      </c>
      <c r="L280" s="10">
        <v>1283331000000</v>
      </c>
      <c r="M280" s="10">
        <v>965172000000</v>
      </c>
      <c r="N280" s="9">
        <f>480135000000+7497000000</f>
        <v>487632000000</v>
      </c>
      <c r="O280" s="10">
        <v>1204972000000</v>
      </c>
      <c r="P280" s="10">
        <v>0</v>
      </c>
      <c r="Q280" s="51">
        <v>390</v>
      </c>
      <c r="R280" s="51">
        <f t="shared" si="26"/>
        <v>0.81285967953671112</v>
      </c>
      <c r="S280" s="51">
        <f t="shared" si="27"/>
        <v>0.39583245297051517</v>
      </c>
      <c r="T280" s="51">
        <f t="shared" si="35"/>
        <v>0.59902453671459477</v>
      </c>
      <c r="U280" s="51">
        <f t="shared" si="36"/>
        <v>1.4548286341075294</v>
      </c>
      <c r="V280" s="51">
        <f t="shared" si="37"/>
        <v>0.93894092794454431</v>
      </c>
      <c r="W280" s="51">
        <f t="shared" si="23"/>
        <v>0</v>
      </c>
      <c r="X280" s="58">
        <f t="shared" si="28"/>
        <v>0</v>
      </c>
      <c r="Y280" s="51">
        <f t="shared" si="24"/>
        <v>7.5898029165822942</v>
      </c>
      <c r="Z280" s="51">
        <f t="shared" si="25"/>
        <v>11.041862610276761</v>
      </c>
      <c r="AA280" s="52">
        <v>3</v>
      </c>
      <c r="AB280">
        <v>2</v>
      </c>
    </row>
    <row r="281" spans="1:28">
      <c r="A281" s="6">
        <v>2018</v>
      </c>
      <c r="B281" s="82" t="s">
        <v>249</v>
      </c>
      <c r="C281" s="7" t="s">
        <v>250</v>
      </c>
      <c r="D281" s="9">
        <v>1876409299238</v>
      </c>
      <c r="E281" s="10">
        <v>2222133112899</v>
      </c>
      <c r="F281" s="10">
        <v>4393810380883</v>
      </c>
      <c r="G281" s="10">
        <f t="shared" si="34"/>
        <v>525422150049</v>
      </c>
      <c r="H281" s="10">
        <v>951487110723</v>
      </c>
      <c r="I281" s="10">
        <v>1476909260772</v>
      </c>
      <c r="J281" s="10">
        <v>2916901120111</v>
      </c>
      <c r="K281" s="8">
        <v>17200000000</v>
      </c>
      <c r="L281" s="10">
        <v>2766545866684</v>
      </c>
      <c r="M281" s="10">
        <v>1274332759465</v>
      </c>
      <c r="N281" s="10">
        <f>1353753543617+2064517559</f>
        <v>1355818061176</v>
      </c>
      <c r="O281" s="10">
        <v>127171436363</v>
      </c>
      <c r="P281" s="10">
        <v>36005365328</v>
      </c>
      <c r="Q281" s="51">
        <v>1200</v>
      </c>
      <c r="R281" s="51">
        <f t="shared" si="26"/>
        <v>3.5712413324466987</v>
      </c>
      <c r="S281" s="51">
        <f t="shared" si="27"/>
        <v>0.32619793114097473</v>
      </c>
      <c r="T281" s="51">
        <f t="shared" si="35"/>
        <v>2.8943314649241429E-2</v>
      </c>
      <c r="U281" s="51">
        <f t="shared" si="36"/>
        <v>4.359813073065727E-2</v>
      </c>
      <c r="V281" s="51">
        <f t="shared" si="37"/>
        <v>4.5967586474692547E-2</v>
      </c>
      <c r="W281" s="51">
        <f t="shared" si="23"/>
        <v>1.7444459945736436E-3</v>
      </c>
      <c r="X281" s="58">
        <f t="shared" si="28"/>
        <v>0.28312462576286201</v>
      </c>
      <c r="Y281" s="74">
        <f t="shared" si="24"/>
        <v>162.30059666138303</v>
      </c>
      <c r="Z281" s="51">
        <f t="shared" si="25"/>
        <v>7.0760026309066539</v>
      </c>
      <c r="AA281" s="52">
        <v>3</v>
      </c>
      <c r="AB281">
        <v>0</v>
      </c>
    </row>
    <row r="282" spans="1:28">
      <c r="A282" s="6">
        <v>2019</v>
      </c>
      <c r="B282" s="6" t="s">
        <v>249</v>
      </c>
      <c r="C282" s="7" t="s">
        <v>250</v>
      </c>
      <c r="D282" s="9">
        <v>1874411044438</v>
      </c>
      <c r="E282" s="9">
        <v>2540413874692</v>
      </c>
      <c r="F282" s="10">
        <v>4682083844951</v>
      </c>
      <c r="G282" s="10">
        <f t="shared" si="34"/>
        <v>1106938318565</v>
      </c>
      <c r="H282" s="10">
        <v>482548147289</v>
      </c>
      <c r="I282" s="10">
        <v>1589486465854</v>
      </c>
      <c r="J282" s="10">
        <v>3092597379097</v>
      </c>
      <c r="K282" s="8">
        <v>17200000000</v>
      </c>
      <c r="L282" s="10">
        <v>3337022314624</v>
      </c>
      <c r="M282" s="10">
        <v>1487586425468</v>
      </c>
      <c r="N282" s="10">
        <f>1556060704391+5724203586+2223001439</f>
        <v>1564007909416</v>
      </c>
      <c r="O282" s="10">
        <v>236518557420</v>
      </c>
      <c r="P282" s="10">
        <v>59724779679</v>
      </c>
      <c r="Q282" s="51">
        <v>1300</v>
      </c>
      <c r="R282" s="51">
        <f t="shared" si="26"/>
        <v>1.6933292605390402</v>
      </c>
      <c r="S282" s="51">
        <f t="shared" si="27"/>
        <v>0.15603329115861117</v>
      </c>
      <c r="T282" s="51">
        <f t="shared" si="35"/>
        <v>5.0515660388067068E-2</v>
      </c>
      <c r="U282" s="51">
        <f t="shared" si="36"/>
        <v>7.6478936126195801E-2</v>
      </c>
      <c r="V282" s="51">
        <f t="shared" si="37"/>
        <v>7.0877127906365175E-2</v>
      </c>
      <c r="W282" s="51">
        <f t="shared" si="23"/>
        <v>2.6710545473613593E-3</v>
      </c>
      <c r="X282" s="58">
        <f t="shared" si="28"/>
        <v>0.25251625213045409</v>
      </c>
      <c r="Y282" s="51">
        <f t="shared" si="24"/>
        <v>94.538036439542566</v>
      </c>
      <c r="Z282" s="51">
        <f t="shared" si="25"/>
        <v>7.2301684503557473</v>
      </c>
      <c r="AA282" s="52">
        <v>3</v>
      </c>
      <c r="AB282">
        <v>0</v>
      </c>
    </row>
    <row r="283" spans="1:28">
      <c r="A283" s="6">
        <v>2020</v>
      </c>
      <c r="B283" s="82" t="s">
        <v>249</v>
      </c>
      <c r="C283" s="7" t="s">
        <v>250</v>
      </c>
      <c r="D283" s="9">
        <v>1549617329468</v>
      </c>
      <c r="E283" s="10">
        <v>2434486072405</v>
      </c>
      <c r="F283" s="10">
        <v>4452166671985</v>
      </c>
      <c r="G283" s="10">
        <f t="shared" si="34"/>
        <v>404567270700</v>
      </c>
      <c r="H283" s="10">
        <v>819928353554</v>
      </c>
      <c r="I283" s="10">
        <v>1224495624254</v>
      </c>
      <c r="J283" s="10">
        <v>3227671047731</v>
      </c>
      <c r="K283" s="8">
        <v>17200000000</v>
      </c>
      <c r="L283" s="10">
        <v>3212034546032</v>
      </c>
      <c r="M283" s="10">
        <v>1409870836152</v>
      </c>
      <c r="N283" s="10">
        <f>1598529737771+7485264504+18889290455</f>
        <v>1624904292730</v>
      </c>
      <c r="O283" s="10">
        <v>168610282478</v>
      </c>
      <c r="P283" s="10">
        <v>149528741987</v>
      </c>
      <c r="Q283" s="51">
        <v>1360</v>
      </c>
      <c r="R283" s="51">
        <f t="shared" si="26"/>
        <v>3.8303081877750129</v>
      </c>
      <c r="S283" s="51">
        <f t="shared" si="27"/>
        <v>0.25403095341156162</v>
      </c>
      <c r="T283" s="51">
        <f t="shared" si="35"/>
        <v>3.7871511760548052E-2</v>
      </c>
      <c r="U283" s="51">
        <f t="shared" si="36"/>
        <v>5.223899213537584E-2</v>
      </c>
      <c r="V283" s="51">
        <f t="shared" si="37"/>
        <v>5.249329671322913E-2</v>
      </c>
      <c r="W283" s="51">
        <f t="shared" si="23"/>
        <v>6.3923025815235983E-3</v>
      </c>
      <c r="X283" s="58">
        <f t="shared" si="28"/>
        <v>0.88683050517106077</v>
      </c>
      <c r="Y283" s="74">
        <f t="shared" si="24"/>
        <v>138.73412496685754</v>
      </c>
      <c r="Z283" s="51">
        <f t="shared" si="25"/>
        <v>7.2473308630519195</v>
      </c>
      <c r="AA283" s="52">
        <v>3</v>
      </c>
      <c r="AB283">
        <v>0</v>
      </c>
    </row>
    <row r="284" spans="1:28">
      <c r="A284" s="6">
        <v>2018</v>
      </c>
      <c r="B284" s="82" t="s">
        <v>251</v>
      </c>
      <c r="C284" s="7" t="s">
        <v>252</v>
      </c>
      <c r="D284" s="9">
        <v>851410216636</v>
      </c>
      <c r="E284" s="10">
        <v>582660258194</v>
      </c>
      <c r="F284" s="10">
        <v>1771365972009</v>
      </c>
      <c r="G284" s="10">
        <f t="shared" si="34"/>
        <v>615506825729</v>
      </c>
      <c r="H284" s="10">
        <v>115282593709</v>
      </c>
      <c r="I284" s="10">
        <v>730789419438</v>
      </c>
      <c r="J284" s="10">
        <v>1040576552571</v>
      </c>
      <c r="K284" s="8">
        <v>6500000000</v>
      </c>
      <c r="L284" s="10">
        <v>1953910957160</v>
      </c>
      <c r="M284" s="10">
        <v>1728304112505</v>
      </c>
      <c r="N284" s="10">
        <f>73318364644+107643678040</f>
        <v>180962042684</v>
      </c>
      <c r="O284" s="10">
        <v>15954632472</v>
      </c>
      <c r="P284" s="10">
        <v>0</v>
      </c>
      <c r="Q284" s="51">
        <v>695</v>
      </c>
      <c r="R284" s="51">
        <f t="shared" si="26"/>
        <v>1.3832668965573183</v>
      </c>
      <c r="S284" s="51">
        <f t="shared" si="27"/>
        <v>0.11078722985268699</v>
      </c>
      <c r="T284" s="51">
        <f t="shared" si="35"/>
        <v>9.0069656548189218E-3</v>
      </c>
      <c r="U284" s="51">
        <f t="shared" si="36"/>
        <v>1.5332492772953765E-2</v>
      </c>
      <c r="V284" s="51">
        <f t="shared" si="37"/>
        <v>8.1654859519238177E-3</v>
      </c>
      <c r="W284" s="51">
        <f t="shared" si="23"/>
        <v>0</v>
      </c>
      <c r="X284" s="58">
        <f t="shared" si="28"/>
        <v>0</v>
      </c>
      <c r="Y284" s="74">
        <f t="shared" si="24"/>
        <v>283.14660384237027</v>
      </c>
      <c r="Z284" s="51">
        <f t="shared" si="25"/>
        <v>4.3413432570995436</v>
      </c>
      <c r="AA284" s="52">
        <v>3</v>
      </c>
      <c r="AB284">
        <v>0</v>
      </c>
    </row>
    <row r="285" spans="1:28">
      <c r="A285" s="6">
        <v>2019</v>
      </c>
      <c r="B285" s="82" t="s">
        <v>251</v>
      </c>
      <c r="C285" s="7" t="s">
        <v>252</v>
      </c>
      <c r="D285" s="9">
        <v>889743651128</v>
      </c>
      <c r="E285" s="9">
        <v>602802562379</v>
      </c>
      <c r="F285" s="10">
        <v>1820383352811</v>
      </c>
      <c r="G285" s="10">
        <f t="shared" si="34"/>
        <v>668931501885</v>
      </c>
      <c r="H285" s="9">
        <v>115631469926</v>
      </c>
      <c r="I285" s="10">
        <v>784562971811</v>
      </c>
      <c r="J285" s="10">
        <v>1035820381000</v>
      </c>
      <c r="K285" s="8">
        <v>6500000000</v>
      </c>
      <c r="L285" s="10">
        <v>2104704872583</v>
      </c>
      <c r="M285" s="10">
        <v>1837650335553</v>
      </c>
      <c r="N285" s="10">
        <f>95900186652+120894683753+2695742567</f>
        <v>219490612972</v>
      </c>
      <c r="O285" s="10">
        <v>957169058</v>
      </c>
      <c r="P285" s="10">
        <v>0</v>
      </c>
      <c r="Q285" s="51">
        <v>410</v>
      </c>
      <c r="R285" s="51">
        <f t="shared" si="26"/>
        <v>1.3300968015720107</v>
      </c>
      <c r="S285" s="51">
        <f t="shared" si="27"/>
        <v>0.11163274255558407</v>
      </c>
      <c r="T285" s="51">
        <f t="shared" si="35"/>
        <v>5.2580631245718575E-4</v>
      </c>
      <c r="U285" s="51">
        <f t="shared" si="36"/>
        <v>9.2406856976103469E-4</v>
      </c>
      <c r="V285" s="51">
        <f t="shared" si="37"/>
        <v>4.5477590253559583E-4</v>
      </c>
      <c r="W285" s="51">
        <f t="shared" si="23"/>
        <v>0</v>
      </c>
      <c r="X285" s="58">
        <f t="shared" si="28"/>
        <v>0</v>
      </c>
      <c r="Y285" s="74">
        <f t="shared" si="24"/>
        <v>2784.2521420077078</v>
      </c>
      <c r="Z285" s="51">
        <f t="shared" si="25"/>
        <v>2.5728398947191597</v>
      </c>
      <c r="AA285" s="52">
        <v>3</v>
      </c>
      <c r="AB285">
        <v>0</v>
      </c>
    </row>
    <row r="286" spans="1:28">
      <c r="A286" s="6">
        <v>2020</v>
      </c>
      <c r="B286" s="82" t="s">
        <v>251</v>
      </c>
      <c r="C286" s="7" t="s">
        <v>252</v>
      </c>
      <c r="D286" s="9">
        <v>953792483691</v>
      </c>
      <c r="E286" s="10">
        <v>440748401586</v>
      </c>
      <c r="F286" s="10">
        <v>1768660546754</v>
      </c>
      <c r="G286" s="10">
        <f t="shared" si="34"/>
        <v>701020837232</v>
      </c>
      <c r="H286" s="10">
        <v>105658050187</v>
      </c>
      <c r="I286" s="10">
        <v>806678887419</v>
      </c>
      <c r="J286" s="10">
        <v>961981659335</v>
      </c>
      <c r="K286" s="8">
        <v>6500000000</v>
      </c>
      <c r="L286" s="10">
        <v>3165530224724</v>
      </c>
      <c r="M286" s="10">
        <v>2850011161450</v>
      </c>
      <c r="N286" s="10">
        <f>123892703496+123380975540+21272443611</f>
        <v>268546122647</v>
      </c>
      <c r="O286" s="10">
        <v>5415741808</v>
      </c>
      <c r="P286" s="10">
        <v>0</v>
      </c>
      <c r="Q286" s="51">
        <v>324</v>
      </c>
      <c r="R286" s="51">
        <f t="shared" si="26"/>
        <v>1.3605765093332687</v>
      </c>
      <c r="S286" s="51">
        <f t="shared" si="27"/>
        <v>0.10983374699683926</v>
      </c>
      <c r="T286" s="51">
        <f t="shared" si="35"/>
        <v>3.0620583570654309E-3</v>
      </c>
      <c r="U286" s="51">
        <f t="shared" si="36"/>
        <v>5.6297765715656173E-3</v>
      </c>
      <c r="V286" s="51">
        <f t="shared" si="37"/>
        <v>1.7108482382196157E-3</v>
      </c>
      <c r="W286" s="51">
        <f t="shared" si="23"/>
        <v>0</v>
      </c>
      <c r="X286" s="58">
        <f t="shared" si="28"/>
        <v>0</v>
      </c>
      <c r="Y286" s="74">
        <f t="shared" si="24"/>
        <v>388.86639626894117</v>
      </c>
      <c r="Z286" s="51">
        <f t="shared" si="25"/>
        <v>2.1892309271840364</v>
      </c>
      <c r="AA286" s="52">
        <v>3</v>
      </c>
      <c r="AB286">
        <v>0</v>
      </c>
    </row>
    <row r="287" spans="1:28">
      <c r="A287" s="6">
        <v>2018</v>
      </c>
      <c r="B287" s="6" t="s">
        <v>253</v>
      </c>
      <c r="C287" s="7" t="s">
        <v>254</v>
      </c>
      <c r="D287" s="9">
        <v>2793521000000</v>
      </c>
      <c r="E287" s="10">
        <v>1453135000000</v>
      </c>
      <c r="F287" s="10">
        <v>5555871000000</v>
      </c>
      <c r="G287" s="10">
        <f t="shared" si="34"/>
        <v>635161000000</v>
      </c>
      <c r="H287" s="9">
        <v>145754000000</v>
      </c>
      <c r="I287" s="10">
        <v>780915000000</v>
      </c>
      <c r="J287" s="10">
        <v>4774956000000</v>
      </c>
      <c r="K287" s="8">
        <v>30000000000</v>
      </c>
      <c r="L287" s="10">
        <v>5472882000000</v>
      </c>
      <c r="M287" s="10">
        <v>3516606000000</v>
      </c>
      <c r="N287" s="10">
        <f>196900000000+855358000000</f>
        <v>1052258000000</v>
      </c>
      <c r="O287" s="10">
        <v>701607000000</v>
      </c>
      <c r="P287" s="10">
        <v>159119000000</v>
      </c>
      <c r="Q287" s="51">
        <v>1350</v>
      </c>
      <c r="R287" s="51">
        <f t="shared" si="26"/>
        <v>4.398130552726002</v>
      </c>
      <c r="S287" s="51">
        <f t="shared" si="27"/>
        <v>3.0524679180289827E-2</v>
      </c>
      <c r="T287" s="51">
        <f t="shared" si="35"/>
        <v>0.12628208970294666</v>
      </c>
      <c r="U287" s="51">
        <f t="shared" si="36"/>
        <v>0.14693475709514392</v>
      </c>
      <c r="V287" s="51">
        <f t="shared" si="37"/>
        <v>0.12819699017811823</v>
      </c>
      <c r="W287" s="51">
        <f t="shared" si="23"/>
        <v>3.9288641975308639E-3</v>
      </c>
      <c r="X287" s="58">
        <f t="shared" si="28"/>
        <v>0.22679220703328218</v>
      </c>
      <c r="Y287" s="51">
        <f t="shared" si="24"/>
        <v>57.724623614074545</v>
      </c>
      <c r="Z287" s="51">
        <f t="shared" si="25"/>
        <v>8.4817535491426526</v>
      </c>
      <c r="AA287" s="52">
        <v>3</v>
      </c>
      <c r="AB287">
        <v>0</v>
      </c>
    </row>
    <row r="288" spans="1:28">
      <c r="A288" s="6">
        <v>2019</v>
      </c>
      <c r="B288" s="6" t="s">
        <v>253</v>
      </c>
      <c r="C288" s="7" t="s">
        <v>254</v>
      </c>
      <c r="D288" s="9">
        <v>3716641000000</v>
      </c>
      <c r="E288" s="10">
        <v>1556666000000</v>
      </c>
      <c r="F288" s="9">
        <v>6608422000000</v>
      </c>
      <c r="G288" s="10">
        <f t="shared" si="34"/>
        <v>836314000000</v>
      </c>
      <c r="H288" s="9">
        <v>116969000000</v>
      </c>
      <c r="I288" s="10">
        <v>953283000000</v>
      </c>
      <c r="J288" s="10">
        <v>5655139000000</v>
      </c>
      <c r="K288" s="8">
        <v>30000000000</v>
      </c>
      <c r="L288" s="10">
        <v>6223057000000</v>
      </c>
      <c r="M288" s="10">
        <v>3881051000000</v>
      </c>
      <c r="N288" s="10">
        <f>202883000000+908877000000</f>
        <v>1111760000000</v>
      </c>
      <c r="O288" s="10">
        <v>1035865000000</v>
      </c>
      <c r="P288" s="10">
        <v>149933000000</v>
      </c>
      <c r="Q288" s="51">
        <v>1680</v>
      </c>
      <c r="R288" s="51">
        <f t="shared" si="26"/>
        <v>4.4440736374136991</v>
      </c>
      <c r="S288" s="51">
        <f t="shared" si="27"/>
        <v>2.068366489311757E-2</v>
      </c>
      <c r="T288" s="51">
        <f t="shared" si="35"/>
        <v>0.15674922091839777</v>
      </c>
      <c r="U288" s="51">
        <f t="shared" si="36"/>
        <v>0.1831723322804267</v>
      </c>
      <c r="V288" s="51">
        <f t="shared" si="37"/>
        <v>0.16645597171936558</v>
      </c>
      <c r="W288" s="51">
        <f t="shared" si="23"/>
        <v>2.9748611111111108E-3</v>
      </c>
      <c r="X288" s="58">
        <f t="shared" si="28"/>
        <v>0.14474183411931091</v>
      </c>
      <c r="Y288" s="51">
        <f t="shared" si="24"/>
        <v>48.654988825763979</v>
      </c>
      <c r="Z288" s="51">
        <f t="shared" si="25"/>
        <v>8.9122477802932867</v>
      </c>
      <c r="AA288" s="52">
        <v>3</v>
      </c>
      <c r="AB288">
        <v>0</v>
      </c>
    </row>
    <row r="289" spans="1:28">
      <c r="A289" s="6">
        <v>2020</v>
      </c>
      <c r="B289" s="6" t="s">
        <v>253</v>
      </c>
      <c r="C289" s="7" t="s">
        <v>254</v>
      </c>
      <c r="D289" s="9">
        <v>5593421000000</v>
      </c>
      <c r="E289" s="10">
        <v>1715401000000</v>
      </c>
      <c r="F289" s="10">
        <v>8754116000000</v>
      </c>
      <c r="G289" s="10">
        <f t="shared" si="34"/>
        <v>2327339000000</v>
      </c>
      <c r="H289" s="9">
        <v>1645040000000</v>
      </c>
      <c r="I289" s="10">
        <v>3972379000000</v>
      </c>
      <c r="J289" s="10">
        <v>4781737000000</v>
      </c>
      <c r="K289" s="8">
        <v>30000000000</v>
      </c>
      <c r="L289" s="10">
        <v>5967362000000</v>
      </c>
      <c r="M289" s="10">
        <v>3738835000000</v>
      </c>
      <c r="N289" s="10">
        <f>773759000000+231175000000</f>
        <v>1004934000000</v>
      </c>
      <c r="O289" s="10">
        <v>1109666000000</v>
      </c>
      <c r="P289" s="10">
        <v>70536000000</v>
      </c>
      <c r="Q289" s="51">
        <v>1600</v>
      </c>
      <c r="R289" s="51">
        <f t="shared" si="26"/>
        <v>2.4033546466586948</v>
      </c>
      <c r="S289" s="51">
        <f t="shared" si="27"/>
        <v>0.34402561245003649</v>
      </c>
      <c r="T289" s="51">
        <f t="shared" si="35"/>
        <v>0.12675934383323229</v>
      </c>
      <c r="U289" s="51">
        <f t="shared" si="36"/>
        <v>0.23206336944085382</v>
      </c>
      <c r="V289" s="51">
        <f t="shared" si="37"/>
        <v>0.1859558712878488</v>
      </c>
      <c r="W289" s="51">
        <f t="shared" si="23"/>
        <v>1.4694999999999999E-3</v>
      </c>
      <c r="X289" s="58">
        <f t="shared" si="28"/>
        <v>6.3565072733597322E-2</v>
      </c>
      <c r="Y289" s="51">
        <f t="shared" si="24"/>
        <v>43.256259090573202</v>
      </c>
      <c r="Z289" s="51">
        <f t="shared" si="25"/>
        <v>10.03819323396498</v>
      </c>
      <c r="AA289" s="52">
        <v>3</v>
      </c>
      <c r="AB289">
        <v>0</v>
      </c>
    </row>
    <row r="290" spans="1:28">
      <c r="A290" s="6">
        <v>2018</v>
      </c>
      <c r="B290" s="6" t="s">
        <v>493</v>
      </c>
      <c r="C290" s="49" t="s">
        <v>494</v>
      </c>
      <c r="D290" s="64">
        <v>109504732067</v>
      </c>
      <c r="E290" s="64">
        <v>20070236365</v>
      </c>
      <c r="F290" s="64">
        <v>149593161546</v>
      </c>
      <c r="G290" s="10">
        <f t="shared" si="34"/>
        <v>91524875312</v>
      </c>
      <c r="H290" s="64">
        <v>18204157687</v>
      </c>
      <c r="I290" s="64">
        <v>109729032999</v>
      </c>
      <c r="J290" s="64">
        <v>39864128547</v>
      </c>
      <c r="K290" s="67">
        <v>410000000</v>
      </c>
      <c r="L290" s="64">
        <v>294974459837</v>
      </c>
      <c r="M290" s="64">
        <v>280921903141</v>
      </c>
      <c r="N290" s="64">
        <v>10402688202</v>
      </c>
      <c r="O290" s="10">
        <v>1175166829</v>
      </c>
      <c r="P290" s="10">
        <v>0</v>
      </c>
      <c r="Q290" s="51">
        <v>177</v>
      </c>
      <c r="R290" s="51">
        <f t="shared" si="26"/>
        <v>1.1964477601713011</v>
      </c>
      <c r="S290" s="51">
        <f t="shared" si="27"/>
        <v>0.45665510198064935</v>
      </c>
      <c r="T290" s="51">
        <f t="shared" si="35"/>
        <v>7.8557523409159002E-3</v>
      </c>
      <c r="U290" s="51">
        <f t="shared" si="36"/>
        <v>2.9479305627225054E-2</v>
      </c>
      <c r="V290" s="51">
        <f t="shared" si="37"/>
        <v>3.9839612882057165E-3</v>
      </c>
      <c r="W290" s="51">
        <f t="shared" si="23"/>
        <v>0</v>
      </c>
      <c r="X290" s="58">
        <f t="shared" si="28"/>
        <v>0</v>
      </c>
      <c r="Y290" s="51">
        <f t="shared" si="24"/>
        <v>61.752934314656358</v>
      </c>
      <c r="Z290" s="51">
        <f t="shared" si="25"/>
        <v>1.8204336240397083</v>
      </c>
      <c r="AA290" s="52">
        <v>3</v>
      </c>
      <c r="AB290">
        <v>0</v>
      </c>
    </row>
    <row r="291" spans="1:28">
      <c r="A291" s="6">
        <v>2019</v>
      </c>
      <c r="B291" s="6" t="s">
        <v>493</v>
      </c>
      <c r="C291" s="49" t="s">
        <v>494</v>
      </c>
      <c r="D291" s="64">
        <v>91858799351</v>
      </c>
      <c r="E291" s="64">
        <v>26479936122</v>
      </c>
      <c r="F291" s="64">
        <v>119708955785</v>
      </c>
      <c r="G291" s="10">
        <f t="shared" si="34"/>
        <v>61591309603</v>
      </c>
      <c r="H291" s="64">
        <v>18153246392</v>
      </c>
      <c r="I291" s="64">
        <v>79744555995</v>
      </c>
      <c r="J291" s="64">
        <v>39964399790</v>
      </c>
      <c r="K291" s="67">
        <v>410000000</v>
      </c>
      <c r="L291" s="64">
        <v>230646056647</v>
      </c>
      <c r="M291" s="64">
        <v>214744883946</v>
      </c>
      <c r="N291" s="64">
        <v>14783897082</v>
      </c>
      <c r="O291" s="10">
        <v>1236402757</v>
      </c>
      <c r="P291" s="10">
        <v>0</v>
      </c>
      <c r="Q291" s="51">
        <v>113</v>
      </c>
      <c r="R291" s="51">
        <f t="shared" si="26"/>
        <v>1.4914246822010377</v>
      </c>
      <c r="S291" s="51">
        <f t="shared" si="27"/>
        <v>0.45423543171896591</v>
      </c>
      <c r="T291" s="51">
        <f t="shared" si="35"/>
        <v>1.0328406499682509E-2</v>
      </c>
      <c r="U291" s="51">
        <f t="shared" si="36"/>
        <v>3.0937603554586E-2</v>
      </c>
      <c r="V291" s="51">
        <f t="shared" si="37"/>
        <v>5.3606065283496006E-3</v>
      </c>
      <c r="W291" s="51">
        <f t="shared" si="23"/>
        <v>0</v>
      </c>
      <c r="X291" s="58">
        <f t="shared" si="28"/>
        <v>0</v>
      </c>
      <c r="Y291" s="51">
        <f t="shared" si="24"/>
        <v>37.471608452584519</v>
      </c>
      <c r="Z291" s="51">
        <f t="shared" si="25"/>
        <v>1.1592817668587336</v>
      </c>
      <c r="AA291" s="52">
        <v>3</v>
      </c>
      <c r="AB291">
        <v>0</v>
      </c>
    </row>
    <row r="292" spans="1:28">
      <c r="A292" s="6">
        <v>2020</v>
      </c>
      <c r="B292" s="82" t="s">
        <v>493</v>
      </c>
      <c r="C292" s="49" t="s">
        <v>494</v>
      </c>
      <c r="D292" s="64">
        <v>86854604000</v>
      </c>
      <c r="E292" s="64">
        <v>24865991822</v>
      </c>
      <c r="F292" s="64">
        <v>112591210595</v>
      </c>
      <c r="G292" s="10">
        <f t="shared" si="34"/>
        <v>54985764683</v>
      </c>
      <c r="H292" s="64">
        <v>17640556856</v>
      </c>
      <c r="I292" s="64">
        <v>72626321539</v>
      </c>
      <c r="J292" s="64">
        <v>39964889056</v>
      </c>
      <c r="K292" s="67">
        <v>410000000</v>
      </c>
      <c r="L292" s="64">
        <v>180460605151</v>
      </c>
      <c r="M292" s="64">
        <v>164844653179</v>
      </c>
      <c r="N292" s="64">
        <v>12846383369</v>
      </c>
      <c r="O292" s="10">
        <v>224178056</v>
      </c>
      <c r="P292" s="10">
        <v>0</v>
      </c>
      <c r="Q292" s="51">
        <v>116</v>
      </c>
      <c r="R292" s="51">
        <f t="shared" si="26"/>
        <v>1.579583452203092</v>
      </c>
      <c r="S292" s="51">
        <f t="shared" si="27"/>
        <v>0.44140137187123235</v>
      </c>
      <c r="T292" s="51">
        <f t="shared" si="35"/>
        <v>1.991079541780461E-3</v>
      </c>
      <c r="U292" s="51">
        <f t="shared" si="36"/>
        <v>5.6093751614291979E-3</v>
      </c>
      <c r="V292" s="51">
        <f t="shared" si="37"/>
        <v>1.2422548168472534E-3</v>
      </c>
      <c r="W292" s="51">
        <f t="shared" si="23"/>
        <v>0</v>
      </c>
      <c r="X292" s="58">
        <f t="shared" si="28"/>
        <v>0</v>
      </c>
      <c r="Y292" s="74">
        <f t="shared" si="24"/>
        <v>212.15278983416647</v>
      </c>
      <c r="Z292" s="51">
        <f t="shared" si="25"/>
        <v>1.1900445897236822</v>
      </c>
      <c r="AA292" s="52">
        <v>3</v>
      </c>
      <c r="AB292">
        <v>0</v>
      </c>
    </row>
    <row r="293" spans="1:28">
      <c r="A293" s="6">
        <v>2018</v>
      </c>
      <c r="B293" s="6" t="s">
        <v>495</v>
      </c>
      <c r="C293" s="49" t="s">
        <v>496</v>
      </c>
      <c r="D293" s="64">
        <v>1250806822918</v>
      </c>
      <c r="E293" s="64">
        <v>1096143561950</v>
      </c>
      <c r="F293" s="64">
        <v>2631189810030</v>
      </c>
      <c r="G293" s="10">
        <f t="shared" si="34"/>
        <v>676673564908</v>
      </c>
      <c r="H293" s="64">
        <v>308128298170</v>
      </c>
      <c r="I293" s="64">
        <v>984801863078</v>
      </c>
      <c r="J293" s="64">
        <v>1646387946952</v>
      </c>
      <c r="K293" s="67">
        <v>1310000000</v>
      </c>
      <c r="L293" s="64">
        <v>2826957323397</v>
      </c>
      <c r="M293" s="64">
        <v>2207268926068</v>
      </c>
      <c r="N293" s="64">
        <f>168669440713+112859616510</f>
        <v>281529057223</v>
      </c>
      <c r="O293" s="10">
        <v>255088886019</v>
      </c>
      <c r="P293" s="10">
        <v>0</v>
      </c>
      <c r="Q293" s="51">
        <v>3750</v>
      </c>
      <c r="R293" s="51">
        <f t="shared" si="26"/>
        <v>1.8484641454673327</v>
      </c>
      <c r="S293" s="51">
        <f t="shared" si="27"/>
        <v>0.18715412654741903</v>
      </c>
      <c r="T293" s="51">
        <f t="shared" si="35"/>
        <v>9.6948112616813284E-2</v>
      </c>
      <c r="U293" s="51">
        <f t="shared" si="36"/>
        <v>0.15493850431257866</v>
      </c>
      <c r="V293" s="51">
        <f t="shared" si="37"/>
        <v>9.0234431170143611E-2</v>
      </c>
      <c r="W293" s="51">
        <f t="shared" si="23"/>
        <v>0</v>
      </c>
      <c r="X293" s="58">
        <f t="shared" si="28"/>
        <v>0</v>
      </c>
      <c r="Y293" s="51">
        <f t="shared" si="24"/>
        <v>19.25799307318351</v>
      </c>
      <c r="Z293" s="51">
        <f t="shared" si="25"/>
        <v>2.9838046428210538</v>
      </c>
      <c r="AA293" s="52">
        <v>3</v>
      </c>
      <c r="AB293">
        <v>0</v>
      </c>
    </row>
    <row r="294" spans="1:28">
      <c r="A294" s="6">
        <v>2019</v>
      </c>
      <c r="B294" s="6" t="s">
        <v>495</v>
      </c>
      <c r="C294" s="49" t="s">
        <v>496</v>
      </c>
      <c r="D294" s="64">
        <v>1165406301686</v>
      </c>
      <c r="E294" s="64">
        <v>1124520287704</v>
      </c>
      <c r="F294" s="64">
        <v>2881563083954</v>
      </c>
      <c r="G294" s="10">
        <f t="shared" si="34"/>
        <v>408490550651</v>
      </c>
      <c r="H294" s="64">
        <v>325065525323</v>
      </c>
      <c r="I294" s="64">
        <v>733556075974</v>
      </c>
      <c r="J294" s="64">
        <v>2148007007980</v>
      </c>
      <c r="K294" s="67">
        <v>1310000000</v>
      </c>
      <c r="L294" s="64">
        <v>3512509168853</v>
      </c>
      <c r="M294" s="64">
        <v>2559476265555</v>
      </c>
      <c r="N294" s="64">
        <f>217197578067+116602280672</f>
        <v>333799858739</v>
      </c>
      <c r="O294" s="10">
        <v>482590522840</v>
      </c>
      <c r="P294" s="10">
        <v>0</v>
      </c>
      <c r="Q294" s="51">
        <v>4500</v>
      </c>
      <c r="R294" s="51">
        <f t="shared" si="26"/>
        <v>2.852957797502842</v>
      </c>
      <c r="S294" s="51">
        <f t="shared" si="27"/>
        <v>0.15133354971159696</v>
      </c>
      <c r="T294" s="51">
        <f t="shared" si="35"/>
        <v>0.16747525866336505</v>
      </c>
      <c r="U294" s="51">
        <f t="shared" si="36"/>
        <v>0.22466897037446415</v>
      </c>
      <c r="V294" s="51">
        <f t="shared" si="37"/>
        <v>0.13739196102869919</v>
      </c>
      <c r="W294" s="51">
        <f t="shared" si="23"/>
        <v>0</v>
      </c>
      <c r="X294" s="58">
        <f t="shared" si="28"/>
        <v>0</v>
      </c>
      <c r="Y294" s="51">
        <f t="shared" si="24"/>
        <v>12.215324837521628</v>
      </c>
      <c r="Z294" s="51">
        <f t="shared" si="25"/>
        <v>2.7444044540356027</v>
      </c>
      <c r="AA294" s="52">
        <v>3</v>
      </c>
      <c r="AB294">
        <v>0</v>
      </c>
    </row>
    <row r="295" spans="1:28">
      <c r="A295" s="6">
        <v>2020</v>
      </c>
      <c r="B295" s="6" t="s">
        <v>495</v>
      </c>
      <c r="C295" s="49" t="s">
        <v>496</v>
      </c>
      <c r="D295" s="64">
        <v>1505872822478</v>
      </c>
      <c r="E295" s="64">
        <v>1538988540784</v>
      </c>
      <c r="F295" s="64">
        <v>3448995059882</v>
      </c>
      <c r="G295" s="10">
        <f t="shared" si="34"/>
        <v>626131203549</v>
      </c>
      <c r="H295" s="64">
        <v>149565657189</v>
      </c>
      <c r="I295" s="64">
        <v>775696860738</v>
      </c>
      <c r="J295" s="64">
        <v>2673298199144</v>
      </c>
      <c r="K295" s="67">
        <v>1310000000</v>
      </c>
      <c r="L295" s="64">
        <v>3846300254825</v>
      </c>
      <c r="M295" s="64">
        <v>2776101376253</v>
      </c>
      <c r="N295" s="64">
        <f>180762094952+140809830176</f>
        <v>321571925128</v>
      </c>
      <c r="O295" s="10">
        <v>628628879549</v>
      </c>
      <c r="P295" s="10">
        <v>0</v>
      </c>
      <c r="Q295" s="51">
        <v>9500</v>
      </c>
      <c r="R295" s="51">
        <f t="shared" si="26"/>
        <v>2.4050435658572842</v>
      </c>
      <c r="S295" s="51">
        <f t="shared" si="27"/>
        <v>5.5947988607066533E-2</v>
      </c>
      <c r="T295" s="51">
        <f t="shared" si="35"/>
        <v>0.18226436067162916</v>
      </c>
      <c r="U295" s="51">
        <f t="shared" si="36"/>
        <v>0.2351510503954588</v>
      </c>
      <c r="V295" s="51">
        <f t="shared" si="37"/>
        <v>0.16343728723736922</v>
      </c>
      <c r="W295" s="51">
        <f t="shared" si="23"/>
        <v>0</v>
      </c>
      <c r="X295" s="58">
        <f t="shared" si="28"/>
        <v>0</v>
      </c>
      <c r="Y295" s="51">
        <f t="shared" si="24"/>
        <v>19.797054199814159</v>
      </c>
      <c r="Z295" s="51">
        <f t="shared" si="25"/>
        <v>4.6552980898221286</v>
      </c>
      <c r="AA295" s="52">
        <v>3</v>
      </c>
      <c r="AB295">
        <v>0</v>
      </c>
    </row>
    <row r="296" spans="1:28">
      <c r="A296" s="6">
        <v>2018</v>
      </c>
      <c r="B296" s="6" t="s">
        <v>497</v>
      </c>
      <c r="C296" s="49" t="s">
        <v>498</v>
      </c>
      <c r="D296" s="64">
        <v>809166450672</v>
      </c>
      <c r="E296" s="64">
        <v>200024117988</v>
      </c>
      <c r="F296" s="64">
        <v>1168956042706</v>
      </c>
      <c r="G296" s="10">
        <f t="shared" si="34"/>
        <v>158255592250</v>
      </c>
      <c r="H296" s="64">
        <v>34052874614</v>
      </c>
      <c r="I296" s="64">
        <v>192308466864</v>
      </c>
      <c r="J296" s="64">
        <v>976647575842</v>
      </c>
      <c r="K296" s="67">
        <v>595000000</v>
      </c>
      <c r="L296" s="64">
        <v>3629327583572</v>
      </c>
      <c r="M296" s="64">
        <v>3354976550553</v>
      </c>
      <c r="N296" s="64">
        <f>77735839903+48951237291</f>
        <v>126687077194</v>
      </c>
      <c r="O296" s="10">
        <v>92649656775</v>
      </c>
      <c r="P296" s="10">
        <v>26711383500</v>
      </c>
      <c r="Q296" s="51">
        <v>1375</v>
      </c>
      <c r="R296" s="51">
        <f t="shared" si="26"/>
        <v>5.1130354331728203</v>
      </c>
      <c r="S296" s="51">
        <f t="shared" si="27"/>
        <v>3.486710606396775E-2</v>
      </c>
      <c r="T296" s="51">
        <f t="shared" si="35"/>
        <v>7.9258460874650688E-2</v>
      </c>
      <c r="U296" s="51">
        <f t="shared" si="36"/>
        <v>9.4864984121957902E-2</v>
      </c>
      <c r="V296" s="51">
        <f t="shared" si="37"/>
        <v>2.5528050208081191E-2</v>
      </c>
      <c r="W296" s="51">
        <f t="shared" si="23"/>
        <v>3.2649513827349125E-2</v>
      </c>
      <c r="X296" s="58">
        <f t="shared" si="28"/>
        <v>0.28830526123662481</v>
      </c>
      <c r="Y296" s="51">
        <f t="shared" si="24"/>
        <v>8.830307941526641</v>
      </c>
      <c r="Z296" s="51">
        <f t="shared" si="25"/>
        <v>0.83768702266492345</v>
      </c>
      <c r="AA296" s="52">
        <v>3</v>
      </c>
      <c r="AB296">
        <v>0</v>
      </c>
    </row>
    <row r="297" spans="1:28">
      <c r="A297" s="6">
        <v>2019</v>
      </c>
      <c r="B297" s="6" t="s">
        <v>497</v>
      </c>
      <c r="C297" s="49" t="s">
        <v>498</v>
      </c>
      <c r="D297" s="64">
        <v>1067652078121</v>
      </c>
      <c r="E297" s="64">
        <v>195283411192</v>
      </c>
      <c r="F297" s="64">
        <v>1393079542074</v>
      </c>
      <c r="G297" s="10">
        <f t="shared" si="34"/>
        <v>222440530626</v>
      </c>
      <c r="H297" s="64">
        <v>39344314614</v>
      </c>
      <c r="I297" s="64">
        <v>261784845240</v>
      </c>
      <c r="J297" s="64">
        <v>1131294696834</v>
      </c>
      <c r="K297" s="67">
        <v>595000000</v>
      </c>
      <c r="L297" s="64">
        <v>3120937098980</v>
      </c>
      <c r="M297" s="64">
        <v>2755574838991</v>
      </c>
      <c r="N297" s="64">
        <f>48951237291+44598253533</f>
        <v>93549490824</v>
      </c>
      <c r="O297" s="10">
        <v>215459200242</v>
      </c>
      <c r="P297" s="10">
        <v>59408630000</v>
      </c>
      <c r="Q297" s="51">
        <v>1670</v>
      </c>
      <c r="R297" s="51">
        <f t="shared" si="26"/>
        <v>4.7997191659108873</v>
      </c>
      <c r="S297" s="51">
        <f t="shared" si="27"/>
        <v>3.4778130511976729E-2</v>
      </c>
      <c r="T297" s="51">
        <f t="shared" si="35"/>
        <v>0.15466396119867423</v>
      </c>
      <c r="U297" s="51">
        <f t="shared" si="36"/>
        <v>0.19045364646804785</v>
      </c>
      <c r="V297" s="51">
        <f t="shared" si="37"/>
        <v>6.9036700647513036E-2</v>
      </c>
      <c r="W297" s="51">
        <f t="shared" si="23"/>
        <v>5.9788285613646651E-2</v>
      </c>
      <c r="X297" s="58">
        <f t="shared" si="28"/>
        <v>0.27573030036904095</v>
      </c>
      <c r="Y297" s="51">
        <f t="shared" si="24"/>
        <v>4.6117780019787951</v>
      </c>
      <c r="Z297" s="51">
        <f t="shared" si="25"/>
        <v>0.87832993717798957</v>
      </c>
      <c r="AA297" s="52">
        <v>3</v>
      </c>
      <c r="AB297">
        <v>0</v>
      </c>
    </row>
    <row r="298" spans="1:28">
      <c r="A298" s="6">
        <v>2020</v>
      </c>
      <c r="B298" s="6" t="s">
        <v>497</v>
      </c>
      <c r="C298" s="49" t="s">
        <v>498</v>
      </c>
      <c r="D298" s="64">
        <v>1266586465994</v>
      </c>
      <c r="E298" s="64">
        <v>204186009945</v>
      </c>
      <c r="F298" s="64">
        <v>1566673828068</v>
      </c>
      <c r="G298" s="10">
        <f t="shared" si="34"/>
        <v>271641005590</v>
      </c>
      <c r="H298" s="64">
        <v>34317827614</v>
      </c>
      <c r="I298" s="64">
        <v>305958833204</v>
      </c>
      <c r="J298" s="64">
        <v>1260714994864</v>
      </c>
      <c r="K298" s="67">
        <v>595000000</v>
      </c>
      <c r="L298" s="64">
        <v>3634297273749</v>
      </c>
      <c r="M298" s="64">
        <v>3299157338979</v>
      </c>
      <c r="N298" s="64">
        <f>79134141192+51430321036</f>
        <v>130564462228</v>
      </c>
      <c r="O298" s="10">
        <v>181812593992</v>
      </c>
      <c r="P298" s="10">
        <v>59416540000</v>
      </c>
      <c r="Q298" s="51">
        <v>1785</v>
      </c>
      <c r="R298" s="51">
        <f t="shared" si="26"/>
        <v>4.6627219010730503</v>
      </c>
      <c r="S298" s="51">
        <f t="shared" si="27"/>
        <v>2.7220924438756317E-2</v>
      </c>
      <c r="T298" s="51">
        <f t="shared" si="35"/>
        <v>0.11605006143251191</v>
      </c>
      <c r="U298" s="51">
        <f t="shared" si="36"/>
        <v>0.14421387445432352</v>
      </c>
      <c r="V298" s="51">
        <f t="shared" si="37"/>
        <v>5.0026891114619575E-2</v>
      </c>
      <c r="W298" s="51">
        <f t="shared" si="23"/>
        <v>5.594382694254172E-2</v>
      </c>
      <c r="X298" s="58">
        <f t="shared" si="28"/>
        <v>0.32680101358992991</v>
      </c>
      <c r="Y298" s="51">
        <f t="shared" si="24"/>
        <v>5.8415920299048851</v>
      </c>
      <c r="Z298" s="51">
        <f t="shared" si="25"/>
        <v>0.84243861961407995</v>
      </c>
      <c r="AA298" s="52">
        <v>3</v>
      </c>
      <c r="AB298">
        <v>0</v>
      </c>
    </row>
    <row r="299" spans="1:28">
      <c r="A299" s="6">
        <v>2018</v>
      </c>
      <c r="B299" s="82" t="s">
        <v>433</v>
      </c>
      <c r="C299" s="32" t="s">
        <v>434</v>
      </c>
      <c r="D299" s="50">
        <v>1149973619979</v>
      </c>
      <c r="E299" s="10">
        <v>6331628401699</v>
      </c>
      <c r="F299" s="10">
        <v>7725601132423</v>
      </c>
      <c r="G299" s="10">
        <f t="shared" si="34"/>
        <v>956508963121</v>
      </c>
      <c r="H299" s="10">
        <v>1547711915701</v>
      </c>
      <c r="I299" s="10">
        <v>2504220878822</v>
      </c>
      <c r="J299" s="10">
        <v>5221380253601</v>
      </c>
      <c r="K299" s="8">
        <v>3000000000</v>
      </c>
      <c r="L299" s="10">
        <v>897612636308</v>
      </c>
      <c r="M299" s="10">
        <v>406766397197</v>
      </c>
      <c r="N299" s="10">
        <f>198367075354+153007062236</f>
        <v>351374137590</v>
      </c>
      <c r="O299" s="10">
        <v>146006831186</v>
      </c>
      <c r="P299" s="50">
        <v>0</v>
      </c>
      <c r="Q299" s="51">
        <v>8300</v>
      </c>
      <c r="R299" s="51">
        <f t="shared" si="26"/>
        <v>1.2022612064467675</v>
      </c>
      <c r="S299" s="51">
        <f t="shared" si="27"/>
        <v>0.29641815775313402</v>
      </c>
      <c r="T299" s="51">
        <f t="shared" si="35"/>
        <v>1.8899090010385703E-2</v>
      </c>
      <c r="U299" s="51">
        <f t="shared" si="36"/>
        <v>2.796326336993064E-2</v>
      </c>
      <c r="V299" s="51">
        <f t="shared" si="37"/>
        <v>0.16266129205415991</v>
      </c>
      <c r="W299" s="51">
        <f t="shared" si="23"/>
        <v>0</v>
      </c>
      <c r="X299" s="58">
        <f t="shared" si="28"/>
        <v>0</v>
      </c>
      <c r="Y299" s="74">
        <f t="shared" si="24"/>
        <v>170.53996582036334</v>
      </c>
      <c r="Z299" s="51">
        <f t="shared" si="25"/>
        <v>4.7688539793337892</v>
      </c>
      <c r="AA299" s="52">
        <v>4</v>
      </c>
      <c r="AB299">
        <v>0</v>
      </c>
    </row>
    <row r="300" spans="1:28">
      <c r="A300" s="6">
        <v>2019</v>
      </c>
      <c r="B300" s="82" t="s">
        <v>433</v>
      </c>
      <c r="C300" s="32" t="s">
        <v>434</v>
      </c>
      <c r="D300" s="50">
        <v>1463644955334</v>
      </c>
      <c r="E300" s="10">
        <v>7157600562179</v>
      </c>
      <c r="F300" s="10">
        <v>8893030992719</v>
      </c>
      <c r="G300" s="10">
        <f t="shared" si="34"/>
        <v>993021427528</v>
      </c>
      <c r="H300" s="10">
        <v>2097290824729</v>
      </c>
      <c r="I300" s="10">
        <v>3090312252257</v>
      </c>
      <c r="J300" s="10">
        <v>5802718740462</v>
      </c>
      <c r="K300" s="8">
        <v>3000000000</v>
      </c>
      <c r="L300" s="10">
        <v>1087963086355</v>
      </c>
      <c r="M300" s="10">
        <v>539141827323</v>
      </c>
      <c r="N300" s="10">
        <f>170930067640+231683666926</f>
        <v>402613734566</v>
      </c>
      <c r="O300" s="10">
        <v>128831147635</v>
      </c>
      <c r="P300" s="50">
        <v>0</v>
      </c>
      <c r="Q300" s="51">
        <v>6525</v>
      </c>
      <c r="R300" s="51">
        <f t="shared" si="26"/>
        <v>1.4739308888606333</v>
      </c>
      <c r="S300" s="51">
        <f t="shared" si="27"/>
        <v>0.36143244546814246</v>
      </c>
      <c r="T300" s="51">
        <f t="shared" si="35"/>
        <v>1.4486753474768957E-2</v>
      </c>
      <c r="U300" s="51">
        <f t="shared" si="36"/>
        <v>2.2201859748374214E-2</v>
      </c>
      <c r="V300" s="51">
        <f t="shared" si="37"/>
        <v>0.11841499886418268</v>
      </c>
      <c r="W300" s="51">
        <f t="shared" si="23"/>
        <v>0</v>
      </c>
      <c r="X300" s="58">
        <f t="shared" si="28"/>
        <v>0</v>
      </c>
      <c r="Y300" s="74">
        <f t="shared" si="24"/>
        <v>151.94306935353256</v>
      </c>
      <c r="Z300" s="51">
        <f t="shared" si="25"/>
        <v>3.3734187155246271</v>
      </c>
      <c r="AA300" s="52">
        <v>4</v>
      </c>
      <c r="AB300">
        <v>0</v>
      </c>
    </row>
    <row r="301" spans="1:28">
      <c r="A301" s="6">
        <v>2020</v>
      </c>
      <c r="B301" s="82" t="s">
        <v>433</v>
      </c>
      <c r="C301" s="32" t="s">
        <v>434</v>
      </c>
      <c r="D301" s="50">
        <v>1380008830013</v>
      </c>
      <c r="E301" s="10">
        <v>7475267546394</v>
      </c>
      <c r="F301" s="10">
        <v>10412826253217</v>
      </c>
      <c r="G301" s="10">
        <f t="shared" si="34"/>
        <v>1194454114708</v>
      </c>
      <c r="H301" s="10">
        <v>3016521818693</v>
      </c>
      <c r="I301" s="10">
        <v>4210975933401</v>
      </c>
      <c r="J301" s="10">
        <v>6201850319816</v>
      </c>
      <c r="K301" s="8">
        <v>3000000000</v>
      </c>
      <c r="L301" s="10">
        <v>1122276247134</v>
      </c>
      <c r="M301" s="10">
        <v>566680887698</v>
      </c>
      <c r="N301" s="10">
        <f>177263065242+366069282337</f>
        <v>543332347579</v>
      </c>
      <c r="O301" s="10">
        <v>67204167744</v>
      </c>
      <c r="P301" s="50">
        <v>0</v>
      </c>
      <c r="Q301" s="51">
        <v>7250</v>
      </c>
      <c r="R301" s="51">
        <f t="shared" si="26"/>
        <v>1.1553468760500367</v>
      </c>
      <c r="S301" s="51">
        <f t="shared" si="27"/>
        <v>0.4863906194341201</v>
      </c>
      <c r="T301" s="51">
        <f t="shared" si="35"/>
        <v>6.4539795546129991E-3</v>
      </c>
      <c r="U301" s="51">
        <f t="shared" si="36"/>
        <v>1.0836147968497545E-2</v>
      </c>
      <c r="V301" s="51">
        <f t="shared" si="37"/>
        <v>5.9882019169185723E-2</v>
      </c>
      <c r="W301" s="51">
        <f t="shared" si="23"/>
        <v>0</v>
      </c>
      <c r="X301" s="58">
        <f t="shared" si="28"/>
        <v>0</v>
      </c>
      <c r="Y301" s="74">
        <f t="shared" si="24"/>
        <v>323.64064209309169</v>
      </c>
      <c r="Z301" s="51">
        <f t="shared" si="25"/>
        <v>3.5070178863402965</v>
      </c>
      <c r="AA301" s="52">
        <v>4</v>
      </c>
      <c r="AB301">
        <v>0</v>
      </c>
    </row>
    <row r="302" spans="1:28">
      <c r="A302" s="6">
        <v>2018</v>
      </c>
      <c r="B302" s="83" t="s">
        <v>440</v>
      </c>
      <c r="C302" s="7" t="s">
        <v>441</v>
      </c>
      <c r="D302" s="10">
        <v>2027465000000</v>
      </c>
      <c r="E302" s="10">
        <v>21878608000000</v>
      </c>
      <c r="F302" s="10">
        <v>29113747000000</v>
      </c>
      <c r="G302" s="10">
        <f t="shared" si="34"/>
        <v>6424937000000</v>
      </c>
      <c r="H302" s="10">
        <v>19009245000000</v>
      </c>
      <c r="I302" s="10">
        <v>25434182000000</v>
      </c>
      <c r="J302" s="10">
        <v>3679565000000</v>
      </c>
      <c r="K302" s="8">
        <v>14420120000</v>
      </c>
      <c r="L302" s="10">
        <v>4318137000000</v>
      </c>
      <c r="M302" s="10">
        <v>784082000000</v>
      </c>
      <c r="N302" s="10">
        <v>381463000000</v>
      </c>
      <c r="O302" s="12">
        <v>702632000000</v>
      </c>
      <c r="P302" s="50">
        <v>760910000000</v>
      </c>
      <c r="Q302" s="51">
        <v>3600</v>
      </c>
      <c r="R302" s="51">
        <f t="shared" si="26"/>
        <v>0.31556184908894824</v>
      </c>
      <c r="S302" s="51">
        <f t="shared" si="27"/>
        <v>5.1661663810803722</v>
      </c>
      <c r="T302" s="51">
        <f t="shared" si="35"/>
        <v>2.4134028505502916E-2</v>
      </c>
      <c r="U302" s="51">
        <f t="shared" si="36"/>
        <v>0.19095518084338775</v>
      </c>
      <c r="V302" s="51">
        <f t="shared" si="37"/>
        <v>0.1627164677730234</v>
      </c>
      <c r="W302" s="51">
        <f t="shared" si="23"/>
        <v>1.4657567959828968E-2</v>
      </c>
      <c r="X302" s="58">
        <f t="shared" si="28"/>
        <v>1.0829424222067883</v>
      </c>
      <c r="Y302" s="51">
        <f t="shared" si="24"/>
        <v>73.882817748124197</v>
      </c>
      <c r="Z302" s="51">
        <f t="shared" si="25"/>
        <v>14.108306824312114</v>
      </c>
      <c r="AA302" s="52">
        <v>4</v>
      </c>
      <c r="AB302">
        <v>0</v>
      </c>
    </row>
    <row r="303" spans="1:28">
      <c r="A303" s="6">
        <v>2019</v>
      </c>
      <c r="B303" s="82" t="s">
        <v>440</v>
      </c>
      <c r="C303" s="7" t="s">
        <v>441</v>
      </c>
      <c r="D303" s="9">
        <v>2376740000000</v>
      </c>
      <c r="E303" s="10">
        <v>24649294000000</v>
      </c>
      <c r="F303" s="10">
        <v>30871710000000</v>
      </c>
      <c r="G303" s="10">
        <f t="shared" si="34"/>
        <v>4513623000000</v>
      </c>
      <c r="H303" s="9">
        <v>20834803000000</v>
      </c>
      <c r="I303" s="10">
        <v>25348426000000</v>
      </c>
      <c r="J303" s="10">
        <v>5523284000000</v>
      </c>
      <c r="K303" s="8">
        <v>72100600000</v>
      </c>
      <c r="L303" s="10">
        <v>4698742000000</v>
      </c>
      <c r="M303" s="10">
        <v>903454000000</v>
      </c>
      <c r="N303" s="10">
        <v>426434000000</v>
      </c>
      <c r="O303" s="12">
        <v>866121000000</v>
      </c>
      <c r="P303" s="50">
        <f>9197000000+600000000000</f>
        <v>609197000000</v>
      </c>
      <c r="Q303" s="51">
        <v>1230</v>
      </c>
      <c r="R303" s="51">
        <f t="shared" si="26"/>
        <v>0.52657034050030316</v>
      </c>
      <c r="S303" s="51">
        <f t="shared" si="27"/>
        <v>3.7721766615658368</v>
      </c>
      <c r="T303" s="51">
        <f t="shared" si="35"/>
        <v>2.8055491581127186E-2</v>
      </c>
      <c r="U303" s="51">
        <f t="shared" si="36"/>
        <v>0.15681268607589252</v>
      </c>
      <c r="V303" s="51">
        <f t="shared" si="37"/>
        <v>0.18433040162664815</v>
      </c>
      <c r="W303" s="51">
        <f t="shared" si="23"/>
        <v>6.8693202805682361E-3</v>
      </c>
      <c r="X303" s="58">
        <f t="shared" si="28"/>
        <v>0.70336246321241491</v>
      </c>
      <c r="Y303" s="74">
        <f t="shared" si="24"/>
        <v>102.39185748873426</v>
      </c>
      <c r="Z303" s="51">
        <f t="shared" si="25"/>
        <v>16.056342205108411</v>
      </c>
      <c r="AA303" s="52">
        <v>4</v>
      </c>
      <c r="AB303">
        <v>0</v>
      </c>
    </row>
    <row r="304" spans="1:28">
      <c r="A304" s="6">
        <v>2020</v>
      </c>
      <c r="B304" s="82" t="s">
        <v>440</v>
      </c>
      <c r="C304" s="7" t="s">
        <v>441</v>
      </c>
      <c r="D304" s="50">
        <v>3227394000000</v>
      </c>
      <c r="E304" s="10">
        <v>28738362000000</v>
      </c>
      <c r="F304" s="10">
        <v>36521303000000</v>
      </c>
      <c r="G304" s="10">
        <f t="shared" si="34"/>
        <v>13777876000000</v>
      </c>
      <c r="H304" s="10">
        <v>13439589000000</v>
      </c>
      <c r="I304" s="10">
        <v>27217465000000</v>
      </c>
      <c r="J304" s="10">
        <v>9303838000000</v>
      </c>
      <c r="K304" s="8">
        <v>72100600000</v>
      </c>
      <c r="L304" s="10">
        <v>5327689000000</v>
      </c>
      <c r="M304" s="10">
        <v>1093065000000</v>
      </c>
      <c r="N304" s="10">
        <v>418623000000</v>
      </c>
      <c r="O304" s="12">
        <v>1066576000000</v>
      </c>
      <c r="P304" s="50">
        <f>11055000000+605670000000</f>
        <v>616725000000</v>
      </c>
      <c r="Q304" s="51">
        <v>1630</v>
      </c>
      <c r="R304" s="51">
        <f t="shared" si="26"/>
        <v>0.23424466877187747</v>
      </c>
      <c r="S304" s="51">
        <f t="shared" si="27"/>
        <v>1.4445209600597086</v>
      </c>
      <c r="T304" s="51">
        <f t="shared" si="35"/>
        <v>2.9204215413672397E-2</v>
      </c>
      <c r="U304" s="51">
        <f t="shared" si="36"/>
        <v>0.11463828153499664</v>
      </c>
      <c r="V304" s="51">
        <f t="shared" si="37"/>
        <v>0.20019486873201495</v>
      </c>
      <c r="W304" s="51">
        <f t="shared" si="23"/>
        <v>5.2476525258530644E-3</v>
      </c>
      <c r="X304" s="58">
        <f t="shared" si="28"/>
        <v>0.5782288369511408</v>
      </c>
      <c r="Y304" s="74">
        <f t="shared" si="24"/>
        <v>110.18809536310587</v>
      </c>
      <c r="Z304" s="51">
        <f t="shared" si="25"/>
        <v>12.631773898040789</v>
      </c>
      <c r="AA304" s="52">
        <v>4</v>
      </c>
      <c r="AB304">
        <v>0</v>
      </c>
    </row>
    <row r="305" spans="1:28">
      <c r="A305" s="6">
        <v>2018</v>
      </c>
      <c r="B305" s="6" t="s">
        <v>407</v>
      </c>
      <c r="C305" s="7" t="s">
        <v>408</v>
      </c>
      <c r="D305" s="9">
        <v>1616000000</v>
      </c>
      <c r="E305" s="10">
        <v>724000000</v>
      </c>
      <c r="F305" s="10">
        <v>713505000000</v>
      </c>
      <c r="G305" s="10">
        <f t="shared" si="34"/>
        <v>10096465000000</v>
      </c>
      <c r="H305" s="9">
        <v>6036283000000</v>
      </c>
      <c r="I305" s="10">
        <v>16132748000000</v>
      </c>
      <c r="J305" s="10">
        <v>15419243000000</v>
      </c>
      <c r="K305" s="8">
        <f t="shared" ref="K305:K307" si="38">10000000000+87111652195</f>
        <v>97111652195</v>
      </c>
      <c r="L305" s="10">
        <v>8526000000</v>
      </c>
      <c r="M305" s="10">
        <v>4720000000</v>
      </c>
      <c r="N305" s="9">
        <f>40856000000+690929000000</f>
        <v>731785000000</v>
      </c>
      <c r="O305" s="12">
        <v>-720575000000</v>
      </c>
      <c r="P305" s="50">
        <v>0</v>
      </c>
      <c r="Q305" s="51">
        <v>50</v>
      </c>
      <c r="R305" s="51">
        <f t="shared" si="26"/>
        <v>1.6005601960686241E-4</v>
      </c>
      <c r="S305" s="51">
        <f t="shared" si="27"/>
        <v>0.39147725994071175</v>
      </c>
      <c r="T305" s="51">
        <f t="shared" si="35"/>
        <v>-1.0099088303515742</v>
      </c>
      <c r="U305" s="51">
        <f t="shared" si="36"/>
        <v>-4.6732190419464824E-2</v>
      </c>
      <c r="V305" s="51">
        <f t="shared" si="37"/>
        <v>-84.51501290171241</v>
      </c>
      <c r="W305" s="51">
        <f t="shared" si="23"/>
        <v>0</v>
      </c>
      <c r="X305" s="58">
        <f t="shared" si="28"/>
        <v>0</v>
      </c>
      <c r="Y305" s="51">
        <f t="shared" si="24"/>
        <v>-6.7384833081219853</v>
      </c>
      <c r="Z305" s="51">
        <f t="shared" si="25"/>
        <v>0.31490408509354184</v>
      </c>
      <c r="AA305" s="52">
        <v>4</v>
      </c>
      <c r="AB305">
        <v>0</v>
      </c>
    </row>
    <row r="306" spans="1:28">
      <c r="A306" s="6">
        <v>2019</v>
      </c>
      <c r="B306" s="82" t="s">
        <v>407</v>
      </c>
      <c r="C306" s="7" t="s">
        <v>408</v>
      </c>
      <c r="D306" s="50">
        <v>3980000000</v>
      </c>
      <c r="E306" s="10">
        <v>425000000</v>
      </c>
      <c r="F306" s="10">
        <v>11234000000</v>
      </c>
      <c r="G306" s="10">
        <f t="shared" si="34"/>
        <v>9240180000000</v>
      </c>
      <c r="H306" s="10">
        <v>5723346000000</v>
      </c>
      <c r="I306" s="10">
        <v>14963526000000</v>
      </c>
      <c r="J306" s="10">
        <v>14952292000000</v>
      </c>
      <c r="K306" s="8">
        <f t="shared" si="38"/>
        <v>97111652195</v>
      </c>
      <c r="L306" s="10">
        <v>10275000000</v>
      </c>
      <c r="M306" s="10">
        <v>6251000000</v>
      </c>
      <c r="N306" s="9">
        <f>3423000000+8619000000+353000000+165192000000+15000000</f>
        <v>177602000000</v>
      </c>
      <c r="O306" s="19">
        <v>7280000000</v>
      </c>
      <c r="P306" s="50">
        <v>0</v>
      </c>
      <c r="Q306" s="51">
        <v>50</v>
      </c>
      <c r="R306" s="51">
        <f t="shared" si="26"/>
        <v>4.3072753993969815E-4</v>
      </c>
      <c r="S306" s="51">
        <f t="shared" si="27"/>
        <v>0.38277382490925138</v>
      </c>
      <c r="T306" s="51">
        <f t="shared" si="35"/>
        <v>0.64803275769983981</v>
      </c>
      <c r="U306" s="51">
        <f t="shared" si="36"/>
        <v>4.8688187737371637E-4</v>
      </c>
      <c r="V306" s="51">
        <f t="shared" si="37"/>
        <v>0.70851581508515815</v>
      </c>
      <c r="W306" s="51">
        <f t="shared" si="23"/>
        <v>0</v>
      </c>
      <c r="X306" s="58">
        <f t="shared" si="28"/>
        <v>0</v>
      </c>
      <c r="Y306" s="74">
        <f t="shared" si="24"/>
        <v>666.97563320741767</v>
      </c>
      <c r="Z306" s="51">
        <f t="shared" si="25"/>
        <v>0.32473834845855071</v>
      </c>
      <c r="AA306" s="52">
        <v>4</v>
      </c>
      <c r="AB306">
        <v>0</v>
      </c>
    </row>
    <row r="307" spans="1:28">
      <c r="A307" s="6">
        <v>2020</v>
      </c>
      <c r="B307" s="6" t="s">
        <v>407</v>
      </c>
      <c r="C307" s="7" t="s">
        <v>408</v>
      </c>
      <c r="D307" s="50">
        <v>2134000000</v>
      </c>
      <c r="E307" s="10">
        <v>61000000</v>
      </c>
      <c r="F307" s="10">
        <v>3266000000</v>
      </c>
      <c r="G307" s="10">
        <f t="shared" si="34"/>
        <v>881184000000</v>
      </c>
      <c r="H307" s="10">
        <v>10425635000000</v>
      </c>
      <c r="I307" s="10">
        <v>11306819000000</v>
      </c>
      <c r="J307" s="10">
        <v>11303553000000</v>
      </c>
      <c r="K307" s="8">
        <f t="shared" si="38"/>
        <v>97111652195</v>
      </c>
      <c r="L307" s="10">
        <v>10537000000</v>
      </c>
      <c r="M307" s="10">
        <v>6569000000</v>
      </c>
      <c r="N307" s="9">
        <f>132000000+8317000000+95000000+5963000000+ 89807000000</f>
        <v>104314000000</v>
      </c>
      <c r="O307" s="12">
        <v>-108137000000</v>
      </c>
      <c r="P307" s="50">
        <v>0</v>
      </c>
      <c r="Q307" s="51">
        <v>50</v>
      </c>
      <c r="R307" s="51">
        <f t="shared" si="26"/>
        <v>2.4217416566801033E-3</v>
      </c>
      <c r="S307" s="51">
        <f t="shared" si="27"/>
        <v>0.92233256215988013</v>
      </c>
      <c r="T307" s="51">
        <f t="shared" si="35"/>
        <v>-33.109920391916717</v>
      </c>
      <c r="U307" s="51">
        <f t="shared" si="36"/>
        <v>-9.5666380296531538E-3</v>
      </c>
      <c r="V307" s="51">
        <f t="shared" si="37"/>
        <v>-10.262598462560501</v>
      </c>
      <c r="W307" s="51">
        <f t="shared" si="23"/>
        <v>0</v>
      </c>
      <c r="X307" s="58">
        <f t="shared" si="28"/>
        <v>0</v>
      </c>
      <c r="Y307" s="51">
        <f t="shared" si="24"/>
        <v>-44.902139043528116</v>
      </c>
      <c r="Z307" s="51">
        <f t="shared" si="25"/>
        <v>0.42956251098658982</v>
      </c>
      <c r="AA307" s="52">
        <v>4</v>
      </c>
      <c r="AB307">
        <v>1</v>
      </c>
    </row>
    <row r="308" spans="1:28">
      <c r="A308" s="6">
        <v>2018</v>
      </c>
      <c r="B308" s="6" t="s">
        <v>411</v>
      </c>
      <c r="C308" s="7" t="s">
        <v>412</v>
      </c>
      <c r="D308" s="9">
        <v>7058652000000</v>
      </c>
      <c r="E308" s="10">
        <v>36759530000000</v>
      </c>
      <c r="F308" s="10">
        <v>57613954000000</v>
      </c>
      <c r="G308" s="10">
        <f t="shared" si="34"/>
        <v>15733294000000</v>
      </c>
      <c r="H308" s="10">
        <v>23537562000000</v>
      </c>
      <c r="I308" s="10">
        <f>23537562000000+15733294000000</f>
        <v>39270856000000</v>
      </c>
      <c r="J308" s="10">
        <v>18343098000000</v>
      </c>
      <c r="K308" s="8">
        <v>22650000000</v>
      </c>
      <c r="L308" s="10">
        <v>22938812000000</v>
      </c>
      <c r="M308" s="10">
        <v>25710191000000</v>
      </c>
      <c r="N308" s="9">
        <f>1037244000000+2038624000000+1037244000000</f>
        <v>4113112000000</v>
      </c>
      <c r="O308" s="12">
        <v>-3296890000000</v>
      </c>
      <c r="P308" s="50">
        <v>0</v>
      </c>
      <c r="Q308" s="51">
        <v>1980</v>
      </c>
      <c r="R308" s="51">
        <f t="shared" si="26"/>
        <v>0.44864425720386336</v>
      </c>
      <c r="S308" s="51">
        <f t="shared" si="27"/>
        <v>1.2831835712811435</v>
      </c>
      <c r="T308" s="51">
        <f t="shared" si="35"/>
        <v>-5.7223810745570425E-2</v>
      </c>
      <c r="U308" s="51">
        <f t="shared" si="36"/>
        <v>-0.17973463370255122</v>
      </c>
      <c r="V308" s="51">
        <f t="shared" si="37"/>
        <v>-0.1437254030417966</v>
      </c>
      <c r="W308" s="51">
        <f t="shared" si="23"/>
        <v>0</v>
      </c>
      <c r="X308" s="58">
        <f t="shared" si="28"/>
        <v>0</v>
      </c>
      <c r="Y308" s="51">
        <f t="shared" si="24"/>
        <v>-13.602819626981791</v>
      </c>
      <c r="Z308" s="51">
        <f t="shared" si="25"/>
        <v>2.4448978029774469</v>
      </c>
      <c r="AA308" s="52">
        <v>4</v>
      </c>
      <c r="AB308">
        <v>0</v>
      </c>
    </row>
    <row r="309" spans="1:28">
      <c r="A309" s="6">
        <v>2019</v>
      </c>
      <c r="B309" s="82" t="s">
        <v>411</v>
      </c>
      <c r="C309" s="7" t="s">
        <v>412</v>
      </c>
      <c r="D309" s="9">
        <v>7145648000000</v>
      </c>
      <c r="E309" s="10">
        <v>42081680000000</v>
      </c>
      <c r="F309" s="10">
        <v>62725242000000</v>
      </c>
      <c r="G309" s="10">
        <f t="shared" si="34"/>
        <v>21292684000000</v>
      </c>
      <c r="H309" s="10">
        <v>22310592000000</v>
      </c>
      <c r="I309" s="10">
        <f>H309+21292684000000</f>
        <v>43603276000000</v>
      </c>
      <c r="J309" s="10">
        <v>19121966000000</v>
      </c>
      <c r="K309" s="8">
        <v>22650000000</v>
      </c>
      <c r="L309" s="10">
        <v>25132628000000</v>
      </c>
      <c r="M309" s="10">
        <v>21858139000000</v>
      </c>
      <c r="N309" s="9">
        <f>1970279000000+1279376000000+531193000000</f>
        <v>3780848000000</v>
      </c>
      <c r="O309" s="12">
        <v>712579000000</v>
      </c>
      <c r="P309" s="50">
        <v>0</v>
      </c>
      <c r="Q309" s="51">
        <v>3150</v>
      </c>
      <c r="R309" s="51">
        <f t="shared" si="26"/>
        <v>0.33559169900797853</v>
      </c>
      <c r="S309" s="51">
        <f t="shared" si="27"/>
        <v>1.1667519961075132</v>
      </c>
      <c r="T309" s="51">
        <f t="shared" si="35"/>
        <v>1.1360322850567879E-2</v>
      </c>
      <c r="U309" s="51">
        <f t="shared" si="36"/>
        <v>3.7264944410004705E-2</v>
      </c>
      <c r="V309" s="51">
        <f t="shared" si="37"/>
        <v>2.8352745283939267E-2</v>
      </c>
      <c r="W309" s="51">
        <f t="shared" si="23"/>
        <v>0</v>
      </c>
      <c r="X309" s="58">
        <f t="shared" si="28"/>
        <v>0</v>
      </c>
      <c r="Y309" s="74">
        <f t="shared" si="24"/>
        <v>100.12574044421741</v>
      </c>
      <c r="Z309" s="51">
        <f t="shared" si="25"/>
        <v>3.7311801516643213</v>
      </c>
      <c r="AA309" s="52">
        <v>4</v>
      </c>
      <c r="AB309">
        <v>0</v>
      </c>
    </row>
    <row r="310" spans="1:28">
      <c r="A310" s="6">
        <v>2020</v>
      </c>
      <c r="B310" s="82" t="s">
        <v>411</v>
      </c>
      <c r="C310" s="7" t="s">
        <v>412</v>
      </c>
      <c r="D310" s="50">
        <v>7571123000000</v>
      </c>
      <c r="E310" s="10">
        <v>47162250000000</v>
      </c>
      <c r="F310" s="10">
        <v>67744797000000</v>
      </c>
      <c r="G310" s="10">
        <f t="shared" si="34"/>
        <v>18857026000000</v>
      </c>
      <c r="H310" s="10">
        <v>29750405000000</v>
      </c>
      <c r="I310" s="10">
        <f>H310+18857026000000</f>
        <v>48607431000000</v>
      </c>
      <c r="J310" s="10">
        <v>19137366000000</v>
      </c>
      <c r="K310" s="8">
        <v>22650000000</v>
      </c>
      <c r="L310" s="10">
        <v>26009095000000</v>
      </c>
      <c r="M310" s="10">
        <v>23377010000000</v>
      </c>
      <c r="N310" s="9">
        <f>1805207000000+1274264000000+335218000000</f>
        <v>3414689000000</v>
      </c>
      <c r="O310" s="12">
        <v>371598000000</v>
      </c>
      <c r="P310" s="50">
        <v>213024000000</v>
      </c>
      <c r="Q310" s="51">
        <v>2730</v>
      </c>
      <c r="R310" s="51">
        <f t="shared" si="26"/>
        <v>0.40150143506192332</v>
      </c>
      <c r="S310" s="51">
        <f t="shared" si="27"/>
        <v>1.5545715643417177</v>
      </c>
      <c r="T310" s="51">
        <f t="shared" si="35"/>
        <v>5.4852625803868005E-3</v>
      </c>
      <c r="U310" s="51">
        <f t="shared" si="36"/>
        <v>1.9417405718216395E-2</v>
      </c>
      <c r="V310" s="51">
        <f t="shared" si="37"/>
        <v>1.4287232985230743E-2</v>
      </c>
      <c r="W310" s="51">
        <f t="shared" si="23"/>
        <v>3.4450670742061473E-3</v>
      </c>
      <c r="X310" s="58">
        <f t="shared" si="28"/>
        <v>0.57326465696801387</v>
      </c>
      <c r="Y310" s="74">
        <f t="shared" si="24"/>
        <v>166.40159527231037</v>
      </c>
      <c r="Z310" s="51">
        <f t="shared" si="25"/>
        <v>3.2310872875608898</v>
      </c>
      <c r="AA310" s="52">
        <v>4</v>
      </c>
      <c r="AB310">
        <v>0</v>
      </c>
    </row>
    <row r="311" spans="1:28">
      <c r="A311" s="6">
        <v>2018</v>
      </c>
      <c r="B311" s="6" t="s">
        <v>413</v>
      </c>
      <c r="C311" s="7" t="s">
        <v>414</v>
      </c>
      <c r="D311" s="50">
        <v>1987582883558</v>
      </c>
      <c r="E311" s="10">
        <v>16747033996892</v>
      </c>
      <c r="F311" s="10">
        <v>26213595077036</v>
      </c>
      <c r="G311" s="10">
        <f t="shared" si="34"/>
        <v>6113366615810</v>
      </c>
      <c r="H311" s="10">
        <v>6652222637584</v>
      </c>
      <c r="I311" s="10">
        <v>12765589253394</v>
      </c>
      <c r="J311" s="10">
        <v>12448005823642</v>
      </c>
      <c r="K311" s="8">
        <f t="shared" ref="K311:K313" si="39">1011793622+6793548068+541828646880</f>
        <v>549633988570</v>
      </c>
      <c r="L311" s="10">
        <v>5490311128559</v>
      </c>
      <c r="M311" s="10">
        <v>3621087413155</v>
      </c>
      <c r="N311" s="10">
        <f>648487185301+7330018167414</f>
        <v>7978505352715</v>
      </c>
      <c r="O311" s="12">
        <v>-3532729249240</v>
      </c>
      <c r="P311" s="50">
        <v>0</v>
      </c>
      <c r="Q311" s="51">
        <v>78</v>
      </c>
      <c r="R311" s="51">
        <f t="shared" si="26"/>
        <v>0.32512083905091499</v>
      </c>
      <c r="S311" s="51">
        <f t="shared" si="27"/>
        <v>0.53440066881634163</v>
      </c>
      <c r="T311" s="51">
        <f t="shared" si="35"/>
        <v>-0.13476706414584053</v>
      </c>
      <c r="U311" s="51">
        <f t="shared" si="36"/>
        <v>-0.28379881077260011</v>
      </c>
      <c r="V311" s="51">
        <f t="shared" si="37"/>
        <v>-0.64344791515799005</v>
      </c>
      <c r="W311" s="51">
        <f t="shared" si="23"/>
        <v>0</v>
      </c>
      <c r="X311" s="58">
        <f t="shared" si="28"/>
        <v>0</v>
      </c>
      <c r="Y311" s="51">
        <f t="shared" si="24"/>
        <v>-12.135504332148574</v>
      </c>
      <c r="Z311" s="51">
        <f t="shared" si="25"/>
        <v>3.4440416975895016</v>
      </c>
      <c r="AA311" s="52">
        <v>4</v>
      </c>
      <c r="AB311">
        <v>0</v>
      </c>
    </row>
    <row r="312" spans="1:28">
      <c r="A312" s="6">
        <v>2019</v>
      </c>
      <c r="B312" s="6" t="s">
        <v>413</v>
      </c>
      <c r="C312" s="7" t="s">
        <v>414</v>
      </c>
      <c r="D312" s="9">
        <v>1774596661176</v>
      </c>
      <c r="E312" s="10">
        <v>19894482043118</v>
      </c>
      <c r="F312" s="10">
        <v>27650462178339</v>
      </c>
      <c r="G312" s="10">
        <f t="shared" si="34"/>
        <v>6119936082173</v>
      </c>
      <c r="H312" s="10">
        <v>8795039298147</v>
      </c>
      <c r="I312" s="10">
        <v>14914975380320</v>
      </c>
      <c r="J312" s="10">
        <v>12735486798019</v>
      </c>
      <c r="K312" s="8">
        <f t="shared" si="39"/>
        <v>549633988570</v>
      </c>
      <c r="L312" s="10">
        <v>6987804620572</v>
      </c>
      <c r="M312" s="10">
        <v>9290093435878</v>
      </c>
      <c r="N312" s="10">
        <f>939362411828+8093594926155</f>
        <v>9032957337983</v>
      </c>
      <c r="O312" s="12">
        <v>-2197474419923</v>
      </c>
      <c r="P312" s="50">
        <v>0</v>
      </c>
      <c r="Q312" s="51">
        <v>138</v>
      </c>
      <c r="R312" s="51">
        <f t="shared" si="26"/>
        <v>0.28996980317250237</v>
      </c>
      <c r="S312" s="51">
        <f t="shared" si="27"/>
        <v>0.69059309923787637</v>
      </c>
      <c r="T312" s="51">
        <f t="shared" si="35"/>
        <v>-7.9473334143559879E-2</v>
      </c>
      <c r="U312" s="51">
        <f t="shared" si="36"/>
        <v>-0.17254734387262027</v>
      </c>
      <c r="V312" s="51">
        <f t="shared" si="37"/>
        <v>-0.31447279070363038</v>
      </c>
      <c r="W312" s="51">
        <f t="shared" si="23"/>
        <v>0</v>
      </c>
      <c r="X312" s="58">
        <f t="shared" si="28"/>
        <v>0</v>
      </c>
      <c r="Y312" s="51">
        <f t="shared" si="24"/>
        <v>-34.516665921106735</v>
      </c>
      <c r="Z312" s="51">
        <f t="shared" si="25"/>
        <v>5.9557590240255571</v>
      </c>
      <c r="AA312" s="52">
        <v>4</v>
      </c>
      <c r="AB312">
        <v>0</v>
      </c>
    </row>
    <row r="313" spans="1:28">
      <c r="A313" s="6">
        <v>2020</v>
      </c>
      <c r="B313" s="6" t="s">
        <v>413</v>
      </c>
      <c r="C313" s="7" t="s">
        <v>414</v>
      </c>
      <c r="D313" s="10">
        <v>2646319224796</v>
      </c>
      <c r="E313" s="10">
        <v>29672953182374</v>
      </c>
      <c r="F313" s="10">
        <v>38684276546076</v>
      </c>
      <c r="G313" s="10">
        <f t="shared" si="34"/>
        <v>8417955655404</v>
      </c>
      <c r="H313" s="10">
        <v>17900388499822</v>
      </c>
      <c r="I313" s="10">
        <v>26318344155226</v>
      </c>
      <c r="J313" s="10">
        <v>12365932390850</v>
      </c>
      <c r="K313" s="8">
        <f t="shared" si="39"/>
        <v>549633988570</v>
      </c>
      <c r="L313" s="10">
        <v>9407882876396</v>
      </c>
      <c r="M313" s="10">
        <v>10192558145177</v>
      </c>
      <c r="N313" s="10">
        <f>1254597841997+8466286109995+14327760523</f>
        <v>9735211712515</v>
      </c>
      <c r="O313" s="12">
        <v>-1499720500328</v>
      </c>
      <c r="P313" s="50">
        <v>0</v>
      </c>
      <c r="Q313" s="51">
        <v>67</v>
      </c>
      <c r="R313" s="51">
        <f t="shared" si="26"/>
        <v>0.31436602105371819</v>
      </c>
      <c r="S313" s="51">
        <f t="shared" si="27"/>
        <v>1.4475567174430894</v>
      </c>
      <c r="T313" s="51">
        <f t="shared" si="35"/>
        <v>-3.8768218879360855E-2</v>
      </c>
      <c r="U313" s="51">
        <f t="shared" si="36"/>
        <v>-0.1212784004413365</v>
      </c>
      <c r="V313" s="51">
        <f t="shared" si="37"/>
        <v>-0.15941105135255654</v>
      </c>
      <c r="W313" s="51">
        <f t="shared" si="23"/>
        <v>0</v>
      </c>
      <c r="X313" s="58">
        <f t="shared" si="28"/>
        <v>0</v>
      </c>
      <c r="Y313" s="51">
        <f t="shared" si="24"/>
        <v>-24.554893545921388</v>
      </c>
      <c r="Z313" s="51">
        <f t="shared" si="25"/>
        <v>2.9779782122566432</v>
      </c>
      <c r="AA313" s="52">
        <v>4</v>
      </c>
      <c r="AB313">
        <v>0</v>
      </c>
    </row>
    <row r="314" spans="1:28">
      <c r="A314" s="6">
        <v>2018</v>
      </c>
      <c r="B314" s="6" t="s">
        <v>415</v>
      </c>
      <c r="C314" s="7" t="s">
        <v>416</v>
      </c>
      <c r="D314" s="10">
        <v>7906525000000</v>
      </c>
      <c r="E314" s="10">
        <v>36899330000000</v>
      </c>
      <c r="F314" s="10">
        <v>53139587000000</v>
      </c>
      <c r="G314" s="10">
        <f t="shared" si="34"/>
        <v>21040365000000</v>
      </c>
      <c r="H314" s="10">
        <v>19962975000000</v>
      </c>
      <c r="I314" s="10">
        <v>41003340000000</v>
      </c>
      <c r="J314" s="10">
        <v>12136247000000</v>
      </c>
      <c r="K314" s="8">
        <v>20000000000</v>
      </c>
      <c r="L314" s="9">
        <v>23139551000000</v>
      </c>
      <c r="M314" s="10">
        <v>12043307000000</v>
      </c>
      <c r="N314" s="10">
        <f>2238310000000+1228930000000+1128860000000</f>
        <v>4596100000000</v>
      </c>
      <c r="O314" s="12">
        <v>-2085059000000</v>
      </c>
      <c r="P314" s="50">
        <f>79619000000+396677000000</f>
        <v>476296000000</v>
      </c>
      <c r="Q314" s="51">
        <v>1685</v>
      </c>
      <c r="R314" s="51">
        <f t="shared" si="26"/>
        <v>0.37577888976735907</v>
      </c>
      <c r="S314" s="51">
        <f t="shared" si="27"/>
        <v>1.6449051341819263</v>
      </c>
      <c r="T314" s="51">
        <f t="shared" si="35"/>
        <v>-3.9237395653827722E-2</v>
      </c>
      <c r="U314" s="51">
        <f t="shared" si="36"/>
        <v>-0.17180426535484983</v>
      </c>
      <c r="V314" s="51">
        <f t="shared" si="37"/>
        <v>-9.0108014628287297E-2</v>
      </c>
      <c r="W314" s="51">
        <f t="shared" si="23"/>
        <v>1.4133412462908014E-2</v>
      </c>
      <c r="X314" s="58">
        <f t="shared" si="28"/>
        <v>-0.22843286448968592</v>
      </c>
      <c r="Y314" s="51">
        <f t="shared" si="24"/>
        <v>-16.16261218507486</v>
      </c>
      <c r="Z314" s="51">
        <f t="shared" si="25"/>
        <v>2.7768057126721297</v>
      </c>
      <c r="AA314" s="52">
        <v>4</v>
      </c>
      <c r="AB314">
        <v>0</v>
      </c>
    </row>
    <row r="315" spans="1:28">
      <c r="A315" s="6">
        <v>2019</v>
      </c>
      <c r="B315" s="6" t="s">
        <v>415</v>
      </c>
      <c r="C315" s="7" t="s">
        <v>416</v>
      </c>
      <c r="D315" s="10">
        <v>12444795000000</v>
      </c>
      <c r="E315" s="10">
        <v>42753285000000</v>
      </c>
      <c r="F315" s="10">
        <v>62813000000000</v>
      </c>
      <c r="G315" s="10">
        <f t="shared" si="34"/>
        <v>22129440000000</v>
      </c>
      <c r="H315" s="10">
        <v>26976367000000</v>
      </c>
      <c r="I315" s="10">
        <v>49105807000000</v>
      </c>
      <c r="J315" s="10">
        <v>13707193000000</v>
      </c>
      <c r="K315" s="8">
        <v>20000000000</v>
      </c>
      <c r="L315" s="10">
        <v>26117533000000</v>
      </c>
      <c r="M315" s="10">
        <v>12342653000000</v>
      </c>
      <c r="N315" s="10">
        <f>1934024000000+1145457000000+839338000000</f>
        <v>3918819000000</v>
      </c>
      <c r="O315" s="12">
        <v>1630372000000</v>
      </c>
      <c r="P315" s="50">
        <v>38273000000</v>
      </c>
      <c r="Q315" s="51">
        <v>2910</v>
      </c>
      <c r="R315" s="51">
        <f t="shared" si="26"/>
        <v>0.56236375615469714</v>
      </c>
      <c r="S315" s="51">
        <f t="shared" si="27"/>
        <v>1.9680445879765462</v>
      </c>
      <c r="T315" s="51">
        <f t="shared" si="35"/>
        <v>2.5955964529635583E-2</v>
      </c>
      <c r="U315" s="51">
        <f t="shared" si="36"/>
        <v>0.1189428061602401</v>
      </c>
      <c r="V315" s="51">
        <f t="shared" si="37"/>
        <v>6.2424425767931453E-2</v>
      </c>
      <c r="W315" s="51">
        <f t="shared" si="23"/>
        <v>6.5761168384879725E-4</v>
      </c>
      <c r="X315" s="58">
        <f t="shared" si="28"/>
        <v>2.3475010611075264E-2</v>
      </c>
      <c r="Y315" s="51">
        <f t="shared" si="24"/>
        <v>35.69737458690409</v>
      </c>
      <c r="Z315" s="51">
        <f t="shared" si="25"/>
        <v>4.2459459059196147</v>
      </c>
      <c r="AA315" s="52">
        <v>4</v>
      </c>
      <c r="AB315">
        <v>0</v>
      </c>
    </row>
    <row r="316" spans="1:28">
      <c r="A316" s="6">
        <v>2020</v>
      </c>
      <c r="B316" s="82" t="s">
        <v>415</v>
      </c>
      <c r="C316" s="7" t="s">
        <v>416</v>
      </c>
      <c r="D316" s="10">
        <v>9594951000000</v>
      </c>
      <c r="E316" s="10">
        <v>46522054000000</v>
      </c>
      <c r="F316" s="10">
        <v>62778740000000</v>
      </c>
      <c r="G316" s="10">
        <f t="shared" si="34"/>
        <v>22658094000000</v>
      </c>
      <c r="H316" s="10">
        <v>27207250000000</v>
      </c>
      <c r="I316" s="10">
        <v>49865344000000</v>
      </c>
      <c r="J316" s="10">
        <v>12913396000000</v>
      </c>
      <c r="K316" s="8">
        <v>20000000000</v>
      </c>
      <c r="L316" s="10">
        <v>27925661000000</v>
      </c>
      <c r="M316" s="10">
        <v>12165540000000</v>
      </c>
      <c r="N316" s="10">
        <f>2578463000000+1082774000000+665727000000</f>
        <v>4326964000000</v>
      </c>
      <c r="O316" s="12">
        <v>-630160000000</v>
      </c>
      <c r="P316" s="50">
        <v>22226000000</v>
      </c>
      <c r="Q316" s="51">
        <v>5050</v>
      </c>
      <c r="R316" s="51">
        <f t="shared" si="26"/>
        <v>0.42346681940678682</v>
      </c>
      <c r="S316" s="51">
        <f t="shared" si="27"/>
        <v>2.1069012365143918</v>
      </c>
      <c r="T316" s="51">
        <f t="shared" si="35"/>
        <v>-1.0037793049048133E-2</v>
      </c>
      <c r="U316" s="51">
        <f t="shared" si="36"/>
        <v>-4.8798937165715352E-2</v>
      </c>
      <c r="V316" s="51">
        <f t="shared" si="37"/>
        <v>-2.2565625214744246E-2</v>
      </c>
      <c r="W316" s="51">
        <f t="shared" si="23"/>
        <v>2.2005940594059406E-4</v>
      </c>
      <c r="X316" s="58">
        <f t="shared" si="28"/>
        <v>-3.5270407515551605E-2</v>
      </c>
      <c r="Y316" s="74">
        <f t="shared" si="24"/>
        <v>-160.27675510981339</v>
      </c>
      <c r="Z316" s="51">
        <f t="shared" si="25"/>
        <v>7.8213353017285305</v>
      </c>
      <c r="AA316" s="52">
        <v>4</v>
      </c>
      <c r="AB316">
        <v>0</v>
      </c>
    </row>
    <row r="317" spans="1:28">
      <c r="A317" s="6">
        <v>2018</v>
      </c>
      <c r="B317" s="6" t="s">
        <v>417</v>
      </c>
      <c r="C317" s="7" t="s">
        <v>418</v>
      </c>
      <c r="D317" s="10">
        <v>206196000000000</v>
      </c>
      <c r="E317" s="10">
        <v>143248000000000</v>
      </c>
      <c r="F317" s="10">
        <v>206196000000000</v>
      </c>
      <c r="G317" s="10">
        <f t="shared" si="34"/>
        <v>46261000000000</v>
      </c>
      <c r="H317" s="10">
        <v>42632000000000</v>
      </c>
      <c r="I317" s="10">
        <v>88893000000000</v>
      </c>
      <c r="J317" s="10">
        <v>117303000000000</v>
      </c>
      <c r="K317" s="8">
        <v>99062216600</v>
      </c>
      <c r="L317" s="10">
        <v>130784000000000</v>
      </c>
      <c r="M317" s="10">
        <f>130784000000000-38845000000000</f>
        <v>91939000000000</v>
      </c>
      <c r="N317" s="10">
        <v>6137000000000</v>
      </c>
      <c r="O317" s="12">
        <v>26979000000000</v>
      </c>
      <c r="P317" s="50">
        <f>16609000000000+10134000000000</f>
        <v>26743000000000</v>
      </c>
      <c r="Q317" s="51">
        <v>3750</v>
      </c>
      <c r="R317" s="51">
        <f t="shared" si="26"/>
        <v>4.4572317935193793</v>
      </c>
      <c r="S317" s="51">
        <f t="shared" si="27"/>
        <v>0.36343486526346303</v>
      </c>
      <c r="T317" s="51">
        <f t="shared" si="35"/>
        <v>0.13084152941861141</v>
      </c>
      <c r="U317" s="51">
        <f t="shared" si="36"/>
        <v>0.22999411779749879</v>
      </c>
      <c r="V317" s="51">
        <f t="shared" si="37"/>
        <v>0.20628670173721556</v>
      </c>
      <c r="W317" s="51">
        <f t="shared" si="23"/>
        <v>7.1989774824669797E-2</v>
      </c>
      <c r="X317" s="58">
        <f t="shared" si="28"/>
        <v>0.99125245561362541</v>
      </c>
      <c r="Y317" s="51">
        <f t="shared" si="24"/>
        <v>13.769350689425108</v>
      </c>
      <c r="Z317" s="51">
        <f t="shared" si="25"/>
        <v>3.1668696644587091</v>
      </c>
      <c r="AA317" s="52">
        <v>4</v>
      </c>
      <c r="AB317">
        <v>0</v>
      </c>
    </row>
    <row r="318" spans="1:28">
      <c r="A318" s="6">
        <v>2019</v>
      </c>
      <c r="B318" s="6" t="s">
        <v>417</v>
      </c>
      <c r="C318" s="7" t="s">
        <v>418</v>
      </c>
      <c r="D318" s="10">
        <v>221208000000000</v>
      </c>
      <c r="E318" s="10">
        <v>156973000000000</v>
      </c>
      <c r="F318" s="10">
        <v>221208000000000</v>
      </c>
      <c r="G318" s="10">
        <f t="shared" si="34"/>
        <v>58369000000000</v>
      </c>
      <c r="H318" s="10">
        <v>45589000000000</v>
      </c>
      <c r="I318" s="10">
        <v>103958000000000</v>
      </c>
      <c r="J318" s="10">
        <v>117250000000000</v>
      </c>
      <c r="K318" s="8">
        <v>99062216600</v>
      </c>
      <c r="L318" s="10">
        <v>135567000000000</v>
      </c>
      <c r="M318" s="10">
        <f>L318-42394000000000</f>
        <v>93173000000000</v>
      </c>
      <c r="N318" s="10">
        <v>6696000000000</v>
      </c>
      <c r="O318" s="12">
        <v>27592000000000</v>
      </c>
      <c r="P318" s="50">
        <f>16229000000000+9618000000000</f>
        <v>25847000000000</v>
      </c>
      <c r="Q318" s="51">
        <v>3970</v>
      </c>
      <c r="R318" s="51">
        <f t="shared" si="26"/>
        <v>3.7898199386660729</v>
      </c>
      <c r="S318" s="51">
        <f t="shared" si="27"/>
        <v>0.388818763326226</v>
      </c>
      <c r="T318" s="51">
        <f t="shared" si="35"/>
        <v>0.12473328270225309</v>
      </c>
      <c r="U318" s="51">
        <f t="shared" si="36"/>
        <v>0.23532622601279318</v>
      </c>
      <c r="V318" s="51">
        <f t="shared" si="37"/>
        <v>0.20353035768291694</v>
      </c>
      <c r="W318" s="51">
        <f t="shared" si="23"/>
        <v>6.5722124625749209E-2</v>
      </c>
      <c r="X318" s="58">
        <f t="shared" si="28"/>
        <v>0.93675703102348507</v>
      </c>
      <c r="Y318" s="51">
        <f t="shared" si="24"/>
        <v>14.253298053856192</v>
      </c>
      <c r="Z318" s="51">
        <f t="shared" si="25"/>
        <v>3.3541748392494668</v>
      </c>
      <c r="AA318" s="52">
        <v>4</v>
      </c>
      <c r="AB318">
        <v>0</v>
      </c>
    </row>
    <row r="319" spans="1:28">
      <c r="A319" s="6">
        <v>2020</v>
      </c>
      <c r="B319" s="6" t="s">
        <v>417</v>
      </c>
      <c r="C319" s="7" t="s">
        <v>418</v>
      </c>
      <c r="D319" s="10">
        <v>246943000000000</v>
      </c>
      <c r="E319" s="10">
        <v>160923000000000</v>
      </c>
      <c r="F319" s="10">
        <v>246943000000000</v>
      </c>
      <c r="G319" s="10">
        <f t="shared" si="34"/>
        <v>69093000000000</v>
      </c>
      <c r="H319" s="10">
        <v>56961000000000</v>
      </c>
      <c r="I319" s="10">
        <v>126054000000000</v>
      </c>
      <c r="J319" s="10">
        <v>120889000000000</v>
      </c>
      <c r="K319" s="8">
        <v>99062216600</v>
      </c>
      <c r="L319" s="10">
        <v>136462000000000</v>
      </c>
      <c r="M319" s="10">
        <f>L319-43505000000000</f>
        <v>92957000000000</v>
      </c>
      <c r="N319" s="10">
        <v>6511000000000</v>
      </c>
      <c r="O319" s="12">
        <v>29563000000000</v>
      </c>
      <c r="P319" s="50">
        <f>15262000000000+7778000000000</f>
        <v>23040000000000</v>
      </c>
      <c r="Q319" s="51">
        <v>3310</v>
      </c>
      <c r="R319" s="51">
        <f t="shared" si="26"/>
        <v>3.5740668374509719</v>
      </c>
      <c r="S319" s="51">
        <f t="shared" si="27"/>
        <v>0.47118430957324486</v>
      </c>
      <c r="T319" s="51">
        <f t="shared" si="35"/>
        <v>0.11971588585220071</v>
      </c>
      <c r="U319" s="51">
        <f t="shared" si="36"/>
        <v>0.24454665023285824</v>
      </c>
      <c r="V319" s="51">
        <f t="shared" si="37"/>
        <v>0.21663906435491198</v>
      </c>
      <c r="W319" s="51">
        <f t="shared" si="23"/>
        <v>7.0266195472237197E-2</v>
      </c>
      <c r="X319" s="58">
        <f t="shared" si="28"/>
        <v>0.7793525690897406</v>
      </c>
      <c r="Y319" s="51">
        <f t="shared" si="24"/>
        <v>11.091429724520514</v>
      </c>
      <c r="Z319" s="51">
        <f t="shared" si="25"/>
        <v>2.7123719854246455</v>
      </c>
      <c r="AA319" s="52">
        <v>4</v>
      </c>
      <c r="AB319">
        <v>0</v>
      </c>
    </row>
    <row r="320" spans="1:28">
      <c r="A320" s="49">
        <v>2018</v>
      </c>
      <c r="B320" s="73" t="s">
        <v>499</v>
      </c>
      <c r="C320" s="49" t="s">
        <v>500</v>
      </c>
      <c r="D320" s="10">
        <v>48775196690</v>
      </c>
      <c r="E320" s="10">
        <v>580053780</v>
      </c>
      <c r="F320" s="10">
        <v>48775196690</v>
      </c>
      <c r="G320" s="10">
        <f t="shared" si="34"/>
        <v>326647510</v>
      </c>
      <c r="H320" s="10">
        <v>337721000</v>
      </c>
      <c r="I320" s="10">
        <v>664368510</v>
      </c>
      <c r="J320" s="10">
        <v>48110828180</v>
      </c>
      <c r="K320" s="8">
        <v>358600000</v>
      </c>
      <c r="L320" s="10">
        <v>22829336499</v>
      </c>
      <c r="M320" s="10">
        <v>20373044769</v>
      </c>
      <c r="N320" s="10">
        <v>3483073937</v>
      </c>
      <c r="O320" s="50">
        <v>-758342670</v>
      </c>
      <c r="P320" s="50">
        <v>0</v>
      </c>
      <c r="Q320" s="51">
        <v>368</v>
      </c>
      <c r="R320" s="51">
        <f t="shared" si="26"/>
        <v>149.32058318766917</v>
      </c>
      <c r="S320" s="51">
        <f t="shared" si="27"/>
        <v>7.0196463618639789E-3</v>
      </c>
      <c r="T320" s="51">
        <f t="shared" si="35"/>
        <v>-1.5547711161879888E-2</v>
      </c>
      <c r="U320" s="51">
        <f t="shared" si="36"/>
        <v>-1.5762411471337927E-2</v>
      </c>
      <c r="V320" s="51">
        <f t="shared" si="37"/>
        <v>-3.3217902326386835E-2</v>
      </c>
      <c r="W320" s="51">
        <f t="shared" si="23"/>
        <v>0</v>
      </c>
      <c r="X320" s="58">
        <f t="shared" si="28"/>
        <v>0</v>
      </c>
      <c r="Y320" s="74">
        <f t="shared" si="24"/>
        <v>-174.01737396631</v>
      </c>
      <c r="Z320" s="51">
        <f t="shared" si="25"/>
        <v>2.7429334516186663</v>
      </c>
      <c r="AA320" s="52">
        <v>4</v>
      </c>
      <c r="AB320">
        <v>0</v>
      </c>
    </row>
    <row r="321" spans="1:28">
      <c r="A321" s="49">
        <v>2019</v>
      </c>
      <c r="B321" s="73" t="s">
        <v>499</v>
      </c>
      <c r="C321" s="49" t="s">
        <v>500</v>
      </c>
      <c r="D321" s="10">
        <v>46929335290</v>
      </c>
      <c r="E321" s="10">
        <v>430537309</v>
      </c>
      <c r="F321" s="10">
        <v>47359872599</v>
      </c>
      <c r="G321" s="10">
        <f t="shared" si="34"/>
        <v>292435975</v>
      </c>
      <c r="H321" s="10">
        <v>635723000</v>
      </c>
      <c r="I321" s="10">
        <v>928158975</v>
      </c>
      <c r="J321" s="10">
        <v>46431713624</v>
      </c>
      <c r="K321" s="8">
        <v>358600000</v>
      </c>
      <c r="L321" s="10">
        <v>16875355000</v>
      </c>
      <c r="M321" s="10">
        <v>15373079022</v>
      </c>
      <c r="N321" s="50">
        <v>769656280</v>
      </c>
      <c r="O321" s="50">
        <v>-1671122556</v>
      </c>
      <c r="P321" s="50">
        <v>0</v>
      </c>
      <c r="Q321" s="51">
        <v>420</v>
      </c>
      <c r="R321" s="51">
        <f t="shared" si="26"/>
        <v>160.47729862921278</v>
      </c>
      <c r="S321" s="51">
        <f t="shared" si="27"/>
        <v>1.3691568765866146E-2</v>
      </c>
      <c r="T321" s="51">
        <f t="shared" si="35"/>
        <v>-3.5285621862827514E-2</v>
      </c>
      <c r="U321" s="51">
        <f t="shared" si="36"/>
        <v>-3.5990973099390769E-2</v>
      </c>
      <c r="V321" s="51">
        <f t="shared" si="37"/>
        <v>-9.9027401556885761E-2</v>
      </c>
      <c r="W321" s="51">
        <f t="shared" si="23"/>
        <v>0</v>
      </c>
      <c r="X321" s="58">
        <f t="shared" si="28"/>
        <v>0</v>
      </c>
      <c r="Y321" s="74">
        <f t="shared" si="24"/>
        <v>-90.12624445720185</v>
      </c>
      <c r="Z321" s="51">
        <f t="shared" si="25"/>
        <v>3.2437312398082687</v>
      </c>
      <c r="AA321" s="52">
        <v>4</v>
      </c>
      <c r="AB321">
        <v>0</v>
      </c>
    </row>
    <row r="322" spans="1:28">
      <c r="A322" s="49">
        <v>2020</v>
      </c>
      <c r="B322" s="73" t="s">
        <v>499</v>
      </c>
      <c r="C322" s="49" t="s">
        <v>500</v>
      </c>
      <c r="D322" s="10">
        <v>46434428090</v>
      </c>
      <c r="E322" s="10">
        <v>321732709</v>
      </c>
      <c r="F322" s="10">
        <v>46840047799</v>
      </c>
      <c r="G322" s="10">
        <f t="shared" si="34"/>
        <v>113188050</v>
      </c>
      <c r="H322" s="10">
        <v>315928000</v>
      </c>
      <c r="I322" s="10">
        <v>429116050</v>
      </c>
      <c r="J322" s="10">
        <v>46410931749</v>
      </c>
      <c r="K322" s="8">
        <v>358600000</v>
      </c>
      <c r="L322" s="10">
        <v>1211712320</v>
      </c>
      <c r="M322" s="10">
        <v>858716337</v>
      </c>
      <c r="N322" s="10">
        <v>1748051253</v>
      </c>
      <c r="O322" s="50">
        <v>-468118875</v>
      </c>
      <c r="P322" s="50">
        <v>0</v>
      </c>
      <c r="Q322" s="51">
        <v>368</v>
      </c>
      <c r="R322" s="51">
        <f t="shared" si="26"/>
        <v>410.24143529285999</v>
      </c>
      <c r="S322" s="51">
        <f t="shared" si="27"/>
        <v>6.8071893429893738E-3</v>
      </c>
      <c r="T322" s="51">
        <f t="shared" si="35"/>
        <v>-9.9939879867072638E-3</v>
      </c>
      <c r="U322" s="51">
        <f t="shared" si="36"/>
        <v>-1.0086392523461597E-2</v>
      </c>
      <c r="V322" s="51">
        <f t="shared" si="37"/>
        <v>-0.38632839435023653</v>
      </c>
      <c r="W322" s="51">
        <f t="shared" si="23"/>
        <v>0</v>
      </c>
      <c r="X322" s="58">
        <f t="shared" si="28"/>
        <v>0</v>
      </c>
      <c r="Y322" s="74">
        <f t="shared" si="24"/>
        <v>-281.90446283542832</v>
      </c>
      <c r="Z322" s="51">
        <f t="shared" si="25"/>
        <v>2.843399066273721</v>
      </c>
      <c r="AA322" s="52">
        <v>4</v>
      </c>
      <c r="AB322">
        <v>0</v>
      </c>
    </row>
    <row r="323" spans="1:28">
      <c r="A323" s="49">
        <v>2018</v>
      </c>
      <c r="B323" s="59" t="s">
        <v>501</v>
      </c>
      <c r="C323" s="49" t="s">
        <v>502</v>
      </c>
      <c r="D323" s="10">
        <v>45955010000</v>
      </c>
      <c r="E323" s="10">
        <v>439201752000</v>
      </c>
      <c r="F323" s="10">
        <v>485156762000</v>
      </c>
      <c r="G323" s="10">
        <f t="shared" si="34"/>
        <v>63527586000</v>
      </c>
      <c r="H323" s="10">
        <v>29472212000</v>
      </c>
      <c r="I323" s="10">
        <v>92999798000</v>
      </c>
      <c r="J323" s="10">
        <v>392156964000</v>
      </c>
      <c r="K323" s="8">
        <v>152882000</v>
      </c>
      <c r="L323" s="10">
        <v>108699906000</v>
      </c>
      <c r="M323" s="10">
        <v>23419229000</v>
      </c>
      <c r="N323" s="50">
        <v>11392100000</v>
      </c>
      <c r="O323" s="50">
        <v>49423302000</v>
      </c>
      <c r="P323" s="50">
        <v>0</v>
      </c>
      <c r="Q323" s="51">
        <v>1320</v>
      </c>
      <c r="R323" s="51">
        <f t="shared" si="26"/>
        <v>0.72338668747778323</v>
      </c>
      <c r="S323" s="51">
        <f t="shared" si="27"/>
        <v>7.5154121195205911E-2</v>
      </c>
      <c r="T323" s="51">
        <f t="shared" si="35"/>
        <v>0.10187078872457311</v>
      </c>
      <c r="U323" s="51">
        <f t="shared" si="36"/>
        <v>0.12602938755921214</v>
      </c>
      <c r="V323" s="51">
        <f t="shared" si="37"/>
        <v>0.45467658454092869</v>
      </c>
      <c r="W323" s="51">
        <f t="shared" si="23"/>
        <v>0</v>
      </c>
      <c r="X323" s="58">
        <f t="shared" si="28"/>
        <v>0</v>
      </c>
      <c r="Y323" s="51">
        <f t="shared" si="24"/>
        <v>4.0831800351987813</v>
      </c>
      <c r="Z323" s="51">
        <f t="shared" si="25"/>
        <v>0.51460067913010465</v>
      </c>
      <c r="AA323" s="52">
        <v>4</v>
      </c>
      <c r="AB323">
        <v>0</v>
      </c>
    </row>
    <row r="324" spans="1:28">
      <c r="A324" s="49">
        <v>2019</v>
      </c>
      <c r="B324" s="59" t="s">
        <v>501</v>
      </c>
      <c r="C324" s="49" t="s">
        <v>502</v>
      </c>
      <c r="D324" s="10">
        <v>41885488000</v>
      </c>
      <c r="E324" s="10">
        <v>698547749000</v>
      </c>
      <c r="F324" s="10">
        <v>740433237000</v>
      </c>
      <c r="G324" s="10">
        <f t="shared" si="34"/>
        <v>62828314000</v>
      </c>
      <c r="H324" s="10">
        <v>76296298000</v>
      </c>
      <c r="I324" s="10">
        <v>139124612000</v>
      </c>
      <c r="J324" s="10">
        <v>601308625000</v>
      </c>
      <c r="K324" s="8">
        <v>152882000</v>
      </c>
      <c r="L324" s="10">
        <v>115935417000</v>
      </c>
      <c r="M324" s="10">
        <v>22558554000</v>
      </c>
      <c r="N324" s="10">
        <v>11696467000</v>
      </c>
      <c r="O324" s="50">
        <v>63509234000</v>
      </c>
      <c r="P324" s="50">
        <v>7425000000</v>
      </c>
      <c r="Q324" s="51">
        <v>1650</v>
      </c>
      <c r="R324" s="51">
        <f t="shared" si="26"/>
        <v>0.66666579657063529</v>
      </c>
      <c r="S324" s="51">
        <f t="shared" si="27"/>
        <v>0.12688375790385512</v>
      </c>
      <c r="T324" s="51">
        <f t="shared" si="35"/>
        <v>8.5773072880033344E-2</v>
      </c>
      <c r="U324" s="51">
        <f t="shared" si="36"/>
        <v>0.10561836527789702</v>
      </c>
      <c r="V324" s="51">
        <f t="shared" si="37"/>
        <v>0.54779838330162733</v>
      </c>
      <c r="W324" s="51">
        <f t="shared" si="23"/>
        <v>2.9434465797150745E-2</v>
      </c>
      <c r="X324" s="58">
        <f t="shared" si="28"/>
        <v>0.11691213280890776</v>
      </c>
      <c r="Y324" s="51">
        <f t="shared" si="24"/>
        <v>3.9719468195758747</v>
      </c>
      <c r="Z324" s="51">
        <f t="shared" si="25"/>
        <v>0.41951053005434602</v>
      </c>
      <c r="AA324" s="52">
        <v>4</v>
      </c>
      <c r="AB324">
        <v>0</v>
      </c>
    </row>
    <row r="325" spans="1:28">
      <c r="A325" s="49">
        <v>2020</v>
      </c>
      <c r="B325" s="59" t="s">
        <v>501</v>
      </c>
      <c r="C325" s="49" t="s">
        <v>502</v>
      </c>
      <c r="D325" s="10">
        <v>37262521000</v>
      </c>
      <c r="E325" s="10">
        <v>723989944000</v>
      </c>
      <c r="F325" s="10">
        <v>827628586000</v>
      </c>
      <c r="G325" s="10">
        <f t="shared" si="34"/>
        <v>112293182000</v>
      </c>
      <c r="H325" s="10">
        <v>45489063000</v>
      </c>
      <c r="I325" s="10">
        <v>157782245000</v>
      </c>
      <c r="J325" s="10">
        <v>669846341000</v>
      </c>
      <c r="K325" s="8">
        <v>152882000</v>
      </c>
      <c r="L325" s="10">
        <v>143056438000</v>
      </c>
      <c r="M325" s="10">
        <v>29580907000</v>
      </c>
      <c r="N325" s="10">
        <v>12199753000</v>
      </c>
      <c r="O325" s="50">
        <v>77752839000</v>
      </c>
      <c r="P325" s="50">
        <v>11000000000</v>
      </c>
      <c r="Q325" s="51">
        <v>1765</v>
      </c>
      <c r="R325" s="51">
        <f t="shared" si="26"/>
        <v>0.33183244375424326</v>
      </c>
      <c r="S325" s="51">
        <f t="shared" si="27"/>
        <v>6.7909698412460237E-2</v>
      </c>
      <c r="T325" s="51">
        <f t="shared" si="35"/>
        <v>9.3946536302940115E-2</v>
      </c>
      <c r="U325" s="51">
        <f t="shared" si="36"/>
        <v>0.11607563442673191</v>
      </c>
      <c r="V325" s="51">
        <f t="shared" si="37"/>
        <v>0.54351163839267413</v>
      </c>
      <c r="W325" s="51">
        <f t="shared" si="23"/>
        <v>4.0765391724099237E-2</v>
      </c>
      <c r="X325" s="58">
        <f t="shared" si="28"/>
        <v>0.1414739338328212</v>
      </c>
      <c r="Y325" s="51">
        <f t="shared" si="24"/>
        <v>3.4704421532440763</v>
      </c>
      <c r="Z325" s="51">
        <f t="shared" si="25"/>
        <v>0.40283377467907971</v>
      </c>
      <c r="AA325" s="52">
        <v>4</v>
      </c>
      <c r="AB325">
        <v>0</v>
      </c>
    </row>
    <row r="326" spans="1:28">
      <c r="A326" s="49">
        <v>2018</v>
      </c>
      <c r="B326" s="59" t="s">
        <v>503</v>
      </c>
      <c r="C326" s="49" t="s">
        <v>504</v>
      </c>
      <c r="D326" s="10">
        <v>32978084524</v>
      </c>
      <c r="E326" s="50">
        <v>45967447032</v>
      </c>
      <c r="F326" s="50">
        <v>89916165514</v>
      </c>
      <c r="G326" s="10">
        <f t="shared" si="34"/>
        <v>79756255011</v>
      </c>
      <c r="H326" s="50">
        <v>7159910503</v>
      </c>
      <c r="I326" s="50">
        <v>86916165514</v>
      </c>
      <c r="J326" s="50">
        <v>37830666886</v>
      </c>
      <c r="K326" s="51">
        <v>472920500</v>
      </c>
      <c r="L326" s="50">
        <v>111762743814</v>
      </c>
      <c r="M326" s="50">
        <v>72989985111</v>
      </c>
      <c r="N326" s="50">
        <v>33145380628</v>
      </c>
      <c r="O326" s="50">
        <v>5497953006</v>
      </c>
      <c r="P326" s="50">
        <v>2000000000</v>
      </c>
      <c r="Q326" s="49">
        <v>0</v>
      </c>
      <c r="R326" s="51">
        <f t="shared" si="26"/>
        <v>0.41348587041168938</v>
      </c>
      <c r="S326" s="51">
        <f t="shared" si="27"/>
        <v>0.189262074723025</v>
      </c>
      <c r="T326" s="51">
        <f t="shared" si="35"/>
        <v>6.1145323252735521E-2</v>
      </c>
      <c r="U326" s="51">
        <f t="shared" si="36"/>
        <v>0.14533058649395969</v>
      </c>
      <c r="V326" s="51">
        <f t="shared" si="37"/>
        <v>4.9193074707882187E-2</v>
      </c>
      <c r="W326" s="51" t="e">
        <f t="shared" si="23"/>
        <v>#DIV/0!</v>
      </c>
      <c r="X326" s="58">
        <f t="shared" si="28"/>
        <v>0.36377175247175986</v>
      </c>
      <c r="Y326" s="51">
        <f t="shared" si="24"/>
        <v>0</v>
      </c>
      <c r="Z326" s="51">
        <f t="shared" si="25"/>
        <v>0</v>
      </c>
      <c r="AA326" s="52">
        <v>4</v>
      </c>
      <c r="AB326">
        <v>0</v>
      </c>
    </row>
    <row r="327" spans="1:28">
      <c r="A327" s="49">
        <v>2019</v>
      </c>
      <c r="B327" s="73" t="s">
        <v>503</v>
      </c>
      <c r="C327" s="49" t="s">
        <v>504</v>
      </c>
      <c r="D327" s="10">
        <v>73376899889</v>
      </c>
      <c r="E327" s="50">
        <v>67255822588</v>
      </c>
      <c r="F327" s="50">
        <v>148855269670</v>
      </c>
      <c r="G327" s="10">
        <f t="shared" si="34"/>
        <v>89626480090</v>
      </c>
      <c r="H327" s="50">
        <v>59228789580</v>
      </c>
      <c r="I327" s="50">
        <v>148855269670</v>
      </c>
      <c r="J327" s="50">
        <v>89761864225</v>
      </c>
      <c r="K327" s="51">
        <v>728873908</v>
      </c>
      <c r="L327" s="50">
        <v>103155978367</v>
      </c>
      <c r="M327" s="50">
        <v>61881897426</v>
      </c>
      <c r="N327" s="50">
        <v>35799991985</v>
      </c>
      <c r="O327" s="50">
        <v>-3926009907</v>
      </c>
      <c r="P327" s="50">
        <v>0</v>
      </c>
      <c r="Q327" s="51">
        <v>1425</v>
      </c>
      <c r="R327" s="51">
        <f t="shared" si="26"/>
        <v>0.8186966599080685</v>
      </c>
      <c r="S327" s="51">
        <f t="shared" si="27"/>
        <v>0.65984357712909347</v>
      </c>
      <c r="T327" s="51">
        <f t="shared" si="35"/>
        <v>-2.6374678677507649E-2</v>
      </c>
      <c r="U327" s="51">
        <f t="shared" si="36"/>
        <v>-4.373806115656128E-2</v>
      </c>
      <c r="V327" s="51">
        <f t="shared" si="37"/>
        <v>-3.8058966326046169E-2</v>
      </c>
      <c r="W327" s="51">
        <f t="shared" si="23"/>
        <v>0</v>
      </c>
      <c r="X327" s="58">
        <f t="shared" si="28"/>
        <v>0</v>
      </c>
      <c r="Y327" s="74">
        <f t="shared" si="24"/>
        <v>-264.55494089510967</v>
      </c>
      <c r="Z327" s="51">
        <f t="shared" si="25"/>
        <v>11.571120184140762</v>
      </c>
      <c r="AA327" s="52">
        <v>4</v>
      </c>
      <c r="AB327">
        <v>0</v>
      </c>
    </row>
    <row r="328" spans="1:28">
      <c r="A328" s="49">
        <v>2020</v>
      </c>
      <c r="B328" s="59" t="s">
        <v>503</v>
      </c>
      <c r="C328" s="49" t="s">
        <v>504</v>
      </c>
      <c r="D328" s="10">
        <v>60757202496</v>
      </c>
      <c r="E328" s="50">
        <v>32166580006</v>
      </c>
      <c r="F328" s="50">
        <v>114094419513</v>
      </c>
      <c r="G328" s="10">
        <f t="shared" si="34"/>
        <v>52688677813</v>
      </c>
      <c r="H328" s="50">
        <v>5566416965</v>
      </c>
      <c r="I328" s="50">
        <v>58255094778</v>
      </c>
      <c r="J328" s="50">
        <v>55839324735</v>
      </c>
      <c r="K328" s="51">
        <v>728873908</v>
      </c>
      <c r="L328" s="50">
        <v>61431175244</v>
      </c>
      <c r="M328" s="50">
        <v>37447597131</v>
      </c>
      <c r="N328" s="50">
        <v>32024663642</v>
      </c>
      <c r="O328" s="50">
        <v>-14321581869</v>
      </c>
      <c r="P328" s="50">
        <v>0</v>
      </c>
      <c r="Q328" s="51">
        <v>252</v>
      </c>
      <c r="R328" s="51">
        <f t="shared" si="26"/>
        <v>1.1531358352099175</v>
      </c>
      <c r="S328" s="51">
        <f t="shared" si="27"/>
        <v>9.9686323060260415E-2</v>
      </c>
      <c r="T328" s="51">
        <f t="shared" si="35"/>
        <v>-0.12552394700924166</v>
      </c>
      <c r="U328" s="51">
        <f t="shared" si="36"/>
        <v>-0.25647842155983763</v>
      </c>
      <c r="V328" s="51">
        <f t="shared" si="37"/>
        <v>-0.23313214849163727</v>
      </c>
      <c r="W328" s="51">
        <f t="shared" si="23"/>
        <v>0</v>
      </c>
      <c r="X328" s="58">
        <f t="shared" si="28"/>
        <v>0</v>
      </c>
      <c r="Y328" s="51">
        <f t="shared" si="24"/>
        <v>-12.825135274587174</v>
      </c>
      <c r="Z328" s="51">
        <f t="shared" si="25"/>
        <v>3.2893704515175131</v>
      </c>
      <c r="AA328" s="52">
        <v>4</v>
      </c>
      <c r="AB328">
        <v>0</v>
      </c>
    </row>
    <row r="329" spans="1:28">
      <c r="A329" s="49">
        <v>2018</v>
      </c>
      <c r="B329" s="59" t="s">
        <v>505</v>
      </c>
      <c r="C329" s="49" t="s">
        <v>506</v>
      </c>
      <c r="D329" s="10">
        <v>2275390000000</v>
      </c>
      <c r="E329" s="50">
        <v>15980147000000</v>
      </c>
      <c r="F329" s="50">
        <v>22959618000000</v>
      </c>
      <c r="G329" s="10">
        <f t="shared" si="34"/>
        <v>4751801000000</v>
      </c>
      <c r="H329" s="50">
        <v>10174537000000</v>
      </c>
      <c r="I329" s="50">
        <v>14926338000000</v>
      </c>
      <c r="J329" s="50">
        <v>8033280000000</v>
      </c>
      <c r="K329" s="51">
        <v>50970846956</v>
      </c>
      <c r="L329" s="50">
        <v>5867860000000</v>
      </c>
      <c r="M329" s="50">
        <v>1541885000000</v>
      </c>
      <c r="N329" s="50">
        <f>109271000000+399251000000+27376000000</f>
        <v>535898000000</v>
      </c>
      <c r="O329" s="50">
        <v>2200060000000</v>
      </c>
      <c r="P329" s="50">
        <f>1205798000000+6000000</f>
        <v>1205804000000</v>
      </c>
      <c r="Q329" s="51">
        <v>690</v>
      </c>
      <c r="R329" s="51">
        <f t="shared" si="26"/>
        <v>0.4788479147169673</v>
      </c>
      <c r="S329" s="51">
        <f t="shared" si="27"/>
        <v>1.266548284137986</v>
      </c>
      <c r="T329" s="51">
        <f t="shared" si="35"/>
        <v>9.5823022839491498E-2</v>
      </c>
      <c r="U329" s="51">
        <f t="shared" si="36"/>
        <v>0.27386820825366476</v>
      </c>
      <c r="V329" s="51">
        <f t="shared" si="37"/>
        <v>0.37493396229630566</v>
      </c>
      <c r="W329" s="51">
        <f t="shared" si="23"/>
        <v>3.4285128330201239E-2</v>
      </c>
      <c r="X329" s="58">
        <f t="shared" si="28"/>
        <v>0.5480777796969174</v>
      </c>
      <c r="Y329" s="51">
        <f t="shared" si="24"/>
        <v>15.9858751123333</v>
      </c>
      <c r="Z329" s="51">
        <f t="shared" si="25"/>
        <v>4.3780229743815724</v>
      </c>
      <c r="AA329" s="52">
        <v>4</v>
      </c>
      <c r="AB329">
        <v>0</v>
      </c>
    </row>
    <row r="330" spans="1:28">
      <c r="A330" s="49">
        <v>2019</v>
      </c>
      <c r="B330" s="59" t="s">
        <v>505</v>
      </c>
      <c r="C330" s="49" t="s">
        <v>506</v>
      </c>
      <c r="D330" s="10">
        <v>2474389000000</v>
      </c>
      <c r="E330" s="50">
        <v>19648004000000</v>
      </c>
      <c r="F330" s="50">
        <v>27665695000000</v>
      </c>
      <c r="G330" s="10">
        <f t="shared" si="34"/>
        <v>4565104000000</v>
      </c>
      <c r="H330" s="50">
        <v>14339970000000</v>
      </c>
      <c r="I330" s="50">
        <v>18905074000000</v>
      </c>
      <c r="J330" s="50">
        <v>8760621000000</v>
      </c>
      <c r="K330" s="51">
        <v>50390847669</v>
      </c>
      <c r="L330" s="50">
        <v>6454302000000</v>
      </c>
      <c r="M330" s="50">
        <v>1807940000000</v>
      </c>
      <c r="N330" s="50">
        <f>147620000000+463049000000+108000000000</f>
        <v>718669000000</v>
      </c>
      <c r="O330" s="50">
        <v>2353089000000</v>
      </c>
      <c r="P330" s="50">
        <f>1187069000000+4500000000</f>
        <v>1191569000000</v>
      </c>
      <c r="Q330" s="51">
        <v>805</v>
      </c>
      <c r="R330" s="51">
        <f t="shared" si="26"/>
        <v>0.54202248185364454</v>
      </c>
      <c r="S330" s="51">
        <f t="shared" si="27"/>
        <v>1.6368668385494589</v>
      </c>
      <c r="T330" s="51">
        <f t="shared" si="35"/>
        <v>8.5054396789959547E-2</v>
      </c>
      <c r="U330" s="51">
        <f t="shared" si="36"/>
        <v>0.26859842470071471</v>
      </c>
      <c r="V330" s="51">
        <f t="shared" si="37"/>
        <v>0.36457683572909977</v>
      </c>
      <c r="W330" s="51">
        <f t="shared" si="23"/>
        <v>2.9374579042829054E-2</v>
      </c>
      <c r="X330" s="58">
        <f t="shared" si="28"/>
        <v>0.50638501136166125</v>
      </c>
      <c r="Y330" s="51">
        <f t="shared" si="24"/>
        <v>17.238885725760905</v>
      </c>
      <c r="Z330" s="51">
        <f t="shared" si="25"/>
        <v>4.6303375495350156</v>
      </c>
      <c r="AA330" s="52">
        <v>4</v>
      </c>
      <c r="AB330">
        <v>0</v>
      </c>
    </row>
    <row r="331" spans="1:28">
      <c r="A331" s="49">
        <v>2020</v>
      </c>
      <c r="B331" s="59" t="s">
        <v>505</v>
      </c>
      <c r="C331" s="49" t="s">
        <v>506</v>
      </c>
      <c r="D331" s="10">
        <v>3002332000000</v>
      </c>
      <c r="E331" s="50">
        <v>22757823000000</v>
      </c>
      <c r="F331" s="50">
        <v>34249550000000</v>
      </c>
      <c r="G331" s="10">
        <f t="shared" si="34"/>
        <v>-14433762000000</v>
      </c>
      <c r="H331" s="50">
        <v>16840314000000</v>
      </c>
      <c r="I331" s="50">
        <v>2406552000000</v>
      </c>
      <c r="J331" s="50">
        <v>10184048000000</v>
      </c>
      <c r="K331" s="51">
        <v>50148387851</v>
      </c>
      <c r="L331" s="50">
        <v>7445426000000</v>
      </c>
      <c r="M331" s="50">
        <v>2059254000000</v>
      </c>
      <c r="N331" s="50">
        <f>145996000000+47927000000+194279000000</f>
        <v>388202000000</v>
      </c>
      <c r="O331" s="50">
        <v>2853617000000</v>
      </c>
      <c r="P331" s="50">
        <f>1174043000000+23700000000</f>
        <v>1197743000000</v>
      </c>
      <c r="Q331" s="51">
        <v>960</v>
      </c>
      <c r="R331" s="51">
        <f t="shared" si="26"/>
        <v>-0.20800758665689514</v>
      </c>
      <c r="S331" s="51">
        <f t="shared" si="27"/>
        <v>1.653597272911518</v>
      </c>
      <c r="T331" s="51">
        <f t="shared" si="35"/>
        <v>8.331837936556831E-2</v>
      </c>
      <c r="U331" s="51">
        <f t="shared" si="36"/>
        <v>0.28020459055181202</v>
      </c>
      <c r="V331" s="51">
        <f t="shared" si="37"/>
        <v>0.38327115197975242</v>
      </c>
      <c r="W331" s="51">
        <f t="shared" si="23"/>
        <v>2.4879143912668256E-2</v>
      </c>
      <c r="X331" s="58">
        <f t="shared" si="28"/>
        <v>0.41972801535735171</v>
      </c>
      <c r="Y331" s="51">
        <f t="shared" si="24"/>
        <v>16.870677577600638</v>
      </c>
      <c r="Z331" s="51">
        <f t="shared" si="25"/>
        <v>4.7272413029632219</v>
      </c>
      <c r="AA331" s="52">
        <v>4</v>
      </c>
      <c r="AB331">
        <v>0</v>
      </c>
    </row>
    <row r="332" spans="1:28">
      <c r="A332" s="6">
        <v>2018</v>
      </c>
      <c r="B332" s="6" t="s">
        <v>337</v>
      </c>
      <c r="C332" s="7" t="s">
        <v>338</v>
      </c>
      <c r="D332" s="10">
        <v>229296000000</v>
      </c>
      <c r="E332" s="10">
        <v>33696815824</v>
      </c>
      <c r="F332" s="16">
        <v>849799701091</v>
      </c>
      <c r="G332" s="16">
        <f t="shared" si="34"/>
        <v>204275610836</v>
      </c>
      <c r="H332" s="10">
        <v>235154667857</v>
      </c>
      <c r="I332" s="10">
        <v>439430278693</v>
      </c>
      <c r="J332" s="10">
        <v>410369422397</v>
      </c>
      <c r="K332" s="8">
        <v>2800000000</v>
      </c>
      <c r="L332" s="10">
        <v>200658519501</v>
      </c>
      <c r="M332" s="10">
        <v>90382621588</v>
      </c>
      <c r="N332" s="9">
        <f>42837978596+838722643</f>
        <v>43676701239</v>
      </c>
      <c r="O332" s="12">
        <v>50247119273</v>
      </c>
      <c r="P332" s="50"/>
      <c r="Q332" s="51">
        <v>89</v>
      </c>
      <c r="R332" s="51">
        <f t="shared" si="26"/>
        <v>1.1224834871945986</v>
      </c>
      <c r="S332" s="51">
        <f t="shared" si="27"/>
        <v>0.57303165153837032</v>
      </c>
      <c r="T332" s="51">
        <f t="shared" si="35"/>
        <v>5.9128191276710436E-2</v>
      </c>
      <c r="U332" s="51">
        <f t="shared" si="36"/>
        <v>0.1224436240388054</v>
      </c>
      <c r="V332" s="51">
        <f t="shared" si="37"/>
        <v>0.25041109342356921</v>
      </c>
      <c r="W332" s="51">
        <f t="shared" si="23"/>
        <v>0</v>
      </c>
      <c r="X332" s="58">
        <f t="shared" ref="X332:X364" si="40">(P332/O332)</f>
        <v>0</v>
      </c>
      <c r="Y332" s="51">
        <f t="shared" si="24"/>
        <v>4.9594882971511201</v>
      </c>
      <c r="Z332" s="51">
        <f t="shared" si="25"/>
        <v>0.60725772048122695</v>
      </c>
      <c r="AA332" s="52">
        <v>5</v>
      </c>
      <c r="AB332">
        <v>0</v>
      </c>
    </row>
    <row r="333" spans="1:28">
      <c r="A333" s="6">
        <v>2019</v>
      </c>
      <c r="B333" s="6" t="s">
        <v>337</v>
      </c>
      <c r="C333" s="7" t="s">
        <v>338</v>
      </c>
      <c r="D333" s="10">
        <v>391674006298</v>
      </c>
      <c r="E333" s="10">
        <v>34992765408</v>
      </c>
      <c r="F333" s="16">
        <v>467065425451</v>
      </c>
      <c r="G333" s="16">
        <f t="shared" si="34"/>
        <v>283080536190</v>
      </c>
      <c r="H333" s="10">
        <v>150449955614</v>
      </c>
      <c r="I333" s="10">
        <v>433530491804</v>
      </c>
      <c r="J333" s="10">
        <v>433534933647</v>
      </c>
      <c r="K333" s="8">
        <v>2800000000</v>
      </c>
      <c r="L333" s="10">
        <v>131094399577</v>
      </c>
      <c r="M333" s="10">
        <v>65808695362</v>
      </c>
      <c r="N333" s="9">
        <f>44178083086+68572459</f>
        <v>44246655545</v>
      </c>
      <c r="O333" s="12">
        <v>23201520208</v>
      </c>
      <c r="P333" s="50"/>
      <c r="Q333" s="51">
        <v>64</v>
      </c>
      <c r="R333" s="51">
        <f t="shared" si="26"/>
        <v>1.3836133404633424</v>
      </c>
      <c r="S333" s="51">
        <f t="shared" si="27"/>
        <v>0.34703075562649321</v>
      </c>
      <c r="T333" s="51">
        <f t="shared" si="35"/>
        <v>4.9675096771713577E-2</v>
      </c>
      <c r="U333" s="51">
        <f t="shared" si="36"/>
        <v>5.3517071883511756E-2</v>
      </c>
      <c r="V333" s="51">
        <f t="shared" si="37"/>
        <v>0.17698330579234459</v>
      </c>
      <c r="W333" s="51">
        <f t="shared" si="23"/>
        <v>0</v>
      </c>
      <c r="X333" s="58">
        <f t="shared" si="40"/>
        <v>0</v>
      </c>
      <c r="Y333" s="51">
        <f t="shared" si="24"/>
        <v>7.7236318307371485</v>
      </c>
      <c r="Z333" s="51">
        <f t="shared" si="25"/>
        <v>0.41334615988733958</v>
      </c>
      <c r="AA333" s="52">
        <v>5</v>
      </c>
      <c r="AB333">
        <v>0</v>
      </c>
    </row>
    <row r="334" spans="1:28">
      <c r="A334" s="6">
        <v>2020</v>
      </c>
      <c r="B334" s="6" t="s">
        <v>337</v>
      </c>
      <c r="C334" s="7" t="s">
        <v>338</v>
      </c>
      <c r="D334" s="10">
        <v>395767984973</v>
      </c>
      <c r="E334" s="10">
        <v>39270240610</v>
      </c>
      <c r="F334" s="10">
        <v>909264462663</v>
      </c>
      <c r="G334" s="16">
        <f t="shared" si="34"/>
        <v>308300895925</v>
      </c>
      <c r="H334" s="10">
        <v>154371558000</v>
      </c>
      <c r="I334" s="10">
        <v>462672453925</v>
      </c>
      <c r="J334" s="10">
        <v>446592008738</v>
      </c>
      <c r="K334" s="8">
        <v>2800000000</v>
      </c>
      <c r="L334" s="10">
        <v>73155228143</v>
      </c>
      <c r="M334" s="10">
        <v>37845260341</v>
      </c>
      <c r="N334" s="9">
        <f>39469729585+216954228</f>
        <v>39686683813</v>
      </c>
      <c r="O334" s="12">
        <v>12990816748</v>
      </c>
      <c r="P334" s="50"/>
      <c r="Q334" s="51">
        <v>75</v>
      </c>
      <c r="R334" s="51">
        <f t="shared" si="26"/>
        <v>1.2837068922085715</v>
      </c>
      <c r="S334" s="51">
        <f t="shared" si="27"/>
        <v>0.34566574183947035</v>
      </c>
      <c r="T334" s="51">
        <f t="shared" si="35"/>
        <v>1.4287170874305661E-2</v>
      </c>
      <c r="U334" s="51">
        <f t="shared" si="36"/>
        <v>2.908878012553346E-2</v>
      </c>
      <c r="V334" s="51">
        <f t="shared" si="37"/>
        <v>0.17757878797953078</v>
      </c>
      <c r="W334" s="51">
        <f t="shared" si="23"/>
        <v>0</v>
      </c>
      <c r="X334" s="58">
        <f t="shared" si="40"/>
        <v>0</v>
      </c>
      <c r="Y334" s="51">
        <f t="shared" si="24"/>
        <v>16.165265361958902</v>
      </c>
      <c r="Z334" s="51">
        <f t="shared" si="25"/>
        <v>0.4702278497849246</v>
      </c>
      <c r="AA334" s="52">
        <v>5</v>
      </c>
      <c r="AB334">
        <v>0</v>
      </c>
    </row>
    <row r="335" spans="1:28">
      <c r="A335" s="6">
        <v>2018</v>
      </c>
      <c r="B335" s="6" t="s">
        <v>341</v>
      </c>
      <c r="C335" s="7" t="s">
        <v>342</v>
      </c>
      <c r="D335" s="9">
        <v>20948678473652</v>
      </c>
      <c r="E335" s="10">
        <v>676536086022</v>
      </c>
      <c r="F335" s="10">
        <v>52101492204552</v>
      </c>
      <c r="G335" s="16">
        <f t="shared" si="34"/>
        <v>6231233383026</v>
      </c>
      <c r="H335" s="10">
        <v>15583360871276</v>
      </c>
      <c r="I335" s="10">
        <v>21814594254302</v>
      </c>
      <c r="J335" s="10">
        <v>30286897950250</v>
      </c>
      <c r="K335" s="8">
        <v>40000000000</v>
      </c>
      <c r="L335" s="10">
        <v>6628782185008</v>
      </c>
      <c r="M335" s="10">
        <v>1874274191288</v>
      </c>
      <c r="N335" s="18">
        <f>1301675569437+281982923302</f>
        <v>1583658492739</v>
      </c>
      <c r="O335" s="12">
        <v>1701817694927</v>
      </c>
      <c r="P335" s="50">
        <v>67813057500</v>
      </c>
      <c r="Q335" s="51">
        <v>1255</v>
      </c>
      <c r="R335" s="51">
        <f t="shared" si="26"/>
        <v>3.3618831435068062</v>
      </c>
      <c r="S335" s="51">
        <f t="shared" si="27"/>
        <v>0.51452482511987885</v>
      </c>
      <c r="T335" s="51">
        <f t="shared" si="35"/>
        <v>3.2663511598585569E-2</v>
      </c>
      <c r="U335" s="51">
        <f t="shared" si="36"/>
        <v>5.6189897615874937E-2</v>
      </c>
      <c r="V335" s="51">
        <f t="shared" si="37"/>
        <v>0.2567315756393263</v>
      </c>
      <c r="W335" s="51">
        <f t="shared" si="23"/>
        <v>1.350857719123506E-3</v>
      </c>
      <c r="X335" s="58">
        <f t="shared" si="40"/>
        <v>3.9847427666398108E-2</v>
      </c>
      <c r="Y335" s="51">
        <f t="shared" si="24"/>
        <v>29.497871687221672</v>
      </c>
      <c r="Z335" s="51">
        <f t="shared" si="25"/>
        <v>1.6574823899912019</v>
      </c>
      <c r="AA335" s="52">
        <v>5</v>
      </c>
      <c r="AB335">
        <v>0</v>
      </c>
    </row>
    <row r="336" spans="1:28">
      <c r="A336" s="6">
        <v>2019</v>
      </c>
      <c r="B336" s="6" t="s">
        <v>341</v>
      </c>
      <c r="C336" s="7" t="s">
        <v>342</v>
      </c>
      <c r="D336" s="9">
        <v>24256712740291</v>
      </c>
      <c r="E336" s="10">
        <v>631541383154</v>
      </c>
      <c r="F336" s="10">
        <v>54444849052447</v>
      </c>
      <c r="G336" s="16">
        <f t="shared" si="34"/>
        <v>6159441542866</v>
      </c>
      <c r="H336" s="10">
        <v>14737901627736</v>
      </c>
      <c r="I336" s="10">
        <v>20897343170602</v>
      </c>
      <c r="J336" s="10">
        <v>33547505881845</v>
      </c>
      <c r="K336" s="8">
        <v>40000000000</v>
      </c>
      <c r="L336" s="10">
        <v>7084864038574</v>
      </c>
      <c r="M336" s="10">
        <v>2018798088448</v>
      </c>
      <c r="N336" s="9">
        <f>1324227647413+299760795937</f>
        <v>1623988443350</v>
      </c>
      <c r="O336" s="12">
        <v>3130076103452</v>
      </c>
      <c r="P336" s="50">
        <v>110113140796</v>
      </c>
      <c r="Q336" s="51">
        <v>1255</v>
      </c>
      <c r="R336" s="51">
        <f t="shared" si="26"/>
        <v>3.9381350681679339</v>
      </c>
      <c r="S336" s="51">
        <f t="shared" si="27"/>
        <v>0.43931437644405491</v>
      </c>
      <c r="T336" s="51">
        <f t="shared" si="35"/>
        <v>5.7490766489898461E-2</v>
      </c>
      <c r="U336" s="51">
        <f t="shared" si="36"/>
        <v>9.3302796174362171E-2</v>
      </c>
      <c r="V336" s="51">
        <f t="shared" si="37"/>
        <v>0.4417976246841292</v>
      </c>
      <c r="W336" s="51">
        <f t="shared" si="23"/>
        <v>2.1934888604780876E-3</v>
      </c>
      <c r="X336" s="58">
        <f t="shared" si="40"/>
        <v>3.5179061836407712E-2</v>
      </c>
      <c r="Y336" s="51">
        <f t="shared" si="24"/>
        <v>16.037948708223738</v>
      </c>
      <c r="Z336" s="51">
        <f t="shared" si="25"/>
        <v>1.4963854593782746</v>
      </c>
      <c r="AA336" s="52">
        <v>5</v>
      </c>
      <c r="AB336">
        <v>0</v>
      </c>
    </row>
    <row r="337" spans="1:28">
      <c r="A337" s="6">
        <v>2020</v>
      </c>
      <c r="B337" s="82" t="s">
        <v>341</v>
      </c>
      <c r="C337" s="7" t="s">
        <v>342</v>
      </c>
      <c r="D337" s="9">
        <v>28364288311886</v>
      </c>
      <c r="E337" s="10">
        <v>584619322260</v>
      </c>
      <c r="F337" s="10">
        <v>60862926586750</v>
      </c>
      <c r="G337" s="16">
        <f t="shared" si="34"/>
        <v>11965625224530</v>
      </c>
      <c r="H337" s="10">
        <v>14426198886396</v>
      </c>
      <c r="I337" s="10">
        <v>26391824110926</v>
      </c>
      <c r="J337" s="10">
        <v>34471102475824</v>
      </c>
      <c r="K337" s="8">
        <v>40000000000</v>
      </c>
      <c r="L337" s="10">
        <v>6180589086059</v>
      </c>
      <c r="M337" s="10">
        <v>1928745848318</v>
      </c>
      <c r="N337" s="9">
        <f>1235289881113+221931907917</f>
        <v>1457221789030</v>
      </c>
      <c r="O337" s="12">
        <v>486257814158</v>
      </c>
      <c r="P337" s="50">
        <v>186238102446</v>
      </c>
      <c r="Q337" s="51">
        <v>1225</v>
      </c>
      <c r="R337" s="51">
        <f t="shared" si="26"/>
        <v>2.3704810889228001</v>
      </c>
      <c r="S337" s="51">
        <f t="shared" si="27"/>
        <v>0.41850123292440922</v>
      </c>
      <c r="T337" s="51">
        <f t="shared" si="35"/>
        <v>7.9893925814579457E-3</v>
      </c>
      <c r="U337" s="51">
        <f t="shared" si="36"/>
        <v>1.4106244919176362E-2</v>
      </c>
      <c r="V337" s="51">
        <f t="shared" si="37"/>
        <v>7.8674994792132052E-2</v>
      </c>
      <c r="W337" s="51">
        <f t="shared" si="23"/>
        <v>3.8007776009387757E-3</v>
      </c>
      <c r="X337" s="58">
        <f t="shared" si="40"/>
        <v>0.38300279609591131</v>
      </c>
      <c r="Y337" s="74">
        <f t="shared" si="24"/>
        <v>100.76958883395632</v>
      </c>
      <c r="Z337" s="51">
        <f t="shared" si="25"/>
        <v>1.4214805004964872</v>
      </c>
      <c r="AA337" s="52">
        <v>5</v>
      </c>
      <c r="AB337">
        <v>0</v>
      </c>
    </row>
    <row r="338" spans="1:28">
      <c r="A338" s="6">
        <v>2018</v>
      </c>
      <c r="B338" s="6" t="s">
        <v>343</v>
      </c>
      <c r="C338" s="7" t="s">
        <v>344</v>
      </c>
      <c r="D338" s="9">
        <v>16151959000000</v>
      </c>
      <c r="E338" s="10">
        <v>3113950000000</v>
      </c>
      <c r="F338" s="10">
        <v>34289017000000</v>
      </c>
      <c r="G338" s="16">
        <f t="shared" si="34"/>
        <v>7994843000000</v>
      </c>
      <c r="H338" s="10">
        <v>9649898000000</v>
      </c>
      <c r="I338" s="10">
        <v>17644741000000</v>
      </c>
      <c r="J338" s="10">
        <v>16644276000000</v>
      </c>
      <c r="K338" s="8">
        <v>36000000000</v>
      </c>
      <c r="L338" s="10">
        <v>7670405000000</v>
      </c>
      <c r="M338" s="10">
        <v>4042138000000</v>
      </c>
      <c r="N338" s="9">
        <f>1210546000000+372585000000+270853000000</f>
        <v>1853984000000</v>
      </c>
      <c r="O338" s="12">
        <v>1302702000000</v>
      </c>
      <c r="P338" s="50">
        <v>196839000000</v>
      </c>
      <c r="Q338" s="51">
        <v>1010</v>
      </c>
      <c r="R338" s="51">
        <f t="shared" si="26"/>
        <v>2.0202972090884086</v>
      </c>
      <c r="S338" s="51">
        <f t="shared" si="27"/>
        <v>0.57977276993003479</v>
      </c>
      <c r="T338" s="51">
        <f t="shared" si="35"/>
        <v>3.7991815280093912E-2</v>
      </c>
      <c r="U338" s="51">
        <f t="shared" si="36"/>
        <v>7.8267267377685884E-2</v>
      </c>
      <c r="V338" s="51">
        <f t="shared" si="37"/>
        <v>0.16983483922948006</v>
      </c>
      <c r="W338" s="51">
        <f t="shared" si="23"/>
        <v>5.413613861386138E-3</v>
      </c>
      <c r="X338" s="58">
        <f t="shared" si="40"/>
        <v>0.15110055868494868</v>
      </c>
      <c r="Y338" s="51">
        <f t="shared" si="24"/>
        <v>27.911218375346014</v>
      </c>
      <c r="Z338" s="51">
        <f t="shared" si="25"/>
        <v>2.1845347914201856</v>
      </c>
      <c r="AA338" s="52">
        <v>5</v>
      </c>
      <c r="AB338">
        <v>0</v>
      </c>
    </row>
    <row r="339" spans="1:28">
      <c r="A339" s="6">
        <v>2019</v>
      </c>
      <c r="B339" s="6" t="s">
        <v>343</v>
      </c>
      <c r="C339" s="7" t="s">
        <v>344</v>
      </c>
      <c r="D339" s="9">
        <v>18195176000000</v>
      </c>
      <c r="E339" s="10">
        <v>3089106000000</v>
      </c>
      <c r="F339" s="10">
        <v>36196024000000</v>
      </c>
      <c r="G339" s="16">
        <f t="shared" si="34"/>
        <v>8368689000000</v>
      </c>
      <c r="H339" s="10">
        <v>10065767000000</v>
      </c>
      <c r="I339" s="10">
        <v>18434456000000</v>
      </c>
      <c r="J339" s="10">
        <v>17761568000000</v>
      </c>
      <c r="K339" s="8">
        <v>36000000000</v>
      </c>
      <c r="L339" s="10">
        <v>7608237000000</v>
      </c>
      <c r="M339" s="10">
        <v>3816495000000</v>
      </c>
      <c r="N339" s="9">
        <f>1252875000000+383428000000+372687000000</f>
        <v>2008990000000</v>
      </c>
      <c r="O339" s="12">
        <v>1283281000000</v>
      </c>
      <c r="P339" s="50">
        <v>209264000000</v>
      </c>
      <c r="Q339" s="51">
        <v>1040</v>
      </c>
      <c r="R339" s="51">
        <f t="shared" si="26"/>
        <v>2.1741966991484567</v>
      </c>
      <c r="S339" s="51">
        <f t="shared" si="27"/>
        <v>0.56671612551324302</v>
      </c>
      <c r="T339" s="51">
        <f t="shared" si="35"/>
        <v>3.54536454059153E-2</v>
      </c>
      <c r="U339" s="51">
        <f t="shared" si="36"/>
        <v>7.2250434195899826E-2</v>
      </c>
      <c r="V339" s="51">
        <f t="shared" si="37"/>
        <v>0.16866995599637602</v>
      </c>
      <c r="W339" s="51">
        <f t="shared" si="23"/>
        <v>5.5893162393162391E-3</v>
      </c>
      <c r="X339" s="58">
        <f t="shared" si="40"/>
        <v>0.16306950699028505</v>
      </c>
      <c r="Y339" s="51">
        <f t="shared" si="24"/>
        <v>29.175215716588966</v>
      </c>
      <c r="Z339" s="51">
        <f t="shared" si="25"/>
        <v>2.1079220032825932</v>
      </c>
      <c r="AA339" s="52">
        <v>5</v>
      </c>
      <c r="AB339">
        <v>0</v>
      </c>
    </row>
    <row r="340" spans="1:28">
      <c r="A340" s="6">
        <v>2020</v>
      </c>
      <c r="B340" s="6" t="s">
        <v>343</v>
      </c>
      <c r="C340" s="7" t="s">
        <v>344</v>
      </c>
      <c r="D340" s="9">
        <v>20645596000000</v>
      </c>
      <c r="E340" s="10">
        <v>2594980000000</v>
      </c>
      <c r="F340" s="10">
        <v>39255187000000</v>
      </c>
      <c r="G340" s="16">
        <f t="shared" si="34"/>
        <v>11609414000000</v>
      </c>
      <c r="H340" s="10">
        <v>10188245000000</v>
      </c>
      <c r="I340" s="10">
        <v>21797659000000</v>
      </c>
      <c r="J340" s="10">
        <v>17457528000000</v>
      </c>
      <c r="K340" s="8">
        <v>36000000000</v>
      </c>
      <c r="L340" s="10">
        <v>8070737000000</v>
      </c>
      <c r="M340" s="10">
        <v>3949402000000</v>
      </c>
      <c r="N340" s="9">
        <f>1166156000000+356561000000+399197000000</f>
        <v>1921914000000</v>
      </c>
      <c r="O340" s="12">
        <v>1370686000000</v>
      </c>
      <c r="P340" s="50">
        <v>175309000000</v>
      </c>
      <c r="Q340" s="51">
        <v>985</v>
      </c>
      <c r="R340" s="51">
        <f t="shared" si="26"/>
        <v>1.7783495359886381</v>
      </c>
      <c r="S340" s="51">
        <f t="shared" si="27"/>
        <v>0.58360181349845175</v>
      </c>
      <c r="T340" s="51">
        <f t="shared" si="35"/>
        <v>3.4917321881564337E-2</v>
      </c>
      <c r="U340" s="51">
        <f t="shared" si="36"/>
        <v>7.8515469085886622E-2</v>
      </c>
      <c r="V340" s="51">
        <f t="shared" si="37"/>
        <v>0.16983405604717389</v>
      </c>
      <c r="W340" s="51">
        <f t="shared" si="23"/>
        <v>4.9438522278623803E-3</v>
      </c>
      <c r="X340" s="58">
        <f t="shared" si="40"/>
        <v>0.12789873100038959</v>
      </c>
      <c r="Y340" s="51">
        <f t="shared" si="24"/>
        <v>25.870257666599063</v>
      </c>
      <c r="Z340" s="51">
        <f t="shared" si="25"/>
        <v>2.0312154160657796</v>
      </c>
      <c r="AA340" s="52">
        <v>5</v>
      </c>
      <c r="AB340">
        <v>0</v>
      </c>
    </row>
    <row r="341" spans="1:28">
      <c r="A341" s="6">
        <v>2018</v>
      </c>
      <c r="B341" s="82" t="s">
        <v>345</v>
      </c>
      <c r="C341" s="7" t="s">
        <v>346</v>
      </c>
      <c r="D341" s="9">
        <v>383811502955</v>
      </c>
      <c r="E341" s="10">
        <v>237016895</v>
      </c>
      <c r="F341" s="10">
        <v>940955391343</v>
      </c>
      <c r="G341" s="16">
        <f t="shared" si="34"/>
        <v>118630021417</v>
      </c>
      <c r="H341" s="10">
        <v>146832593365</v>
      </c>
      <c r="I341" s="10">
        <v>265462614782</v>
      </c>
      <c r="J341" s="10">
        <v>675492776561</v>
      </c>
      <c r="K341" s="8">
        <v>4400000000</v>
      </c>
      <c r="L341" s="10">
        <v>43232413637</v>
      </c>
      <c r="M341" s="10">
        <v>13481206866</v>
      </c>
      <c r="N341" s="9">
        <f>889425479+10842011194+11832706755+70064</f>
        <v>23564213492</v>
      </c>
      <c r="O341" s="12">
        <v>5908257104</v>
      </c>
      <c r="P341" s="50">
        <v>14575000000</v>
      </c>
      <c r="Q341" s="51">
        <v>700</v>
      </c>
      <c r="R341" s="51">
        <f t="shared" si="26"/>
        <v>3.2353657056661271</v>
      </c>
      <c r="S341" s="51">
        <f t="shared" si="27"/>
        <v>0.21737107850736634</v>
      </c>
      <c r="T341" s="51">
        <f t="shared" si="35"/>
        <v>6.2789980889182279E-3</v>
      </c>
      <c r="U341" s="51">
        <f t="shared" si="36"/>
        <v>8.7465881338946606E-3</v>
      </c>
      <c r="V341" s="51">
        <f t="shared" si="37"/>
        <v>0.13666267059731038</v>
      </c>
      <c r="W341" s="51">
        <f t="shared" si="23"/>
        <v>4.7321428571428575E-3</v>
      </c>
      <c r="X341" s="58">
        <f t="shared" si="40"/>
        <v>2.4668865527420012</v>
      </c>
      <c r="Y341" s="74">
        <f t="shared" si="24"/>
        <v>521.30432812661161</v>
      </c>
      <c r="Z341" s="51">
        <f t="shared" si="25"/>
        <v>4.5596342505401495</v>
      </c>
      <c r="AA341" s="52">
        <v>5</v>
      </c>
      <c r="AB341">
        <v>0</v>
      </c>
    </row>
    <row r="342" spans="1:28">
      <c r="A342" s="6">
        <v>2019</v>
      </c>
      <c r="B342" s="82" t="s">
        <v>345</v>
      </c>
      <c r="C342" s="7" t="s">
        <v>346</v>
      </c>
      <c r="D342" s="9">
        <v>274783000000</v>
      </c>
      <c r="E342" s="10">
        <v>152607850</v>
      </c>
      <c r="F342" s="10">
        <v>891866986266</v>
      </c>
      <c r="G342" s="16">
        <f t="shared" si="34"/>
        <v>94605074884</v>
      </c>
      <c r="H342" s="10">
        <v>169794632882</v>
      </c>
      <c r="I342" s="10">
        <v>264399707766</v>
      </c>
      <c r="J342" s="10">
        <v>627467278500</v>
      </c>
      <c r="K342" s="8">
        <v>4400000000</v>
      </c>
      <c r="L342" s="10">
        <v>84249947508</v>
      </c>
      <c r="M342" s="10">
        <v>47767171754</v>
      </c>
      <c r="N342" s="9">
        <f>504942972+13453467801+18533617026+68378</f>
        <v>32492096177</v>
      </c>
      <c r="O342" s="12">
        <v>2718797575</v>
      </c>
      <c r="P342" s="50"/>
      <c r="Q342" s="51">
        <v>470</v>
      </c>
      <c r="R342" s="51">
        <f t="shared" si="26"/>
        <v>2.9045270598530273</v>
      </c>
      <c r="S342" s="51">
        <f t="shared" si="27"/>
        <v>0.27060316720882205</v>
      </c>
      <c r="T342" s="51">
        <f t="shared" si="35"/>
        <v>3.0484339221735881E-3</v>
      </c>
      <c r="U342" s="51">
        <f t="shared" si="36"/>
        <v>4.3329710857583784E-3</v>
      </c>
      <c r="V342" s="51">
        <f t="shared" si="37"/>
        <v>3.2270614468238513E-2</v>
      </c>
      <c r="W342" s="51">
        <f t="shared" si="23"/>
        <v>0</v>
      </c>
      <c r="X342" s="58">
        <f t="shared" si="40"/>
        <v>0</v>
      </c>
      <c r="Y342" s="74">
        <f t="shared" si="24"/>
        <v>760.63036800376722</v>
      </c>
      <c r="Z342" s="51">
        <f t="shared" si="25"/>
        <v>3.2957893915100782</v>
      </c>
      <c r="AA342" s="52">
        <v>5</v>
      </c>
      <c r="AB342">
        <v>0</v>
      </c>
    </row>
    <row r="343" spans="1:28">
      <c r="A343" s="6">
        <v>2020</v>
      </c>
      <c r="B343" s="82" t="s">
        <v>345</v>
      </c>
      <c r="C343" s="7" t="s">
        <v>346</v>
      </c>
      <c r="D343" s="9">
        <v>267197000000</v>
      </c>
      <c r="E343" s="10">
        <v>342796806</v>
      </c>
      <c r="F343" s="10">
        <v>870707453070</v>
      </c>
      <c r="G343" s="16">
        <f t="shared" si="34"/>
        <v>81634525401</v>
      </c>
      <c r="H343" s="10">
        <v>163890124493</v>
      </c>
      <c r="I343" s="10">
        <v>245524649894</v>
      </c>
      <c r="J343" s="10">
        <v>625182803176</v>
      </c>
      <c r="K343" s="8">
        <v>4400000000</v>
      </c>
      <c r="L343" s="10">
        <v>51320798915</v>
      </c>
      <c r="M343" s="10">
        <v>20047726784</v>
      </c>
      <c r="N343" s="10">
        <f>794479266+16888104274+16785208334+16635</f>
        <v>34467808509</v>
      </c>
      <c r="O343" s="12">
        <v>-1481751003</v>
      </c>
      <c r="P343" s="50"/>
      <c r="Q343" s="51">
        <v>670</v>
      </c>
      <c r="R343" s="51">
        <f t="shared" si="26"/>
        <v>3.2730881779184928</v>
      </c>
      <c r="S343" s="51">
        <f t="shared" si="27"/>
        <v>0.26214752494857418</v>
      </c>
      <c r="T343" s="51">
        <f t="shared" si="35"/>
        <v>-1.7017782468446098E-3</v>
      </c>
      <c r="U343" s="51">
        <f t="shared" si="36"/>
        <v>-2.3701083834560639E-3</v>
      </c>
      <c r="V343" s="51">
        <f t="shared" si="37"/>
        <v>-2.887232923739453E-2</v>
      </c>
      <c r="W343" s="51">
        <f t="shared" si="23"/>
        <v>0</v>
      </c>
      <c r="X343" s="58">
        <f t="shared" si="40"/>
        <v>0</v>
      </c>
      <c r="Y343" s="74">
        <f t="shared" si="24"/>
        <v>-1989.5380492615736</v>
      </c>
      <c r="Z343" s="51">
        <f t="shared" si="25"/>
        <v>4.7154208097596788</v>
      </c>
      <c r="AA343" s="52">
        <v>5</v>
      </c>
      <c r="AB343">
        <v>0</v>
      </c>
    </row>
    <row r="344" spans="1:28">
      <c r="A344" s="6">
        <v>2018</v>
      </c>
      <c r="B344" s="6" t="s">
        <v>347</v>
      </c>
      <c r="C344" s="7" t="s">
        <v>348</v>
      </c>
      <c r="D344" s="9">
        <v>2510268566000</v>
      </c>
      <c r="E344" s="10">
        <v>747019235000</v>
      </c>
      <c r="F344" s="10">
        <v>4804256788000</v>
      </c>
      <c r="G344" s="16">
        <f t="shared" si="34"/>
        <v>1933630733000</v>
      </c>
      <c r="H344" s="10">
        <v>288129800000</v>
      </c>
      <c r="I344" s="10">
        <v>2221760533000</v>
      </c>
      <c r="J344" s="10">
        <v>2582496255000</v>
      </c>
      <c r="K344" s="8">
        <v>30000000000</v>
      </c>
      <c r="L344" s="10">
        <v>5157266424000</v>
      </c>
      <c r="M344" s="10">
        <v>4292248458000</v>
      </c>
      <c r="N344" s="10">
        <f>153567236000+382695600000+9373408000</f>
        <v>545636244000</v>
      </c>
      <c r="O344" s="12">
        <v>268229012000</v>
      </c>
      <c r="P344" s="50"/>
      <c r="Q344" s="51">
        <v>364</v>
      </c>
      <c r="R344" s="51">
        <f t="shared" si="26"/>
        <v>1.2982150744497916</v>
      </c>
      <c r="S344" s="51">
        <f t="shared" si="27"/>
        <v>0.11157026827905313</v>
      </c>
      <c r="T344" s="51">
        <f t="shared" si="35"/>
        <v>5.5831531043465117E-2</v>
      </c>
      <c r="U344" s="51">
        <f t="shared" si="36"/>
        <v>0.10386424045366137</v>
      </c>
      <c r="V344" s="51">
        <f t="shared" si="37"/>
        <v>5.2009919586810935E-2</v>
      </c>
      <c r="W344" s="51">
        <f t="shared" si="23"/>
        <v>0</v>
      </c>
      <c r="X344" s="58">
        <f t="shared" si="40"/>
        <v>0</v>
      </c>
      <c r="Y344" s="51">
        <f t="shared" si="24"/>
        <v>40.71147978578842</v>
      </c>
      <c r="Z344" s="51">
        <f t="shared" si="25"/>
        <v>4.2284669256955034</v>
      </c>
      <c r="AA344" s="52">
        <v>5</v>
      </c>
      <c r="AB344">
        <v>0</v>
      </c>
    </row>
    <row r="345" spans="1:28">
      <c r="A345" s="6">
        <v>2019</v>
      </c>
      <c r="B345" s="6" t="s">
        <v>347</v>
      </c>
      <c r="C345" s="7" t="s">
        <v>348</v>
      </c>
      <c r="D345" s="9">
        <v>2678070135000</v>
      </c>
      <c r="E345" s="10">
        <v>668140593000</v>
      </c>
      <c r="F345" s="10">
        <v>4928108872000</v>
      </c>
      <c r="G345" s="16">
        <f t="shared" si="34"/>
        <v>1972160394000</v>
      </c>
      <c r="H345" s="10">
        <v>258181518000</v>
      </c>
      <c r="I345" s="10">
        <v>2230341912000</v>
      </c>
      <c r="J345" s="10">
        <v>2697766960000</v>
      </c>
      <c r="K345" s="8">
        <v>30000000000</v>
      </c>
      <c r="L345" s="10">
        <v>5470824200000</v>
      </c>
      <c r="M345" s="10">
        <v>4651089971000</v>
      </c>
      <c r="N345" s="10">
        <f>128597983000+392437420000+14195990000</f>
        <v>535231393000</v>
      </c>
      <c r="O345" s="12">
        <v>202283267000</v>
      </c>
      <c r="P345" s="50">
        <v>4860871000</v>
      </c>
      <c r="Q345" s="51">
        <v>500</v>
      </c>
      <c r="R345" s="51">
        <f t="shared" si="26"/>
        <v>1.3579372870216966</v>
      </c>
      <c r="S345" s="51">
        <f t="shared" si="27"/>
        <v>9.5701934906935029E-2</v>
      </c>
      <c r="T345" s="51">
        <f t="shared" si="35"/>
        <v>4.1046834039992777E-2</v>
      </c>
      <c r="U345" s="51">
        <f t="shared" si="36"/>
        <v>7.4981742307348886E-2</v>
      </c>
      <c r="V345" s="51">
        <f t="shared" si="37"/>
        <v>3.6974916320652383E-2</v>
      </c>
      <c r="W345" s="51">
        <f t="shared" si="23"/>
        <v>3.2405806666666666E-4</v>
      </c>
      <c r="X345" s="58">
        <f t="shared" si="40"/>
        <v>2.4030020238895982E-2</v>
      </c>
      <c r="Y345" s="51">
        <f t="shared" si="24"/>
        <v>74.153439493341779</v>
      </c>
      <c r="Z345" s="51">
        <f t="shared" si="25"/>
        <v>5.5601540912933407</v>
      </c>
      <c r="AA345" s="52">
        <v>5</v>
      </c>
      <c r="AB345">
        <v>0</v>
      </c>
    </row>
    <row r="346" spans="1:28">
      <c r="A346" s="6">
        <v>2020</v>
      </c>
      <c r="B346" s="82" t="s">
        <v>347</v>
      </c>
      <c r="C346" s="7" t="s">
        <v>348</v>
      </c>
      <c r="D346" s="9">
        <v>2748869993000</v>
      </c>
      <c r="E346" s="10">
        <v>563657747000</v>
      </c>
      <c r="F346" s="10">
        <v>4565315258000</v>
      </c>
      <c r="G346" s="16">
        <f t="shared" si="34"/>
        <v>1628187787000</v>
      </c>
      <c r="H346" s="10">
        <v>254060046000</v>
      </c>
      <c r="I346" s="10">
        <v>1882247833000</v>
      </c>
      <c r="J346" s="10">
        <v>2683067425000</v>
      </c>
      <c r="K346" s="8">
        <v>30000000000</v>
      </c>
      <c r="L346" s="10">
        <v>3013778917000</v>
      </c>
      <c r="M346" s="10">
        <v>2520797620000</v>
      </c>
      <c r="N346" s="10">
        <f>86064392000+304157422000+18381721000</f>
        <v>408603535000</v>
      </c>
      <c r="O346" s="12">
        <v>51834425000</v>
      </c>
      <c r="P346" s="50"/>
      <c r="Q346" s="51">
        <v>400</v>
      </c>
      <c r="R346" s="51">
        <f t="shared" si="26"/>
        <v>1.6883003391549207</v>
      </c>
      <c r="S346" s="51">
        <f t="shared" si="27"/>
        <v>9.4690145925050692E-2</v>
      </c>
      <c r="T346" s="51">
        <f t="shared" si="35"/>
        <v>1.1353963980728009E-2</v>
      </c>
      <c r="U346" s="51">
        <f t="shared" si="36"/>
        <v>1.9319091468601463E-2</v>
      </c>
      <c r="V346" s="51">
        <f t="shared" si="37"/>
        <v>1.7199146462806049E-2</v>
      </c>
      <c r="W346" s="51">
        <f t="shared" si="23"/>
        <v>0</v>
      </c>
      <c r="X346" s="58">
        <f t="shared" si="40"/>
        <v>0</v>
      </c>
      <c r="Y346" s="74">
        <f t="shared" si="24"/>
        <v>231.50637824187305</v>
      </c>
      <c r="Z346" s="51">
        <f t="shared" si="25"/>
        <v>4.4724928968193929</v>
      </c>
      <c r="AA346" s="52">
        <v>5</v>
      </c>
      <c r="AB346">
        <v>0</v>
      </c>
    </row>
    <row r="347" spans="1:28">
      <c r="A347" s="6">
        <v>2018</v>
      </c>
      <c r="B347" s="6" t="s">
        <v>350</v>
      </c>
      <c r="C347" s="7" t="s">
        <v>351</v>
      </c>
      <c r="D347" s="10">
        <v>33046506000000</v>
      </c>
      <c r="E347" s="10">
        <v>5397911000000</v>
      </c>
      <c r="F347" s="10">
        <v>49083460000000</v>
      </c>
      <c r="G347" s="16">
        <f t="shared" si="34"/>
        <v>8204921000000</v>
      </c>
      <c r="H347" s="9">
        <v>16131471000000</v>
      </c>
      <c r="I347" s="10">
        <v>24336392000000</v>
      </c>
      <c r="J347" s="10">
        <v>24747068000000</v>
      </c>
      <c r="K347" s="8">
        <v>64000000000</v>
      </c>
      <c r="L347" s="10">
        <v>11452799000000</v>
      </c>
      <c r="M347" s="10">
        <v>177780000000</v>
      </c>
      <c r="N347" s="10">
        <f>3587467000000+1907422000000</f>
        <v>5494889000000</v>
      </c>
      <c r="O347" s="12">
        <v>1662685000000</v>
      </c>
      <c r="P347" s="50">
        <v>76754000000</v>
      </c>
      <c r="Q347" s="51">
        <v>254</v>
      </c>
      <c r="R347" s="51">
        <f t="shared" si="26"/>
        <v>4.027644629363281</v>
      </c>
      <c r="S347" s="51">
        <f t="shared" si="27"/>
        <v>0.65185382769385047</v>
      </c>
      <c r="T347" s="51">
        <f t="shared" si="35"/>
        <v>3.3874649423655138E-2</v>
      </c>
      <c r="U347" s="51">
        <f t="shared" si="36"/>
        <v>6.7187151221308319E-2</v>
      </c>
      <c r="V347" s="51">
        <f t="shared" si="37"/>
        <v>0.14517717459286589</v>
      </c>
      <c r="W347" s="51">
        <f t="shared" si="23"/>
        <v>4.7215797244094491E-3</v>
      </c>
      <c r="X347" s="58">
        <f t="shared" si="40"/>
        <v>4.6162682648848097E-2</v>
      </c>
      <c r="Y347" s="51">
        <f t="shared" si="24"/>
        <v>9.7769571506328621</v>
      </c>
      <c r="Z347" s="51">
        <f t="shared" si="25"/>
        <v>0.65688589856382185</v>
      </c>
      <c r="AA347" s="52">
        <v>5</v>
      </c>
      <c r="AB347">
        <v>0</v>
      </c>
    </row>
    <row r="348" spans="1:28">
      <c r="A348" s="6">
        <v>2019</v>
      </c>
      <c r="B348" s="6" t="s">
        <v>350</v>
      </c>
      <c r="C348" s="7" t="s">
        <v>351</v>
      </c>
      <c r="D348" s="10">
        <v>37197250000000</v>
      </c>
      <c r="E348" s="10">
        <v>5369030000000</v>
      </c>
      <c r="F348" s="10">
        <v>55079585000000</v>
      </c>
      <c r="G348" s="16">
        <f t="shared" si="34"/>
        <v>6881251000000</v>
      </c>
      <c r="H348" s="10">
        <v>13821995000000</v>
      </c>
      <c r="I348" s="10">
        <v>20703246000000</v>
      </c>
      <c r="J348" s="10">
        <v>34376339000000</v>
      </c>
      <c r="K348" s="31">
        <v>92000000000</v>
      </c>
      <c r="L348" s="10">
        <v>12320248000000</v>
      </c>
      <c r="M348" s="10">
        <v>143075000000</v>
      </c>
      <c r="N348" s="10">
        <f>4003429000000+2075322000000</f>
        <v>6078751000000</v>
      </c>
      <c r="O348" s="12">
        <v>2061418000000</v>
      </c>
      <c r="P348" s="50">
        <v>3437000000</v>
      </c>
      <c r="Q348" s="51">
        <v>242</v>
      </c>
      <c r="R348" s="51">
        <f t="shared" si="26"/>
        <v>5.4055941281607076</v>
      </c>
      <c r="S348" s="51">
        <f t="shared" si="27"/>
        <v>0.402078737936579</v>
      </c>
      <c r="T348" s="51">
        <f t="shared" si="35"/>
        <v>3.7426171602418574E-2</v>
      </c>
      <c r="U348" s="51">
        <f t="shared" si="36"/>
        <v>5.9966187789805073E-2</v>
      </c>
      <c r="V348" s="51">
        <f t="shared" si="37"/>
        <v>0.16731952149015183</v>
      </c>
      <c r="W348" s="51">
        <f t="shared" si="23"/>
        <v>1.5437477542220627E-4</v>
      </c>
      <c r="X348" s="58">
        <f t="shared" si="40"/>
        <v>1.6672989175412264E-3</v>
      </c>
      <c r="Y348" s="51">
        <f t="shared" si="24"/>
        <v>10.800332586598158</v>
      </c>
      <c r="Z348" s="51">
        <f t="shared" si="25"/>
        <v>0.64765477208029631</v>
      </c>
      <c r="AA348" s="52">
        <v>5</v>
      </c>
      <c r="AB348">
        <v>0</v>
      </c>
    </row>
    <row r="349" spans="1:28">
      <c r="A349" s="6">
        <v>2020</v>
      </c>
      <c r="B349" s="6" t="s">
        <v>350</v>
      </c>
      <c r="C349" s="7" t="s">
        <v>351</v>
      </c>
      <c r="D349" s="10">
        <v>33078230000000</v>
      </c>
      <c r="E349" s="10">
        <v>8787101000000</v>
      </c>
      <c r="F349" s="10">
        <v>51865480000000</v>
      </c>
      <c r="G349" s="16">
        <f t="shared" si="34"/>
        <v>10573858000000</v>
      </c>
      <c r="H349" s="10">
        <v>17717967000000</v>
      </c>
      <c r="I349" s="10">
        <v>28291825000000</v>
      </c>
      <c r="J349" s="10">
        <v>23573655000000</v>
      </c>
      <c r="K349" s="31">
        <v>92000000000</v>
      </c>
      <c r="L349" s="10">
        <v>11966299000000</v>
      </c>
      <c r="M349" s="10">
        <v>155344000000</v>
      </c>
      <c r="N349" s="10">
        <f>4069362000000+5612472000000</f>
        <v>9681834000000</v>
      </c>
      <c r="O349" s="12">
        <v>9637220000000</v>
      </c>
      <c r="P349" s="50"/>
      <c r="Q349" s="51">
        <v>214</v>
      </c>
      <c r="R349" s="51">
        <f t="shared" si="26"/>
        <v>3.1283028389448773</v>
      </c>
      <c r="S349" s="51">
        <f t="shared" si="27"/>
        <v>0.75160033520470204</v>
      </c>
      <c r="T349" s="51">
        <f t="shared" si="35"/>
        <v>0.18581183476948443</v>
      </c>
      <c r="U349" s="51">
        <f t="shared" si="36"/>
        <v>0.40881314331612983</v>
      </c>
      <c r="V349" s="51">
        <f t="shared" si="37"/>
        <v>0.80536346283842652</v>
      </c>
      <c r="W349" s="51">
        <f t="shared" si="23"/>
        <v>0</v>
      </c>
      <c r="X349" s="58">
        <f t="shared" si="40"/>
        <v>0</v>
      </c>
      <c r="Y349" s="51">
        <f t="shared" si="24"/>
        <v>2.0429127902029838</v>
      </c>
      <c r="Z349" s="51">
        <f t="shared" si="25"/>
        <v>0.83516959928360712</v>
      </c>
      <c r="AA349" s="52">
        <v>5</v>
      </c>
      <c r="AB349">
        <v>0</v>
      </c>
    </row>
    <row r="350" spans="1:28">
      <c r="A350" s="6">
        <v>2018</v>
      </c>
      <c r="B350" s="6" t="s">
        <v>352</v>
      </c>
      <c r="C350" s="7" t="s">
        <v>353</v>
      </c>
      <c r="D350" s="9">
        <v>10413442231664</v>
      </c>
      <c r="E350" s="10">
        <v>2169718612941</v>
      </c>
      <c r="F350" s="10">
        <v>15622688330680</v>
      </c>
      <c r="G350" s="16">
        <f t="shared" si="34"/>
        <v>6322667387430</v>
      </c>
      <c r="H350" s="10">
        <v>4971773985836</v>
      </c>
      <c r="I350" s="10">
        <v>11294441373266</v>
      </c>
      <c r="J350" s="10">
        <v>4328246957414</v>
      </c>
      <c r="K350" s="8">
        <v>146112960000</v>
      </c>
      <c r="L350" s="10">
        <v>2556174514577</v>
      </c>
      <c r="M350" s="10">
        <v>1965554651097</v>
      </c>
      <c r="N350" s="9">
        <v>75999819082</v>
      </c>
      <c r="O350" s="12">
        <v>496783496821</v>
      </c>
      <c r="P350" s="50">
        <v>88935991076</v>
      </c>
      <c r="Q350" s="51">
        <v>117</v>
      </c>
      <c r="R350" s="51">
        <f t="shared" si="26"/>
        <v>1.6470014304985912</v>
      </c>
      <c r="S350" s="51">
        <f t="shared" si="27"/>
        <v>1.1486807556855509</v>
      </c>
      <c r="T350" s="51">
        <f t="shared" si="35"/>
        <v>3.1798848335558953E-2</v>
      </c>
      <c r="U350" s="51">
        <f t="shared" si="36"/>
        <v>0.11477706833942153</v>
      </c>
      <c r="V350" s="51">
        <f t="shared" si="37"/>
        <v>0.19434647125539023</v>
      </c>
      <c r="W350" s="51">
        <f t="shared" si="23"/>
        <v>5.2023905056967417E-3</v>
      </c>
      <c r="X350" s="58">
        <f t="shared" si="40"/>
        <v>0.17902364238167362</v>
      </c>
      <c r="Y350" s="51">
        <f t="shared" si="24"/>
        <v>34.411803993882899</v>
      </c>
      <c r="Z350" s="51">
        <f t="shared" si="25"/>
        <v>3.9496859786886764</v>
      </c>
      <c r="AA350" s="52">
        <v>5</v>
      </c>
      <c r="AB350">
        <v>0</v>
      </c>
    </row>
    <row r="351" spans="1:28">
      <c r="A351" s="6">
        <v>2019</v>
      </c>
      <c r="B351" s="6" t="s">
        <v>352</v>
      </c>
      <c r="C351" s="7" t="s">
        <v>353</v>
      </c>
      <c r="D351" s="9">
        <v>11126748490830</v>
      </c>
      <c r="E351" s="10">
        <v>2481947878357</v>
      </c>
      <c r="F351" s="10">
        <v>18006178568569</v>
      </c>
      <c r="G351" s="16">
        <f t="shared" si="34"/>
        <v>7172872963250</v>
      </c>
      <c r="H351" s="10">
        <v>6312184791062</v>
      </c>
      <c r="I351" s="10">
        <v>13485057754312</v>
      </c>
      <c r="J351" s="10">
        <v>4521120814257</v>
      </c>
      <c r="K351" s="8">
        <v>146112960000</v>
      </c>
      <c r="L351" s="10">
        <v>1624169492823</v>
      </c>
      <c r="M351" s="10">
        <v>1183101342252</v>
      </c>
      <c r="N351" s="9">
        <v>76423480075</v>
      </c>
      <c r="O351" s="12">
        <v>360895336040</v>
      </c>
      <c r="P351" s="50">
        <v>94251521660</v>
      </c>
      <c r="Q351" s="51">
        <v>68</v>
      </c>
      <c r="R351" s="51">
        <f t="shared" si="26"/>
        <v>1.5512262029228125</v>
      </c>
      <c r="S351" s="51">
        <f t="shared" si="27"/>
        <v>1.396154858582195</v>
      </c>
      <c r="T351" s="51">
        <f t="shared" si="35"/>
        <v>2.0042861102686563E-2</v>
      </c>
      <c r="U351" s="51">
        <f t="shared" si="36"/>
        <v>7.9824307039516582E-2</v>
      </c>
      <c r="V351" s="51">
        <f t="shared" si="37"/>
        <v>0.22220300137070112</v>
      </c>
      <c r="W351" s="51">
        <f t="shared" si="23"/>
        <v>9.4861659712981456E-3</v>
      </c>
      <c r="X351" s="58">
        <f t="shared" si="40"/>
        <v>0.2611602651732623</v>
      </c>
      <c r="Y351" s="51">
        <f t="shared" si="24"/>
        <v>27.530644726588474</v>
      </c>
      <c r="Z351" s="51">
        <f t="shared" si="25"/>
        <v>2.1976146376510464</v>
      </c>
      <c r="AA351" s="52">
        <v>5</v>
      </c>
      <c r="AB351">
        <v>0</v>
      </c>
    </row>
    <row r="352" spans="1:28">
      <c r="A352" s="6">
        <v>2020</v>
      </c>
      <c r="B352" s="82" t="s">
        <v>352</v>
      </c>
      <c r="C352" s="7" t="s">
        <v>353</v>
      </c>
      <c r="D352" s="9">
        <v>11490844438332</v>
      </c>
      <c r="E352" s="10">
        <v>2694031520761</v>
      </c>
      <c r="F352" s="10">
        <v>18588970471992</v>
      </c>
      <c r="G352" s="16">
        <f t="shared" si="34"/>
        <v>6760191759915</v>
      </c>
      <c r="H352" s="10">
        <v>7284558715445</v>
      </c>
      <c r="I352" s="10">
        <v>14044750475360</v>
      </c>
      <c r="J352" s="10">
        <v>4544219996632</v>
      </c>
      <c r="K352" s="8">
        <v>146112960000</v>
      </c>
      <c r="L352" s="10">
        <v>2075242421357</v>
      </c>
      <c r="M352" s="10">
        <v>1747594089122</v>
      </c>
      <c r="N352" s="9">
        <v>57495202502</v>
      </c>
      <c r="O352" s="12">
        <v>106377057578</v>
      </c>
      <c r="P352" s="50">
        <v>34269521745</v>
      </c>
      <c r="Q352" s="51">
        <v>94</v>
      </c>
      <c r="R352" s="51">
        <f t="shared" si="26"/>
        <v>1.6997808414944255</v>
      </c>
      <c r="S352" s="51">
        <f t="shared" si="27"/>
        <v>1.6030383037889964</v>
      </c>
      <c r="T352" s="51">
        <f t="shared" si="35"/>
        <v>5.7225900561990945E-3</v>
      </c>
      <c r="U352" s="51">
        <f t="shared" si="36"/>
        <v>2.3409310653278795E-2</v>
      </c>
      <c r="V352" s="51">
        <f t="shared" si="37"/>
        <v>5.1260063153701386E-2</v>
      </c>
      <c r="W352" s="51">
        <f t="shared" si="23"/>
        <v>2.4951200787798524E-3</v>
      </c>
      <c r="X352" s="58">
        <f t="shared" si="40"/>
        <v>0.32215143495459242</v>
      </c>
      <c r="Y352" s="74">
        <f t="shared" si="24"/>
        <v>129.11259770396654</v>
      </c>
      <c r="Z352" s="51">
        <f t="shared" si="25"/>
        <v>3.0224369089039631</v>
      </c>
      <c r="AA352" s="52">
        <v>5</v>
      </c>
      <c r="AB352">
        <v>0</v>
      </c>
    </row>
    <row r="353" spans="1:28">
      <c r="A353" s="6">
        <v>2018</v>
      </c>
      <c r="B353" s="6" t="s">
        <v>354</v>
      </c>
      <c r="C353" s="7" t="s">
        <v>355</v>
      </c>
      <c r="D353" s="9">
        <v>37534483162953</v>
      </c>
      <c r="E353" s="10">
        <v>6605378728189</v>
      </c>
      <c r="F353" s="10">
        <v>52549150902972</v>
      </c>
      <c r="G353" s="16">
        <f t="shared" si="34"/>
        <v>26585529876819</v>
      </c>
      <c r="H353" s="10">
        <v>9648009050734</v>
      </c>
      <c r="I353" s="10">
        <v>36233538927553</v>
      </c>
      <c r="J353" s="10">
        <v>16315611975419</v>
      </c>
      <c r="K353" s="8">
        <v>25000000000</v>
      </c>
      <c r="L353" s="10">
        <v>25119560112231</v>
      </c>
      <c r="M353" s="18">
        <v>21647991667959</v>
      </c>
      <c r="N353" s="9">
        <f>843164199687+64366117108</f>
        <v>907530316795</v>
      </c>
      <c r="O353" s="12">
        <v>1958993059360</v>
      </c>
      <c r="P353" s="50">
        <v>290629550314</v>
      </c>
      <c r="Q353" s="51">
        <v>1805</v>
      </c>
      <c r="R353" s="51">
        <f t="shared" si="26"/>
        <v>1.4118388212258592</v>
      </c>
      <c r="S353" s="51">
        <f t="shared" si="27"/>
        <v>0.59133602008123454</v>
      </c>
      <c r="T353" s="51">
        <f t="shared" si="35"/>
        <v>3.7279252389389339E-2</v>
      </c>
      <c r="U353" s="51">
        <f t="shared" si="36"/>
        <v>0.12006862275907314</v>
      </c>
      <c r="V353" s="51">
        <f t="shared" si="37"/>
        <v>7.7986758152112062E-2</v>
      </c>
      <c r="W353" s="51">
        <f t="shared" si="23"/>
        <v>6.4405440512797785E-3</v>
      </c>
      <c r="X353" s="58">
        <f t="shared" si="40"/>
        <v>0.14835660030819517</v>
      </c>
      <c r="Y353" s="51">
        <f t="shared" si="24"/>
        <v>23.0347931986764</v>
      </c>
      <c r="Z353" s="51">
        <f t="shared" si="25"/>
        <v>2.7657558949051402</v>
      </c>
      <c r="AA353" s="52">
        <v>5</v>
      </c>
      <c r="AB353">
        <v>0</v>
      </c>
    </row>
    <row r="354" spans="1:28">
      <c r="A354" s="6">
        <v>2019</v>
      </c>
      <c r="B354" s="6" t="s">
        <v>354</v>
      </c>
      <c r="C354" s="7" t="s">
        <v>355</v>
      </c>
      <c r="D354" s="9">
        <v>41704590384570</v>
      </c>
      <c r="E354" s="10">
        <v>7424558967269</v>
      </c>
      <c r="F354" s="10">
        <v>59165548433821</v>
      </c>
      <c r="G354" s="16">
        <f t="shared" si="34"/>
        <v>30490992843527</v>
      </c>
      <c r="H354" s="10">
        <v>11348422351199</v>
      </c>
      <c r="I354" s="10">
        <v>41839415194726</v>
      </c>
      <c r="J354" s="10">
        <v>17326133239095</v>
      </c>
      <c r="K354" s="8">
        <v>25000000000</v>
      </c>
      <c r="L354" s="10">
        <v>24659998995266</v>
      </c>
      <c r="M354" s="10">
        <v>21174884307780</v>
      </c>
      <c r="N354" s="9">
        <f>828429133890+125854138690</f>
        <v>954283272580</v>
      </c>
      <c r="O354" s="12">
        <v>1208270555330</v>
      </c>
      <c r="P354" s="50">
        <v>300397420851</v>
      </c>
      <c r="Q354" s="51">
        <v>1585</v>
      </c>
      <c r="R354" s="51">
        <f t="shared" si="26"/>
        <v>1.3677675436345642</v>
      </c>
      <c r="S354" s="51">
        <f t="shared" si="27"/>
        <v>0.65498874991866129</v>
      </c>
      <c r="T354" s="51">
        <f t="shared" si="35"/>
        <v>2.0421860141827272E-2</v>
      </c>
      <c r="U354" s="51">
        <f t="shared" si="36"/>
        <v>6.9736884661814588E-2</v>
      </c>
      <c r="V354" s="51">
        <f t="shared" si="37"/>
        <v>4.8997185910751764E-2</v>
      </c>
      <c r="W354" s="51">
        <f t="shared" si="23"/>
        <v>7.5810074662712931E-3</v>
      </c>
      <c r="X354" s="58">
        <f t="shared" si="40"/>
        <v>0.24861767881859553</v>
      </c>
      <c r="Y354" s="51">
        <f t="shared" si="24"/>
        <v>32.794807276568712</v>
      </c>
      <c r="Z354" s="51">
        <f t="shared" si="25"/>
        <v>2.28700769255251</v>
      </c>
      <c r="AA354" s="52">
        <v>5</v>
      </c>
      <c r="AB354">
        <v>0</v>
      </c>
    </row>
    <row r="355" spans="1:28">
      <c r="A355" s="6">
        <v>2020</v>
      </c>
      <c r="B355" s="82" t="s">
        <v>354</v>
      </c>
      <c r="C355" s="7" t="s">
        <v>355</v>
      </c>
      <c r="D355" s="9">
        <v>33924938550674</v>
      </c>
      <c r="E355" s="9">
        <v>7117087116109</v>
      </c>
      <c r="F355" s="10">
        <v>53472450650976</v>
      </c>
      <c r="G355" s="16">
        <f t="shared" si="34"/>
        <v>27986826929242</v>
      </c>
      <c r="H355" s="10">
        <v>11478633630784</v>
      </c>
      <c r="I355" s="10">
        <v>39465460560026</v>
      </c>
      <c r="J355" s="10">
        <v>14006990090950</v>
      </c>
      <c r="K355" s="8">
        <v>25000000000</v>
      </c>
      <c r="L355" s="10">
        <v>15831388462166</v>
      </c>
      <c r="M355" s="10">
        <v>13657930676733</v>
      </c>
      <c r="N355" s="18">
        <f>583708784467+255824310627</f>
        <v>839533095094</v>
      </c>
      <c r="O355" s="12">
        <v>266269870851</v>
      </c>
      <c r="P355" s="50">
        <v>209323431248</v>
      </c>
      <c r="Q355" s="51">
        <v>1865</v>
      </c>
      <c r="R355" s="51">
        <f t="shared" si="26"/>
        <v>1.2121752364583915</v>
      </c>
      <c r="S355" s="51">
        <f t="shared" si="27"/>
        <v>0.8194932356095842</v>
      </c>
      <c r="T355" s="51">
        <f t="shared" si="35"/>
        <v>4.9795711176394333E-3</v>
      </c>
      <c r="U355" s="51">
        <f t="shared" si="36"/>
        <v>1.900978505175345E-2</v>
      </c>
      <c r="V355" s="51">
        <f t="shared" si="37"/>
        <v>1.681911043288049E-2</v>
      </c>
      <c r="W355" s="51">
        <f t="shared" si="23"/>
        <v>4.4895105897694368E-3</v>
      </c>
      <c r="X355" s="58">
        <f t="shared" si="40"/>
        <v>0.78613262018342944</v>
      </c>
      <c r="Y355" s="74">
        <f t="shared" si="24"/>
        <v>175.10430245444684</v>
      </c>
      <c r="Z355" s="51">
        <f t="shared" si="25"/>
        <v>3.3286951512962579</v>
      </c>
      <c r="AA355" s="52">
        <v>5</v>
      </c>
      <c r="AB355">
        <v>0</v>
      </c>
    </row>
    <row r="356" spans="1:28">
      <c r="A356" s="6">
        <v>2018</v>
      </c>
      <c r="B356" s="6" t="s">
        <v>358</v>
      </c>
      <c r="C356" s="7" t="s">
        <v>359</v>
      </c>
      <c r="D356" s="9">
        <v>2670409421000</v>
      </c>
      <c r="E356" s="10">
        <v>165726237000</v>
      </c>
      <c r="F356" s="10">
        <v>3228718157000</v>
      </c>
      <c r="G356" s="16">
        <f t="shared" si="34"/>
        <v>1945591346000</v>
      </c>
      <c r="H356" s="10">
        <v>231016074000</v>
      </c>
      <c r="I356" s="10">
        <v>2176607420000</v>
      </c>
      <c r="J356" s="10">
        <v>1052110737000</v>
      </c>
      <c r="K356" s="8">
        <v>5000000000</v>
      </c>
      <c r="L356" s="9">
        <v>2783482031000</v>
      </c>
      <c r="M356" s="10">
        <v>2339551181000</v>
      </c>
      <c r="N356" s="10">
        <f>193648445000+29028647000</f>
        <v>222677092000</v>
      </c>
      <c r="O356" s="12">
        <v>204418079000</v>
      </c>
      <c r="P356" s="50">
        <v>170500000000</v>
      </c>
      <c r="Q356" s="51">
        <v>560</v>
      </c>
      <c r="R356" s="51">
        <f t="shared" si="26"/>
        <v>1.3725438419995932</v>
      </c>
      <c r="S356" s="51">
        <f t="shared" si="27"/>
        <v>0.21957391544042384</v>
      </c>
      <c r="T356" s="51">
        <f t="shared" si="35"/>
        <v>6.3312456851277898E-2</v>
      </c>
      <c r="U356" s="51">
        <f t="shared" si="36"/>
        <v>0.19429331135131264</v>
      </c>
      <c r="V356" s="51">
        <f t="shared" si="37"/>
        <v>7.3439697732325684E-2</v>
      </c>
      <c r="W356" s="51">
        <f t="shared" si="23"/>
        <v>6.0892857142857144E-2</v>
      </c>
      <c r="X356" s="58">
        <f t="shared" si="40"/>
        <v>0.83407495478910165</v>
      </c>
      <c r="Y356" s="51">
        <f t="shared" si="24"/>
        <v>13.697418612372342</v>
      </c>
      <c r="Z356" s="51">
        <f t="shared" si="25"/>
        <v>2.6613168191629244</v>
      </c>
      <c r="AA356" s="52">
        <v>5</v>
      </c>
      <c r="AB356">
        <v>0</v>
      </c>
    </row>
    <row r="357" spans="1:28">
      <c r="A357" s="6">
        <v>2019</v>
      </c>
      <c r="B357" s="6" t="s">
        <v>358</v>
      </c>
      <c r="C357" s="7" t="s">
        <v>359</v>
      </c>
      <c r="D357" s="9">
        <v>2282904040000</v>
      </c>
      <c r="E357" s="10">
        <v>163852721000</v>
      </c>
      <c r="F357" s="10">
        <v>2962993701000</v>
      </c>
      <c r="G357" s="16">
        <f t="shared" si="34"/>
        <v>1604722681000</v>
      </c>
      <c r="H357" s="10">
        <v>281366520000</v>
      </c>
      <c r="I357" s="9">
        <v>1886089201000</v>
      </c>
      <c r="J357" s="10">
        <v>1076904500000</v>
      </c>
      <c r="K357" s="8">
        <v>5000000000</v>
      </c>
      <c r="L357" s="10">
        <v>2474974774000</v>
      </c>
      <c r="M357" s="10">
        <v>2114668629000</v>
      </c>
      <c r="N357" s="10">
        <f>191935649000+27579954</f>
        <v>191963228954</v>
      </c>
      <c r="O357" s="12">
        <v>175502010000</v>
      </c>
      <c r="P357" s="50">
        <v>136400000000</v>
      </c>
      <c r="Q357" s="51">
        <v>436</v>
      </c>
      <c r="R357" s="51">
        <f t="shared" si="26"/>
        <v>1.4226159242526466</v>
      </c>
      <c r="S357" s="51">
        <f t="shared" si="27"/>
        <v>0.26127341839503876</v>
      </c>
      <c r="T357" s="51">
        <f t="shared" si="35"/>
        <v>5.9231313904166819E-2</v>
      </c>
      <c r="U357" s="51">
        <f t="shared" si="36"/>
        <v>0.16296896335747507</v>
      </c>
      <c r="V357" s="51">
        <f t="shared" si="37"/>
        <v>7.0910625774321528E-2</v>
      </c>
      <c r="W357" s="51">
        <f t="shared" si="23"/>
        <v>6.2568807339449542E-2</v>
      </c>
      <c r="X357" s="58">
        <f t="shared" si="40"/>
        <v>0.77719907595360305</v>
      </c>
      <c r="Y357" s="51">
        <f t="shared" si="24"/>
        <v>12.421510158202745</v>
      </c>
      <c r="Z357" s="51">
        <f t="shared" si="25"/>
        <v>2.0243206338166475</v>
      </c>
      <c r="AA357" s="52">
        <v>5</v>
      </c>
      <c r="AB357">
        <v>0</v>
      </c>
    </row>
    <row r="358" spans="1:28">
      <c r="A358" s="6">
        <v>2020</v>
      </c>
      <c r="B358" s="6" t="s">
        <v>358</v>
      </c>
      <c r="C358" s="7" t="s">
        <v>359</v>
      </c>
      <c r="D358" s="9">
        <v>2201902161000</v>
      </c>
      <c r="E358" s="10">
        <v>145403319000</v>
      </c>
      <c r="F358" s="10">
        <v>2889059738000</v>
      </c>
      <c r="G358" s="16">
        <f t="shared" si="34"/>
        <v>1476857796000</v>
      </c>
      <c r="H358" s="10">
        <v>273037914000</v>
      </c>
      <c r="I358" s="10">
        <v>1749895710000</v>
      </c>
      <c r="J358" s="10">
        <v>1139164028000</v>
      </c>
      <c r="K358" s="8">
        <v>5000000000</v>
      </c>
      <c r="L358" s="10">
        <v>2292693925000</v>
      </c>
      <c r="M358" s="10">
        <v>2019621678000</v>
      </c>
      <c r="N358" s="10">
        <f>151100938000+75002575</f>
        <v>151175940575</v>
      </c>
      <c r="O358" s="12">
        <v>108580758000</v>
      </c>
      <c r="P358" s="50">
        <v>34100000000</v>
      </c>
      <c r="Q358" s="51">
        <v>370</v>
      </c>
      <c r="R358" s="51">
        <f t="shared" si="26"/>
        <v>1.4909371551978454</v>
      </c>
      <c r="S358" s="51">
        <f t="shared" si="27"/>
        <v>0.23968270353424467</v>
      </c>
      <c r="T358" s="51">
        <f t="shared" si="35"/>
        <v>3.7583424313395071E-2</v>
      </c>
      <c r="U358" s="51">
        <f t="shared" si="36"/>
        <v>9.5316175134701503E-2</v>
      </c>
      <c r="V358" s="51">
        <f t="shared" si="37"/>
        <v>4.7359465132267929E-2</v>
      </c>
      <c r="W358" s="51">
        <f t="shared" si="23"/>
        <v>1.8432432432432432E-2</v>
      </c>
      <c r="X358" s="58">
        <f t="shared" si="40"/>
        <v>0.31405196121397494</v>
      </c>
      <c r="Y358" s="51">
        <f t="shared" si="24"/>
        <v>17.038009625978113</v>
      </c>
      <c r="Z358" s="51">
        <f t="shared" si="25"/>
        <v>1.6239979094564598</v>
      </c>
      <c r="AA358" s="52">
        <v>5</v>
      </c>
      <c r="AB358">
        <v>0</v>
      </c>
    </row>
    <row r="359" spans="1:28">
      <c r="A359" s="6">
        <v>2018</v>
      </c>
      <c r="B359" s="6" t="s">
        <v>360</v>
      </c>
      <c r="C359" s="7" t="s">
        <v>361</v>
      </c>
      <c r="D359" s="10">
        <v>66989129822191</v>
      </c>
      <c r="E359" s="10">
        <v>7091121159643</v>
      </c>
      <c r="F359" s="10">
        <v>124391581623636</v>
      </c>
      <c r="G359" s="16">
        <f t="shared" si="34"/>
        <v>56799725099343</v>
      </c>
      <c r="H359" s="9">
        <v>38704737773426</v>
      </c>
      <c r="I359" s="10">
        <v>95504462872769</v>
      </c>
      <c r="J359" s="10">
        <v>28887118750867</v>
      </c>
      <c r="K359" s="8">
        <f t="shared" ref="K359:K361" si="41">25999999999+1</f>
        <v>26000000000</v>
      </c>
      <c r="L359" s="10">
        <v>31387389629869</v>
      </c>
      <c r="M359" s="10">
        <v>39926332089924</v>
      </c>
      <c r="N359" s="10">
        <f>51205890476+1616540079059+423475576187</f>
        <v>2091221545722</v>
      </c>
      <c r="O359" s="19">
        <v>4619567705553</v>
      </c>
      <c r="P359" s="50">
        <v>776342383468</v>
      </c>
      <c r="Q359" s="51">
        <v>1680</v>
      </c>
      <c r="R359" s="51">
        <f t="shared" si="26"/>
        <v>1.179391796439625</v>
      </c>
      <c r="S359" s="51">
        <f t="shared" si="27"/>
        <v>1.3398614831485864</v>
      </c>
      <c r="T359" s="51">
        <f t="shared" si="35"/>
        <v>3.7137301779232482E-2</v>
      </c>
      <c r="U359" s="51">
        <f t="shared" si="36"/>
        <v>0.1599179116959995</v>
      </c>
      <c r="V359" s="51">
        <f t="shared" si="37"/>
        <v>0.14717909835856205</v>
      </c>
      <c r="W359" s="51">
        <f t="shared" si="23"/>
        <v>1.7773406214926742E-2</v>
      </c>
      <c r="X359" s="58">
        <f t="shared" si="40"/>
        <v>0.16805520190445297</v>
      </c>
      <c r="Y359" s="51">
        <f t="shared" si="24"/>
        <v>9.4554302012922111</v>
      </c>
      <c r="Z359" s="51">
        <f t="shared" si="25"/>
        <v>1.5120926519779343</v>
      </c>
      <c r="AA359" s="52">
        <v>5</v>
      </c>
      <c r="AB359">
        <v>0</v>
      </c>
    </row>
    <row r="360" spans="1:28">
      <c r="A360" s="6">
        <v>2019</v>
      </c>
      <c r="B360" s="6" t="s">
        <v>360</v>
      </c>
      <c r="C360" s="7" t="s">
        <v>361</v>
      </c>
      <c r="D360" s="10">
        <v>49037842886120</v>
      </c>
      <c r="E360" s="10">
        <v>8663216063821</v>
      </c>
      <c r="F360" s="10">
        <v>122589259350571</v>
      </c>
      <c r="G360" s="16">
        <f t="shared" si="34"/>
        <v>45023495139583</v>
      </c>
      <c r="H360" s="9">
        <v>48447295021989</v>
      </c>
      <c r="I360" s="10">
        <v>93470790161572</v>
      </c>
      <c r="J360" s="10">
        <v>29118469188999</v>
      </c>
      <c r="K360" s="8">
        <f t="shared" si="41"/>
        <v>26000000000</v>
      </c>
      <c r="L360" s="10">
        <v>16190456515103</v>
      </c>
      <c r="M360" s="10">
        <v>25782746866464</v>
      </c>
      <c r="N360" s="10">
        <f>51589935546+1319957348117+197802480370</f>
        <v>1569349764033</v>
      </c>
      <c r="O360" s="19">
        <v>1028898367891</v>
      </c>
      <c r="P360" s="50">
        <v>990709745083</v>
      </c>
      <c r="Q360" s="51">
        <v>1485</v>
      </c>
      <c r="R360" s="51">
        <f t="shared" si="26"/>
        <v>1.0891611753839106</v>
      </c>
      <c r="S360" s="51">
        <f t="shared" si="27"/>
        <v>1.6637995187017749</v>
      </c>
      <c r="T360" s="51">
        <f t="shared" si="35"/>
        <v>8.3930547695751905E-3</v>
      </c>
      <c r="U360" s="51">
        <f t="shared" si="36"/>
        <v>3.5334905870660238E-2</v>
      </c>
      <c r="V360" s="51">
        <f t="shared" si="37"/>
        <v>6.3549682303967722E-2</v>
      </c>
      <c r="W360" s="51">
        <f t="shared" si="23"/>
        <v>2.5659408057057759E-2</v>
      </c>
      <c r="X360" s="58">
        <f t="shared" si="40"/>
        <v>0.96288396988491909</v>
      </c>
      <c r="Y360" s="51">
        <f t="shared" si="24"/>
        <v>37.525572208984485</v>
      </c>
      <c r="Z360" s="51">
        <f t="shared" si="25"/>
        <v>1.3259625617471302</v>
      </c>
      <c r="AA360" s="52">
        <v>5</v>
      </c>
      <c r="AB360">
        <v>0</v>
      </c>
    </row>
    <row r="361" spans="1:28">
      <c r="A361" s="6">
        <v>2020</v>
      </c>
      <c r="B361" s="6" t="s">
        <v>360</v>
      </c>
      <c r="C361" s="7" t="s">
        <v>361</v>
      </c>
      <c r="D361" s="9">
        <v>32538762593246</v>
      </c>
      <c r="E361" s="10">
        <v>7819654831137</v>
      </c>
      <c r="F361" s="10">
        <v>105588960060005</v>
      </c>
      <c r="G361" s="16">
        <f t="shared" si="34"/>
        <v>48237835913277</v>
      </c>
      <c r="H361" s="9">
        <v>40773569381438</v>
      </c>
      <c r="I361" s="10">
        <v>89011405294715</v>
      </c>
      <c r="J361" s="10">
        <v>16577554765290</v>
      </c>
      <c r="K361" s="8">
        <f t="shared" si="41"/>
        <v>26000000000</v>
      </c>
      <c r="L361" s="10">
        <v>48788950838822</v>
      </c>
      <c r="M361" s="10">
        <v>18168339421735</v>
      </c>
      <c r="N361" s="10">
        <f>45904808574+1656332903229+1384447069286</f>
        <v>3086684781089</v>
      </c>
      <c r="O361" s="12">
        <v>-9495726146546</v>
      </c>
      <c r="P361" s="50">
        <v>46907502471</v>
      </c>
      <c r="Q361" s="51">
        <v>1440</v>
      </c>
      <c r="R361" s="51">
        <f t="shared" si="26"/>
        <v>0.6745485566919891</v>
      </c>
      <c r="S361" s="51">
        <f t="shared" si="27"/>
        <v>2.4595647523849231</v>
      </c>
      <c r="T361" s="51">
        <f t="shared" si="35"/>
        <v>-8.9931050946516447E-2</v>
      </c>
      <c r="U361" s="51">
        <f t="shared" si="36"/>
        <v>-0.57280619976765834</v>
      </c>
      <c r="V361" s="51">
        <f t="shared" si="37"/>
        <v>-0.19462861945762785</v>
      </c>
      <c r="W361" s="51">
        <f t="shared" si="23"/>
        <v>1.2528713266826924E-3</v>
      </c>
      <c r="X361" s="58">
        <f t="shared" si="40"/>
        <v>-4.9398541772460716E-3</v>
      </c>
      <c r="Y361" s="51">
        <f t="shared" si="24"/>
        <v>-3.9428264276153882</v>
      </c>
      <c r="Z361" s="51">
        <f t="shared" si="25"/>
        <v>2.2584754223458625</v>
      </c>
      <c r="AA361" s="52">
        <v>5</v>
      </c>
      <c r="AB361">
        <v>0</v>
      </c>
    </row>
    <row r="362" spans="1:28">
      <c r="A362" s="6">
        <v>2018</v>
      </c>
      <c r="B362" s="6" t="s">
        <v>155</v>
      </c>
      <c r="C362" s="7" t="s">
        <v>156</v>
      </c>
      <c r="D362" s="9">
        <v>11629996000000</v>
      </c>
      <c r="E362" s="10">
        <v>754805817000</v>
      </c>
      <c r="F362" s="10">
        <v>82418600790000</v>
      </c>
      <c r="G362" s="16">
        <f t="shared" si="34"/>
        <v>31081475143000</v>
      </c>
      <c r="H362" s="10">
        <v>31138139848000</v>
      </c>
      <c r="I362" s="10">
        <v>62219614991000</v>
      </c>
      <c r="J362" s="8">
        <v>20198985799000</v>
      </c>
      <c r="K362" s="8">
        <v>19040000000</v>
      </c>
      <c r="L362" s="10">
        <v>36974074686000</v>
      </c>
      <c r="M362" s="10">
        <v>31056564763000</v>
      </c>
      <c r="N362" s="10">
        <f>1325329000000+415683000000</f>
        <v>1741012000000</v>
      </c>
      <c r="O362" s="10">
        <v>2036493000000</v>
      </c>
      <c r="P362" s="50">
        <v>440065000000</v>
      </c>
      <c r="Q362" s="51">
        <v>4280</v>
      </c>
      <c r="R362" s="51">
        <f t="shared" si="26"/>
        <v>0.37417773598236842</v>
      </c>
      <c r="S362" s="51">
        <f t="shared" si="27"/>
        <v>1.5415694707573668</v>
      </c>
      <c r="T362" s="51">
        <f t="shared" si="35"/>
        <v>2.4709143087601304E-2</v>
      </c>
      <c r="U362" s="51">
        <f t="shared" si="36"/>
        <v>0.10082154719376166</v>
      </c>
      <c r="V362" s="51">
        <f t="shared" si="37"/>
        <v>5.5078944295287674E-2</v>
      </c>
      <c r="W362" s="51">
        <f t="shared" si="23"/>
        <v>5.4001536362208429E-3</v>
      </c>
      <c r="X362" s="58">
        <f t="shared" si="40"/>
        <v>0.21608962073525417</v>
      </c>
      <c r="Y362" s="51">
        <f t="shared" si="24"/>
        <v>40.015457946577769</v>
      </c>
      <c r="Z362" s="51">
        <f t="shared" si="25"/>
        <v>4.0344203818408753</v>
      </c>
      <c r="AA362" s="52">
        <v>5</v>
      </c>
      <c r="AB362">
        <v>0</v>
      </c>
    </row>
    <row r="363" spans="1:28">
      <c r="A363" s="6">
        <v>2019</v>
      </c>
      <c r="B363" s="6" t="s">
        <v>155</v>
      </c>
      <c r="C363" s="7" t="s">
        <v>156</v>
      </c>
      <c r="D363" s="9">
        <v>11612566000000</v>
      </c>
      <c r="E363" s="10">
        <v>714282000000</v>
      </c>
      <c r="F363" s="10">
        <v>99679570000000</v>
      </c>
      <c r="G363" s="16">
        <f t="shared" si="34"/>
        <v>41526417000000</v>
      </c>
      <c r="H363" s="10">
        <v>34967416000000</v>
      </c>
      <c r="I363" s="10">
        <v>76493833000000</v>
      </c>
      <c r="J363" s="8">
        <v>23185737000000</v>
      </c>
      <c r="K363" s="8">
        <v>19040000000</v>
      </c>
      <c r="L363" s="10">
        <v>26345260000000</v>
      </c>
      <c r="M363" s="10">
        <v>19900617000000</v>
      </c>
      <c r="N363" s="10">
        <f>1478523000000+677246000000</f>
        <v>2155769000000</v>
      </c>
      <c r="O363" s="10">
        <v>2073888000000</v>
      </c>
      <c r="P363" s="50">
        <v>330390000000</v>
      </c>
      <c r="Q363" s="51">
        <v>5175</v>
      </c>
      <c r="R363" s="51">
        <f t="shared" si="26"/>
        <v>0.27964285962836621</v>
      </c>
      <c r="S363" s="51">
        <f t="shared" si="27"/>
        <v>1.5081433900505297</v>
      </c>
      <c r="T363" s="51">
        <f t="shared" si="35"/>
        <v>2.0805547214940837E-2</v>
      </c>
      <c r="U363" s="51">
        <f t="shared" si="36"/>
        <v>8.9446714590094761E-2</v>
      </c>
      <c r="V363" s="51">
        <f t="shared" si="37"/>
        <v>7.8719587508341154E-2</v>
      </c>
      <c r="W363" s="51">
        <f t="shared" si="23"/>
        <v>3.3531238582389477E-3</v>
      </c>
      <c r="X363" s="58">
        <f t="shared" si="40"/>
        <v>0.15930947090681849</v>
      </c>
      <c r="Y363" s="51">
        <f t="shared" si="24"/>
        <v>47.510762394111929</v>
      </c>
      <c r="Z363" s="51">
        <f t="shared" si="25"/>
        <v>4.2496816038239364</v>
      </c>
      <c r="AA363" s="52">
        <v>5</v>
      </c>
      <c r="AB363">
        <v>0</v>
      </c>
    </row>
    <row r="364" spans="1:28">
      <c r="A364" s="6">
        <v>2020</v>
      </c>
      <c r="B364" s="82" t="s">
        <v>155</v>
      </c>
      <c r="C364" s="7" t="s">
        <v>156</v>
      </c>
      <c r="D364" s="9">
        <v>10705995000000</v>
      </c>
      <c r="E364" s="10">
        <v>746237000000</v>
      </c>
      <c r="F364" s="10">
        <v>104086646000000</v>
      </c>
      <c r="G364" s="16">
        <f t="shared" si="34"/>
        <v>14928687000000</v>
      </c>
      <c r="H364" s="10">
        <v>64382344000000</v>
      </c>
      <c r="I364" s="10">
        <v>79311031000000</v>
      </c>
      <c r="J364" s="8">
        <v>24775615000000</v>
      </c>
      <c r="K364" s="8">
        <v>19040000000</v>
      </c>
      <c r="L364" s="10">
        <v>13704021000000</v>
      </c>
      <c r="M364" s="10">
        <v>8349488000000</v>
      </c>
      <c r="N364" s="10">
        <f>1236812000000+164380000000</f>
        <v>1401192000000</v>
      </c>
      <c r="O364" s="12">
        <v>-41629000000</v>
      </c>
      <c r="P364" s="50">
        <v>110356000000</v>
      </c>
      <c r="Q364" s="51">
        <v>4630</v>
      </c>
      <c r="R364" s="51">
        <f t="shared" si="26"/>
        <v>0.71714243858150417</v>
      </c>
      <c r="S364" s="51">
        <f t="shared" si="27"/>
        <v>2.5986173905269356</v>
      </c>
      <c r="T364" s="51">
        <f t="shared" si="35"/>
        <v>-3.9994563759889043E-4</v>
      </c>
      <c r="U364" s="51">
        <f t="shared" si="36"/>
        <v>-1.6802408335776931E-3</v>
      </c>
      <c r="V364" s="51">
        <f t="shared" si="37"/>
        <v>-3.0377215563227758E-3</v>
      </c>
      <c r="W364" s="51">
        <f t="shared" si="23"/>
        <v>1.2518376681126015E-3</v>
      </c>
      <c r="X364" s="58">
        <f t="shared" si="40"/>
        <v>-2.6509404501669511</v>
      </c>
      <c r="Y364" s="74">
        <f t="shared" si="24"/>
        <v>-2117.6391457877921</v>
      </c>
      <c r="Z364" s="51">
        <f t="shared" si="25"/>
        <v>3.558143763535234</v>
      </c>
      <c r="AA364" s="52">
        <v>5</v>
      </c>
      <c r="AB364">
        <v>0</v>
      </c>
    </row>
    <row r="365" spans="1:28">
      <c r="B365" s="59"/>
      <c r="K365" s="51"/>
    </row>
    <row r="366" spans="1:28">
      <c r="B366" s="59"/>
      <c r="K366" s="51"/>
    </row>
    <row r="367" spans="1:28">
      <c r="B367" s="59"/>
      <c r="K367" s="51"/>
    </row>
    <row r="368" spans="1:28">
      <c r="B368" s="59"/>
      <c r="K368" s="51"/>
    </row>
    <row r="369" spans="2:11">
      <c r="B369" s="59"/>
      <c r="K369" s="51"/>
    </row>
    <row r="370" spans="2:11">
      <c r="B370" s="59"/>
      <c r="K370" s="51"/>
    </row>
    <row r="371" spans="2:11">
      <c r="B371" s="59"/>
      <c r="K371" s="51"/>
    </row>
    <row r="372" spans="2:11">
      <c r="B372" s="59"/>
      <c r="K372" s="51"/>
    </row>
    <row r="373" spans="2:11">
      <c r="B373" s="59"/>
      <c r="K373" s="51"/>
    </row>
    <row r="374" spans="2:11">
      <c r="B374" s="59"/>
      <c r="K374" s="51"/>
    </row>
    <row r="375" spans="2:11">
      <c r="B375" s="59"/>
      <c r="K375" s="51"/>
    </row>
    <row r="376" spans="2:11">
      <c r="B376" s="59"/>
      <c r="K376" s="51"/>
    </row>
    <row r="377" spans="2:11">
      <c r="B377" s="59"/>
      <c r="K377" s="51"/>
    </row>
    <row r="378" spans="2:11">
      <c r="B378" s="59"/>
      <c r="K378" s="51"/>
    </row>
    <row r="379" spans="2:11">
      <c r="B379" s="59"/>
      <c r="K379" s="51"/>
    </row>
    <row r="380" spans="2:11">
      <c r="B380" s="59"/>
      <c r="K380" s="51"/>
    </row>
    <row r="381" spans="2:11">
      <c r="B381" s="59"/>
      <c r="K381" s="51"/>
    </row>
    <row r="382" spans="2:11">
      <c r="B382" s="59"/>
      <c r="K382" s="51"/>
    </row>
    <row r="383" spans="2:11">
      <c r="B383" s="59"/>
      <c r="K383" s="51"/>
    </row>
    <row r="384" spans="2:11">
      <c r="B384" s="59"/>
      <c r="K384" s="51"/>
    </row>
    <row r="385" spans="2:11">
      <c r="B385" s="59"/>
      <c r="K385" s="51"/>
    </row>
    <row r="386" spans="2:11">
      <c r="B386" s="59"/>
      <c r="K386" s="51"/>
    </row>
    <row r="387" spans="2:11">
      <c r="B387" s="59"/>
      <c r="K387" s="51"/>
    </row>
    <row r="388" spans="2:11">
      <c r="B388" s="59"/>
      <c r="K388" s="51"/>
    </row>
    <row r="389" spans="2:11">
      <c r="B389" s="59"/>
      <c r="K389" s="51"/>
    </row>
    <row r="390" spans="2:11">
      <c r="B390" s="59"/>
      <c r="K390" s="51"/>
    </row>
    <row r="391" spans="2:11">
      <c r="B391" s="59"/>
      <c r="K391" s="51"/>
    </row>
    <row r="392" spans="2:11">
      <c r="B392" s="59"/>
      <c r="K392" s="51"/>
    </row>
    <row r="393" spans="2:11">
      <c r="B393" s="59"/>
      <c r="K393" s="51"/>
    </row>
    <row r="394" spans="2:11">
      <c r="B394" s="59"/>
      <c r="K394" s="51"/>
    </row>
    <row r="395" spans="2:11">
      <c r="B395" s="59"/>
      <c r="K395" s="51"/>
    </row>
    <row r="396" spans="2:11">
      <c r="B396" s="59"/>
      <c r="K396" s="51"/>
    </row>
    <row r="397" spans="2:11">
      <c r="B397" s="59"/>
      <c r="K397" s="51"/>
    </row>
    <row r="398" spans="2:11">
      <c r="B398" s="59"/>
      <c r="K398" s="51"/>
    </row>
    <row r="399" spans="2:11">
      <c r="B399" s="59"/>
      <c r="K399" s="51"/>
    </row>
    <row r="400" spans="2:11">
      <c r="B400" s="59"/>
      <c r="K400" s="51"/>
    </row>
    <row r="401" spans="2:11">
      <c r="B401" s="59"/>
      <c r="K401" s="51"/>
    </row>
    <row r="402" spans="2:11">
      <c r="B402" s="59"/>
      <c r="K402" s="51"/>
    </row>
    <row r="403" spans="2:11">
      <c r="B403" s="59"/>
      <c r="K403" s="51"/>
    </row>
    <row r="404" spans="2:11">
      <c r="B404" s="59"/>
      <c r="K404" s="51"/>
    </row>
    <row r="405" spans="2:11">
      <c r="B405" s="59"/>
      <c r="K405" s="51"/>
    </row>
    <row r="406" spans="2:11">
      <c r="B406" s="59"/>
      <c r="K406" s="51"/>
    </row>
    <row r="407" spans="2:11">
      <c r="B407" s="59"/>
      <c r="K407" s="51"/>
    </row>
    <row r="408" spans="2:11">
      <c r="B408" s="59"/>
      <c r="K408" s="51"/>
    </row>
    <row r="409" spans="2:11">
      <c r="B409" s="59"/>
      <c r="K409" s="51"/>
    </row>
    <row r="410" spans="2:11">
      <c r="B410" s="59"/>
      <c r="K410" s="51"/>
    </row>
    <row r="411" spans="2:11">
      <c r="B411" s="59"/>
      <c r="K411" s="51"/>
    </row>
    <row r="412" spans="2:11">
      <c r="B412" s="59"/>
      <c r="K412" s="51"/>
    </row>
    <row r="413" spans="2:11">
      <c r="B413" s="59"/>
      <c r="K413" s="51"/>
    </row>
    <row r="414" spans="2:11">
      <c r="B414" s="59"/>
      <c r="K414" s="51"/>
    </row>
    <row r="415" spans="2:11">
      <c r="B415" s="59"/>
      <c r="K415" s="51"/>
    </row>
    <row r="416" spans="2:11">
      <c r="B416" s="59"/>
      <c r="K416" s="51"/>
    </row>
    <row r="417" spans="2:11">
      <c r="B417" s="59"/>
      <c r="K417" s="51"/>
    </row>
    <row r="418" spans="2:11">
      <c r="B418" s="59"/>
      <c r="K418" s="51"/>
    </row>
    <row r="419" spans="2:11">
      <c r="B419" s="59"/>
      <c r="K419" s="51"/>
    </row>
    <row r="420" spans="2:11">
      <c r="B420" s="59"/>
      <c r="K420" s="51"/>
    </row>
    <row r="421" spans="2:11">
      <c r="B421" s="59"/>
      <c r="K421" s="51"/>
    </row>
    <row r="422" spans="2:11">
      <c r="B422" s="59"/>
      <c r="K422" s="51"/>
    </row>
    <row r="423" spans="2:11">
      <c r="B423" s="59"/>
      <c r="K423" s="51"/>
    </row>
    <row r="424" spans="2:11">
      <c r="B424" s="59"/>
      <c r="K424" s="51"/>
    </row>
    <row r="425" spans="2:11">
      <c r="B425" s="59"/>
      <c r="K425" s="51"/>
    </row>
    <row r="426" spans="2:11">
      <c r="B426" s="59"/>
      <c r="K426" s="51"/>
    </row>
    <row r="427" spans="2:11">
      <c r="B427" s="59"/>
      <c r="K427" s="51"/>
    </row>
    <row r="428" spans="2:11">
      <c r="B428" s="59"/>
      <c r="K428" s="51"/>
    </row>
    <row r="429" spans="2:11">
      <c r="B429" s="59"/>
      <c r="K429" s="51"/>
    </row>
    <row r="430" spans="2:11">
      <c r="B430" s="59"/>
      <c r="K430" s="51"/>
    </row>
    <row r="431" spans="2:11">
      <c r="B431" s="59"/>
      <c r="K431" s="51"/>
    </row>
    <row r="432" spans="2:11">
      <c r="B432" s="59"/>
      <c r="K432" s="51"/>
    </row>
    <row r="433" spans="2:11">
      <c r="B433" s="59"/>
      <c r="K433" s="51"/>
    </row>
    <row r="434" spans="2:11">
      <c r="B434" s="59"/>
      <c r="K434" s="51"/>
    </row>
    <row r="435" spans="2:11">
      <c r="B435" s="59"/>
      <c r="K435" s="51"/>
    </row>
    <row r="436" spans="2:11">
      <c r="B436" s="59"/>
      <c r="K436" s="51"/>
    </row>
    <row r="437" spans="2:11">
      <c r="B437" s="59"/>
      <c r="K437" s="51"/>
    </row>
    <row r="438" spans="2:11">
      <c r="B438" s="59"/>
      <c r="K438" s="51"/>
    </row>
    <row r="439" spans="2:11">
      <c r="B439" s="59"/>
      <c r="K439" s="51"/>
    </row>
    <row r="440" spans="2:11">
      <c r="B440" s="59"/>
      <c r="K440" s="51"/>
    </row>
    <row r="441" spans="2:11">
      <c r="B441" s="59"/>
      <c r="K441" s="51"/>
    </row>
    <row r="442" spans="2:11">
      <c r="B442" s="59"/>
      <c r="K442" s="51"/>
    </row>
    <row r="443" spans="2:11">
      <c r="B443" s="59"/>
      <c r="K443" s="51"/>
    </row>
    <row r="444" spans="2:11">
      <c r="B444" s="59"/>
      <c r="K444" s="51"/>
    </row>
    <row r="445" spans="2:11">
      <c r="B445" s="59"/>
      <c r="K445" s="51"/>
    </row>
    <row r="446" spans="2:11">
      <c r="B446" s="59"/>
      <c r="K446" s="51"/>
    </row>
    <row r="447" spans="2:11">
      <c r="B447" s="59"/>
      <c r="K447" s="51"/>
    </row>
    <row r="448" spans="2:11">
      <c r="B448" s="59"/>
      <c r="K448" s="51"/>
    </row>
    <row r="449" spans="2:11">
      <c r="B449" s="59"/>
      <c r="K449" s="51"/>
    </row>
    <row r="450" spans="2:11">
      <c r="B450" s="59"/>
      <c r="K450" s="51"/>
    </row>
    <row r="451" spans="2:11">
      <c r="B451" s="59"/>
      <c r="K451" s="51"/>
    </row>
    <row r="452" spans="2:11">
      <c r="B452" s="59"/>
      <c r="K452" s="51"/>
    </row>
    <row r="453" spans="2:11">
      <c r="B453" s="59"/>
      <c r="K453" s="51"/>
    </row>
    <row r="454" spans="2:11">
      <c r="B454" s="59"/>
      <c r="K454" s="51"/>
    </row>
    <row r="455" spans="2:11">
      <c r="B455" s="59"/>
      <c r="K455" s="51"/>
    </row>
    <row r="456" spans="2:11">
      <c r="B456" s="59"/>
      <c r="K456" s="51"/>
    </row>
    <row r="457" spans="2:11">
      <c r="B457" s="59"/>
      <c r="K457" s="51"/>
    </row>
    <row r="458" spans="2:11">
      <c r="B458" s="59"/>
      <c r="K458" s="51"/>
    </row>
    <row r="459" spans="2:11">
      <c r="B459" s="59"/>
      <c r="K459" s="51"/>
    </row>
    <row r="460" spans="2:11">
      <c r="B460" s="59"/>
      <c r="K460" s="51"/>
    </row>
    <row r="461" spans="2:11">
      <c r="B461" s="59"/>
      <c r="K461" s="51"/>
    </row>
    <row r="462" spans="2:11">
      <c r="B462" s="59"/>
      <c r="K462" s="51"/>
    </row>
    <row r="463" spans="2:11">
      <c r="B463" s="59"/>
      <c r="K463" s="51"/>
    </row>
    <row r="464" spans="2:11">
      <c r="B464" s="59"/>
      <c r="K464" s="51"/>
    </row>
    <row r="465" spans="2:11">
      <c r="B465" s="59"/>
      <c r="K465" s="51"/>
    </row>
    <row r="466" spans="2:11">
      <c r="B466" s="59"/>
      <c r="K466" s="51"/>
    </row>
    <row r="467" spans="2:11">
      <c r="B467" s="59"/>
      <c r="K467" s="51"/>
    </row>
    <row r="468" spans="2:11">
      <c r="B468" s="59"/>
      <c r="K468" s="51"/>
    </row>
    <row r="469" spans="2:11">
      <c r="B469" s="59"/>
      <c r="K469" s="51"/>
    </row>
    <row r="470" spans="2:11">
      <c r="B470" s="59"/>
      <c r="K470" s="51"/>
    </row>
    <row r="471" spans="2:11">
      <c r="B471" s="59"/>
      <c r="K471" s="51"/>
    </row>
    <row r="472" spans="2:11">
      <c r="B472" s="59"/>
      <c r="K472" s="51"/>
    </row>
    <row r="473" spans="2:11">
      <c r="B473" s="59"/>
      <c r="K473" s="51"/>
    </row>
    <row r="474" spans="2:11">
      <c r="B474" s="59"/>
      <c r="K474" s="51"/>
    </row>
    <row r="475" spans="2:11">
      <c r="B475" s="59"/>
      <c r="K475" s="51"/>
    </row>
    <row r="476" spans="2:11">
      <c r="B476" s="59"/>
      <c r="K476" s="51"/>
    </row>
    <row r="477" spans="2:11">
      <c r="B477" s="59"/>
      <c r="K477" s="51"/>
    </row>
    <row r="478" spans="2:11">
      <c r="B478" s="59"/>
      <c r="K478" s="51"/>
    </row>
    <row r="479" spans="2:11">
      <c r="B479" s="59"/>
      <c r="K479" s="51"/>
    </row>
    <row r="480" spans="2:11">
      <c r="B480" s="59"/>
      <c r="K480" s="51"/>
    </row>
    <row r="481" spans="2:11">
      <c r="B481" s="59"/>
      <c r="K481" s="51"/>
    </row>
    <row r="482" spans="2:11">
      <c r="B482" s="59"/>
      <c r="K482" s="51"/>
    </row>
    <row r="483" spans="2:11">
      <c r="B483" s="59"/>
      <c r="K483" s="51"/>
    </row>
    <row r="484" spans="2:11">
      <c r="B484" s="59"/>
      <c r="K484" s="51"/>
    </row>
    <row r="485" spans="2:11">
      <c r="B485" s="59"/>
      <c r="K485" s="51"/>
    </row>
    <row r="486" spans="2:11">
      <c r="B486" s="59"/>
      <c r="K486" s="51"/>
    </row>
    <row r="487" spans="2:11">
      <c r="B487" s="59"/>
      <c r="K487" s="51"/>
    </row>
    <row r="488" spans="2:11">
      <c r="B488" s="59"/>
      <c r="K488" s="51"/>
    </row>
    <row r="489" spans="2:11">
      <c r="B489" s="59"/>
      <c r="K489" s="51"/>
    </row>
    <row r="490" spans="2:11">
      <c r="B490" s="59"/>
      <c r="K490" s="51"/>
    </row>
    <row r="491" spans="2:11">
      <c r="B491" s="59"/>
      <c r="K491" s="51"/>
    </row>
    <row r="492" spans="2:11">
      <c r="B492" s="59"/>
      <c r="K492" s="51"/>
    </row>
    <row r="493" spans="2:11">
      <c r="B493" s="59"/>
      <c r="K493" s="51"/>
    </row>
    <row r="494" spans="2:11">
      <c r="B494" s="59"/>
      <c r="K494" s="51"/>
    </row>
    <row r="495" spans="2:11">
      <c r="B495" s="59"/>
      <c r="K495" s="51"/>
    </row>
    <row r="496" spans="2:11">
      <c r="B496" s="59"/>
      <c r="K496" s="51"/>
    </row>
    <row r="497" spans="2:11">
      <c r="B497" s="59"/>
      <c r="K497" s="51"/>
    </row>
    <row r="498" spans="2:11">
      <c r="B498" s="59"/>
      <c r="K498" s="51"/>
    </row>
    <row r="499" spans="2:11">
      <c r="B499" s="59"/>
      <c r="K499" s="51"/>
    </row>
    <row r="500" spans="2:11">
      <c r="B500" s="59"/>
      <c r="K500" s="51"/>
    </row>
    <row r="501" spans="2:11">
      <c r="B501" s="59"/>
      <c r="K501" s="51"/>
    </row>
    <row r="502" spans="2:11">
      <c r="B502" s="59"/>
      <c r="K502" s="51"/>
    </row>
    <row r="503" spans="2:11">
      <c r="B503" s="59"/>
      <c r="K503" s="51"/>
    </row>
    <row r="504" spans="2:11">
      <c r="B504" s="59"/>
      <c r="K504" s="51"/>
    </row>
    <row r="505" spans="2:11">
      <c r="B505" s="59"/>
      <c r="K505" s="51"/>
    </row>
    <row r="506" spans="2:11">
      <c r="B506" s="59"/>
      <c r="K506" s="51"/>
    </row>
    <row r="507" spans="2:11">
      <c r="B507" s="59"/>
      <c r="K507" s="51"/>
    </row>
    <row r="508" spans="2:11">
      <c r="B508" s="59"/>
      <c r="K508" s="51"/>
    </row>
    <row r="509" spans="2:11">
      <c r="B509" s="59"/>
      <c r="K509" s="51"/>
    </row>
    <row r="510" spans="2:11">
      <c r="B510" s="59"/>
      <c r="K510" s="51"/>
    </row>
    <row r="511" spans="2:11">
      <c r="B511" s="59"/>
      <c r="K511" s="51"/>
    </row>
    <row r="512" spans="2:11">
      <c r="B512" s="59"/>
      <c r="K512" s="51"/>
    </row>
    <row r="513" spans="2:11">
      <c r="B513" s="59"/>
      <c r="K513" s="51"/>
    </row>
    <row r="514" spans="2:11">
      <c r="B514" s="59"/>
      <c r="K514" s="51"/>
    </row>
    <row r="515" spans="2:11">
      <c r="B515" s="59"/>
      <c r="K515" s="51"/>
    </row>
    <row r="516" spans="2:11">
      <c r="B516" s="59"/>
      <c r="K516" s="51"/>
    </row>
    <row r="517" spans="2:11">
      <c r="B517" s="59"/>
      <c r="K517" s="51"/>
    </row>
    <row r="518" spans="2:11">
      <c r="B518" s="59"/>
      <c r="K518" s="51"/>
    </row>
    <row r="519" spans="2:11">
      <c r="B519" s="59"/>
      <c r="K519" s="51"/>
    </row>
    <row r="520" spans="2:11">
      <c r="B520" s="59"/>
      <c r="K520" s="51"/>
    </row>
    <row r="521" spans="2:11">
      <c r="B521" s="59"/>
      <c r="K521" s="51"/>
    </row>
    <row r="522" spans="2:11">
      <c r="B522" s="59"/>
      <c r="K522" s="51"/>
    </row>
    <row r="523" spans="2:11">
      <c r="B523" s="59"/>
      <c r="K523" s="51"/>
    </row>
    <row r="524" spans="2:11">
      <c r="B524" s="59"/>
      <c r="K524" s="51"/>
    </row>
    <row r="525" spans="2:11">
      <c r="B525" s="59"/>
      <c r="K525" s="51"/>
    </row>
    <row r="526" spans="2:11">
      <c r="B526" s="59"/>
      <c r="K526" s="51"/>
    </row>
    <row r="527" spans="2:11">
      <c r="B527" s="59"/>
      <c r="K527" s="51"/>
    </row>
    <row r="528" spans="2:11">
      <c r="B528" s="59"/>
      <c r="K528" s="51"/>
    </row>
    <row r="529" spans="2:11">
      <c r="B529" s="59"/>
      <c r="K529" s="51"/>
    </row>
    <row r="530" spans="2:11">
      <c r="B530" s="59"/>
      <c r="K530" s="51"/>
    </row>
    <row r="531" spans="2:11">
      <c r="B531" s="59"/>
      <c r="K531" s="51"/>
    </row>
    <row r="532" spans="2:11">
      <c r="B532" s="59"/>
      <c r="K532" s="51"/>
    </row>
    <row r="533" spans="2:11">
      <c r="B533" s="59"/>
      <c r="K533" s="51"/>
    </row>
    <row r="534" spans="2:11">
      <c r="B534" s="59"/>
      <c r="K534" s="51"/>
    </row>
    <row r="535" spans="2:11">
      <c r="B535" s="59"/>
      <c r="K535" s="51"/>
    </row>
    <row r="536" spans="2:11">
      <c r="B536" s="59"/>
      <c r="K536" s="51"/>
    </row>
    <row r="537" spans="2:11">
      <c r="B537" s="59"/>
      <c r="K537" s="51"/>
    </row>
    <row r="538" spans="2:11">
      <c r="B538" s="59"/>
      <c r="K538" s="51"/>
    </row>
    <row r="539" spans="2:11">
      <c r="B539" s="59"/>
      <c r="K539" s="51"/>
    </row>
    <row r="540" spans="2:11">
      <c r="B540" s="59"/>
      <c r="K540" s="51"/>
    </row>
    <row r="541" spans="2:11">
      <c r="B541" s="59"/>
      <c r="K541" s="51"/>
    </row>
    <row r="542" spans="2:11">
      <c r="B542" s="59"/>
      <c r="K542" s="51"/>
    </row>
    <row r="543" spans="2:11">
      <c r="B543" s="59"/>
      <c r="K543" s="51"/>
    </row>
    <row r="544" spans="2:11">
      <c r="B544" s="59"/>
      <c r="K544" s="51"/>
    </row>
    <row r="545" spans="2:11">
      <c r="B545" s="59"/>
      <c r="K545" s="51"/>
    </row>
    <row r="546" spans="2:11">
      <c r="B546" s="59"/>
      <c r="K546" s="51"/>
    </row>
    <row r="547" spans="2:11">
      <c r="B547" s="59"/>
      <c r="K547" s="51"/>
    </row>
    <row r="548" spans="2:11">
      <c r="B548" s="59"/>
      <c r="K548" s="51"/>
    </row>
    <row r="549" spans="2:11">
      <c r="B549" s="59"/>
      <c r="K549" s="51"/>
    </row>
    <row r="550" spans="2:11">
      <c r="B550" s="59"/>
      <c r="K550" s="51"/>
    </row>
    <row r="551" spans="2:11">
      <c r="B551" s="59"/>
      <c r="K551" s="51"/>
    </row>
    <row r="552" spans="2:11">
      <c r="B552" s="59"/>
      <c r="K552" s="51"/>
    </row>
    <row r="553" spans="2:11">
      <c r="B553" s="59"/>
      <c r="K553" s="51"/>
    </row>
    <row r="554" spans="2:11">
      <c r="B554" s="59"/>
      <c r="K554" s="51"/>
    </row>
    <row r="555" spans="2:11">
      <c r="B555" s="59"/>
      <c r="K555" s="51"/>
    </row>
    <row r="556" spans="2:11">
      <c r="B556" s="59"/>
      <c r="K556" s="51"/>
    </row>
    <row r="557" spans="2:11">
      <c r="B557" s="59"/>
      <c r="K557" s="51"/>
    </row>
    <row r="558" spans="2:11">
      <c r="B558" s="59"/>
      <c r="K558" s="51"/>
    </row>
    <row r="559" spans="2:11">
      <c r="B559" s="59"/>
      <c r="K559" s="51"/>
    </row>
    <row r="560" spans="2:11">
      <c r="B560" s="59"/>
      <c r="K560" s="51"/>
    </row>
    <row r="561" spans="2:11">
      <c r="B561" s="59"/>
      <c r="K561" s="51"/>
    </row>
    <row r="562" spans="2:11">
      <c r="B562" s="59"/>
      <c r="K562" s="51"/>
    </row>
    <row r="563" spans="2:11">
      <c r="B563" s="59"/>
      <c r="K563" s="51"/>
    </row>
    <row r="564" spans="2:11">
      <c r="B564" s="59"/>
      <c r="K564" s="51"/>
    </row>
    <row r="565" spans="2:11">
      <c r="B565" s="59"/>
      <c r="K565" s="51"/>
    </row>
    <row r="566" spans="2:11">
      <c r="B566" s="59"/>
      <c r="K566" s="51"/>
    </row>
    <row r="567" spans="2:11">
      <c r="B567" s="59"/>
      <c r="K567" s="51"/>
    </row>
    <row r="568" spans="2:11">
      <c r="B568" s="59"/>
      <c r="K568" s="51"/>
    </row>
    <row r="569" spans="2:11">
      <c r="B569" s="59"/>
      <c r="K569" s="51"/>
    </row>
    <row r="570" spans="2:11">
      <c r="B570" s="59"/>
      <c r="K570" s="51"/>
    </row>
    <row r="571" spans="2:11">
      <c r="B571" s="59"/>
      <c r="K571" s="51"/>
    </row>
    <row r="572" spans="2:11">
      <c r="B572" s="59"/>
      <c r="K572" s="51"/>
    </row>
    <row r="573" spans="2:11">
      <c r="B573" s="59"/>
      <c r="K573" s="51"/>
    </row>
    <row r="574" spans="2:11">
      <c r="B574" s="59"/>
      <c r="K574" s="51"/>
    </row>
    <row r="575" spans="2:11">
      <c r="B575" s="59"/>
      <c r="K575" s="51"/>
    </row>
    <row r="576" spans="2:11">
      <c r="B576" s="59"/>
      <c r="K576" s="51"/>
    </row>
    <row r="577" spans="2:11">
      <c r="B577" s="59"/>
      <c r="K577" s="51"/>
    </row>
    <row r="578" spans="2:11">
      <c r="B578" s="59"/>
      <c r="K578" s="51"/>
    </row>
    <row r="579" spans="2:11">
      <c r="B579" s="59"/>
      <c r="K579" s="51"/>
    </row>
    <row r="580" spans="2:11">
      <c r="B580" s="59"/>
      <c r="K580" s="51"/>
    </row>
    <row r="581" spans="2:11">
      <c r="B581" s="59"/>
      <c r="K581" s="51"/>
    </row>
    <row r="582" spans="2:11">
      <c r="B582" s="59"/>
      <c r="K582" s="51"/>
    </row>
    <row r="583" spans="2:11">
      <c r="B583" s="59"/>
      <c r="K583" s="51"/>
    </row>
    <row r="584" spans="2:11">
      <c r="B584" s="59"/>
      <c r="K584" s="51"/>
    </row>
    <row r="585" spans="2:11">
      <c r="B585" s="59"/>
      <c r="K585" s="51"/>
    </row>
    <row r="586" spans="2:11">
      <c r="B586" s="59"/>
      <c r="K586" s="51"/>
    </row>
    <row r="587" spans="2:11">
      <c r="B587" s="59"/>
      <c r="K587" s="51"/>
    </row>
    <row r="588" spans="2:11">
      <c r="B588" s="59"/>
      <c r="K588" s="51"/>
    </row>
    <row r="589" spans="2:11">
      <c r="B589" s="59"/>
      <c r="K589" s="51"/>
    </row>
    <row r="590" spans="2:11">
      <c r="B590" s="59"/>
      <c r="K590" s="51"/>
    </row>
    <row r="591" spans="2:11">
      <c r="B591" s="59"/>
      <c r="K591" s="51"/>
    </row>
    <row r="592" spans="2:11">
      <c r="B592" s="59"/>
      <c r="K592" s="51"/>
    </row>
    <row r="593" spans="2:11">
      <c r="B593" s="59"/>
      <c r="K593" s="51"/>
    </row>
    <row r="594" spans="2:11">
      <c r="B594" s="59"/>
      <c r="K594" s="51"/>
    </row>
    <row r="595" spans="2:11">
      <c r="B595" s="59"/>
      <c r="K595" s="51"/>
    </row>
    <row r="596" spans="2:11">
      <c r="B596" s="59"/>
      <c r="K596" s="51"/>
    </row>
    <row r="597" spans="2:11">
      <c r="B597" s="59"/>
      <c r="K597" s="51"/>
    </row>
    <row r="598" spans="2:11">
      <c r="B598" s="59"/>
      <c r="K598" s="51"/>
    </row>
    <row r="599" spans="2:11">
      <c r="B599" s="59"/>
      <c r="K599" s="51"/>
    </row>
    <row r="600" spans="2:11">
      <c r="B600" s="59"/>
      <c r="K600" s="51"/>
    </row>
    <row r="601" spans="2:11">
      <c r="B601" s="59"/>
      <c r="K601" s="51"/>
    </row>
    <row r="602" spans="2:11">
      <c r="B602" s="59"/>
      <c r="K602" s="51"/>
    </row>
    <row r="603" spans="2:11">
      <c r="B603" s="59"/>
      <c r="K603" s="51"/>
    </row>
    <row r="604" spans="2:11">
      <c r="B604" s="59"/>
      <c r="K604" s="51"/>
    </row>
    <row r="605" spans="2:11">
      <c r="B605" s="59"/>
      <c r="K605" s="51"/>
    </row>
    <row r="606" spans="2:11">
      <c r="B606" s="59"/>
      <c r="K606" s="51"/>
    </row>
    <row r="607" spans="2:11">
      <c r="B607" s="59"/>
      <c r="K607" s="51"/>
    </row>
    <row r="608" spans="2:11">
      <c r="B608" s="59"/>
      <c r="K608" s="51"/>
    </row>
    <row r="609" spans="2:11">
      <c r="B609" s="59"/>
      <c r="K609" s="51"/>
    </row>
    <row r="610" spans="2:11">
      <c r="B610" s="59"/>
      <c r="K610" s="51"/>
    </row>
    <row r="611" spans="2:11">
      <c r="B611" s="59"/>
      <c r="K611" s="51"/>
    </row>
    <row r="612" spans="2:11">
      <c r="B612" s="59"/>
      <c r="K612" s="51"/>
    </row>
    <row r="613" spans="2:11">
      <c r="B613" s="59"/>
      <c r="K613" s="51"/>
    </row>
    <row r="614" spans="2:11">
      <c r="B614" s="59"/>
      <c r="K614" s="51"/>
    </row>
    <row r="615" spans="2:11">
      <c r="B615" s="59"/>
      <c r="K615" s="51"/>
    </row>
    <row r="616" spans="2:11">
      <c r="B616" s="59"/>
      <c r="K616" s="51"/>
    </row>
    <row r="617" spans="2:11">
      <c r="B617" s="59"/>
      <c r="K617" s="51"/>
    </row>
    <row r="618" spans="2:11">
      <c r="B618" s="59"/>
      <c r="K618" s="51"/>
    </row>
    <row r="619" spans="2:11">
      <c r="B619" s="59"/>
      <c r="K619" s="51"/>
    </row>
    <row r="620" spans="2:11">
      <c r="B620" s="59"/>
      <c r="K620" s="51"/>
    </row>
    <row r="621" spans="2:11">
      <c r="B621" s="59"/>
      <c r="K621" s="51"/>
    </row>
    <row r="622" spans="2:11">
      <c r="B622" s="59"/>
      <c r="K622" s="51"/>
    </row>
    <row r="623" spans="2:11">
      <c r="B623" s="59"/>
      <c r="K623" s="51"/>
    </row>
    <row r="624" spans="2:11">
      <c r="B624" s="59"/>
      <c r="K624" s="51"/>
    </row>
    <row r="625" spans="2:11">
      <c r="B625" s="59"/>
      <c r="K625" s="51"/>
    </row>
    <row r="626" spans="2:11">
      <c r="B626" s="59"/>
      <c r="K626" s="51"/>
    </row>
    <row r="627" spans="2:11">
      <c r="B627" s="59"/>
      <c r="K627" s="51"/>
    </row>
    <row r="628" spans="2:11">
      <c r="B628" s="59"/>
      <c r="K628" s="51"/>
    </row>
    <row r="629" spans="2:11">
      <c r="B629" s="59"/>
      <c r="K629" s="51"/>
    </row>
    <row r="630" spans="2:11">
      <c r="B630" s="59"/>
      <c r="K630" s="51"/>
    </row>
    <row r="631" spans="2:11">
      <c r="B631" s="59"/>
      <c r="K631" s="51"/>
    </row>
    <row r="632" spans="2:11">
      <c r="B632" s="59"/>
      <c r="K632" s="51"/>
    </row>
    <row r="633" spans="2:11">
      <c r="B633" s="59"/>
      <c r="K633" s="51"/>
    </row>
    <row r="634" spans="2:11">
      <c r="B634" s="59"/>
      <c r="K634" s="51"/>
    </row>
    <row r="635" spans="2:11">
      <c r="B635" s="59"/>
      <c r="K635" s="51"/>
    </row>
    <row r="636" spans="2:11">
      <c r="B636" s="59"/>
      <c r="K636" s="51"/>
    </row>
    <row r="637" spans="2:11">
      <c r="B637" s="59"/>
      <c r="K637" s="51"/>
    </row>
    <row r="638" spans="2:11">
      <c r="B638" s="59"/>
      <c r="K638" s="51"/>
    </row>
    <row r="639" spans="2:11">
      <c r="B639" s="59"/>
      <c r="K639" s="51"/>
    </row>
    <row r="640" spans="2:11">
      <c r="B640" s="59"/>
      <c r="K640" s="51"/>
    </row>
    <row r="641" spans="2:11">
      <c r="B641" s="59"/>
      <c r="K641" s="51"/>
    </row>
    <row r="642" spans="2:11">
      <c r="B642" s="59"/>
      <c r="K642" s="51"/>
    </row>
    <row r="643" spans="2:11">
      <c r="B643" s="59"/>
      <c r="K643" s="51"/>
    </row>
    <row r="644" spans="2:11">
      <c r="B644" s="59"/>
      <c r="K644" s="51"/>
    </row>
    <row r="645" spans="2:11">
      <c r="B645" s="59"/>
      <c r="K645" s="51"/>
    </row>
    <row r="646" spans="2:11">
      <c r="B646" s="59"/>
      <c r="K646" s="51"/>
    </row>
    <row r="647" spans="2:11">
      <c r="B647" s="59"/>
      <c r="K647" s="51"/>
    </row>
    <row r="648" spans="2:11">
      <c r="B648" s="59"/>
      <c r="K648" s="51"/>
    </row>
    <row r="649" spans="2:11">
      <c r="B649" s="59"/>
      <c r="K649" s="51"/>
    </row>
    <row r="650" spans="2:11">
      <c r="B650" s="59"/>
      <c r="K650" s="51"/>
    </row>
    <row r="651" spans="2:11">
      <c r="B651" s="59"/>
      <c r="K651" s="51"/>
    </row>
    <row r="652" spans="2:11">
      <c r="B652" s="59"/>
      <c r="K652" s="51"/>
    </row>
    <row r="653" spans="2:11">
      <c r="B653" s="59"/>
      <c r="K653" s="51"/>
    </row>
    <row r="654" spans="2:11">
      <c r="B654" s="59"/>
      <c r="K654" s="51"/>
    </row>
    <row r="655" spans="2:11">
      <c r="B655" s="59"/>
      <c r="K655" s="51"/>
    </row>
    <row r="656" spans="2:11">
      <c r="B656" s="59"/>
      <c r="K656" s="51"/>
    </row>
    <row r="657" spans="2:11">
      <c r="B657" s="59"/>
      <c r="K657" s="51"/>
    </row>
    <row r="658" spans="2:11">
      <c r="B658" s="59"/>
      <c r="K658" s="51"/>
    </row>
    <row r="659" spans="2:11">
      <c r="B659" s="59"/>
      <c r="K659" s="51"/>
    </row>
    <row r="660" spans="2:11">
      <c r="B660" s="59"/>
      <c r="K660" s="51"/>
    </row>
    <row r="661" spans="2:11">
      <c r="B661" s="59"/>
      <c r="K661" s="51"/>
    </row>
    <row r="662" spans="2:11">
      <c r="B662" s="59"/>
      <c r="K662" s="51"/>
    </row>
    <row r="663" spans="2:11">
      <c r="B663" s="59"/>
      <c r="K663" s="51"/>
    </row>
    <row r="664" spans="2:11">
      <c r="B664" s="59"/>
      <c r="K664" s="51"/>
    </row>
    <row r="665" spans="2:11">
      <c r="B665" s="59"/>
      <c r="K665" s="51"/>
    </row>
    <row r="666" spans="2:11">
      <c r="B666" s="59"/>
      <c r="K666" s="51"/>
    </row>
    <row r="667" spans="2:11">
      <c r="B667" s="59"/>
      <c r="K667" s="51"/>
    </row>
    <row r="668" spans="2:11">
      <c r="B668" s="59"/>
      <c r="K668" s="51"/>
    </row>
    <row r="669" spans="2:11">
      <c r="B669" s="59"/>
      <c r="K669" s="51"/>
    </row>
    <row r="670" spans="2:11">
      <c r="B670" s="59"/>
      <c r="K670" s="51"/>
    </row>
    <row r="671" spans="2:11">
      <c r="B671" s="59"/>
      <c r="K671" s="51"/>
    </row>
    <row r="672" spans="2:11">
      <c r="B672" s="59"/>
      <c r="K672" s="51"/>
    </row>
    <row r="673" spans="2:11">
      <c r="B673" s="59"/>
      <c r="K673" s="51"/>
    </row>
    <row r="674" spans="2:11">
      <c r="B674" s="59"/>
      <c r="K674" s="51"/>
    </row>
    <row r="675" spans="2:11">
      <c r="B675" s="59"/>
      <c r="K675" s="51"/>
    </row>
    <row r="676" spans="2:11">
      <c r="B676" s="59"/>
      <c r="K676" s="51"/>
    </row>
    <row r="677" spans="2:11">
      <c r="B677" s="59"/>
      <c r="K677" s="51"/>
    </row>
    <row r="678" spans="2:11">
      <c r="B678" s="59"/>
      <c r="K678" s="51"/>
    </row>
    <row r="679" spans="2:11">
      <c r="B679" s="59"/>
      <c r="K679" s="51"/>
    </row>
    <row r="680" spans="2:11">
      <c r="B680" s="59"/>
      <c r="K680" s="51"/>
    </row>
    <row r="681" spans="2:11">
      <c r="B681" s="59"/>
      <c r="K681" s="51"/>
    </row>
    <row r="682" spans="2:11">
      <c r="B682" s="59"/>
      <c r="K682" s="51"/>
    </row>
    <row r="683" spans="2:11">
      <c r="B683" s="59"/>
      <c r="K683" s="51"/>
    </row>
    <row r="684" spans="2:11">
      <c r="B684" s="59"/>
      <c r="K684" s="51"/>
    </row>
    <row r="685" spans="2:11">
      <c r="B685" s="59"/>
      <c r="K685" s="51"/>
    </row>
    <row r="686" spans="2:11">
      <c r="B686" s="59"/>
      <c r="K686" s="51"/>
    </row>
    <row r="687" spans="2:11">
      <c r="B687" s="59"/>
      <c r="K687" s="51"/>
    </row>
    <row r="688" spans="2:11">
      <c r="B688" s="59"/>
      <c r="K688" s="51"/>
    </row>
    <row r="689" spans="2:11">
      <c r="B689" s="59"/>
      <c r="K689" s="51"/>
    </row>
    <row r="690" spans="2:11">
      <c r="B690" s="59"/>
      <c r="K690" s="51"/>
    </row>
    <row r="691" spans="2:11">
      <c r="B691" s="59"/>
      <c r="K691" s="51"/>
    </row>
    <row r="692" spans="2:11">
      <c r="B692" s="59"/>
      <c r="K692" s="51"/>
    </row>
    <row r="693" spans="2:11">
      <c r="B693" s="59"/>
      <c r="K693" s="51"/>
    </row>
    <row r="694" spans="2:11">
      <c r="B694" s="59"/>
      <c r="K694" s="51"/>
    </row>
    <row r="695" spans="2:11">
      <c r="B695" s="59"/>
      <c r="K695" s="51"/>
    </row>
    <row r="696" spans="2:11">
      <c r="B696" s="59"/>
      <c r="K696" s="51"/>
    </row>
    <row r="697" spans="2:11">
      <c r="B697" s="59"/>
      <c r="K697" s="51"/>
    </row>
    <row r="698" spans="2:11">
      <c r="B698" s="59"/>
      <c r="K698" s="51"/>
    </row>
    <row r="699" spans="2:11">
      <c r="B699" s="59"/>
      <c r="K699" s="51"/>
    </row>
    <row r="700" spans="2:11">
      <c r="B700" s="59"/>
      <c r="K700" s="51"/>
    </row>
    <row r="701" spans="2:11">
      <c r="B701" s="59"/>
      <c r="K701" s="51"/>
    </row>
    <row r="702" spans="2:11">
      <c r="B702" s="59"/>
      <c r="K702" s="51"/>
    </row>
    <row r="703" spans="2:11">
      <c r="B703" s="59"/>
      <c r="K703" s="51"/>
    </row>
    <row r="704" spans="2:11">
      <c r="B704" s="59"/>
      <c r="K704" s="51"/>
    </row>
    <row r="705" spans="2:11">
      <c r="B705" s="59"/>
      <c r="K705" s="51"/>
    </row>
    <row r="706" spans="2:11">
      <c r="B706" s="59"/>
      <c r="K706" s="51"/>
    </row>
    <row r="707" spans="2:11">
      <c r="B707" s="59"/>
      <c r="K707" s="51"/>
    </row>
    <row r="708" spans="2:11">
      <c r="B708" s="59"/>
      <c r="K708" s="51"/>
    </row>
    <row r="709" spans="2:11">
      <c r="B709" s="59"/>
      <c r="K709" s="51"/>
    </row>
    <row r="710" spans="2:11">
      <c r="B710" s="59"/>
      <c r="K710" s="51"/>
    </row>
    <row r="711" spans="2:11">
      <c r="B711" s="59"/>
      <c r="K711" s="51"/>
    </row>
    <row r="712" spans="2:11">
      <c r="B712" s="59"/>
      <c r="K712" s="51"/>
    </row>
    <row r="713" spans="2:11">
      <c r="B713" s="59"/>
      <c r="K713" s="51"/>
    </row>
    <row r="714" spans="2:11">
      <c r="B714" s="59"/>
      <c r="K714" s="51"/>
    </row>
    <row r="715" spans="2:11">
      <c r="B715" s="59"/>
      <c r="K715" s="51"/>
    </row>
    <row r="716" spans="2:11">
      <c r="B716" s="59"/>
      <c r="K716" s="51"/>
    </row>
    <row r="717" spans="2:11">
      <c r="B717" s="59"/>
      <c r="K717" s="51"/>
    </row>
    <row r="718" spans="2:11">
      <c r="B718" s="59"/>
      <c r="K718" s="51"/>
    </row>
    <row r="719" spans="2:11">
      <c r="B719" s="59"/>
      <c r="K719" s="51"/>
    </row>
    <row r="720" spans="2:11">
      <c r="B720" s="59"/>
      <c r="K720" s="51"/>
    </row>
    <row r="721" spans="2:11">
      <c r="B721" s="59"/>
      <c r="K721" s="51"/>
    </row>
    <row r="722" spans="2:11">
      <c r="B722" s="59"/>
      <c r="K722" s="51"/>
    </row>
    <row r="723" spans="2:11">
      <c r="B723" s="59"/>
      <c r="K723" s="51"/>
    </row>
    <row r="724" spans="2:11">
      <c r="B724" s="59"/>
      <c r="K724" s="51"/>
    </row>
    <row r="725" spans="2:11">
      <c r="B725" s="59"/>
      <c r="K725" s="51"/>
    </row>
    <row r="726" spans="2:11">
      <c r="B726" s="59"/>
      <c r="K726" s="51"/>
    </row>
    <row r="727" spans="2:11">
      <c r="B727" s="59"/>
      <c r="K727" s="51"/>
    </row>
    <row r="728" spans="2:11">
      <c r="B728" s="59"/>
      <c r="K728" s="51"/>
    </row>
    <row r="729" spans="2:11">
      <c r="B729" s="59"/>
      <c r="K729" s="51"/>
    </row>
    <row r="730" spans="2:11">
      <c r="B730" s="59"/>
      <c r="K730" s="51"/>
    </row>
    <row r="731" spans="2:11">
      <c r="B731" s="59"/>
      <c r="K731" s="51"/>
    </row>
    <row r="732" spans="2:11">
      <c r="B732" s="59"/>
      <c r="K732" s="51"/>
    </row>
    <row r="733" spans="2:11">
      <c r="B733" s="59"/>
      <c r="K733" s="51"/>
    </row>
    <row r="734" spans="2:11">
      <c r="B734" s="59"/>
      <c r="K734" s="51"/>
    </row>
    <row r="735" spans="2:11">
      <c r="B735" s="59"/>
      <c r="K735" s="51"/>
    </row>
    <row r="736" spans="2:11">
      <c r="B736" s="59"/>
      <c r="K736" s="51"/>
    </row>
    <row r="737" spans="2:11">
      <c r="B737" s="59"/>
      <c r="K737" s="51"/>
    </row>
    <row r="738" spans="2:11">
      <c r="B738" s="59"/>
      <c r="K738" s="51"/>
    </row>
    <row r="739" spans="2:11">
      <c r="B739" s="59"/>
      <c r="K739" s="51"/>
    </row>
    <row r="740" spans="2:11">
      <c r="B740" s="59"/>
      <c r="K740" s="51"/>
    </row>
    <row r="741" spans="2:11">
      <c r="B741" s="59"/>
      <c r="K741" s="51"/>
    </row>
    <row r="742" spans="2:11">
      <c r="B742" s="59"/>
      <c r="K742" s="51"/>
    </row>
    <row r="743" spans="2:11">
      <c r="B743" s="59"/>
      <c r="K743" s="51"/>
    </row>
    <row r="744" spans="2:11">
      <c r="B744" s="59"/>
      <c r="K744" s="51"/>
    </row>
    <row r="745" spans="2:11">
      <c r="B745" s="59"/>
      <c r="K745" s="51"/>
    </row>
    <row r="746" spans="2:11">
      <c r="B746" s="59"/>
      <c r="K746" s="51"/>
    </row>
    <row r="747" spans="2:11">
      <c r="B747" s="59"/>
      <c r="K747" s="51"/>
    </row>
    <row r="748" spans="2:11">
      <c r="B748" s="59"/>
      <c r="K748" s="51"/>
    </row>
    <row r="749" spans="2:11">
      <c r="B749" s="59"/>
      <c r="K749" s="51"/>
    </row>
    <row r="750" spans="2:11">
      <c r="B750" s="59"/>
      <c r="K750" s="51"/>
    </row>
    <row r="751" spans="2:11">
      <c r="B751" s="59"/>
      <c r="K751" s="51"/>
    </row>
    <row r="752" spans="2:11">
      <c r="B752" s="59"/>
      <c r="K752" s="51"/>
    </row>
    <row r="753" spans="2:11">
      <c r="B753" s="59"/>
      <c r="K753" s="51"/>
    </row>
    <row r="754" spans="2:11">
      <c r="B754" s="59"/>
      <c r="K754" s="51"/>
    </row>
    <row r="755" spans="2:11">
      <c r="B755" s="59"/>
      <c r="K755" s="51"/>
    </row>
    <row r="756" spans="2:11">
      <c r="B756" s="59"/>
      <c r="K756" s="51"/>
    </row>
    <row r="757" spans="2:11">
      <c r="B757" s="59"/>
      <c r="K757" s="51"/>
    </row>
    <row r="758" spans="2:11">
      <c r="B758" s="59"/>
      <c r="K758" s="51"/>
    </row>
    <row r="759" spans="2:11">
      <c r="B759" s="59"/>
      <c r="K759" s="51"/>
    </row>
    <row r="760" spans="2:11">
      <c r="B760" s="59"/>
      <c r="K760" s="51"/>
    </row>
    <row r="761" spans="2:11">
      <c r="B761" s="59"/>
      <c r="K761" s="51"/>
    </row>
    <row r="762" spans="2:11">
      <c r="B762" s="59"/>
      <c r="K762" s="51"/>
    </row>
    <row r="763" spans="2:11">
      <c r="B763" s="59"/>
      <c r="K763" s="51"/>
    </row>
    <row r="764" spans="2:11">
      <c r="B764" s="59"/>
      <c r="K764" s="51"/>
    </row>
    <row r="765" spans="2:11">
      <c r="B765" s="59"/>
      <c r="K765" s="51"/>
    </row>
    <row r="766" spans="2:11">
      <c r="B766" s="59"/>
      <c r="K766" s="51"/>
    </row>
    <row r="767" spans="2:11">
      <c r="B767" s="59"/>
      <c r="K767" s="51"/>
    </row>
    <row r="768" spans="2:11">
      <c r="B768" s="59"/>
      <c r="K768" s="51"/>
    </row>
    <row r="769" spans="2:11">
      <c r="B769" s="59"/>
      <c r="K769" s="51"/>
    </row>
    <row r="770" spans="2:11">
      <c r="B770" s="59"/>
      <c r="K770" s="51"/>
    </row>
    <row r="771" spans="2:11">
      <c r="B771" s="59"/>
      <c r="K771" s="51"/>
    </row>
    <row r="772" spans="2:11">
      <c r="B772" s="59"/>
      <c r="K772" s="51"/>
    </row>
    <row r="773" spans="2:11">
      <c r="B773" s="59"/>
      <c r="K773" s="51"/>
    </row>
    <row r="774" spans="2:11">
      <c r="B774" s="59"/>
      <c r="K774" s="51"/>
    </row>
    <row r="775" spans="2:11">
      <c r="B775" s="59"/>
      <c r="K775" s="51"/>
    </row>
    <row r="776" spans="2:11">
      <c r="B776" s="59"/>
      <c r="K776" s="51"/>
    </row>
    <row r="777" spans="2:11">
      <c r="B777" s="59"/>
      <c r="K777" s="51"/>
    </row>
    <row r="778" spans="2:11">
      <c r="B778" s="59"/>
      <c r="K778" s="51"/>
    </row>
    <row r="779" spans="2:11">
      <c r="B779" s="59"/>
      <c r="K779" s="51"/>
    </row>
    <row r="780" spans="2:11">
      <c r="B780" s="59"/>
      <c r="K780" s="51"/>
    </row>
    <row r="781" spans="2:11">
      <c r="B781" s="59"/>
      <c r="K781" s="51"/>
    </row>
    <row r="782" spans="2:11">
      <c r="B782" s="59"/>
      <c r="K782" s="51"/>
    </row>
    <row r="783" spans="2:11">
      <c r="B783" s="59"/>
      <c r="K783" s="51"/>
    </row>
    <row r="784" spans="2:11">
      <c r="B784" s="59"/>
      <c r="K784" s="51"/>
    </row>
    <row r="785" spans="2:11">
      <c r="B785" s="59"/>
      <c r="K785" s="51"/>
    </row>
    <row r="786" spans="2:11">
      <c r="B786" s="59"/>
      <c r="K786" s="51"/>
    </row>
    <row r="787" spans="2:11">
      <c r="B787" s="59"/>
      <c r="K787" s="51"/>
    </row>
    <row r="788" spans="2:11">
      <c r="B788" s="59"/>
      <c r="K788" s="51"/>
    </row>
    <row r="789" spans="2:11">
      <c r="B789" s="59"/>
      <c r="K789" s="51"/>
    </row>
    <row r="790" spans="2:11">
      <c r="B790" s="59"/>
      <c r="K790" s="51"/>
    </row>
    <row r="791" spans="2:11">
      <c r="B791" s="59"/>
      <c r="K791" s="51"/>
    </row>
    <row r="792" spans="2:11">
      <c r="B792" s="59"/>
      <c r="K792" s="51"/>
    </row>
    <row r="793" spans="2:11">
      <c r="B793" s="59"/>
      <c r="K793" s="51"/>
    </row>
    <row r="794" spans="2:11">
      <c r="B794" s="59"/>
      <c r="K794" s="51"/>
    </row>
    <row r="795" spans="2:11">
      <c r="B795" s="59"/>
      <c r="K795" s="51"/>
    </row>
    <row r="796" spans="2:11">
      <c r="B796" s="59"/>
      <c r="K796" s="51"/>
    </row>
    <row r="797" spans="2:11">
      <c r="B797" s="59"/>
      <c r="K797" s="51"/>
    </row>
    <row r="798" spans="2:11">
      <c r="B798" s="59"/>
      <c r="K798" s="51"/>
    </row>
    <row r="799" spans="2:11">
      <c r="B799" s="59"/>
      <c r="K799" s="51"/>
    </row>
    <row r="800" spans="2:11">
      <c r="B800" s="59"/>
      <c r="K800" s="51"/>
    </row>
    <row r="801" spans="2:11">
      <c r="B801" s="59"/>
      <c r="K801" s="51"/>
    </row>
    <row r="802" spans="2:11">
      <c r="B802" s="59"/>
      <c r="K802" s="51"/>
    </row>
    <row r="803" spans="2:11">
      <c r="B803" s="59"/>
      <c r="K803" s="51"/>
    </row>
    <row r="804" spans="2:11">
      <c r="B804" s="59"/>
      <c r="K804" s="51"/>
    </row>
    <row r="805" spans="2:11">
      <c r="B805" s="59"/>
      <c r="K805" s="51"/>
    </row>
    <row r="806" spans="2:11">
      <c r="B806" s="59"/>
      <c r="K806" s="51"/>
    </row>
    <row r="807" spans="2:11">
      <c r="B807" s="59"/>
      <c r="K807" s="51"/>
    </row>
    <row r="808" spans="2:11">
      <c r="B808" s="59"/>
      <c r="K808" s="51"/>
    </row>
    <row r="809" spans="2:11">
      <c r="B809" s="59"/>
      <c r="K809" s="51"/>
    </row>
    <row r="810" spans="2:11">
      <c r="B810" s="59"/>
      <c r="K810" s="51"/>
    </row>
    <row r="811" spans="2:11">
      <c r="B811" s="59"/>
      <c r="K811" s="51"/>
    </row>
    <row r="812" spans="2:11">
      <c r="B812" s="59"/>
      <c r="K812" s="51"/>
    </row>
    <row r="813" spans="2:11">
      <c r="B813" s="59"/>
      <c r="K813" s="51"/>
    </row>
    <row r="814" spans="2:11">
      <c r="B814" s="59"/>
      <c r="K814" s="51"/>
    </row>
    <row r="815" spans="2:11">
      <c r="B815" s="59"/>
      <c r="K815" s="51"/>
    </row>
    <row r="816" spans="2:11">
      <c r="B816" s="59"/>
      <c r="K816" s="51"/>
    </row>
    <row r="817" spans="2:11">
      <c r="B817" s="59"/>
      <c r="K817" s="51"/>
    </row>
    <row r="818" spans="2:11">
      <c r="B818" s="59"/>
      <c r="K818" s="51"/>
    </row>
    <row r="819" spans="2:11">
      <c r="B819" s="59"/>
      <c r="K819" s="51"/>
    </row>
    <row r="820" spans="2:11">
      <c r="B820" s="59"/>
      <c r="K820" s="51"/>
    </row>
    <row r="821" spans="2:11">
      <c r="B821" s="59"/>
      <c r="K821" s="51"/>
    </row>
    <row r="822" spans="2:11">
      <c r="B822" s="59"/>
      <c r="K822" s="51"/>
    </row>
    <row r="823" spans="2:11">
      <c r="B823" s="59"/>
      <c r="K823" s="51"/>
    </row>
    <row r="824" spans="2:11">
      <c r="B824" s="59"/>
      <c r="K824" s="51"/>
    </row>
    <row r="825" spans="2:11">
      <c r="B825" s="59"/>
      <c r="K825" s="51"/>
    </row>
    <row r="826" spans="2:11">
      <c r="B826" s="59"/>
      <c r="K826" s="51"/>
    </row>
    <row r="827" spans="2:11">
      <c r="B827" s="59"/>
      <c r="K827" s="51"/>
    </row>
    <row r="828" spans="2:11">
      <c r="B828" s="59"/>
      <c r="K828" s="51"/>
    </row>
    <row r="829" spans="2:11">
      <c r="B829" s="59"/>
      <c r="K829" s="51"/>
    </row>
    <row r="830" spans="2:11">
      <c r="B830" s="59"/>
      <c r="K830" s="51"/>
    </row>
    <row r="831" spans="2:11">
      <c r="B831" s="59"/>
      <c r="K831" s="51"/>
    </row>
    <row r="832" spans="2:11">
      <c r="B832" s="59"/>
      <c r="K832" s="51"/>
    </row>
    <row r="833" spans="2:11">
      <c r="B833" s="59"/>
      <c r="K833" s="51"/>
    </row>
    <row r="834" spans="2:11">
      <c r="B834" s="59"/>
      <c r="K834" s="51"/>
    </row>
    <row r="835" spans="2:11">
      <c r="B835" s="59"/>
      <c r="K835" s="51"/>
    </row>
    <row r="836" spans="2:11">
      <c r="B836" s="59"/>
      <c r="K836" s="51"/>
    </row>
    <row r="837" spans="2:11">
      <c r="B837" s="59"/>
      <c r="K837" s="51"/>
    </row>
    <row r="838" spans="2:11">
      <c r="B838" s="59"/>
      <c r="K838" s="51"/>
    </row>
    <row r="839" spans="2:11">
      <c r="B839" s="59"/>
      <c r="K839" s="51"/>
    </row>
    <row r="840" spans="2:11">
      <c r="B840" s="59"/>
      <c r="K840" s="51"/>
    </row>
    <row r="841" spans="2:11">
      <c r="B841" s="59"/>
      <c r="K841" s="51"/>
    </row>
    <row r="842" spans="2:11">
      <c r="B842" s="59"/>
      <c r="K842" s="51"/>
    </row>
    <row r="843" spans="2:11">
      <c r="B843" s="59"/>
      <c r="K843" s="51"/>
    </row>
    <row r="844" spans="2:11">
      <c r="B844" s="59"/>
      <c r="K844" s="51"/>
    </row>
    <row r="845" spans="2:11">
      <c r="B845" s="59"/>
      <c r="K845" s="51"/>
    </row>
    <row r="846" spans="2:11">
      <c r="B846" s="59"/>
      <c r="K846" s="51"/>
    </row>
    <row r="847" spans="2:11">
      <c r="B847" s="59"/>
      <c r="K847" s="51"/>
    </row>
    <row r="848" spans="2:11">
      <c r="B848" s="59"/>
      <c r="K848" s="51"/>
    </row>
    <row r="849" spans="2:11">
      <c r="B849" s="59"/>
      <c r="K849" s="51"/>
    </row>
    <row r="850" spans="2:11">
      <c r="B850" s="59"/>
      <c r="K850" s="51"/>
    </row>
    <row r="851" spans="2:11">
      <c r="B851" s="59"/>
      <c r="K851" s="51"/>
    </row>
    <row r="852" spans="2:11">
      <c r="B852" s="59"/>
      <c r="K852" s="51"/>
    </row>
    <row r="853" spans="2:11">
      <c r="B853" s="59"/>
      <c r="K853" s="51"/>
    </row>
    <row r="854" spans="2:11">
      <c r="B854" s="59"/>
      <c r="K854" s="51"/>
    </row>
    <row r="855" spans="2:11">
      <c r="B855" s="59"/>
      <c r="K855" s="51"/>
    </row>
    <row r="856" spans="2:11">
      <c r="B856" s="59"/>
      <c r="K856" s="51"/>
    </row>
    <row r="857" spans="2:11">
      <c r="B857" s="59"/>
      <c r="K857" s="51"/>
    </row>
    <row r="858" spans="2:11">
      <c r="B858" s="59"/>
      <c r="K858" s="51"/>
    </row>
    <row r="859" spans="2:11">
      <c r="B859" s="59"/>
      <c r="K859" s="51"/>
    </row>
    <row r="860" spans="2:11">
      <c r="B860" s="59"/>
      <c r="K860" s="51"/>
    </row>
    <row r="861" spans="2:11">
      <c r="B861" s="59"/>
      <c r="K861" s="51"/>
    </row>
    <row r="862" spans="2:11">
      <c r="B862" s="59"/>
      <c r="K862" s="51"/>
    </row>
    <row r="863" spans="2:11">
      <c r="B863" s="59"/>
      <c r="K863" s="51"/>
    </row>
    <row r="864" spans="2:11">
      <c r="B864" s="59"/>
      <c r="K864" s="51"/>
    </row>
    <row r="865" spans="2:11">
      <c r="B865" s="59"/>
      <c r="K865" s="51"/>
    </row>
    <row r="866" spans="2:11">
      <c r="B866" s="59"/>
      <c r="K866" s="51"/>
    </row>
    <row r="867" spans="2:11">
      <c r="B867" s="59"/>
      <c r="K867" s="51"/>
    </row>
    <row r="868" spans="2:11">
      <c r="B868" s="59"/>
      <c r="K868" s="51"/>
    </row>
    <row r="869" spans="2:11">
      <c r="B869" s="59"/>
      <c r="K869" s="51"/>
    </row>
    <row r="870" spans="2:11">
      <c r="B870" s="59"/>
      <c r="K870" s="51"/>
    </row>
    <row r="871" spans="2:11">
      <c r="B871" s="59"/>
      <c r="K871" s="51"/>
    </row>
    <row r="872" spans="2:11">
      <c r="B872" s="59"/>
      <c r="K872" s="51"/>
    </row>
    <row r="873" spans="2:11">
      <c r="B873" s="59"/>
      <c r="K873" s="51"/>
    </row>
    <row r="874" spans="2:11">
      <c r="B874" s="59"/>
      <c r="K874" s="51"/>
    </row>
    <row r="875" spans="2:11">
      <c r="B875" s="59"/>
      <c r="K875" s="51"/>
    </row>
    <row r="876" spans="2:11">
      <c r="B876" s="59"/>
      <c r="K876" s="51"/>
    </row>
    <row r="877" spans="2:11">
      <c r="B877" s="59"/>
      <c r="K877" s="51"/>
    </row>
    <row r="878" spans="2:11">
      <c r="B878" s="59"/>
      <c r="K878" s="51"/>
    </row>
    <row r="879" spans="2:11">
      <c r="B879" s="59"/>
      <c r="K879" s="51"/>
    </row>
    <row r="880" spans="2:11">
      <c r="B880" s="59"/>
      <c r="K880" s="51"/>
    </row>
    <row r="881" spans="2:11">
      <c r="B881" s="59"/>
      <c r="K881" s="51"/>
    </row>
    <row r="882" spans="2:11">
      <c r="B882" s="59"/>
      <c r="K882" s="51"/>
    </row>
    <row r="883" spans="2:11">
      <c r="B883" s="59"/>
      <c r="K883" s="51"/>
    </row>
    <row r="884" spans="2:11">
      <c r="B884" s="59"/>
      <c r="K884" s="51"/>
    </row>
    <row r="885" spans="2:11">
      <c r="B885" s="59"/>
      <c r="K885" s="51"/>
    </row>
    <row r="886" spans="2:11">
      <c r="B886" s="59"/>
      <c r="K886" s="51"/>
    </row>
    <row r="887" spans="2:11">
      <c r="B887" s="59"/>
      <c r="K887" s="51"/>
    </row>
    <row r="888" spans="2:11">
      <c r="B888" s="59"/>
      <c r="K888" s="51"/>
    </row>
    <row r="889" spans="2:11">
      <c r="B889" s="59"/>
      <c r="K889" s="51"/>
    </row>
    <row r="890" spans="2:11">
      <c r="B890" s="59"/>
      <c r="K890" s="51"/>
    </row>
    <row r="891" spans="2:11">
      <c r="B891" s="59"/>
      <c r="K891" s="51"/>
    </row>
    <row r="892" spans="2:11">
      <c r="B892" s="59"/>
      <c r="K892" s="51"/>
    </row>
    <row r="893" spans="2:11">
      <c r="B893" s="59"/>
      <c r="K893" s="51"/>
    </row>
    <row r="894" spans="2:11">
      <c r="B894" s="59"/>
      <c r="K894" s="51"/>
    </row>
    <row r="895" spans="2:11">
      <c r="B895" s="59"/>
      <c r="K895" s="51"/>
    </row>
    <row r="896" spans="2:11">
      <c r="B896" s="59"/>
      <c r="K896" s="51"/>
    </row>
    <row r="897" spans="2:11">
      <c r="B897" s="59"/>
      <c r="K897" s="51"/>
    </row>
    <row r="898" spans="2:11">
      <c r="B898" s="59"/>
      <c r="K898" s="51"/>
    </row>
    <row r="899" spans="2:11">
      <c r="B899" s="59"/>
      <c r="K899" s="51"/>
    </row>
    <row r="900" spans="2:11">
      <c r="B900" s="59"/>
      <c r="K900" s="51"/>
    </row>
    <row r="901" spans="2:11">
      <c r="B901" s="59"/>
      <c r="K901" s="51"/>
    </row>
    <row r="902" spans="2:11">
      <c r="B902" s="59"/>
      <c r="K902" s="51"/>
    </row>
    <row r="903" spans="2:11">
      <c r="B903" s="59"/>
      <c r="K903" s="51"/>
    </row>
    <row r="904" spans="2:11">
      <c r="B904" s="59"/>
      <c r="K904" s="51"/>
    </row>
    <row r="905" spans="2:11">
      <c r="B905" s="59"/>
      <c r="K905" s="51"/>
    </row>
    <row r="906" spans="2:11">
      <c r="B906" s="59"/>
      <c r="K906" s="51"/>
    </row>
    <row r="907" spans="2:11">
      <c r="B907" s="59"/>
      <c r="K907" s="51"/>
    </row>
    <row r="908" spans="2:11">
      <c r="B908" s="59"/>
      <c r="K908" s="51"/>
    </row>
    <row r="909" spans="2:11">
      <c r="B909" s="59"/>
      <c r="K909" s="51"/>
    </row>
    <row r="910" spans="2:11">
      <c r="B910" s="59"/>
      <c r="K910" s="51"/>
    </row>
    <row r="911" spans="2:11">
      <c r="B911" s="59"/>
      <c r="K911" s="51"/>
    </row>
    <row r="912" spans="2:11">
      <c r="B912" s="59"/>
      <c r="K912" s="51"/>
    </row>
    <row r="913" spans="2:11">
      <c r="B913" s="59"/>
      <c r="K913" s="51"/>
    </row>
    <row r="914" spans="2:11">
      <c r="B914" s="59"/>
      <c r="K914" s="51"/>
    </row>
    <row r="915" spans="2:11">
      <c r="B915" s="59"/>
      <c r="K915" s="51"/>
    </row>
    <row r="916" spans="2:11">
      <c r="B916" s="59"/>
      <c r="K916" s="51"/>
    </row>
    <row r="917" spans="2:11">
      <c r="B917" s="59"/>
      <c r="K917" s="51"/>
    </row>
    <row r="918" spans="2:11">
      <c r="B918" s="59"/>
      <c r="K918" s="51"/>
    </row>
    <row r="919" spans="2:11">
      <c r="B919" s="59"/>
      <c r="K919" s="51"/>
    </row>
    <row r="920" spans="2:11">
      <c r="B920" s="59"/>
      <c r="K920" s="51"/>
    </row>
    <row r="921" spans="2:11">
      <c r="B921" s="59"/>
      <c r="K921" s="51"/>
    </row>
    <row r="922" spans="2:11">
      <c r="B922" s="59"/>
      <c r="K922" s="51"/>
    </row>
    <row r="923" spans="2:11">
      <c r="B923" s="59"/>
      <c r="K923" s="51"/>
    </row>
    <row r="924" spans="2:11">
      <c r="B924" s="59"/>
      <c r="K924" s="51"/>
    </row>
    <row r="925" spans="2:11">
      <c r="B925" s="59"/>
      <c r="K925" s="51"/>
    </row>
    <row r="926" spans="2:11">
      <c r="B926" s="59"/>
      <c r="K926" s="51"/>
    </row>
    <row r="927" spans="2:11">
      <c r="B927" s="59"/>
      <c r="K927" s="51"/>
    </row>
    <row r="928" spans="2:11">
      <c r="B928" s="59"/>
      <c r="K928" s="51"/>
    </row>
    <row r="929" spans="2:11">
      <c r="B929" s="59"/>
      <c r="K929" s="51"/>
    </row>
    <row r="930" spans="2:11">
      <c r="B930" s="59"/>
      <c r="K930" s="51"/>
    </row>
    <row r="931" spans="2:11">
      <c r="B931" s="59"/>
      <c r="K931" s="51"/>
    </row>
    <row r="932" spans="2:11">
      <c r="B932" s="59"/>
      <c r="K932" s="51"/>
    </row>
    <row r="933" spans="2:11">
      <c r="B933" s="59"/>
      <c r="K933" s="51"/>
    </row>
    <row r="934" spans="2:11">
      <c r="B934" s="59"/>
      <c r="K934" s="51"/>
    </row>
    <row r="935" spans="2:11">
      <c r="B935" s="59"/>
      <c r="K935" s="51"/>
    </row>
    <row r="936" spans="2:11">
      <c r="B936" s="59"/>
      <c r="K936" s="51"/>
    </row>
    <row r="937" spans="2:11">
      <c r="B937" s="59"/>
      <c r="K937" s="51"/>
    </row>
    <row r="938" spans="2:11">
      <c r="B938" s="59"/>
      <c r="K938" s="51"/>
    </row>
    <row r="939" spans="2:11">
      <c r="B939" s="59"/>
      <c r="K939" s="51"/>
    </row>
    <row r="940" spans="2:11">
      <c r="B940" s="59"/>
      <c r="K940" s="51"/>
    </row>
    <row r="941" spans="2:11">
      <c r="B941" s="59"/>
      <c r="K941" s="51"/>
    </row>
    <row r="942" spans="2:11">
      <c r="B942" s="59"/>
      <c r="K942" s="51"/>
    </row>
    <row r="943" spans="2:11">
      <c r="B943" s="59"/>
      <c r="K943" s="51"/>
    </row>
    <row r="944" spans="2:11">
      <c r="B944" s="59"/>
      <c r="K944" s="51"/>
    </row>
    <row r="945" spans="2:11">
      <c r="B945" s="59"/>
      <c r="K945" s="51"/>
    </row>
    <row r="946" spans="2:11">
      <c r="B946" s="59"/>
      <c r="K946" s="51"/>
    </row>
    <row r="947" spans="2:11">
      <c r="B947" s="59"/>
      <c r="K947" s="51"/>
    </row>
    <row r="948" spans="2:11">
      <c r="B948" s="59"/>
      <c r="K948" s="51"/>
    </row>
    <row r="949" spans="2:11">
      <c r="B949" s="59"/>
      <c r="K949" s="51"/>
    </row>
    <row r="950" spans="2:11">
      <c r="B950" s="59"/>
      <c r="K950" s="51"/>
    </row>
    <row r="951" spans="2:11">
      <c r="B951" s="59"/>
      <c r="K951" s="51"/>
    </row>
    <row r="952" spans="2:11">
      <c r="B952" s="59"/>
      <c r="K952" s="51"/>
    </row>
    <row r="953" spans="2:11">
      <c r="B953" s="59"/>
      <c r="K953" s="51"/>
    </row>
    <row r="954" spans="2:11">
      <c r="B954" s="59"/>
      <c r="K954" s="51"/>
    </row>
    <row r="955" spans="2:11">
      <c r="B955" s="59"/>
      <c r="K955" s="51"/>
    </row>
    <row r="956" spans="2:11">
      <c r="B956" s="59"/>
      <c r="K956" s="51"/>
    </row>
    <row r="957" spans="2:11">
      <c r="B957" s="59"/>
      <c r="K957" s="51"/>
    </row>
    <row r="958" spans="2:11">
      <c r="B958" s="59"/>
      <c r="K958" s="51"/>
    </row>
    <row r="959" spans="2:11">
      <c r="B959" s="59"/>
      <c r="K959" s="51"/>
    </row>
    <row r="960" spans="2:11">
      <c r="B960" s="59"/>
      <c r="K960" s="51"/>
    </row>
    <row r="961" spans="2:11">
      <c r="B961" s="59"/>
      <c r="K961" s="51"/>
    </row>
    <row r="962" spans="2:11">
      <c r="B962" s="59"/>
      <c r="K962" s="51"/>
    </row>
    <row r="963" spans="2:11">
      <c r="B963" s="59"/>
      <c r="K963" s="51"/>
    </row>
    <row r="964" spans="2:11">
      <c r="B964" s="59"/>
      <c r="K964" s="51"/>
    </row>
    <row r="965" spans="2:11">
      <c r="B965" s="59"/>
      <c r="K965" s="51"/>
    </row>
    <row r="966" spans="2:11">
      <c r="B966" s="59"/>
      <c r="K966" s="51"/>
    </row>
    <row r="967" spans="2:11">
      <c r="B967" s="59"/>
      <c r="K967" s="51"/>
    </row>
    <row r="968" spans="2:11">
      <c r="B968" s="59"/>
      <c r="K968" s="51"/>
    </row>
    <row r="969" spans="2:11">
      <c r="B969" s="59"/>
      <c r="K969" s="51"/>
    </row>
    <row r="970" spans="2:11">
      <c r="B970" s="59"/>
      <c r="K970" s="51"/>
    </row>
    <row r="971" spans="2:11">
      <c r="B971" s="59"/>
      <c r="K971" s="51"/>
    </row>
    <row r="972" spans="2:11">
      <c r="B972" s="59"/>
      <c r="K972" s="51"/>
    </row>
    <row r="973" spans="2:11">
      <c r="B973" s="59"/>
      <c r="K973" s="51"/>
    </row>
    <row r="974" spans="2:11">
      <c r="B974" s="59"/>
      <c r="K974" s="51"/>
    </row>
    <row r="975" spans="2:11">
      <c r="B975" s="59"/>
      <c r="K975" s="51"/>
    </row>
    <row r="976" spans="2:11">
      <c r="B976" s="59"/>
      <c r="K976" s="51"/>
    </row>
    <row r="977" spans="2:11">
      <c r="B977" s="59"/>
      <c r="K977" s="51"/>
    </row>
    <row r="978" spans="2:11">
      <c r="B978" s="59"/>
      <c r="K978" s="51"/>
    </row>
    <row r="979" spans="2:11">
      <c r="B979" s="59"/>
      <c r="K979" s="51"/>
    </row>
    <row r="980" spans="2:11">
      <c r="B980" s="59"/>
      <c r="K980" s="51"/>
    </row>
    <row r="981" spans="2:11">
      <c r="B981" s="59"/>
      <c r="K981" s="51"/>
    </row>
    <row r="982" spans="2:11">
      <c r="B982" s="59"/>
      <c r="K982" s="51"/>
    </row>
    <row r="983" spans="2:11">
      <c r="B983" s="59"/>
      <c r="K983" s="51"/>
    </row>
    <row r="984" spans="2:11">
      <c r="B984" s="59"/>
      <c r="K984" s="51"/>
    </row>
    <row r="985" spans="2:11">
      <c r="B985" s="59"/>
      <c r="K985" s="51"/>
    </row>
    <row r="986" spans="2:11">
      <c r="B986" s="59"/>
      <c r="K986" s="51"/>
    </row>
    <row r="987" spans="2:11">
      <c r="B987" s="59"/>
      <c r="K987" s="51"/>
    </row>
    <row r="988" spans="2:11">
      <c r="B988" s="59"/>
      <c r="K988" s="51"/>
    </row>
    <row r="989" spans="2:11">
      <c r="B989" s="59"/>
      <c r="K989" s="51"/>
    </row>
    <row r="990" spans="2:11">
      <c r="B990" s="59"/>
      <c r="K990" s="51"/>
    </row>
    <row r="991" spans="2:11">
      <c r="B991" s="59"/>
      <c r="K991" s="51"/>
    </row>
    <row r="992" spans="2:11">
      <c r="B992" s="59"/>
      <c r="K992" s="51"/>
    </row>
    <row r="993" spans="2:11">
      <c r="B993" s="59"/>
      <c r="K993" s="51"/>
    </row>
    <row r="994" spans="2:11">
      <c r="B994" s="59"/>
      <c r="K994" s="51"/>
    </row>
    <row r="995" spans="2:11">
      <c r="B995" s="59"/>
      <c r="K995" s="51"/>
    </row>
    <row r="996" spans="2:11">
      <c r="B996" s="59"/>
      <c r="K996" s="51"/>
    </row>
    <row r="997" spans="2:11">
      <c r="B997" s="59"/>
      <c r="K997" s="51"/>
    </row>
    <row r="998" spans="2:11">
      <c r="B998" s="59"/>
      <c r="K998" s="51"/>
    </row>
    <row r="999" spans="2:11">
      <c r="B999" s="59"/>
      <c r="K999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2022-06-14T14:27:13Z</dcterms:modified>
</cp:coreProperties>
</file>