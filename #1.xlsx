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us\Orbit\Proyek-Akhir\"/>
    </mc:Choice>
  </mc:AlternateContent>
  <xr:revisionPtr revIDLastSave="0" documentId="13_ncr:1_{0B64DB33-061E-4768-B2E5-7D801FA2BA87}" xr6:coauthVersionLast="47" xr6:coauthVersionMax="47" xr10:uidLastSave="{00000000-0000-0000-0000-000000000000}"/>
  <bookViews>
    <workbookView xWindow="-110" yWindow="-110" windowWidth="19420" windowHeight="11020" firstSheet="3" activeTab="7" xr2:uid="{00000000-000D-0000-FFFF-FFFF00000000}"/>
  </bookViews>
  <sheets>
    <sheet name="main-data" sheetId="1" r:id="rId1"/>
    <sheet name="x" sheetId="2" r:id="rId2"/>
    <sheet name="banking-financial" sheetId="3" r:id="rId3"/>
    <sheet name="commodities" sheetId="4" r:id="rId4"/>
    <sheet name="consumer" sheetId="5" r:id="rId5"/>
    <sheet name="tower-telecommunication" sheetId="6" r:id="rId6"/>
    <sheet name="construction-property" sheetId="7" r:id="rId7"/>
    <sheet name="Datase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2" roundtripDataSignature="AMtx7mi1XLEOdCh7Qcn9QDu0740yI/UnWA=="/>
    </ext>
  </extLst>
</workbook>
</file>

<file path=xl/calcChain.xml><?xml version="1.0" encoding="utf-8"?>
<calcChain xmlns="http://schemas.openxmlformats.org/spreadsheetml/2006/main">
  <c r="W3" i="8" l="1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W2" i="8"/>
  <c r="W101" i="5"/>
  <c r="W92" i="5"/>
  <c r="Y153" i="8"/>
  <c r="Z176" i="8"/>
  <c r="V170" i="8"/>
  <c r="AA360" i="8"/>
  <c r="Z360" i="8"/>
  <c r="Y360" i="8"/>
  <c r="X360" i="8"/>
  <c r="V360" i="8"/>
  <c r="U360" i="8"/>
  <c r="T360" i="8"/>
  <c r="S360" i="8"/>
  <c r="N360" i="8"/>
  <c r="G360" i="8"/>
  <c r="R360" i="8" s="1"/>
  <c r="AA359" i="8"/>
  <c r="Z359" i="8"/>
  <c r="Y359" i="8"/>
  <c r="X359" i="8"/>
  <c r="V359" i="8"/>
  <c r="U359" i="8"/>
  <c r="T359" i="8"/>
  <c r="S359" i="8"/>
  <c r="N359" i="8"/>
  <c r="G359" i="8"/>
  <c r="R359" i="8" s="1"/>
  <c r="AA358" i="8"/>
  <c r="Z358" i="8"/>
  <c r="Y358" i="8"/>
  <c r="X358" i="8"/>
  <c r="V358" i="8"/>
  <c r="U358" i="8"/>
  <c r="T358" i="8"/>
  <c r="S358" i="8"/>
  <c r="N358" i="8"/>
  <c r="G358" i="8"/>
  <c r="R358" i="8" s="1"/>
  <c r="Y357" i="8"/>
  <c r="V357" i="8"/>
  <c r="U357" i="8"/>
  <c r="T357" i="8"/>
  <c r="S357" i="8"/>
  <c r="N357" i="8"/>
  <c r="K357" i="8"/>
  <c r="AA357" i="8" s="1"/>
  <c r="G357" i="8"/>
  <c r="R357" i="8" s="1"/>
  <c r="Y356" i="8"/>
  <c r="V356" i="8"/>
  <c r="U356" i="8"/>
  <c r="T356" i="8"/>
  <c r="S356" i="8"/>
  <c r="N356" i="8"/>
  <c r="K356" i="8"/>
  <c r="Z356" i="8" s="1"/>
  <c r="G356" i="8"/>
  <c r="R356" i="8" s="1"/>
  <c r="Y355" i="8"/>
  <c r="V355" i="8"/>
  <c r="U355" i="8"/>
  <c r="T355" i="8"/>
  <c r="S355" i="8"/>
  <c r="N355" i="8"/>
  <c r="K355" i="8"/>
  <c r="X355" i="8" s="1"/>
  <c r="G355" i="8"/>
  <c r="R355" i="8" s="1"/>
  <c r="AA354" i="8"/>
  <c r="Z354" i="8"/>
  <c r="Y354" i="8"/>
  <c r="X354" i="8"/>
  <c r="V354" i="8"/>
  <c r="U354" i="8"/>
  <c r="T354" i="8"/>
  <c r="S354" i="8"/>
  <c r="N354" i="8"/>
  <c r="G354" i="8"/>
  <c r="R354" i="8" s="1"/>
  <c r="AA353" i="8"/>
  <c r="Z353" i="8"/>
  <c r="Y353" i="8"/>
  <c r="X353" i="8"/>
  <c r="V353" i="8"/>
  <c r="U353" i="8"/>
  <c r="T353" i="8"/>
  <c r="S353" i="8"/>
  <c r="N353" i="8"/>
  <c r="G353" i="8"/>
  <c r="R353" i="8" s="1"/>
  <c r="AA352" i="8"/>
  <c r="Z352" i="8"/>
  <c r="Y352" i="8"/>
  <c r="X352" i="8"/>
  <c r="V352" i="8"/>
  <c r="U352" i="8"/>
  <c r="T352" i="8"/>
  <c r="S352" i="8"/>
  <c r="N352" i="8"/>
  <c r="G352" i="8"/>
  <c r="R352" i="8" s="1"/>
  <c r="AA351" i="8"/>
  <c r="Z351" i="8"/>
  <c r="Y351" i="8"/>
  <c r="X351" i="8"/>
  <c r="V351" i="8"/>
  <c r="U351" i="8"/>
  <c r="T351" i="8"/>
  <c r="S351" i="8"/>
  <c r="N351" i="8"/>
  <c r="G351" i="8"/>
  <c r="R351" i="8" s="1"/>
  <c r="AA350" i="8"/>
  <c r="Z350" i="8"/>
  <c r="Y350" i="8"/>
  <c r="X350" i="8"/>
  <c r="V350" i="8"/>
  <c r="U350" i="8"/>
  <c r="T350" i="8"/>
  <c r="S350" i="8"/>
  <c r="N350" i="8"/>
  <c r="G350" i="8"/>
  <c r="R350" i="8" s="1"/>
  <c r="AA349" i="8"/>
  <c r="Z349" i="8"/>
  <c r="Y349" i="8"/>
  <c r="X349" i="8"/>
  <c r="V349" i="8"/>
  <c r="U349" i="8"/>
  <c r="T349" i="8"/>
  <c r="S349" i="8"/>
  <c r="N349" i="8"/>
  <c r="G349" i="8"/>
  <c r="R349" i="8" s="1"/>
  <c r="AA348" i="8"/>
  <c r="Z348" i="8"/>
  <c r="Y348" i="8"/>
  <c r="X348" i="8"/>
  <c r="V348" i="8"/>
  <c r="U348" i="8"/>
  <c r="T348" i="8"/>
  <c r="S348" i="8"/>
  <c r="G348" i="8"/>
  <c r="R348" i="8" s="1"/>
  <c r="AA347" i="8"/>
  <c r="Z347" i="8"/>
  <c r="Y347" i="8"/>
  <c r="X347" i="8"/>
  <c r="V347" i="8"/>
  <c r="U347" i="8"/>
  <c r="T347" i="8"/>
  <c r="S347" i="8"/>
  <c r="G347" i="8"/>
  <c r="R347" i="8" s="1"/>
  <c r="AA346" i="8"/>
  <c r="Z346" i="8"/>
  <c r="Y346" i="8"/>
  <c r="X346" i="8"/>
  <c r="V346" i="8"/>
  <c r="U346" i="8"/>
  <c r="T346" i="8"/>
  <c r="S346" i="8"/>
  <c r="G346" i="8"/>
  <c r="R346" i="8" s="1"/>
  <c r="AA345" i="8"/>
  <c r="Z345" i="8"/>
  <c r="Y345" i="8"/>
  <c r="X345" i="8"/>
  <c r="V345" i="8"/>
  <c r="U345" i="8"/>
  <c r="T345" i="8"/>
  <c r="S345" i="8"/>
  <c r="N345" i="8"/>
  <c r="G345" i="8"/>
  <c r="R345" i="8" s="1"/>
  <c r="AA344" i="8"/>
  <c r="Z344" i="8"/>
  <c r="Y344" i="8"/>
  <c r="X344" i="8"/>
  <c r="V344" i="8"/>
  <c r="U344" i="8"/>
  <c r="T344" i="8"/>
  <c r="S344" i="8"/>
  <c r="N344" i="8"/>
  <c r="G344" i="8"/>
  <c r="R344" i="8" s="1"/>
  <c r="AA343" i="8"/>
  <c r="Z343" i="8"/>
  <c r="Y343" i="8"/>
  <c r="X343" i="8"/>
  <c r="V343" i="8"/>
  <c r="U343" i="8"/>
  <c r="T343" i="8"/>
  <c r="S343" i="8"/>
  <c r="N343" i="8"/>
  <c r="G343" i="8"/>
  <c r="R343" i="8" s="1"/>
  <c r="AA342" i="8"/>
  <c r="Z342" i="8"/>
  <c r="Y342" i="8"/>
  <c r="X342" i="8"/>
  <c r="V342" i="8"/>
  <c r="U342" i="8"/>
  <c r="T342" i="8"/>
  <c r="S342" i="8"/>
  <c r="N342" i="8"/>
  <c r="G342" i="8"/>
  <c r="R342" i="8" s="1"/>
  <c r="AA341" i="8"/>
  <c r="Z341" i="8"/>
  <c r="Y341" i="8"/>
  <c r="X341" i="8"/>
  <c r="V341" i="8"/>
  <c r="U341" i="8"/>
  <c r="T341" i="8"/>
  <c r="S341" i="8"/>
  <c r="N341" i="8"/>
  <c r="G341" i="8"/>
  <c r="R341" i="8" s="1"/>
  <c r="AA340" i="8"/>
  <c r="Z340" i="8"/>
  <c r="Y340" i="8"/>
  <c r="X340" i="8"/>
  <c r="V340" i="8"/>
  <c r="U340" i="8"/>
  <c r="T340" i="8"/>
  <c r="S340" i="8"/>
  <c r="N340" i="8"/>
  <c r="G340" i="8"/>
  <c r="R340" i="8" s="1"/>
  <c r="AA339" i="8"/>
  <c r="Z339" i="8"/>
  <c r="Y339" i="8"/>
  <c r="X339" i="8"/>
  <c r="V339" i="8"/>
  <c r="U339" i="8"/>
  <c r="T339" i="8"/>
  <c r="S339" i="8"/>
  <c r="N339" i="8"/>
  <c r="G339" i="8"/>
  <c r="R339" i="8" s="1"/>
  <c r="AA338" i="8"/>
  <c r="Z338" i="8"/>
  <c r="Y338" i="8"/>
  <c r="X338" i="8"/>
  <c r="V338" i="8"/>
  <c r="U338" i="8"/>
  <c r="T338" i="8"/>
  <c r="S338" i="8"/>
  <c r="N338" i="8"/>
  <c r="G338" i="8"/>
  <c r="R338" i="8" s="1"/>
  <c r="AA337" i="8"/>
  <c r="Z337" i="8"/>
  <c r="Y337" i="8"/>
  <c r="X337" i="8"/>
  <c r="V337" i="8"/>
  <c r="U337" i="8"/>
  <c r="T337" i="8"/>
  <c r="S337" i="8"/>
  <c r="N337" i="8"/>
  <c r="G337" i="8"/>
  <c r="R337" i="8" s="1"/>
  <c r="AA336" i="8"/>
  <c r="Z336" i="8"/>
  <c r="Y336" i="8"/>
  <c r="X336" i="8"/>
  <c r="V336" i="8"/>
  <c r="U336" i="8"/>
  <c r="T336" i="8"/>
  <c r="S336" i="8"/>
  <c r="N336" i="8"/>
  <c r="G336" i="8"/>
  <c r="R336" i="8" s="1"/>
  <c r="AA335" i="8"/>
  <c r="Z335" i="8"/>
  <c r="Y335" i="8"/>
  <c r="X335" i="8"/>
  <c r="V335" i="8"/>
  <c r="U335" i="8"/>
  <c r="T335" i="8"/>
  <c r="S335" i="8"/>
  <c r="N335" i="8"/>
  <c r="G335" i="8"/>
  <c r="R335" i="8" s="1"/>
  <c r="AA334" i="8"/>
  <c r="Z334" i="8"/>
  <c r="Y334" i="8"/>
  <c r="X334" i="8"/>
  <c r="V334" i="8"/>
  <c r="U334" i="8"/>
  <c r="T334" i="8"/>
  <c r="S334" i="8"/>
  <c r="N334" i="8"/>
  <c r="G334" i="8"/>
  <c r="R334" i="8" s="1"/>
  <c r="AA333" i="8"/>
  <c r="Z333" i="8"/>
  <c r="Y333" i="8"/>
  <c r="X333" i="8"/>
  <c r="V333" i="8"/>
  <c r="U333" i="8"/>
  <c r="T333" i="8"/>
  <c r="S333" i="8"/>
  <c r="N333" i="8"/>
  <c r="G333" i="8"/>
  <c r="R333" i="8" s="1"/>
  <c r="AA332" i="8"/>
  <c r="Z332" i="8"/>
  <c r="Y332" i="8"/>
  <c r="X332" i="8"/>
  <c r="V332" i="8"/>
  <c r="U332" i="8"/>
  <c r="T332" i="8"/>
  <c r="S332" i="8"/>
  <c r="N332" i="8"/>
  <c r="G332" i="8"/>
  <c r="R332" i="8" s="1"/>
  <c r="AA331" i="8"/>
  <c r="Z331" i="8"/>
  <c r="Y331" i="8"/>
  <c r="X331" i="8"/>
  <c r="V331" i="8"/>
  <c r="U331" i="8"/>
  <c r="T331" i="8"/>
  <c r="S331" i="8"/>
  <c r="N331" i="8"/>
  <c r="G331" i="8"/>
  <c r="R331" i="8" s="1"/>
  <c r="AA330" i="8"/>
  <c r="Z330" i="8"/>
  <c r="Y330" i="8"/>
  <c r="X330" i="8"/>
  <c r="V330" i="8"/>
  <c r="U330" i="8"/>
  <c r="T330" i="8"/>
  <c r="S330" i="8"/>
  <c r="N330" i="8"/>
  <c r="G330" i="8"/>
  <c r="R330" i="8" s="1"/>
  <c r="AA329" i="8"/>
  <c r="Z329" i="8"/>
  <c r="Y329" i="8"/>
  <c r="X329" i="8"/>
  <c r="V329" i="8"/>
  <c r="U329" i="8"/>
  <c r="T329" i="8"/>
  <c r="S329" i="8"/>
  <c r="N329" i="8"/>
  <c r="G329" i="8"/>
  <c r="R329" i="8" s="1"/>
  <c r="AA328" i="8"/>
  <c r="Z328" i="8"/>
  <c r="Y328" i="8"/>
  <c r="X328" i="8"/>
  <c r="V328" i="8"/>
  <c r="U328" i="8"/>
  <c r="T328" i="8"/>
  <c r="S328" i="8"/>
  <c r="N328" i="8"/>
  <c r="G328" i="8"/>
  <c r="R328" i="8" s="1"/>
  <c r="AA327" i="8"/>
  <c r="Z327" i="8"/>
  <c r="V327" i="8"/>
  <c r="U327" i="8"/>
  <c r="T327" i="8"/>
  <c r="S327" i="8"/>
  <c r="P327" i="8"/>
  <c r="Y327" i="8" s="1"/>
  <c r="N327" i="8"/>
  <c r="G327" i="8"/>
  <c r="R327" i="8" s="1"/>
  <c r="AA326" i="8"/>
  <c r="Z326" i="8"/>
  <c r="V326" i="8"/>
  <c r="U326" i="8"/>
  <c r="T326" i="8"/>
  <c r="S326" i="8"/>
  <c r="P326" i="8"/>
  <c r="Y326" i="8" s="1"/>
  <c r="N326" i="8"/>
  <c r="G326" i="8"/>
  <c r="R326" i="8" s="1"/>
  <c r="AA325" i="8"/>
  <c r="Z325" i="8"/>
  <c r="V325" i="8"/>
  <c r="U325" i="8"/>
  <c r="T325" i="8"/>
  <c r="S325" i="8"/>
  <c r="P325" i="8"/>
  <c r="Y325" i="8" s="1"/>
  <c r="N325" i="8"/>
  <c r="G325" i="8"/>
  <c r="R325" i="8" s="1"/>
  <c r="AA324" i="8"/>
  <c r="Z324" i="8"/>
  <c r="Y324" i="8"/>
  <c r="X324" i="8"/>
  <c r="V324" i="8"/>
  <c r="U324" i="8"/>
  <c r="T324" i="8"/>
  <c r="S324" i="8"/>
  <c r="G324" i="8"/>
  <c r="R324" i="8" s="1"/>
  <c r="AA323" i="8"/>
  <c r="Z323" i="8"/>
  <c r="Y323" i="8"/>
  <c r="X323" i="8"/>
  <c r="V323" i="8"/>
  <c r="U323" i="8"/>
  <c r="T323" i="8"/>
  <c r="S323" i="8"/>
  <c r="G323" i="8"/>
  <c r="R323" i="8" s="1"/>
  <c r="AA322" i="8"/>
  <c r="Z322" i="8"/>
  <c r="Y322" i="8"/>
  <c r="X322" i="8"/>
  <c r="V322" i="8"/>
  <c r="U322" i="8"/>
  <c r="T322" i="8"/>
  <c r="S322" i="8"/>
  <c r="G322" i="8"/>
  <c r="R322" i="8" s="1"/>
  <c r="AA321" i="8"/>
  <c r="Z321" i="8"/>
  <c r="Y321" i="8"/>
  <c r="X321" i="8"/>
  <c r="V321" i="8"/>
  <c r="U321" i="8"/>
  <c r="T321" i="8"/>
  <c r="S321" i="8"/>
  <c r="G321" i="8"/>
  <c r="R321" i="8" s="1"/>
  <c r="AA320" i="8"/>
  <c r="Z320" i="8"/>
  <c r="Y320" i="8"/>
  <c r="X320" i="8"/>
  <c r="V320" i="8"/>
  <c r="U320" i="8"/>
  <c r="T320" i="8"/>
  <c r="S320" i="8"/>
  <c r="G320" i="8"/>
  <c r="R320" i="8" s="1"/>
  <c r="AA319" i="8"/>
  <c r="Z319" i="8"/>
  <c r="Y319" i="8"/>
  <c r="X319" i="8"/>
  <c r="V319" i="8"/>
  <c r="U319" i="8"/>
  <c r="T319" i="8"/>
  <c r="S319" i="8"/>
  <c r="G319" i="8"/>
  <c r="R319" i="8" s="1"/>
  <c r="AA318" i="8"/>
  <c r="Z318" i="8"/>
  <c r="Y318" i="8"/>
  <c r="X318" i="8"/>
  <c r="V318" i="8"/>
  <c r="U318" i="8"/>
  <c r="T318" i="8"/>
  <c r="S318" i="8"/>
  <c r="G318" i="8"/>
  <c r="R318" i="8" s="1"/>
  <c r="AA317" i="8"/>
  <c r="Z317" i="8"/>
  <c r="Y317" i="8"/>
  <c r="X317" i="8"/>
  <c r="V317" i="8"/>
  <c r="U317" i="8"/>
  <c r="T317" i="8"/>
  <c r="S317" i="8"/>
  <c r="G317" i="8"/>
  <c r="R317" i="8" s="1"/>
  <c r="AA316" i="8"/>
  <c r="Z316" i="8"/>
  <c r="Y316" i="8"/>
  <c r="X316" i="8"/>
  <c r="V316" i="8"/>
  <c r="U316" i="8"/>
  <c r="T316" i="8"/>
  <c r="S316" i="8"/>
  <c r="G316" i="8"/>
  <c r="R316" i="8" s="1"/>
  <c r="AA315" i="8"/>
  <c r="Z315" i="8"/>
  <c r="V315" i="8"/>
  <c r="U315" i="8"/>
  <c r="T315" i="8"/>
  <c r="S315" i="8"/>
  <c r="P315" i="8"/>
  <c r="M315" i="8"/>
  <c r="W315" i="8" s="1"/>
  <c r="G315" i="8"/>
  <c r="R315" i="8" s="1"/>
  <c r="AA314" i="8"/>
  <c r="Z314" i="8"/>
  <c r="V314" i="8"/>
  <c r="U314" i="8"/>
  <c r="T314" i="8"/>
  <c r="S314" i="8"/>
  <c r="P314" i="8"/>
  <c r="M314" i="8"/>
  <c r="W314" i="8" s="1"/>
  <c r="G314" i="8"/>
  <c r="R314" i="8" s="1"/>
  <c r="AA313" i="8"/>
  <c r="Z313" i="8"/>
  <c r="V313" i="8"/>
  <c r="U313" i="8"/>
  <c r="T313" i="8"/>
  <c r="S313" i="8"/>
  <c r="P313" i="8"/>
  <c r="M313" i="8"/>
  <c r="W313" i="8" s="1"/>
  <c r="G313" i="8"/>
  <c r="R313" i="8" s="1"/>
  <c r="AA312" i="8"/>
  <c r="Z312" i="8"/>
  <c r="Y312" i="8"/>
  <c r="X312" i="8"/>
  <c r="V312" i="8"/>
  <c r="U312" i="8"/>
  <c r="T312" i="8"/>
  <c r="S312" i="8"/>
  <c r="N312" i="8"/>
  <c r="G312" i="8"/>
  <c r="R312" i="8" s="1"/>
  <c r="AA311" i="8"/>
  <c r="Z311" i="8"/>
  <c r="Y311" i="8"/>
  <c r="X311" i="8"/>
  <c r="V311" i="8"/>
  <c r="U311" i="8"/>
  <c r="T311" i="8"/>
  <c r="S311" i="8"/>
  <c r="N311" i="8"/>
  <c r="G311" i="8"/>
  <c r="R311" i="8" s="1"/>
  <c r="AA310" i="8"/>
  <c r="Z310" i="8"/>
  <c r="V310" i="8"/>
  <c r="U310" i="8"/>
  <c r="T310" i="8"/>
  <c r="S310" i="8"/>
  <c r="P310" i="8"/>
  <c r="N310" i="8"/>
  <c r="G310" i="8"/>
  <c r="R310" i="8" s="1"/>
  <c r="Y309" i="8"/>
  <c r="V309" i="8"/>
  <c r="U309" i="8"/>
  <c r="T309" i="8"/>
  <c r="S309" i="8"/>
  <c r="N309" i="8"/>
  <c r="K309" i="8"/>
  <c r="Z309" i="8" s="1"/>
  <c r="G309" i="8"/>
  <c r="R309" i="8" s="1"/>
  <c r="Y308" i="8"/>
  <c r="V308" i="8"/>
  <c r="U308" i="8"/>
  <c r="T308" i="8"/>
  <c r="S308" i="8"/>
  <c r="N308" i="8"/>
  <c r="K308" i="8"/>
  <c r="Z308" i="8" s="1"/>
  <c r="G308" i="8"/>
  <c r="R308" i="8" s="1"/>
  <c r="Y307" i="8"/>
  <c r="V307" i="8"/>
  <c r="U307" i="8"/>
  <c r="T307" i="8"/>
  <c r="S307" i="8"/>
  <c r="N307" i="8"/>
  <c r="K307" i="8"/>
  <c r="Z307" i="8" s="1"/>
  <c r="G307" i="8"/>
  <c r="R307" i="8" s="1"/>
  <c r="AA306" i="8"/>
  <c r="Z306" i="8"/>
  <c r="Y306" i="8"/>
  <c r="X306" i="8"/>
  <c r="V306" i="8"/>
  <c r="U306" i="8"/>
  <c r="T306" i="8"/>
  <c r="S306" i="8"/>
  <c r="N306" i="8"/>
  <c r="I306" i="8"/>
  <c r="G306" i="8" s="1"/>
  <c r="R306" i="8" s="1"/>
  <c r="AA305" i="8"/>
  <c r="Z305" i="8"/>
  <c r="Y305" i="8"/>
  <c r="X305" i="8"/>
  <c r="V305" i="8"/>
  <c r="U305" i="8"/>
  <c r="T305" i="8"/>
  <c r="S305" i="8"/>
  <c r="N305" i="8"/>
  <c r="I305" i="8"/>
  <c r="G305" i="8" s="1"/>
  <c r="R305" i="8" s="1"/>
  <c r="AA304" i="8"/>
  <c r="Z304" i="8"/>
  <c r="Y304" i="8"/>
  <c r="X304" i="8"/>
  <c r="V304" i="8"/>
  <c r="U304" i="8"/>
  <c r="T304" i="8"/>
  <c r="S304" i="8"/>
  <c r="N304" i="8"/>
  <c r="I304" i="8"/>
  <c r="G304" i="8" s="1"/>
  <c r="R304" i="8" s="1"/>
  <c r="AA303" i="8"/>
  <c r="Z303" i="8"/>
  <c r="V303" i="8"/>
  <c r="U303" i="8"/>
  <c r="T303" i="8"/>
  <c r="S303" i="8"/>
  <c r="P303" i="8"/>
  <c r="Y303" i="8" s="1"/>
  <c r="G303" i="8"/>
  <c r="R303" i="8" s="1"/>
  <c r="AA302" i="8"/>
  <c r="Z302" i="8"/>
  <c r="V302" i="8"/>
  <c r="U302" i="8"/>
  <c r="T302" i="8"/>
  <c r="S302" i="8"/>
  <c r="P302" i="8"/>
  <c r="G302" i="8"/>
  <c r="R302" i="8" s="1"/>
  <c r="AA301" i="8"/>
  <c r="Z301" i="8"/>
  <c r="Y301" i="8"/>
  <c r="X301" i="8"/>
  <c r="V301" i="8"/>
  <c r="U301" i="8"/>
  <c r="T301" i="8"/>
  <c r="S301" i="8"/>
  <c r="G301" i="8"/>
  <c r="R301" i="8" s="1"/>
  <c r="AA300" i="8"/>
  <c r="Z300" i="8"/>
  <c r="Y300" i="8"/>
  <c r="X300" i="8"/>
  <c r="V300" i="8"/>
  <c r="U300" i="8"/>
  <c r="T300" i="8"/>
  <c r="S300" i="8"/>
  <c r="N300" i="8"/>
  <c r="G300" i="8"/>
  <c r="R300" i="8" s="1"/>
  <c r="AA299" i="8"/>
  <c r="Z299" i="8"/>
  <c r="Y299" i="8"/>
  <c r="X299" i="8"/>
  <c r="V299" i="8"/>
  <c r="U299" i="8"/>
  <c r="T299" i="8"/>
  <c r="S299" i="8"/>
  <c r="N299" i="8"/>
  <c r="G299" i="8"/>
  <c r="R299" i="8" s="1"/>
  <c r="AA298" i="8"/>
  <c r="Z298" i="8"/>
  <c r="Y298" i="8"/>
  <c r="X298" i="8"/>
  <c r="V298" i="8"/>
  <c r="U298" i="8"/>
  <c r="T298" i="8"/>
  <c r="S298" i="8"/>
  <c r="N298" i="8"/>
  <c r="G298" i="8"/>
  <c r="R298" i="8" s="1"/>
  <c r="AA297" i="8"/>
  <c r="Z297" i="8"/>
  <c r="Y297" i="8"/>
  <c r="X297" i="8"/>
  <c r="V297" i="8"/>
  <c r="U297" i="8"/>
  <c r="T297" i="8"/>
  <c r="S297" i="8"/>
  <c r="N297" i="8"/>
  <c r="G297" i="8"/>
  <c r="R297" i="8" s="1"/>
  <c r="AA296" i="8"/>
  <c r="Z296" i="8"/>
  <c r="Y296" i="8"/>
  <c r="X296" i="8"/>
  <c r="V296" i="8"/>
  <c r="U296" i="8"/>
  <c r="T296" i="8"/>
  <c r="S296" i="8"/>
  <c r="N296" i="8"/>
  <c r="G296" i="8"/>
  <c r="R296" i="8" s="1"/>
  <c r="AA295" i="8"/>
  <c r="Z295" i="8"/>
  <c r="Y295" i="8"/>
  <c r="X295" i="8"/>
  <c r="V295" i="8"/>
  <c r="U295" i="8"/>
  <c r="T295" i="8"/>
  <c r="S295" i="8"/>
  <c r="N295" i="8"/>
  <c r="G295" i="8"/>
  <c r="R295" i="8" s="1"/>
  <c r="AA294" i="8"/>
  <c r="Z294" i="8"/>
  <c r="Y294" i="8"/>
  <c r="X294" i="8"/>
  <c r="V294" i="8"/>
  <c r="U294" i="8"/>
  <c r="T294" i="8"/>
  <c r="S294" i="8"/>
  <c r="N294" i="8"/>
  <c r="G294" i="8"/>
  <c r="R294" i="8" s="1"/>
  <c r="AA293" i="8"/>
  <c r="Z293" i="8"/>
  <c r="Y293" i="8"/>
  <c r="X293" i="8"/>
  <c r="V293" i="8"/>
  <c r="U293" i="8"/>
  <c r="T293" i="8"/>
  <c r="S293" i="8"/>
  <c r="N293" i="8"/>
  <c r="G293" i="8"/>
  <c r="R293" i="8" s="1"/>
  <c r="AA292" i="8"/>
  <c r="Z292" i="8"/>
  <c r="Y292" i="8"/>
  <c r="X292" i="8"/>
  <c r="V292" i="8"/>
  <c r="U292" i="8"/>
  <c r="T292" i="8"/>
  <c r="S292" i="8"/>
  <c r="N292" i="8"/>
  <c r="G292" i="8"/>
  <c r="R292" i="8" s="1"/>
  <c r="AA291" i="8"/>
  <c r="Z291" i="8"/>
  <c r="Y291" i="8"/>
  <c r="X291" i="8"/>
  <c r="V291" i="8"/>
  <c r="U291" i="8"/>
  <c r="T291" i="8"/>
  <c r="S291" i="8"/>
  <c r="G291" i="8"/>
  <c r="R291" i="8" s="1"/>
  <c r="AA290" i="8"/>
  <c r="Z290" i="8"/>
  <c r="Y290" i="8"/>
  <c r="X290" i="8"/>
  <c r="V290" i="8"/>
  <c r="U290" i="8"/>
  <c r="T290" i="8"/>
  <c r="S290" i="8"/>
  <c r="G290" i="8"/>
  <c r="R290" i="8" s="1"/>
  <c r="AA289" i="8"/>
  <c r="Z289" i="8"/>
  <c r="Y289" i="8"/>
  <c r="X289" i="8"/>
  <c r="V289" i="8"/>
  <c r="U289" i="8"/>
  <c r="T289" i="8"/>
  <c r="S289" i="8"/>
  <c r="G289" i="8"/>
  <c r="R289" i="8" s="1"/>
  <c r="AA288" i="8"/>
  <c r="Z288" i="8"/>
  <c r="Y288" i="8"/>
  <c r="X288" i="8"/>
  <c r="V288" i="8"/>
  <c r="U288" i="8"/>
  <c r="T288" i="8"/>
  <c r="S288" i="8"/>
  <c r="N288" i="8"/>
  <c r="G288" i="8"/>
  <c r="R288" i="8" s="1"/>
  <c r="AA287" i="8"/>
  <c r="Z287" i="8"/>
  <c r="Y287" i="8"/>
  <c r="X287" i="8"/>
  <c r="V287" i="8"/>
  <c r="U287" i="8"/>
  <c r="T287" i="8"/>
  <c r="S287" i="8"/>
  <c r="N287" i="8"/>
  <c r="G287" i="8"/>
  <c r="R287" i="8" s="1"/>
  <c r="AA286" i="8"/>
  <c r="Z286" i="8"/>
  <c r="Y286" i="8"/>
  <c r="X286" i="8"/>
  <c r="V286" i="8"/>
  <c r="U286" i="8"/>
  <c r="T286" i="8"/>
  <c r="S286" i="8"/>
  <c r="N286" i="8"/>
  <c r="G286" i="8"/>
  <c r="R286" i="8" s="1"/>
  <c r="AA285" i="8"/>
  <c r="Z285" i="8"/>
  <c r="Y285" i="8"/>
  <c r="X285" i="8"/>
  <c r="V285" i="8"/>
  <c r="U285" i="8"/>
  <c r="T285" i="8"/>
  <c r="S285" i="8"/>
  <c r="N285" i="8"/>
  <c r="G285" i="8"/>
  <c r="R285" i="8" s="1"/>
  <c r="AA284" i="8"/>
  <c r="Z284" i="8"/>
  <c r="Y284" i="8"/>
  <c r="X284" i="8"/>
  <c r="V284" i="8"/>
  <c r="U284" i="8"/>
  <c r="T284" i="8"/>
  <c r="S284" i="8"/>
  <c r="N284" i="8"/>
  <c r="G284" i="8"/>
  <c r="R284" i="8" s="1"/>
  <c r="AA283" i="8"/>
  <c r="Z283" i="8"/>
  <c r="Y283" i="8"/>
  <c r="X283" i="8"/>
  <c r="V283" i="8"/>
  <c r="U283" i="8"/>
  <c r="T283" i="8"/>
  <c r="S283" i="8"/>
  <c r="N283" i="8"/>
  <c r="G283" i="8"/>
  <c r="R283" i="8" s="1"/>
  <c r="AA282" i="8"/>
  <c r="Z282" i="8"/>
  <c r="Y282" i="8"/>
  <c r="X282" i="8"/>
  <c r="V282" i="8"/>
  <c r="U282" i="8"/>
  <c r="T282" i="8"/>
  <c r="S282" i="8"/>
  <c r="N282" i="8"/>
  <c r="G282" i="8"/>
  <c r="R282" i="8" s="1"/>
  <c r="AA281" i="8"/>
  <c r="Z281" i="8"/>
  <c r="Y281" i="8"/>
  <c r="X281" i="8"/>
  <c r="V281" i="8"/>
  <c r="U281" i="8"/>
  <c r="T281" i="8"/>
  <c r="S281" i="8"/>
  <c r="N281" i="8"/>
  <c r="G281" i="8"/>
  <c r="R281" i="8" s="1"/>
  <c r="AA280" i="8"/>
  <c r="Z280" i="8"/>
  <c r="Y280" i="8"/>
  <c r="X280" i="8"/>
  <c r="V280" i="8"/>
  <c r="U280" i="8"/>
  <c r="T280" i="8"/>
  <c r="S280" i="8"/>
  <c r="N280" i="8"/>
  <c r="G280" i="8"/>
  <c r="R280" i="8" s="1"/>
  <c r="AA279" i="8"/>
  <c r="Z279" i="8"/>
  <c r="Y279" i="8"/>
  <c r="X279" i="8"/>
  <c r="V279" i="8"/>
  <c r="U279" i="8"/>
  <c r="T279" i="8"/>
  <c r="S279" i="8"/>
  <c r="N279" i="8"/>
  <c r="G279" i="8"/>
  <c r="R279" i="8" s="1"/>
  <c r="AA278" i="8"/>
  <c r="Z278" i="8"/>
  <c r="Y278" i="8"/>
  <c r="X278" i="8"/>
  <c r="V278" i="8"/>
  <c r="U278" i="8"/>
  <c r="T278" i="8"/>
  <c r="S278" i="8"/>
  <c r="N278" i="8"/>
  <c r="G278" i="8"/>
  <c r="R278" i="8" s="1"/>
  <c r="AA277" i="8"/>
  <c r="Z277" i="8"/>
  <c r="Y277" i="8"/>
  <c r="X277" i="8"/>
  <c r="V277" i="8"/>
  <c r="U277" i="8"/>
  <c r="T277" i="8"/>
  <c r="S277" i="8"/>
  <c r="N277" i="8"/>
  <c r="G277" i="8"/>
  <c r="R277" i="8" s="1"/>
  <c r="AA276" i="8"/>
  <c r="Z276" i="8"/>
  <c r="Y276" i="8"/>
  <c r="X276" i="8"/>
  <c r="V276" i="8"/>
  <c r="U276" i="8"/>
  <c r="T276" i="8"/>
  <c r="S276" i="8"/>
  <c r="N276" i="8"/>
  <c r="G276" i="8"/>
  <c r="R276" i="8" s="1"/>
  <c r="AA275" i="8"/>
  <c r="Z275" i="8"/>
  <c r="Y275" i="8"/>
  <c r="X275" i="8"/>
  <c r="V275" i="8"/>
  <c r="U275" i="8"/>
  <c r="T275" i="8"/>
  <c r="S275" i="8"/>
  <c r="N275" i="8"/>
  <c r="G275" i="8"/>
  <c r="R275" i="8" s="1"/>
  <c r="AA274" i="8"/>
  <c r="Z274" i="8"/>
  <c r="Y274" i="8"/>
  <c r="X274" i="8"/>
  <c r="V274" i="8"/>
  <c r="U274" i="8"/>
  <c r="T274" i="8"/>
  <c r="S274" i="8"/>
  <c r="N274" i="8"/>
  <c r="G274" i="8"/>
  <c r="R274" i="8" s="1"/>
  <c r="AA273" i="8"/>
  <c r="Z273" i="8"/>
  <c r="Y273" i="8"/>
  <c r="X273" i="8"/>
  <c r="V273" i="8"/>
  <c r="U273" i="8"/>
  <c r="T273" i="8"/>
  <c r="S273" i="8"/>
  <c r="N273" i="8"/>
  <c r="G273" i="8"/>
  <c r="R273" i="8" s="1"/>
  <c r="AA272" i="8"/>
  <c r="Z272" i="8"/>
  <c r="Y272" i="8"/>
  <c r="X272" i="8"/>
  <c r="V272" i="8"/>
  <c r="U272" i="8"/>
  <c r="T272" i="8"/>
  <c r="S272" i="8"/>
  <c r="N272" i="8"/>
  <c r="G272" i="8"/>
  <c r="R272" i="8" s="1"/>
  <c r="AA271" i="8"/>
  <c r="Z271" i="8"/>
  <c r="Y271" i="8"/>
  <c r="X271" i="8"/>
  <c r="V271" i="8"/>
  <c r="U271" i="8"/>
  <c r="T271" i="8"/>
  <c r="S271" i="8"/>
  <c r="N271" i="8"/>
  <c r="G271" i="8"/>
  <c r="R271" i="8" s="1"/>
  <c r="AA270" i="8"/>
  <c r="Z270" i="8"/>
  <c r="Y270" i="8"/>
  <c r="X270" i="8"/>
  <c r="V270" i="8"/>
  <c r="U270" i="8"/>
  <c r="T270" i="8"/>
  <c r="S270" i="8"/>
  <c r="G270" i="8"/>
  <c r="R270" i="8" s="1"/>
  <c r="AA269" i="8"/>
  <c r="Z269" i="8"/>
  <c r="Y269" i="8"/>
  <c r="X269" i="8"/>
  <c r="V269" i="8"/>
  <c r="U269" i="8"/>
  <c r="T269" i="8"/>
  <c r="S269" i="8"/>
  <c r="G269" i="8"/>
  <c r="R269" i="8" s="1"/>
  <c r="AA268" i="8"/>
  <c r="Z268" i="8"/>
  <c r="Y268" i="8"/>
  <c r="X268" i="8"/>
  <c r="V268" i="8"/>
  <c r="U268" i="8"/>
  <c r="T268" i="8"/>
  <c r="S268" i="8"/>
  <c r="G268" i="8"/>
  <c r="R268" i="8" s="1"/>
  <c r="AA267" i="8"/>
  <c r="Z267" i="8"/>
  <c r="Y267" i="8"/>
  <c r="X267" i="8"/>
  <c r="V267" i="8"/>
  <c r="U267" i="8"/>
  <c r="T267" i="8"/>
  <c r="S267" i="8"/>
  <c r="N267" i="8"/>
  <c r="G267" i="8"/>
  <c r="R267" i="8" s="1"/>
  <c r="AA266" i="8"/>
  <c r="Z266" i="8"/>
  <c r="Y266" i="8"/>
  <c r="X266" i="8"/>
  <c r="V266" i="8"/>
  <c r="U266" i="8"/>
  <c r="T266" i="8"/>
  <c r="S266" i="8"/>
  <c r="N266" i="8"/>
  <c r="G266" i="8"/>
  <c r="R266" i="8" s="1"/>
  <c r="AA265" i="8"/>
  <c r="Z265" i="8"/>
  <c r="Y265" i="8"/>
  <c r="X265" i="8"/>
  <c r="V265" i="8"/>
  <c r="U265" i="8"/>
  <c r="T265" i="8"/>
  <c r="S265" i="8"/>
  <c r="N265" i="8"/>
  <c r="G265" i="8"/>
  <c r="R265" i="8" s="1"/>
  <c r="AA264" i="8"/>
  <c r="Z264" i="8"/>
  <c r="Y264" i="8"/>
  <c r="X264" i="8"/>
  <c r="V264" i="8"/>
  <c r="U264" i="8"/>
  <c r="T264" i="8"/>
  <c r="S264" i="8"/>
  <c r="N264" i="8"/>
  <c r="G264" i="8"/>
  <c r="R264" i="8" s="1"/>
  <c r="AA263" i="8"/>
  <c r="Z263" i="8"/>
  <c r="Y263" i="8"/>
  <c r="X263" i="8"/>
  <c r="V263" i="8"/>
  <c r="U263" i="8"/>
  <c r="T263" i="8"/>
  <c r="S263" i="8"/>
  <c r="N263" i="8"/>
  <c r="G263" i="8"/>
  <c r="R263" i="8" s="1"/>
  <c r="AA262" i="8"/>
  <c r="Z262" i="8"/>
  <c r="Y262" i="8"/>
  <c r="X262" i="8"/>
  <c r="V262" i="8"/>
  <c r="U262" i="8"/>
  <c r="T262" i="8"/>
  <c r="S262" i="8"/>
  <c r="N262" i="8"/>
  <c r="G262" i="8"/>
  <c r="R262" i="8" s="1"/>
  <c r="AA261" i="8"/>
  <c r="Z261" i="8"/>
  <c r="Y261" i="8"/>
  <c r="X261" i="8"/>
  <c r="V261" i="8"/>
  <c r="U261" i="8"/>
  <c r="T261" i="8"/>
  <c r="S261" i="8"/>
  <c r="N261" i="8"/>
  <c r="G261" i="8"/>
  <c r="R261" i="8" s="1"/>
  <c r="AA260" i="8"/>
  <c r="Z260" i="8"/>
  <c r="Y260" i="8"/>
  <c r="X260" i="8"/>
  <c r="V260" i="8"/>
  <c r="U260" i="8"/>
  <c r="T260" i="8"/>
  <c r="S260" i="8"/>
  <c r="N260" i="8"/>
  <c r="G260" i="8"/>
  <c r="R260" i="8" s="1"/>
  <c r="AA259" i="8"/>
  <c r="Z259" i="8"/>
  <c r="Y259" i="8"/>
  <c r="X259" i="8"/>
  <c r="V259" i="8"/>
  <c r="U259" i="8"/>
  <c r="T259" i="8"/>
  <c r="S259" i="8"/>
  <c r="N259" i="8"/>
  <c r="G259" i="8"/>
  <c r="R259" i="8" s="1"/>
  <c r="AA258" i="8"/>
  <c r="Z258" i="8"/>
  <c r="Y258" i="8"/>
  <c r="X258" i="8"/>
  <c r="V258" i="8"/>
  <c r="U258" i="8"/>
  <c r="T258" i="8"/>
  <c r="S258" i="8"/>
  <c r="N258" i="8"/>
  <c r="G258" i="8"/>
  <c r="R258" i="8" s="1"/>
  <c r="AA257" i="8"/>
  <c r="Z257" i="8"/>
  <c r="Y257" i="8"/>
  <c r="X257" i="8"/>
  <c r="V257" i="8"/>
  <c r="U257" i="8"/>
  <c r="T257" i="8"/>
  <c r="S257" i="8"/>
  <c r="N257" i="8"/>
  <c r="G257" i="8"/>
  <c r="R257" i="8" s="1"/>
  <c r="AA256" i="8"/>
  <c r="Z256" i="8"/>
  <c r="Y256" i="8"/>
  <c r="X256" i="8"/>
  <c r="V256" i="8"/>
  <c r="U256" i="8"/>
  <c r="T256" i="8"/>
  <c r="S256" i="8"/>
  <c r="N256" i="8"/>
  <c r="G256" i="8"/>
  <c r="R256" i="8" s="1"/>
  <c r="AA255" i="8"/>
  <c r="Z255" i="8"/>
  <c r="V255" i="8"/>
  <c r="U255" i="8"/>
  <c r="T255" i="8"/>
  <c r="S255" i="8"/>
  <c r="P255" i="8"/>
  <c r="X255" i="8" s="1"/>
  <c r="G255" i="8"/>
  <c r="R255" i="8" s="1"/>
  <c r="AA254" i="8"/>
  <c r="Z254" i="8"/>
  <c r="V254" i="8"/>
  <c r="U254" i="8"/>
  <c r="T254" i="8"/>
  <c r="S254" i="8"/>
  <c r="P254" i="8"/>
  <c r="X254" i="8" s="1"/>
  <c r="G254" i="8"/>
  <c r="R254" i="8" s="1"/>
  <c r="AA253" i="8"/>
  <c r="Z253" i="8"/>
  <c r="Y253" i="8"/>
  <c r="X253" i="8"/>
  <c r="V253" i="8"/>
  <c r="U253" i="8"/>
  <c r="T253" i="8"/>
  <c r="S253" i="8"/>
  <c r="G253" i="8"/>
  <c r="R253" i="8" s="1"/>
  <c r="AA252" i="8"/>
  <c r="Z252" i="8"/>
  <c r="Y252" i="8"/>
  <c r="X252" i="8"/>
  <c r="V252" i="8"/>
  <c r="U252" i="8"/>
  <c r="T252" i="8"/>
  <c r="S252" i="8"/>
  <c r="N252" i="8"/>
  <c r="G252" i="8"/>
  <c r="R252" i="8" s="1"/>
  <c r="AA251" i="8"/>
  <c r="Z251" i="8"/>
  <c r="Y251" i="8"/>
  <c r="X251" i="8"/>
  <c r="V251" i="8"/>
  <c r="U251" i="8"/>
  <c r="T251" i="8"/>
  <c r="S251" i="8"/>
  <c r="N251" i="8"/>
  <c r="G251" i="8"/>
  <c r="R251" i="8" s="1"/>
  <c r="AA250" i="8"/>
  <c r="Z250" i="8"/>
  <c r="Y250" i="8"/>
  <c r="X250" i="8"/>
  <c r="V250" i="8"/>
  <c r="U250" i="8"/>
  <c r="T250" i="8"/>
  <c r="S250" i="8"/>
  <c r="N250" i="8"/>
  <c r="G250" i="8"/>
  <c r="R250" i="8" s="1"/>
  <c r="AA249" i="8"/>
  <c r="Z249" i="8"/>
  <c r="V249" i="8"/>
  <c r="U249" i="8"/>
  <c r="T249" i="8"/>
  <c r="S249" i="8"/>
  <c r="P249" i="8"/>
  <c r="N249" i="8"/>
  <c r="G249" i="8"/>
  <c r="R249" i="8" s="1"/>
  <c r="AA248" i="8"/>
  <c r="Z248" i="8"/>
  <c r="V248" i="8"/>
  <c r="U248" i="8"/>
  <c r="T248" i="8"/>
  <c r="S248" i="8"/>
  <c r="P248" i="8"/>
  <c r="N248" i="8"/>
  <c r="G248" i="8"/>
  <c r="R248" i="8" s="1"/>
  <c r="AA247" i="8"/>
  <c r="Z247" i="8"/>
  <c r="V247" i="8"/>
  <c r="U247" i="8"/>
  <c r="T247" i="8"/>
  <c r="S247" i="8"/>
  <c r="P247" i="8"/>
  <c r="N247" i="8"/>
  <c r="G247" i="8"/>
  <c r="R247" i="8" s="1"/>
  <c r="AA246" i="8"/>
  <c r="Z246" i="8"/>
  <c r="Y246" i="8"/>
  <c r="X246" i="8"/>
  <c r="V246" i="8"/>
  <c r="U246" i="8"/>
  <c r="T246" i="8"/>
  <c r="S246" i="8"/>
  <c r="N246" i="8"/>
  <c r="G246" i="8"/>
  <c r="R246" i="8" s="1"/>
  <c r="AA245" i="8"/>
  <c r="Z245" i="8"/>
  <c r="Y245" i="8"/>
  <c r="X245" i="8"/>
  <c r="V245" i="8"/>
  <c r="U245" i="8"/>
  <c r="T245" i="8"/>
  <c r="S245" i="8"/>
  <c r="N245" i="8"/>
  <c r="G245" i="8"/>
  <c r="R245" i="8" s="1"/>
  <c r="AA244" i="8"/>
  <c r="Z244" i="8"/>
  <c r="Y244" i="8"/>
  <c r="X244" i="8"/>
  <c r="V244" i="8"/>
  <c r="U244" i="8"/>
  <c r="T244" i="8"/>
  <c r="S244" i="8"/>
  <c r="N244" i="8"/>
  <c r="G244" i="8"/>
  <c r="R244" i="8" s="1"/>
  <c r="AA243" i="8"/>
  <c r="Z243" i="8"/>
  <c r="Y243" i="8"/>
  <c r="X243" i="8"/>
  <c r="V243" i="8"/>
  <c r="U243" i="8"/>
  <c r="T243" i="8"/>
  <c r="S243" i="8"/>
  <c r="N243" i="8"/>
  <c r="G243" i="8"/>
  <c r="R243" i="8" s="1"/>
  <c r="AA242" i="8"/>
  <c r="Z242" i="8"/>
  <c r="Y242" i="8"/>
  <c r="X242" i="8"/>
  <c r="V242" i="8"/>
  <c r="U242" i="8"/>
  <c r="T242" i="8"/>
  <c r="S242" i="8"/>
  <c r="N242" i="8"/>
  <c r="G242" i="8"/>
  <c r="R242" i="8" s="1"/>
  <c r="AA241" i="8"/>
  <c r="Z241" i="8"/>
  <c r="Y241" i="8"/>
  <c r="X241" i="8"/>
  <c r="V241" i="8"/>
  <c r="U241" i="8"/>
  <c r="T241" i="8"/>
  <c r="S241" i="8"/>
  <c r="N241" i="8"/>
  <c r="G241" i="8"/>
  <c r="R241" i="8" s="1"/>
  <c r="AA240" i="8"/>
  <c r="Z240" i="8"/>
  <c r="Y240" i="8"/>
  <c r="X240" i="8"/>
  <c r="V240" i="8"/>
  <c r="U240" i="8"/>
  <c r="T240" i="8"/>
  <c r="S240" i="8"/>
  <c r="N240" i="8"/>
  <c r="G240" i="8"/>
  <c r="R240" i="8" s="1"/>
  <c r="AA239" i="8"/>
  <c r="Z239" i="8"/>
  <c r="Y239" i="8"/>
  <c r="X239" i="8"/>
  <c r="V239" i="8"/>
  <c r="U239" i="8"/>
  <c r="T239" i="8"/>
  <c r="S239" i="8"/>
  <c r="N239" i="8"/>
  <c r="G239" i="8"/>
  <c r="R239" i="8" s="1"/>
  <c r="AA238" i="8"/>
  <c r="Z238" i="8"/>
  <c r="Y238" i="8"/>
  <c r="X238" i="8"/>
  <c r="V238" i="8"/>
  <c r="U238" i="8"/>
  <c r="T238" i="8"/>
  <c r="S238" i="8"/>
  <c r="N238" i="8"/>
  <c r="G238" i="8"/>
  <c r="R238" i="8" s="1"/>
  <c r="AA237" i="8"/>
  <c r="Z237" i="8"/>
  <c r="Y237" i="8"/>
  <c r="X237" i="8"/>
  <c r="V237" i="8"/>
  <c r="U237" i="8"/>
  <c r="T237" i="8"/>
  <c r="S237" i="8"/>
  <c r="N237" i="8"/>
  <c r="G237" i="8"/>
  <c r="R237" i="8" s="1"/>
  <c r="AA236" i="8"/>
  <c r="Z236" i="8"/>
  <c r="Y236" i="8"/>
  <c r="X236" i="8"/>
  <c r="V236" i="8"/>
  <c r="U236" i="8"/>
  <c r="T236" i="8"/>
  <c r="S236" i="8"/>
  <c r="N236" i="8"/>
  <c r="G236" i="8"/>
  <c r="R236" i="8" s="1"/>
  <c r="AA235" i="8"/>
  <c r="Z235" i="8"/>
  <c r="Y235" i="8"/>
  <c r="X235" i="8"/>
  <c r="V235" i="8"/>
  <c r="U235" i="8"/>
  <c r="T235" i="8"/>
  <c r="S235" i="8"/>
  <c r="N235" i="8"/>
  <c r="G235" i="8"/>
  <c r="R235" i="8" s="1"/>
  <c r="AA234" i="8"/>
  <c r="Z234" i="8"/>
  <c r="Y234" i="8"/>
  <c r="X234" i="8"/>
  <c r="V234" i="8"/>
  <c r="U234" i="8"/>
  <c r="T234" i="8"/>
  <c r="S234" i="8"/>
  <c r="N234" i="8"/>
  <c r="G234" i="8"/>
  <c r="R234" i="8" s="1"/>
  <c r="AA233" i="8"/>
  <c r="Z233" i="8"/>
  <c r="Y233" i="8"/>
  <c r="X233" i="8"/>
  <c r="V233" i="8"/>
  <c r="U233" i="8"/>
  <c r="T233" i="8"/>
  <c r="S233" i="8"/>
  <c r="N233" i="8"/>
  <c r="G233" i="8"/>
  <c r="R233" i="8" s="1"/>
  <c r="AA232" i="8"/>
  <c r="Z232" i="8"/>
  <c r="Y232" i="8"/>
  <c r="X232" i="8"/>
  <c r="V232" i="8"/>
  <c r="U232" i="8"/>
  <c r="T232" i="8"/>
  <c r="S232" i="8"/>
  <c r="N232" i="8"/>
  <c r="G232" i="8"/>
  <c r="R232" i="8" s="1"/>
  <c r="AA231" i="8"/>
  <c r="Z231" i="8"/>
  <c r="Y231" i="8"/>
  <c r="X231" i="8"/>
  <c r="V231" i="8"/>
  <c r="U231" i="8"/>
  <c r="T231" i="8"/>
  <c r="S231" i="8"/>
  <c r="N231" i="8"/>
  <c r="G231" i="8"/>
  <c r="R231" i="8" s="1"/>
  <c r="AA230" i="8"/>
  <c r="Z230" i="8"/>
  <c r="Y230" i="8"/>
  <c r="X230" i="8"/>
  <c r="V230" i="8"/>
  <c r="U230" i="8"/>
  <c r="T230" i="8"/>
  <c r="S230" i="8"/>
  <c r="N230" i="8"/>
  <c r="G230" i="8"/>
  <c r="R230" i="8" s="1"/>
  <c r="AA229" i="8"/>
  <c r="Z229" i="8"/>
  <c r="Y229" i="8"/>
  <c r="X229" i="8"/>
  <c r="V229" i="8"/>
  <c r="U229" i="8"/>
  <c r="T229" i="8"/>
  <c r="S229" i="8"/>
  <c r="N229" i="8"/>
  <c r="G229" i="8"/>
  <c r="R229" i="8" s="1"/>
  <c r="AA228" i="8"/>
  <c r="Z228" i="8"/>
  <c r="Y228" i="8"/>
  <c r="X228" i="8"/>
  <c r="V228" i="8"/>
  <c r="U228" i="8"/>
  <c r="T228" i="8"/>
  <c r="S228" i="8"/>
  <c r="N228" i="8"/>
  <c r="G228" i="8"/>
  <c r="R228" i="8" s="1"/>
  <c r="AA227" i="8"/>
  <c r="Z227" i="8"/>
  <c r="Y227" i="8"/>
  <c r="X227" i="8"/>
  <c r="V227" i="8"/>
  <c r="U227" i="8"/>
  <c r="T227" i="8"/>
  <c r="S227" i="8"/>
  <c r="N227" i="8"/>
  <c r="G227" i="8"/>
  <c r="R227" i="8" s="1"/>
  <c r="AA226" i="8"/>
  <c r="Z226" i="8"/>
  <c r="Y226" i="8"/>
  <c r="X226" i="8"/>
  <c r="V226" i="8"/>
  <c r="U226" i="8"/>
  <c r="T226" i="8"/>
  <c r="S226" i="8"/>
  <c r="N226" i="8"/>
  <c r="G226" i="8"/>
  <c r="R226" i="8" s="1"/>
  <c r="AA225" i="8"/>
  <c r="Z225" i="8"/>
  <c r="Y225" i="8"/>
  <c r="X225" i="8"/>
  <c r="V225" i="8"/>
  <c r="U225" i="8"/>
  <c r="T225" i="8"/>
  <c r="S225" i="8"/>
  <c r="N225" i="8"/>
  <c r="G225" i="8"/>
  <c r="R225" i="8" s="1"/>
  <c r="AA224" i="8"/>
  <c r="Z224" i="8"/>
  <c r="Y224" i="8"/>
  <c r="X224" i="8"/>
  <c r="V224" i="8"/>
  <c r="U224" i="8"/>
  <c r="T224" i="8"/>
  <c r="S224" i="8"/>
  <c r="N224" i="8"/>
  <c r="G224" i="8"/>
  <c r="R224" i="8" s="1"/>
  <c r="AA223" i="8"/>
  <c r="Z223" i="8"/>
  <c r="Y223" i="8"/>
  <c r="X223" i="8"/>
  <c r="V223" i="8"/>
  <c r="U223" i="8"/>
  <c r="T223" i="8"/>
  <c r="S223" i="8"/>
  <c r="N223" i="8"/>
  <c r="G223" i="8"/>
  <c r="R223" i="8" s="1"/>
  <c r="AA222" i="8"/>
  <c r="Z222" i="8"/>
  <c r="Y222" i="8"/>
  <c r="X222" i="8"/>
  <c r="V222" i="8"/>
  <c r="U222" i="8"/>
  <c r="T222" i="8"/>
  <c r="S222" i="8"/>
  <c r="N222" i="8"/>
  <c r="G222" i="8"/>
  <c r="R222" i="8" s="1"/>
  <c r="AA221" i="8"/>
  <c r="Z221" i="8"/>
  <c r="Y221" i="8"/>
  <c r="X221" i="8"/>
  <c r="V221" i="8"/>
  <c r="U221" i="8"/>
  <c r="T221" i="8"/>
  <c r="S221" i="8"/>
  <c r="G221" i="8"/>
  <c r="R221" i="8" s="1"/>
  <c r="AA220" i="8"/>
  <c r="Z220" i="8"/>
  <c r="Y220" i="8"/>
  <c r="X220" i="8"/>
  <c r="V220" i="8"/>
  <c r="U220" i="8"/>
  <c r="T220" i="8"/>
  <c r="S220" i="8"/>
  <c r="G220" i="8"/>
  <c r="R220" i="8" s="1"/>
  <c r="AA219" i="8"/>
  <c r="Z219" i="8"/>
  <c r="Y219" i="8"/>
  <c r="X219" i="8"/>
  <c r="V219" i="8"/>
  <c r="U219" i="8"/>
  <c r="T219" i="8"/>
  <c r="S219" i="8"/>
  <c r="N219" i="8"/>
  <c r="G219" i="8"/>
  <c r="R219" i="8" s="1"/>
  <c r="AA218" i="8"/>
  <c r="Z218" i="8"/>
  <c r="Y218" i="8"/>
  <c r="X218" i="8"/>
  <c r="V218" i="8"/>
  <c r="U218" i="8"/>
  <c r="T218" i="8"/>
  <c r="S218" i="8"/>
  <c r="N218" i="8"/>
  <c r="G218" i="8"/>
  <c r="R218" i="8" s="1"/>
  <c r="AA217" i="8"/>
  <c r="Z217" i="8"/>
  <c r="Y217" i="8"/>
  <c r="X217" i="8"/>
  <c r="V217" i="8"/>
  <c r="U217" i="8"/>
  <c r="T217" i="8"/>
  <c r="S217" i="8"/>
  <c r="N217" i="8"/>
  <c r="G217" i="8"/>
  <c r="R217" i="8" s="1"/>
  <c r="AA216" i="8"/>
  <c r="Z216" i="8"/>
  <c r="Y216" i="8"/>
  <c r="X216" i="8"/>
  <c r="V216" i="8"/>
  <c r="U216" i="8"/>
  <c r="T216" i="8"/>
  <c r="S216" i="8"/>
  <c r="N216" i="8"/>
  <c r="G216" i="8"/>
  <c r="R216" i="8" s="1"/>
  <c r="AA215" i="8"/>
  <c r="Z215" i="8"/>
  <c r="Y215" i="8"/>
  <c r="X215" i="8"/>
  <c r="V215" i="8"/>
  <c r="U215" i="8"/>
  <c r="T215" i="8"/>
  <c r="S215" i="8"/>
  <c r="N215" i="8"/>
  <c r="G215" i="8"/>
  <c r="R215" i="8" s="1"/>
  <c r="AA214" i="8"/>
  <c r="Z214" i="8"/>
  <c r="Y214" i="8"/>
  <c r="X214" i="8"/>
  <c r="V214" i="8"/>
  <c r="U214" i="8"/>
  <c r="T214" i="8"/>
  <c r="S214" i="8"/>
  <c r="N214" i="8"/>
  <c r="G214" i="8"/>
  <c r="R214" i="8" s="1"/>
  <c r="AA213" i="8"/>
  <c r="Z213" i="8"/>
  <c r="Y213" i="8"/>
  <c r="X213" i="8"/>
  <c r="V213" i="8"/>
  <c r="U213" i="8"/>
  <c r="T213" i="8"/>
  <c r="S213" i="8"/>
  <c r="N213" i="8"/>
  <c r="G213" i="8"/>
  <c r="R213" i="8" s="1"/>
  <c r="AA212" i="8"/>
  <c r="Z212" i="8"/>
  <c r="Y212" i="8"/>
  <c r="X212" i="8"/>
  <c r="V212" i="8"/>
  <c r="U212" i="8"/>
  <c r="T212" i="8"/>
  <c r="S212" i="8"/>
  <c r="N212" i="8"/>
  <c r="G212" i="8"/>
  <c r="R212" i="8" s="1"/>
  <c r="AA211" i="8"/>
  <c r="Z211" i="8"/>
  <c r="Y211" i="8"/>
  <c r="X211" i="8"/>
  <c r="V211" i="8"/>
  <c r="U211" i="8"/>
  <c r="T211" i="8"/>
  <c r="S211" i="8"/>
  <c r="N211" i="8"/>
  <c r="G211" i="8"/>
  <c r="R211" i="8" s="1"/>
  <c r="AA210" i="8"/>
  <c r="Z210" i="8"/>
  <c r="Y210" i="8"/>
  <c r="X210" i="8"/>
  <c r="V210" i="8"/>
  <c r="U210" i="8"/>
  <c r="T210" i="8"/>
  <c r="S210" i="8"/>
  <c r="N210" i="8"/>
  <c r="G210" i="8"/>
  <c r="R210" i="8" s="1"/>
  <c r="AA209" i="8"/>
  <c r="Z209" i="8"/>
  <c r="Y209" i="8"/>
  <c r="X209" i="8"/>
  <c r="V209" i="8"/>
  <c r="U209" i="8"/>
  <c r="T209" i="8"/>
  <c r="S209" i="8"/>
  <c r="N209" i="8"/>
  <c r="G209" i="8"/>
  <c r="R209" i="8" s="1"/>
  <c r="AA208" i="8"/>
  <c r="Z208" i="8"/>
  <c r="Y208" i="8"/>
  <c r="X208" i="8"/>
  <c r="V208" i="8"/>
  <c r="U208" i="8"/>
  <c r="T208" i="8"/>
  <c r="S208" i="8"/>
  <c r="N208" i="8"/>
  <c r="G208" i="8"/>
  <c r="R208" i="8" s="1"/>
  <c r="AA207" i="8"/>
  <c r="Z207" i="8"/>
  <c r="Y207" i="8"/>
  <c r="X207" i="8"/>
  <c r="V207" i="8"/>
  <c r="U207" i="8"/>
  <c r="T207" i="8"/>
  <c r="S207" i="8"/>
  <c r="N207" i="8"/>
  <c r="G207" i="8"/>
  <c r="R207" i="8" s="1"/>
  <c r="AA206" i="8"/>
  <c r="Z206" i="8"/>
  <c r="Y206" i="8"/>
  <c r="X206" i="8"/>
  <c r="V206" i="8"/>
  <c r="U206" i="8"/>
  <c r="T206" i="8"/>
  <c r="S206" i="8"/>
  <c r="N206" i="8"/>
  <c r="G206" i="8"/>
  <c r="R206" i="8" s="1"/>
  <c r="AA205" i="8"/>
  <c r="Z205" i="8"/>
  <c r="Y205" i="8"/>
  <c r="X205" i="8"/>
  <c r="V205" i="8"/>
  <c r="U205" i="8"/>
  <c r="T205" i="8"/>
  <c r="S205" i="8"/>
  <c r="N205" i="8"/>
  <c r="G205" i="8"/>
  <c r="R205" i="8" s="1"/>
  <c r="AA204" i="8"/>
  <c r="Z204" i="8"/>
  <c r="Y204" i="8"/>
  <c r="X204" i="8"/>
  <c r="V204" i="8"/>
  <c r="U204" i="8"/>
  <c r="T204" i="8"/>
  <c r="S204" i="8"/>
  <c r="N204" i="8"/>
  <c r="G204" i="8"/>
  <c r="R204" i="8" s="1"/>
  <c r="AA203" i="8"/>
  <c r="Z203" i="8"/>
  <c r="Y203" i="8"/>
  <c r="X203" i="8"/>
  <c r="V203" i="8"/>
  <c r="U203" i="8"/>
  <c r="T203" i="8"/>
  <c r="S203" i="8"/>
  <c r="N203" i="8"/>
  <c r="G203" i="8"/>
  <c r="R203" i="8" s="1"/>
  <c r="AA202" i="8"/>
  <c r="Z202" i="8"/>
  <c r="Y202" i="8"/>
  <c r="X202" i="8"/>
  <c r="V202" i="8"/>
  <c r="U202" i="8"/>
  <c r="T202" i="8"/>
  <c r="S202" i="8"/>
  <c r="N202" i="8"/>
  <c r="G202" i="8"/>
  <c r="R202" i="8" s="1"/>
  <c r="AA201" i="8"/>
  <c r="Z201" i="8"/>
  <c r="Y201" i="8"/>
  <c r="X201" i="8"/>
  <c r="V201" i="8"/>
  <c r="U201" i="8"/>
  <c r="T201" i="8"/>
  <c r="S201" i="8"/>
  <c r="N201" i="8"/>
  <c r="G201" i="8"/>
  <c r="R201" i="8" s="1"/>
  <c r="AA200" i="8"/>
  <c r="Z200" i="8"/>
  <c r="Y200" i="8"/>
  <c r="X200" i="8"/>
  <c r="V200" i="8"/>
  <c r="U200" i="8"/>
  <c r="T200" i="8"/>
  <c r="S200" i="8"/>
  <c r="N200" i="8"/>
  <c r="G200" i="8"/>
  <c r="R200" i="8" s="1"/>
  <c r="AA199" i="8"/>
  <c r="Z199" i="8"/>
  <c r="Y199" i="8"/>
  <c r="X199" i="8"/>
  <c r="V199" i="8"/>
  <c r="U199" i="8"/>
  <c r="T199" i="8"/>
  <c r="S199" i="8"/>
  <c r="N199" i="8"/>
  <c r="G199" i="8"/>
  <c r="R199" i="8" s="1"/>
  <c r="P198" i="8"/>
  <c r="X198" i="8" s="1"/>
  <c r="O198" i="8"/>
  <c r="Z198" i="8" s="1"/>
  <c r="N198" i="8"/>
  <c r="M198" i="8"/>
  <c r="L198" i="8"/>
  <c r="W198" i="8" s="1"/>
  <c r="J198" i="8"/>
  <c r="AA198" i="8" s="1"/>
  <c r="I198" i="8"/>
  <c r="H198" i="8"/>
  <c r="S198" i="8" s="1"/>
  <c r="F198" i="8"/>
  <c r="E198" i="8"/>
  <c r="D198" i="8"/>
  <c r="P197" i="8"/>
  <c r="X197" i="8" s="1"/>
  <c r="O197" i="8"/>
  <c r="N197" i="8"/>
  <c r="M197" i="8"/>
  <c r="L197" i="8"/>
  <c r="W197" i="8" s="1"/>
  <c r="J197" i="8"/>
  <c r="I197" i="8"/>
  <c r="H197" i="8"/>
  <c r="F197" i="8"/>
  <c r="E197" i="8"/>
  <c r="D197" i="8"/>
  <c r="P196" i="8"/>
  <c r="O196" i="8"/>
  <c r="Z196" i="8" s="1"/>
  <c r="N196" i="8"/>
  <c r="M196" i="8"/>
  <c r="L196" i="8"/>
  <c r="W196" i="8" s="1"/>
  <c r="J196" i="8"/>
  <c r="AA196" i="8" s="1"/>
  <c r="I196" i="8"/>
  <c r="H196" i="8"/>
  <c r="F196" i="8"/>
  <c r="E196" i="8"/>
  <c r="D196" i="8"/>
  <c r="AA195" i="8"/>
  <c r="Z195" i="8"/>
  <c r="Y195" i="8"/>
  <c r="X195" i="8"/>
  <c r="V195" i="8"/>
  <c r="U195" i="8"/>
  <c r="T195" i="8"/>
  <c r="S195" i="8"/>
  <c r="N195" i="8"/>
  <c r="G195" i="8"/>
  <c r="R195" i="8" s="1"/>
  <c r="AA194" i="8"/>
  <c r="Z194" i="8"/>
  <c r="Y194" i="8"/>
  <c r="X194" i="8"/>
  <c r="V194" i="8"/>
  <c r="U194" i="8"/>
  <c r="T194" i="8"/>
  <c r="S194" i="8"/>
  <c r="N194" i="8"/>
  <c r="G194" i="8"/>
  <c r="R194" i="8" s="1"/>
  <c r="AA193" i="8"/>
  <c r="Z193" i="8"/>
  <c r="Y193" i="8"/>
  <c r="X193" i="8"/>
  <c r="V193" i="8"/>
  <c r="U193" i="8"/>
  <c r="T193" i="8"/>
  <c r="S193" i="8"/>
  <c r="N193" i="8"/>
  <c r="G193" i="8"/>
  <c r="R193" i="8" s="1"/>
  <c r="AA192" i="8"/>
  <c r="Z192" i="8"/>
  <c r="Y192" i="8"/>
  <c r="X192" i="8"/>
  <c r="V192" i="8"/>
  <c r="U192" i="8"/>
  <c r="T192" i="8"/>
  <c r="S192" i="8"/>
  <c r="N192" i="8"/>
  <c r="G192" i="8"/>
  <c r="R192" i="8" s="1"/>
  <c r="AA191" i="8"/>
  <c r="Z191" i="8"/>
  <c r="Y191" i="8"/>
  <c r="X191" i="8"/>
  <c r="V191" i="8"/>
  <c r="U191" i="8"/>
  <c r="T191" i="8"/>
  <c r="S191" i="8"/>
  <c r="N191" i="8"/>
  <c r="G191" i="8"/>
  <c r="R191" i="8" s="1"/>
  <c r="AA190" i="8"/>
  <c r="Z190" i="8"/>
  <c r="Y190" i="8"/>
  <c r="X190" i="8"/>
  <c r="V190" i="8"/>
  <c r="U190" i="8"/>
  <c r="T190" i="8"/>
  <c r="S190" i="8"/>
  <c r="N190" i="8"/>
  <c r="G190" i="8"/>
  <c r="R190" i="8" s="1"/>
  <c r="AA189" i="8"/>
  <c r="Z189" i="8"/>
  <c r="Y189" i="8"/>
  <c r="X189" i="8"/>
  <c r="V189" i="8"/>
  <c r="U189" i="8"/>
  <c r="T189" i="8"/>
  <c r="S189" i="8"/>
  <c r="N189" i="8"/>
  <c r="G189" i="8"/>
  <c r="R189" i="8" s="1"/>
  <c r="AA188" i="8"/>
  <c r="Z188" i="8"/>
  <c r="Y188" i="8"/>
  <c r="X188" i="8"/>
  <c r="V188" i="8"/>
  <c r="U188" i="8"/>
  <c r="T188" i="8"/>
  <c r="S188" i="8"/>
  <c r="N188" i="8"/>
  <c r="G188" i="8"/>
  <c r="R188" i="8" s="1"/>
  <c r="AA187" i="8"/>
  <c r="Z187" i="8"/>
  <c r="Y187" i="8"/>
  <c r="X187" i="8"/>
  <c r="V187" i="8"/>
  <c r="U187" i="8"/>
  <c r="T187" i="8"/>
  <c r="S187" i="8"/>
  <c r="N187" i="8"/>
  <c r="G187" i="8"/>
  <c r="R187" i="8" s="1"/>
  <c r="AA186" i="8"/>
  <c r="Z186" i="8"/>
  <c r="Y186" i="8"/>
  <c r="X186" i="8"/>
  <c r="V186" i="8"/>
  <c r="U186" i="8"/>
  <c r="T186" i="8"/>
  <c r="S186" i="8"/>
  <c r="N186" i="8"/>
  <c r="G186" i="8"/>
  <c r="R186" i="8" s="1"/>
  <c r="AA185" i="8"/>
  <c r="Z185" i="8"/>
  <c r="Y185" i="8"/>
  <c r="X185" i="8"/>
  <c r="V185" i="8"/>
  <c r="U185" i="8"/>
  <c r="T185" i="8"/>
  <c r="S185" i="8"/>
  <c r="N185" i="8"/>
  <c r="G185" i="8"/>
  <c r="R185" i="8" s="1"/>
  <c r="AA184" i="8"/>
  <c r="Z184" i="8"/>
  <c r="Y184" i="8"/>
  <c r="X184" i="8"/>
  <c r="V184" i="8"/>
  <c r="U184" i="8"/>
  <c r="T184" i="8"/>
  <c r="S184" i="8"/>
  <c r="N184" i="8"/>
  <c r="G184" i="8"/>
  <c r="R184" i="8" s="1"/>
  <c r="AA183" i="8"/>
  <c r="Z183" i="8"/>
  <c r="Y183" i="8"/>
  <c r="X183" i="8"/>
  <c r="V183" i="8"/>
  <c r="U183" i="8"/>
  <c r="T183" i="8"/>
  <c r="S183" i="8"/>
  <c r="G183" i="8"/>
  <c r="R183" i="8" s="1"/>
  <c r="AA182" i="8"/>
  <c r="Z182" i="8"/>
  <c r="Y182" i="8"/>
  <c r="X182" i="8"/>
  <c r="V182" i="8"/>
  <c r="U182" i="8"/>
  <c r="T182" i="8"/>
  <c r="S182" i="8"/>
  <c r="N182" i="8"/>
  <c r="G182" i="8"/>
  <c r="R182" i="8" s="1"/>
  <c r="AA181" i="8"/>
  <c r="Z181" i="8"/>
  <c r="Y181" i="8"/>
  <c r="X181" i="8"/>
  <c r="V181" i="8"/>
  <c r="U181" i="8"/>
  <c r="T181" i="8"/>
  <c r="S181" i="8"/>
  <c r="G181" i="8"/>
  <c r="R181" i="8" s="1"/>
  <c r="AA180" i="8"/>
  <c r="Z180" i="8"/>
  <c r="Y180" i="8"/>
  <c r="X180" i="8"/>
  <c r="V180" i="8"/>
  <c r="U180" i="8"/>
  <c r="T180" i="8"/>
  <c r="S180" i="8"/>
  <c r="G180" i="8"/>
  <c r="R180" i="8" s="1"/>
  <c r="AA179" i="8"/>
  <c r="Z179" i="8"/>
  <c r="Y179" i="8"/>
  <c r="X179" i="8"/>
  <c r="V179" i="8"/>
  <c r="U179" i="8"/>
  <c r="T179" i="8"/>
  <c r="S179" i="8"/>
  <c r="G179" i="8"/>
  <c r="R179" i="8" s="1"/>
  <c r="AA178" i="8"/>
  <c r="Z178" i="8"/>
  <c r="Y178" i="8"/>
  <c r="X178" i="8"/>
  <c r="V178" i="8"/>
  <c r="U178" i="8"/>
  <c r="T178" i="8"/>
  <c r="S178" i="8"/>
  <c r="G178" i="8"/>
  <c r="R178" i="8" s="1"/>
  <c r="AA177" i="8"/>
  <c r="Z177" i="8"/>
  <c r="Y177" i="8"/>
  <c r="X177" i="8"/>
  <c r="V177" i="8"/>
  <c r="U177" i="8"/>
  <c r="T177" i="8"/>
  <c r="S177" i="8"/>
  <c r="R177" i="8"/>
  <c r="AA176" i="8"/>
  <c r="Y176" i="8"/>
  <c r="X176" i="8"/>
  <c r="V176" i="8"/>
  <c r="U176" i="8"/>
  <c r="T176" i="8"/>
  <c r="S176" i="8"/>
  <c r="R176" i="8"/>
  <c r="AA175" i="8"/>
  <c r="Z175" i="8"/>
  <c r="Y175" i="8"/>
  <c r="X175" i="8"/>
  <c r="V175" i="8"/>
  <c r="U175" i="8"/>
  <c r="T175" i="8"/>
  <c r="S175" i="8"/>
  <c r="R175" i="8"/>
  <c r="AA174" i="8"/>
  <c r="Z174" i="8"/>
  <c r="Y174" i="8"/>
  <c r="X174" i="8"/>
  <c r="V174" i="8"/>
  <c r="U174" i="8"/>
  <c r="T174" i="8"/>
  <c r="S174" i="8"/>
  <c r="N174" i="8"/>
  <c r="G174" i="8"/>
  <c r="R174" i="8" s="1"/>
  <c r="AA173" i="8"/>
  <c r="Z173" i="8"/>
  <c r="Y173" i="8"/>
  <c r="X173" i="8"/>
  <c r="V173" i="8"/>
  <c r="U173" i="8"/>
  <c r="T173" i="8"/>
  <c r="S173" i="8"/>
  <c r="N173" i="8"/>
  <c r="G173" i="8"/>
  <c r="R173" i="8" s="1"/>
  <c r="AA172" i="8"/>
  <c r="Z172" i="8"/>
  <c r="Y172" i="8"/>
  <c r="X172" i="8"/>
  <c r="V172" i="8"/>
  <c r="U172" i="8"/>
  <c r="T172" i="8"/>
  <c r="S172" i="8"/>
  <c r="N172" i="8"/>
  <c r="G172" i="8"/>
  <c r="R172" i="8" s="1"/>
  <c r="Y171" i="8"/>
  <c r="V171" i="8"/>
  <c r="U171" i="8"/>
  <c r="T171" i="8"/>
  <c r="S171" i="8"/>
  <c r="R171" i="8"/>
  <c r="K171" i="8"/>
  <c r="Z171" i="8" s="1"/>
  <c r="Y170" i="8"/>
  <c r="U170" i="8"/>
  <c r="T170" i="8"/>
  <c r="S170" i="8"/>
  <c r="R170" i="8"/>
  <c r="K170" i="8"/>
  <c r="Z170" i="8" s="1"/>
  <c r="Y169" i="8"/>
  <c r="V169" i="8"/>
  <c r="U169" i="8"/>
  <c r="T169" i="8"/>
  <c r="S169" i="8"/>
  <c r="R169" i="8"/>
  <c r="K169" i="8"/>
  <c r="Z169" i="8" s="1"/>
  <c r="AA168" i="8"/>
  <c r="Z168" i="8"/>
  <c r="Y168" i="8"/>
  <c r="X168" i="8"/>
  <c r="V168" i="8"/>
  <c r="U168" i="8"/>
  <c r="T168" i="8"/>
  <c r="S168" i="8"/>
  <c r="N168" i="8"/>
  <c r="G168" i="8"/>
  <c r="R168" i="8" s="1"/>
  <c r="AA167" i="8"/>
  <c r="Z167" i="8"/>
  <c r="Y167" i="8"/>
  <c r="X167" i="8"/>
  <c r="V167" i="8"/>
  <c r="U167" i="8"/>
  <c r="T167" i="8"/>
  <c r="S167" i="8"/>
  <c r="N167" i="8"/>
  <c r="G167" i="8"/>
  <c r="R167" i="8" s="1"/>
  <c r="AA166" i="8"/>
  <c r="Z166" i="8"/>
  <c r="Y166" i="8"/>
  <c r="X166" i="8"/>
  <c r="V166" i="8"/>
  <c r="U166" i="8"/>
  <c r="T166" i="8"/>
  <c r="S166" i="8"/>
  <c r="N166" i="8"/>
  <c r="G166" i="8"/>
  <c r="R166" i="8" s="1"/>
  <c r="AA165" i="8"/>
  <c r="Z165" i="8"/>
  <c r="Y165" i="8"/>
  <c r="X165" i="8"/>
  <c r="V165" i="8"/>
  <c r="U165" i="8"/>
  <c r="T165" i="8"/>
  <c r="S165" i="8"/>
  <c r="R165" i="8"/>
  <c r="AA164" i="8"/>
  <c r="Z164" i="8"/>
  <c r="Y164" i="8"/>
  <c r="X164" i="8"/>
  <c r="V164" i="8"/>
  <c r="U164" i="8"/>
  <c r="T164" i="8"/>
  <c r="S164" i="8"/>
  <c r="R164" i="8"/>
  <c r="AA163" i="8"/>
  <c r="Z163" i="8"/>
  <c r="Y163" i="8"/>
  <c r="X163" i="8"/>
  <c r="V163" i="8"/>
  <c r="U163" i="8"/>
  <c r="T163" i="8"/>
  <c r="S163" i="8"/>
  <c r="R163" i="8"/>
  <c r="AA162" i="8"/>
  <c r="Z162" i="8"/>
  <c r="Y162" i="8"/>
  <c r="X162" i="8"/>
  <c r="V162" i="8"/>
  <c r="U162" i="8"/>
  <c r="T162" i="8"/>
  <c r="S162" i="8"/>
  <c r="N162" i="8"/>
  <c r="G162" i="8"/>
  <c r="R162" i="8" s="1"/>
  <c r="AA161" i="8"/>
  <c r="Z161" i="8"/>
  <c r="Y161" i="8"/>
  <c r="X161" i="8"/>
  <c r="V161" i="8"/>
  <c r="U161" i="8"/>
  <c r="T161" i="8"/>
  <c r="S161" i="8"/>
  <c r="N161" i="8"/>
  <c r="G161" i="8"/>
  <c r="R161" i="8" s="1"/>
  <c r="AA160" i="8"/>
  <c r="Z160" i="8"/>
  <c r="Y160" i="8"/>
  <c r="X160" i="8"/>
  <c r="V160" i="8"/>
  <c r="U160" i="8"/>
  <c r="T160" i="8"/>
  <c r="S160" i="8"/>
  <c r="N160" i="8"/>
  <c r="G160" i="8"/>
  <c r="R160" i="8" s="1"/>
  <c r="AA159" i="8"/>
  <c r="Z159" i="8"/>
  <c r="Y159" i="8"/>
  <c r="X159" i="8"/>
  <c r="V159" i="8"/>
  <c r="U159" i="8"/>
  <c r="T159" i="8"/>
  <c r="S159" i="8"/>
  <c r="R159" i="8"/>
  <c r="AA158" i="8"/>
  <c r="Z158" i="8"/>
  <c r="Y158" i="8"/>
  <c r="X158" i="8"/>
  <c r="V158" i="8"/>
  <c r="U158" i="8"/>
  <c r="T158" i="8"/>
  <c r="S158" i="8"/>
  <c r="R158" i="8"/>
  <c r="AA157" i="8"/>
  <c r="Z157" i="8"/>
  <c r="Y157" i="8"/>
  <c r="X157" i="8"/>
  <c r="V157" i="8"/>
  <c r="U157" i="8"/>
  <c r="T157" i="8"/>
  <c r="S157" i="8"/>
  <c r="R157" i="8"/>
  <c r="AA156" i="8"/>
  <c r="Z156" i="8"/>
  <c r="Y156" i="8"/>
  <c r="X156" i="8"/>
  <c r="V156" i="8"/>
  <c r="U156" i="8"/>
  <c r="T156" i="8"/>
  <c r="S156" i="8"/>
  <c r="R156" i="8"/>
  <c r="AA155" i="8"/>
  <c r="Z155" i="8"/>
  <c r="Y155" i="8"/>
  <c r="X155" i="8"/>
  <c r="V155" i="8"/>
  <c r="U155" i="8"/>
  <c r="T155" i="8"/>
  <c r="S155" i="8"/>
  <c r="R155" i="8"/>
  <c r="AA154" i="8"/>
  <c r="Z154" i="8"/>
  <c r="Y154" i="8"/>
  <c r="X154" i="8"/>
  <c r="V154" i="8"/>
  <c r="U154" i="8"/>
  <c r="T154" i="8"/>
  <c r="S154" i="8"/>
  <c r="R154" i="8"/>
  <c r="AA153" i="8"/>
  <c r="Z153" i="8"/>
  <c r="X153" i="8"/>
  <c r="V153" i="8"/>
  <c r="U153" i="8"/>
  <c r="T153" i="8"/>
  <c r="S153" i="8"/>
  <c r="R153" i="8"/>
  <c r="AA152" i="8"/>
  <c r="Z152" i="8"/>
  <c r="Y152" i="8"/>
  <c r="X152" i="8"/>
  <c r="V152" i="8"/>
  <c r="U152" i="8"/>
  <c r="T152" i="8"/>
  <c r="S152" i="8"/>
  <c r="R152" i="8"/>
  <c r="AA151" i="8"/>
  <c r="Z151" i="8"/>
  <c r="Y151" i="8"/>
  <c r="X151" i="8"/>
  <c r="V151" i="8"/>
  <c r="U151" i="8"/>
  <c r="T151" i="8"/>
  <c r="S151" i="8"/>
  <c r="R151" i="8"/>
  <c r="AA150" i="8"/>
  <c r="Z150" i="8"/>
  <c r="Y150" i="8"/>
  <c r="X150" i="8"/>
  <c r="V150" i="8"/>
  <c r="U150" i="8"/>
  <c r="T150" i="8"/>
  <c r="S150" i="8"/>
  <c r="R150" i="8"/>
  <c r="AA149" i="8"/>
  <c r="Z149" i="8"/>
  <c r="Y149" i="8"/>
  <c r="X149" i="8"/>
  <c r="V149" i="8"/>
  <c r="U149" i="8"/>
  <c r="T149" i="8"/>
  <c r="S149" i="8"/>
  <c r="R149" i="8"/>
  <c r="AA148" i="8"/>
  <c r="Z148" i="8"/>
  <c r="Y148" i="8"/>
  <c r="X148" i="8"/>
  <c r="V148" i="8"/>
  <c r="U148" i="8"/>
  <c r="T148" i="8"/>
  <c r="S148" i="8"/>
  <c r="R148" i="8"/>
  <c r="AA147" i="8"/>
  <c r="Z147" i="8"/>
  <c r="Y147" i="8"/>
  <c r="X147" i="8"/>
  <c r="V147" i="8"/>
  <c r="U147" i="8"/>
  <c r="T147" i="8"/>
  <c r="S147" i="8"/>
  <c r="R147" i="8"/>
  <c r="AA146" i="8"/>
  <c r="Z146" i="8"/>
  <c r="Y146" i="8"/>
  <c r="X146" i="8"/>
  <c r="V146" i="8"/>
  <c r="U146" i="8"/>
  <c r="T146" i="8"/>
  <c r="S146" i="8"/>
  <c r="R146" i="8"/>
  <c r="AA145" i="8"/>
  <c r="Z145" i="8"/>
  <c r="Y145" i="8"/>
  <c r="X145" i="8"/>
  <c r="V145" i="8"/>
  <c r="U145" i="8"/>
  <c r="T145" i="8"/>
  <c r="S145" i="8"/>
  <c r="R145" i="8"/>
  <c r="AA144" i="8"/>
  <c r="Z144" i="8"/>
  <c r="Y144" i="8"/>
  <c r="X144" i="8"/>
  <c r="V144" i="8"/>
  <c r="U144" i="8"/>
  <c r="T144" i="8"/>
  <c r="S144" i="8"/>
  <c r="R144" i="8"/>
  <c r="AA143" i="8"/>
  <c r="Z143" i="8"/>
  <c r="Y143" i="8"/>
  <c r="X143" i="8"/>
  <c r="V143" i="8"/>
  <c r="U143" i="8"/>
  <c r="T143" i="8"/>
  <c r="S143" i="8"/>
  <c r="R143" i="8"/>
  <c r="AA142" i="8"/>
  <c r="Z142" i="8"/>
  <c r="Y142" i="8"/>
  <c r="X142" i="8"/>
  <c r="V142" i="8"/>
  <c r="U142" i="8"/>
  <c r="T142" i="8"/>
  <c r="S142" i="8"/>
  <c r="R142" i="8"/>
  <c r="AA141" i="8"/>
  <c r="Z141" i="8"/>
  <c r="Y141" i="8"/>
  <c r="X141" i="8"/>
  <c r="V141" i="8"/>
  <c r="U141" i="8"/>
  <c r="T141" i="8"/>
  <c r="S141" i="8"/>
  <c r="R141" i="8"/>
  <c r="AA140" i="8"/>
  <c r="Z140" i="8"/>
  <c r="Y140" i="8"/>
  <c r="X140" i="8"/>
  <c r="V140" i="8"/>
  <c r="U140" i="8"/>
  <c r="T140" i="8"/>
  <c r="S140" i="8"/>
  <c r="R140" i="8"/>
  <c r="AA139" i="8"/>
  <c r="Z139" i="8"/>
  <c r="Y139" i="8"/>
  <c r="X139" i="8"/>
  <c r="V139" i="8"/>
  <c r="U139" i="8"/>
  <c r="T139" i="8"/>
  <c r="S139" i="8"/>
  <c r="R139" i="8"/>
  <c r="AA138" i="8"/>
  <c r="Z138" i="8"/>
  <c r="Y138" i="8"/>
  <c r="X138" i="8"/>
  <c r="V138" i="8"/>
  <c r="U138" i="8"/>
  <c r="T138" i="8"/>
  <c r="S138" i="8"/>
  <c r="R138" i="8"/>
  <c r="AA137" i="8"/>
  <c r="Z137" i="8"/>
  <c r="Y137" i="8"/>
  <c r="X137" i="8"/>
  <c r="V137" i="8"/>
  <c r="U137" i="8"/>
  <c r="T137" i="8"/>
  <c r="S137" i="8"/>
  <c r="R137" i="8"/>
  <c r="AA136" i="8"/>
  <c r="Z136" i="8"/>
  <c r="Y136" i="8"/>
  <c r="X136" i="8"/>
  <c r="V136" i="8"/>
  <c r="U136" i="8"/>
  <c r="T136" i="8"/>
  <c r="S136" i="8"/>
  <c r="R136" i="8"/>
  <c r="AA135" i="8"/>
  <c r="Z135" i="8"/>
  <c r="Y135" i="8"/>
  <c r="X135" i="8"/>
  <c r="V135" i="8"/>
  <c r="U135" i="8"/>
  <c r="T135" i="8"/>
  <c r="S135" i="8"/>
  <c r="R135" i="8"/>
  <c r="AA134" i="8"/>
  <c r="Z134" i="8"/>
  <c r="Y134" i="8"/>
  <c r="X134" i="8"/>
  <c r="V134" i="8"/>
  <c r="U134" i="8"/>
  <c r="T134" i="8"/>
  <c r="S134" i="8"/>
  <c r="R134" i="8"/>
  <c r="AA133" i="8"/>
  <c r="Z133" i="8"/>
  <c r="Y133" i="8"/>
  <c r="X133" i="8"/>
  <c r="V133" i="8"/>
  <c r="U133" i="8"/>
  <c r="T133" i="8"/>
  <c r="S133" i="8"/>
  <c r="R133" i="8"/>
  <c r="AA132" i="8"/>
  <c r="Z132" i="8"/>
  <c r="Y132" i="8"/>
  <c r="X132" i="8"/>
  <c r="V132" i="8"/>
  <c r="U132" i="8"/>
  <c r="T132" i="8"/>
  <c r="S132" i="8"/>
  <c r="R132" i="8"/>
  <c r="AA131" i="8"/>
  <c r="Z131" i="8"/>
  <c r="Y131" i="8"/>
  <c r="X131" i="8"/>
  <c r="V131" i="8"/>
  <c r="U131" i="8"/>
  <c r="T131" i="8"/>
  <c r="S131" i="8"/>
  <c r="R131" i="8"/>
  <c r="AA130" i="8"/>
  <c r="Z130" i="8"/>
  <c r="Y130" i="8"/>
  <c r="X130" i="8"/>
  <c r="V130" i="8"/>
  <c r="U130" i="8"/>
  <c r="T130" i="8"/>
  <c r="S130" i="8"/>
  <c r="R130" i="8"/>
  <c r="AA129" i="8"/>
  <c r="Z129" i="8"/>
  <c r="Y129" i="8"/>
  <c r="X129" i="8"/>
  <c r="V129" i="8"/>
  <c r="U129" i="8"/>
  <c r="T129" i="8"/>
  <c r="S129" i="8"/>
  <c r="R129" i="8"/>
  <c r="AA128" i="8"/>
  <c r="Z128" i="8"/>
  <c r="Y128" i="8"/>
  <c r="X128" i="8"/>
  <c r="V128" i="8"/>
  <c r="U128" i="8"/>
  <c r="T128" i="8"/>
  <c r="S128" i="8"/>
  <c r="R128" i="8"/>
  <c r="Y127" i="8"/>
  <c r="V127" i="8"/>
  <c r="U127" i="8"/>
  <c r="T127" i="8"/>
  <c r="S127" i="8"/>
  <c r="R127" i="8"/>
  <c r="K127" i="8"/>
  <c r="Z127" i="8" s="1"/>
  <c r="Y126" i="8"/>
  <c r="V126" i="8"/>
  <c r="U126" i="8"/>
  <c r="T126" i="8"/>
  <c r="S126" i="8"/>
  <c r="R126" i="8"/>
  <c r="K126" i="8"/>
  <c r="AA125" i="8"/>
  <c r="Z125" i="8"/>
  <c r="Y125" i="8"/>
  <c r="X125" i="8"/>
  <c r="V125" i="8"/>
  <c r="U125" i="8"/>
  <c r="T125" i="8"/>
  <c r="S125" i="8"/>
  <c r="R125" i="8"/>
  <c r="K125" i="8"/>
  <c r="Y124" i="8"/>
  <c r="V124" i="8"/>
  <c r="U124" i="8"/>
  <c r="T124" i="8"/>
  <c r="S124" i="8"/>
  <c r="R124" i="8"/>
  <c r="K124" i="8"/>
  <c r="AA124" i="8" s="1"/>
  <c r="Y123" i="8"/>
  <c r="V123" i="8"/>
  <c r="U123" i="8"/>
  <c r="T123" i="8"/>
  <c r="S123" i="8"/>
  <c r="R123" i="8"/>
  <c r="K123" i="8"/>
  <c r="Z123" i="8" s="1"/>
  <c r="Y122" i="8"/>
  <c r="V122" i="8"/>
  <c r="U122" i="8"/>
  <c r="T122" i="8"/>
  <c r="S122" i="8"/>
  <c r="R122" i="8"/>
  <c r="K122" i="8"/>
  <c r="Z122" i="8" s="1"/>
  <c r="AA121" i="8"/>
  <c r="Z121" i="8"/>
  <c r="Y121" i="8"/>
  <c r="X121" i="8"/>
  <c r="V121" i="8"/>
  <c r="U121" i="8"/>
  <c r="T121" i="8"/>
  <c r="S121" i="8"/>
  <c r="R121" i="8"/>
  <c r="AA120" i="8"/>
  <c r="Z120" i="8"/>
  <c r="Y120" i="8"/>
  <c r="X120" i="8"/>
  <c r="V120" i="8"/>
  <c r="U120" i="8"/>
  <c r="T120" i="8"/>
  <c r="S120" i="8"/>
  <c r="R120" i="8"/>
  <c r="AA119" i="8"/>
  <c r="Z119" i="8"/>
  <c r="Y119" i="8"/>
  <c r="X119" i="8"/>
  <c r="V119" i="8"/>
  <c r="U119" i="8"/>
  <c r="T119" i="8"/>
  <c r="S119" i="8"/>
  <c r="R119" i="8"/>
  <c r="AA118" i="8"/>
  <c r="Z118" i="8"/>
  <c r="Y118" i="8"/>
  <c r="X118" i="8"/>
  <c r="V118" i="8"/>
  <c r="U118" i="8"/>
  <c r="T118" i="8"/>
  <c r="S118" i="8"/>
  <c r="R118" i="8"/>
  <c r="AA117" i="8"/>
  <c r="Z117" i="8"/>
  <c r="Y117" i="8"/>
  <c r="X117" i="8"/>
  <c r="V117" i="8"/>
  <c r="U117" i="8"/>
  <c r="T117" i="8"/>
  <c r="S117" i="8"/>
  <c r="R117" i="8"/>
  <c r="AA116" i="8"/>
  <c r="Z116" i="8"/>
  <c r="Y116" i="8"/>
  <c r="X116" i="8"/>
  <c r="V116" i="8"/>
  <c r="U116" i="8"/>
  <c r="T116" i="8"/>
  <c r="S116" i="8"/>
  <c r="R116" i="8"/>
  <c r="AA115" i="8"/>
  <c r="Z115" i="8"/>
  <c r="Y115" i="8"/>
  <c r="X115" i="8"/>
  <c r="V115" i="8"/>
  <c r="U115" i="8"/>
  <c r="T115" i="8"/>
  <c r="S115" i="8"/>
  <c r="R115" i="8"/>
  <c r="AA114" i="8"/>
  <c r="Z114" i="8"/>
  <c r="Y114" i="8"/>
  <c r="X114" i="8"/>
  <c r="V114" i="8"/>
  <c r="U114" i="8"/>
  <c r="T114" i="8"/>
  <c r="S114" i="8"/>
  <c r="R114" i="8"/>
  <c r="AA113" i="8"/>
  <c r="Z113" i="8"/>
  <c r="Y113" i="8"/>
  <c r="X113" i="8"/>
  <c r="V113" i="8"/>
  <c r="U113" i="8"/>
  <c r="T113" i="8"/>
  <c r="S113" i="8"/>
  <c r="R113" i="8"/>
  <c r="Y112" i="8"/>
  <c r="V112" i="8"/>
  <c r="U112" i="8"/>
  <c r="T112" i="8"/>
  <c r="S112" i="8"/>
  <c r="R112" i="8"/>
  <c r="K112" i="8"/>
  <c r="Z112" i="8" s="1"/>
  <c r="Y111" i="8"/>
  <c r="V111" i="8"/>
  <c r="U111" i="8"/>
  <c r="T111" i="8"/>
  <c r="S111" i="8"/>
  <c r="R111" i="8"/>
  <c r="K111" i="8"/>
  <c r="X111" i="8" s="1"/>
  <c r="Y110" i="8"/>
  <c r="V110" i="8"/>
  <c r="U110" i="8"/>
  <c r="T110" i="8"/>
  <c r="S110" i="8"/>
  <c r="R110" i="8"/>
  <c r="K110" i="8"/>
  <c r="Z110" i="8" s="1"/>
  <c r="AA109" i="8"/>
  <c r="Z109" i="8"/>
  <c r="Y109" i="8"/>
  <c r="X109" i="8"/>
  <c r="V109" i="8"/>
  <c r="U109" i="8"/>
  <c r="T109" i="8"/>
  <c r="S109" i="8"/>
  <c r="R109" i="8"/>
  <c r="AA108" i="8"/>
  <c r="Z108" i="8"/>
  <c r="Y108" i="8"/>
  <c r="X108" i="8"/>
  <c r="V108" i="8"/>
  <c r="U108" i="8"/>
  <c r="T108" i="8"/>
  <c r="S108" i="8"/>
  <c r="R108" i="8"/>
  <c r="AA107" i="8"/>
  <c r="Z107" i="8"/>
  <c r="Y107" i="8"/>
  <c r="X107" i="8"/>
  <c r="V107" i="8"/>
  <c r="U107" i="8"/>
  <c r="T107" i="8"/>
  <c r="S107" i="8"/>
  <c r="R107" i="8"/>
  <c r="AA106" i="8"/>
  <c r="Z106" i="8"/>
  <c r="Y106" i="8"/>
  <c r="X106" i="8"/>
  <c r="V106" i="8"/>
  <c r="U106" i="8"/>
  <c r="T106" i="8"/>
  <c r="S106" i="8"/>
  <c r="R106" i="8"/>
  <c r="AA105" i="8"/>
  <c r="Z105" i="8"/>
  <c r="Y105" i="8"/>
  <c r="X105" i="8"/>
  <c r="V105" i="8"/>
  <c r="U105" i="8"/>
  <c r="T105" i="8"/>
  <c r="S105" i="8"/>
  <c r="R105" i="8"/>
  <c r="AA104" i="8"/>
  <c r="Z104" i="8"/>
  <c r="Y104" i="8"/>
  <c r="X104" i="8"/>
  <c r="V104" i="8"/>
  <c r="U104" i="8"/>
  <c r="T104" i="8"/>
  <c r="S104" i="8"/>
  <c r="R104" i="8"/>
  <c r="AA103" i="8"/>
  <c r="Z103" i="8"/>
  <c r="Y103" i="8"/>
  <c r="X103" i="8"/>
  <c r="V103" i="8"/>
  <c r="U103" i="8"/>
  <c r="T103" i="8"/>
  <c r="S103" i="8"/>
  <c r="R103" i="8"/>
  <c r="AA102" i="8"/>
  <c r="Z102" i="8"/>
  <c r="Y102" i="8"/>
  <c r="X102" i="8"/>
  <c r="V102" i="8"/>
  <c r="U102" i="8"/>
  <c r="T102" i="8"/>
  <c r="S102" i="8"/>
  <c r="R102" i="8"/>
  <c r="AA101" i="8"/>
  <c r="Z101" i="8"/>
  <c r="Y101" i="8"/>
  <c r="X101" i="8"/>
  <c r="V101" i="8"/>
  <c r="U101" i="8"/>
  <c r="T101" i="8"/>
  <c r="S101" i="8"/>
  <c r="R101" i="8"/>
  <c r="AA100" i="8"/>
  <c r="Z100" i="8"/>
  <c r="Y100" i="8"/>
  <c r="X100" i="8"/>
  <c r="V100" i="8"/>
  <c r="U100" i="8"/>
  <c r="T100" i="8"/>
  <c r="S100" i="8"/>
  <c r="R100" i="8"/>
  <c r="AA99" i="8"/>
  <c r="Z99" i="8"/>
  <c r="Y99" i="8"/>
  <c r="X99" i="8"/>
  <c r="V99" i="8"/>
  <c r="U99" i="8"/>
  <c r="T99" i="8"/>
  <c r="S99" i="8"/>
  <c r="R99" i="8"/>
  <c r="AA98" i="8"/>
  <c r="Z98" i="8"/>
  <c r="Y98" i="8"/>
  <c r="X98" i="8"/>
  <c r="V98" i="8"/>
  <c r="U98" i="8"/>
  <c r="T98" i="8"/>
  <c r="S98" i="8"/>
  <c r="R98" i="8"/>
  <c r="AA97" i="8"/>
  <c r="Z97" i="8"/>
  <c r="Y97" i="8"/>
  <c r="X97" i="8"/>
  <c r="V97" i="8"/>
  <c r="U97" i="8"/>
  <c r="T97" i="8"/>
  <c r="S97" i="8"/>
  <c r="R97" i="8"/>
  <c r="AA96" i="8"/>
  <c r="Z96" i="8"/>
  <c r="Y96" i="8"/>
  <c r="X96" i="8"/>
  <c r="V96" i="8"/>
  <c r="U96" i="8"/>
  <c r="T96" i="8"/>
  <c r="S96" i="8"/>
  <c r="R96" i="8"/>
  <c r="AA95" i="8"/>
  <c r="Z95" i="8"/>
  <c r="Y95" i="8"/>
  <c r="X95" i="8"/>
  <c r="V95" i="8"/>
  <c r="U95" i="8"/>
  <c r="T95" i="8"/>
  <c r="S95" i="8"/>
  <c r="R95" i="8"/>
  <c r="AA94" i="8"/>
  <c r="Z94" i="8"/>
  <c r="Y94" i="8"/>
  <c r="X94" i="8"/>
  <c r="V94" i="8"/>
  <c r="U94" i="8"/>
  <c r="T94" i="8"/>
  <c r="S94" i="8"/>
  <c r="R94" i="8"/>
  <c r="AA93" i="8"/>
  <c r="Z93" i="8"/>
  <c r="Y93" i="8"/>
  <c r="X93" i="8"/>
  <c r="V93" i="8"/>
  <c r="U93" i="8"/>
  <c r="T93" i="8"/>
  <c r="S93" i="8"/>
  <c r="R93" i="8"/>
  <c r="AA92" i="8"/>
  <c r="Z92" i="8"/>
  <c r="Y92" i="8"/>
  <c r="X92" i="8"/>
  <c r="V92" i="8"/>
  <c r="U92" i="8"/>
  <c r="T92" i="8"/>
  <c r="S92" i="8"/>
  <c r="R92" i="8"/>
  <c r="AA91" i="8"/>
  <c r="Z91" i="8"/>
  <c r="Y91" i="8"/>
  <c r="X91" i="8"/>
  <c r="V91" i="8"/>
  <c r="U91" i="8"/>
  <c r="T91" i="8"/>
  <c r="S91" i="8"/>
  <c r="R91" i="8"/>
  <c r="AA90" i="8"/>
  <c r="Z90" i="8"/>
  <c r="Y90" i="8"/>
  <c r="X90" i="8"/>
  <c r="V90" i="8"/>
  <c r="U90" i="8"/>
  <c r="T90" i="8"/>
  <c r="S90" i="8"/>
  <c r="R90" i="8"/>
  <c r="AA89" i="8"/>
  <c r="Z89" i="8"/>
  <c r="Y89" i="8"/>
  <c r="X89" i="8"/>
  <c r="V89" i="8"/>
  <c r="U89" i="8"/>
  <c r="T89" i="8"/>
  <c r="S89" i="8"/>
  <c r="R89" i="8"/>
  <c r="AA88" i="8"/>
  <c r="Z88" i="8"/>
  <c r="Y88" i="8"/>
  <c r="X88" i="8"/>
  <c r="V88" i="8"/>
  <c r="U88" i="8"/>
  <c r="T88" i="8"/>
  <c r="S88" i="8"/>
  <c r="R88" i="8"/>
  <c r="AA87" i="8"/>
  <c r="Z87" i="8"/>
  <c r="Y87" i="8"/>
  <c r="X87" i="8"/>
  <c r="V87" i="8"/>
  <c r="U87" i="8"/>
  <c r="T87" i="8"/>
  <c r="S87" i="8"/>
  <c r="R87" i="8"/>
  <c r="AA86" i="8"/>
  <c r="Z86" i="8"/>
  <c r="Y86" i="8"/>
  <c r="X86" i="8"/>
  <c r="V86" i="8"/>
  <c r="U86" i="8"/>
  <c r="T86" i="8"/>
  <c r="S86" i="8"/>
  <c r="R86" i="8"/>
  <c r="Y85" i="8"/>
  <c r="V85" i="8"/>
  <c r="U85" i="8"/>
  <c r="T85" i="8"/>
  <c r="S85" i="8"/>
  <c r="R85" i="8"/>
  <c r="K85" i="8"/>
  <c r="X85" i="8" s="1"/>
  <c r="Y84" i="8"/>
  <c r="V84" i="8"/>
  <c r="U84" i="8"/>
  <c r="T84" i="8"/>
  <c r="S84" i="8"/>
  <c r="R84" i="8"/>
  <c r="K84" i="8"/>
  <c r="AA83" i="8"/>
  <c r="Z83" i="8"/>
  <c r="Y83" i="8"/>
  <c r="X83" i="8"/>
  <c r="V83" i="8"/>
  <c r="U83" i="8"/>
  <c r="T83" i="8"/>
  <c r="S83" i="8"/>
  <c r="R83" i="8"/>
  <c r="AA82" i="8"/>
  <c r="Z82" i="8"/>
  <c r="Y82" i="8"/>
  <c r="X82" i="8"/>
  <c r="V82" i="8"/>
  <c r="U82" i="8"/>
  <c r="T82" i="8"/>
  <c r="S82" i="8"/>
  <c r="R82" i="8"/>
  <c r="AA81" i="8"/>
  <c r="Z81" i="8"/>
  <c r="Y81" i="8"/>
  <c r="X81" i="8"/>
  <c r="V81" i="8"/>
  <c r="U81" i="8"/>
  <c r="T81" i="8"/>
  <c r="S81" i="8"/>
  <c r="R81" i="8"/>
  <c r="AA80" i="8"/>
  <c r="Z80" i="8"/>
  <c r="Y80" i="8"/>
  <c r="X80" i="8"/>
  <c r="V80" i="8"/>
  <c r="U80" i="8"/>
  <c r="T80" i="8"/>
  <c r="S80" i="8"/>
  <c r="R80" i="8"/>
  <c r="AA79" i="8"/>
  <c r="Z79" i="8"/>
  <c r="Y79" i="8"/>
  <c r="X79" i="8"/>
  <c r="V79" i="8"/>
  <c r="U79" i="8"/>
  <c r="T79" i="8"/>
  <c r="S79" i="8"/>
  <c r="R79" i="8"/>
  <c r="AA78" i="8"/>
  <c r="Z78" i="8"/>
  <c r="Y78" i="8"/>
  <c r="X78" i="8"/>
  <c r="V78" i="8"/>
  <c r="U78" i="8"/>
  <c r="T78" i="8"/>
  <c r="S78" i="8"/>
  <c r="R78" i="8"/>
  <c r="AA77" i="8"/>
  <c r="Z77" i="8"/>
  <c r="Y77" i="8"/>
  <c r="X77" i="8"/>
  <c r="V77" i="8"/>
  <c r="U77" i="8"/>
  <c r="T77" i="8"/>
  <c r="S77" i="8"/>
  <c r="R77" i="8"/>
  <c r="Y76" i="8"/>
  <c r="V76" i="8"/>
  <c r="U76" i="8"/>
  <c r="T76" i="8"/>
  <c r="S76" i="8"/>
  <c r="R76" i="8"/>
  <c r="K76" i="8"/>
  <c r="AA76" i="8" s="1"/>
  <c r="Y75" i="8"/>
  <c r="V75" i="8"/>
  <c r="U75" i="8"/>
  <c r="T75" i="8"/>
  <c r="S75" i="8"/>
  <c r="R75" i="8"/>
  <c r="K75" i="8"/>
  <c r="Y74" i="8"/>
  <c r="V74" i="8"/>
  <c r="U74" i="8"/>
  <c r="T74" i="8"/>
  <c r="S74" i="8"/>
  <c r="R74" i="8"/>
  <c r="K74" i="8"/>
  <c r="AA74" i="8" s="1"/>
  <c r="Y73" i="8"/>
  <c r="V73" i="8"/>
  <c r="U73" i="8"/>
  <c r="T73" i="8"/>
  <c r="S73" i="8"/>
  <c r="R73" i="8"/>
  <c r="K73" i="8"/>
  <c r="Z73" i="8" s="1"/>
  <c r="Y72" i="8"/>
  <c r="V72" i="8"/>
  <c r="U72" i="8"/>
  <c r="T72" i="8"/>
  <c r="S72" i="8"/>
  <c r="R72" i="8"/>
  <c r="K72" i="8"/>
  <c r="Y71" i="8"/>
  <c r="V71" i="8"/>
  <c r="U71" i="8"/>
  <c r="T71" i="8"/>
  <c r="S71" i="8"/>
  <c r="R71" i="8"/>
  <c r="K71" i="8"/>
  <c r="AA71" i="8" s="1"/>
  <c r="Y70" i="8"/>
  <c r="V70" i="8"/>
  <c r="U70" i="8"/>
  <c r="T70" i="8"/>
  <c r="S70" i="8"/>
  <c r="R70" i="8"/>
  <c r="K70" i="8"/>
  <c r="AA70" i="8" s="1"/>
  <c r="Y69" i="8"/>
  <c r="V69" i="8"/>
  <c r="U69" i="8"/>
  <c r="T69" i="8"/>
  <c r="S69" i="8"/>
  <c r="R69" i="8"/>
  <c r="K69" i="8"/>
  <c r="Z69" i="8" s="1"/>
  <c r="Y68" i="8"/>
  <c r="V68" i="8"/>
  <c r="U68" i="8"/>
  <c r="T68" i="8"/>
  <c r="S68" i="8"/>
  <c r="R68" i="8"/>
  <c r="K68" i="8"/>
  <c r="AA68" i="8" s="1"/>
  <c r="AA67" i="8"/>
  <c r="Z67" i="8"/>
  <c r="Y67" i="8"/>
  <c r="X67" i="8"/>
  <c r="V67" i="8"/>
  <c r="U67" i="8"/>
  <c r="T67" i="8"/>
  <c r="S67" i="8"/>
  <c r="R67" i="8"/>
  <c r="AA66" i="8"/>
  <c r="Z66" i="8"/>
  <c r="Y66" i="8"/>
  <c r="X66" i="8"/>
  <c r="V66" i="8"/>
  <c r="U66" i="8"/>
  <c r="T66" i="8"/>
  <c r="S66" i="8"/>
  <c r="R66" i="8"/>
  <c r="AA65" i="8"/>
  <c r="Z65" i="8"/>
  <c r="Y65" i="8"/>
  <c r="X65" i="8"/>
  <c r="V65" i="8"/>
  <c r="U65" i="8"/>
  <c r="T65" i="8"/>
  <c r="S65" i="8"/>
  <c r="R65" i="8"/>
  <c r="AA64" i="8"/>
  <c r="Z64" i="8"/>
  <c r="Y64" i="8"/>
  <c r="X64" i="8"/>
  <c r="V64" i="8"/>
  <c r="U64" i="8"/>
  <c r="T64" i="8"/>
  <c r="S64" i="8"/>
  <c r="R64" i="8"/>
  <c r="AA63" i="8"/>
  <c r="Z63" i="8"/>
  <c r="Y63" i="8"/>
  <c r="X63" i="8"/>
  <c r="V63" i="8"/>
  <c r="U63" i="8"/>
  <c r="T63" i="8"/>
  <c r="S63" i="8"/>
  <c r="R63" i="8"/>
  <c r="AA62" i="8"/>
  <c r="Z62" i="8"/>
  <c r="Y62" i="8"/>
  <c r="X62" i="8"/>
  <c r="V62" i="8"/>
  <c r="U62" i="8"/>
  <c r="T62" i="8"/>
  <c r="S62" i="8"/>
  <c r="R62" i="8"/>
  <c r="AA61" i="8"/>
  <c r="Z61" i="8"/>
  <c r="Y61" i="8"/>
  <c r="X61" i="8"/>
  <c r="V61" i="8"/>
  <c r="U61" i="8"/>
  <c r="T61" i="8"/>
  <c r="S61" i="8"/>
  <c r="R61" i="8"/>
  <c r="AA60" i="8"/>
  <c r="Z60" i="8"/>
  <c r="Y60" i="8"/>
  <c r="X60" i="8"/>
  <c r="V60" i="8"/>
  <c r="U60" i="8"/>
  <c r="T60" i="8"/>
  <c r="S60" i="8"/>
  <c r="R60" i="8"/>
  <c r="AA59" i="8"/>
  <c r="Z59" i="8"/>
  <c r="Y59" i="8"/>
  <c r="X59" i="8"/>
  <c r="V59" i="8"/>
  <c r="U59" i="8"/>
  <c r="T59" i="8"/>
  <c r="S59" i="8"/>
  <c r="R59" i="8"/>
  <c r="AA58" i="8"/>
  <c r="Z58" i="8"/>
  <c r="Y58" i="8"/>
  <c r="X58" i="8"/>
  <c r="V58" i="8"/>
  <c r="U58" i="8"/>
  <c r="T58" i="8"/>
  <c r="S58" i="8"/>
  <c r="R58" i="8"/>
  <c r="AA57" i="8"/>
  <c r="Z57" i="8"/>
  <c r="Y57" i="8"/>
  <c r="X57" i="8"/>
  <c r="V57" i="8"/>
  <c r="U57" i="8"/>
  <c r="T57" i="8"/>
  <c r="S57" i="8"/>
  <c r="R57" i="8"/>
  <c r="AA56" i="8"/>
  <c r="Z56" i="8"/>
  <c r="Y56" i="8"/>
  <c r="X56" i="8"/>
  <c r="V56" i="8"/>
  <c r="U56" i="8"/>
  <c r="T56" i="8"/>
  <c r="S56" i="8"/>
  <c r="R56" i="8"/>
  <c r="Y55" i="8"/>
  <c r="V55" i="8"/>
  <c r="U55" i="8"/>
  <c r="T55" i="8"/>
  <c r="S55" i="8"/>
  <c r="R55" i="8"/>
  <c r="K55" i="8"/>
  <c r="Y54" i="8"/>
  <c r="V54" i="8"/>
  <c r="U54" i="8"/>
  <c r="T54" i="8"/>
  <c r="S54" i="8"/>
  <c r="R54" i="8"/>
  <c r="K54" i="8"/>
  <c r="AA54" i="8" s="1"/>
  <c r="Y53" i="8"/>
  <c r="V53" i="8"/>
  <c r="U53" i="8"/>
  <c r="T53" i="8"/>
  <c r="S53" i="8"/>
  <c r="R53" i="8"/>
  <c r="K53" i="8"/>
  <c r="Y52" i="8"/>
  <c r="V52" i="8"/>
  <c r="U52" i="8"/>
  <c r="T52" i="8"/>
  <c r="S52" i="8"/>
  <c r="R52" i="8"/>
  <c r="K52" i="8"/>
  <c r="Y51" i="8"/>
  <c r="V51" i="8"/>
  <c r="U51" i="8"/>
  <c r="T51" i="8"/>
  <c r="S51" i="8"/>
  <c r="R51" i="8"/>
  <c r="K51" i="8"/>
  <c r="AA51" i="8" s="1"/>
  <c r="Y50" i="8"/>
  <c r="V50" i="8"/>
  <c r="U50" i="8"/>
  <c r="T50" i="8"/>
  <c r="S50" i="8"/>
  <c r="R50" i="8"/>
  <c r="K50" i="8"/>
  <c r="AA50" i="8" s="1"/>
  <c r="Y49" i="8"/>
  <c r="V49" i="8"/>
  <c r="U49" i="8"/>
  <c r="T49" i="8"/>
  <c r="S49" i="8"/>
  <c r="R49" i="8"/>
  <c r="K49" i="8"/>
  <c r="Z49" i="8" s="1"/>
  <c r="Y48" i="8"/>
  <c r="V48" i="8"/>
  <c r="U48" i="8"/>
  <c r="T48" i="8"/>
  <c r="S48" i="8"/>
  <c r="R48" i="8"/>
  <c r="K48" i="8"/>
  <c r="AA48" i="8" s="1"/>
  <c r="Y47" i="8"/>
  <c r="V47" i="8"/>
  <c r="U47" i="8"/>
  <c r="T47" i="8"/>
  <c r="S47" i="8"/>
  <c r="R47" i="8"/>
  <c r="K47" i="8"/>
  <c r="AA46" i="8"/>
  <c r="Z46" i="8"/>
  <c r="Y46" i="8"/>
  <c r="X46" i="8"/>
  <c r="V46" i="8"/>
  <c r="U46" i="8"/>
  <c r="T46" i="8"/>
  <c r="S46" i="8"/>
  <c r="R46" i="8"/>
  <c r="AA45" i="8"/>
  <c r="Z45" i="8"/>
  <c r="Y45" i="8"/>
  <c r="X45" i="8"/>
  <c r="V45" i="8"/>
  <c r="U45" i="8"/>
  <c r="T45" i="8"/>
  <c r="S45" i="8"/>
  <c r="R45" i="8"/>
  <c r="AA44" i="8"/>
  <c r="Z44" i="8"/>
  <c r="Y44" i="8"/>
  <c r="X44" i="8"/>
  <c r="V44" i="8"/>
  <c r="U44" i="8"/>
  <c r="T44" i="8"/>
  <c r="S44" i="8"/>
  <c r="R44" i="8"/>
  <c r="AA43" i="8"/>
  <c r="Z43" i="8"/>
  <c r="Y43" i="8"/>
  <c r="X43" i="8"/>
  <c r="V43" i="8"/>
  <c r="U43" i="8"/>
  <c r="T43" i="8"/>
  <c r="S43" i="8"/>
  <c r="R43" i="8"/>
  <c r="AA42" i="8"/>
  <c r="Z42" i="8"/>
  <c r="Y42" i="8"/>
  <c r="X42" i="8"/>
  <c r="V42" i="8"/>
  <c r="U42" i="8"/>
  <c r="T42" i="8"/>
  <c r="S42" i="8"/>
  <c r="R42" i="8"/>
  <c r="AA41" i="8"/>
  <c r="Z41" i="8"/>
  <c r="Y41" i="8"/>
  <c r="X41" i="8"/>
  <c r="V41" i="8"/>
  <c r="U41" i="8"/>
  <c r="T41" i="8"/>
  <c r="S41" i="8"/>
  <c r="R41" i="8"/>
  <c r="AA40" i="8"/>
  <c r="Z40" i="8"/>
  <c r="Y40" i="8"/>
  <c r="X40" i="8"/>
  <c r="V40" i="8"/>
  <c r="U40" i="8"/>
  <c r="T40" i="8"/>
  <c r="S40" i="8"/>
  <c r="R40" i="8"/>
  <c r="AA39" i="8"/>
  <c r="Z39" i="8"/>
  <c r="Y39" i="8"/>
  <c r="X39" i="8"/>
  <c r="V39" i="8"/>
  <c r="U39" i="8"/>
  <c r="T39" i="8"/>
  <c r="S39" i="8"/>
  <c r="R39" i="8"/>
  <c r="AA38" i="8"/>
  <c r="Z38" i="8"/>
  <c r="Y38" i="8"/>
  <c r="X38" i="8"/>
  <c r="V38" i="8"/>
  <c r="U38" i="8"/>
  <c r="T38" i="8"/>
  <c r="S38" i="8"/>
  <c r="R38" i="8"/>
  <c r="Y37" i="8"/>
  <c r="V37" i="8"/>
  <c r="U37" i="8"/>
  <c r="T37" i="8"/>
  <c r="S37" i="8"/>
  <c r="R37" i="8"/>
  <c r="K37" i="8"/>
  <c r="X37" i="8" s="1"/>
  <c r="Y36" i="8"/>
  <c r="V36" i="8"/>
  <c r="U36" i="8"/>
  <c r="T36" i="8"/>
  <c r="S36" i="8"/>
  <c r="R36" i="8"/>
  <c r="K36" i="8"/>
  <c r="Z36" i="8" s="1"/>
  <c r="Y35" i="8"/>
  <c r="V35" i="8"/>
  <c r="U35" i="8"/>
  <c r="T35" i="8"/>
  <c r="S35" i="8"/>
  <c r="R35" i="8"/>
  <c r="K35" i="8"/>
  <c r="AA35" i="8" s="1"/>
  <c r="AA34" i="8"/>
  <c r="Z34" i="8"/>
  <c r="Y34" i="8"/>
  <c r="X34" i="8"/>
  <c r="V34" i="8"/>
  <c r="U34" i="8"/>
  <c r="T34" i="8"/>
  <c r="S34" i="8"/>
  <c r="R34" i="8"/>
  <c r="AA33" i="8"/>
  <c r="Z33" i="8"/>
  <c r="Y33" i="8"/>
  <c r="X33" i="8"/>
  <c r="V33" i="8"/>
  <c r="U33" i="8"/>
  <c r="T33" i="8"/>
  <c r="S33" i="8"/>
  <c r="R33" i="8"/>
  <c r="AA32" i="8"/>
  <c r="Z32" i="8"/>
  <c r="Y32" i="8"/>
  <c r="X32" i="8"/>
  <c r="V32" i="8"/>
  <c r="U32" i="8"/>
  <c r="T32" i="8"/>
  <c r="S32" i="8"/>
  <c r="R32" i="8"/>
  <c r="AA31" i="8"/>
  <c r="Z31" i="8"/>
  <c r="Y31" i="8"/>
  <c r="X31" i="8"/>
  <c r="V31" i="8"/>
  <c r="U31" i="8"/>
  <c r="T31" i="8"/>
  <c r="S31" i="8"/>
  <c r="R31" i="8"/>
  <c r="AA30" i="8"/>
  <c r="Z30" i="8"/>
  <c r="Y30" i="8"/>
  <c r="X30" i="8"/>
  <c r="V30" i="8"/>
  <c r="U30" i="8"/>
  <c r="T30" i="8"/>
  <c r="S30" i="8"/>
  <c r="R30" i="8"/>
  <c r="AA29" i="8"/>
  <c r="Z29" i="8"/>
  <c r="Y29" i="8"/>
  <c r="X29" i="8"/>
  <c r="V29" i="8"/>
  <c r="U29" i="8"/>
  <c r="T29" i="8"/>
  <c r="S29" i="8"/>
  <c r="R29" i="8"/>
  <c r="Y28" i="8"/>
  <c r="V28" i="8"/>
  <c r="U28" i="8"/>
  <c r="T28" i="8"/>
  <c r="S28" i="8"/>
  <c r="R28" i="8"/>
  <c r="K28" i="8"/>
  <c r="X28" i="8" s="1"/>
  <c r="Y27" i="8"/>
  <c r="V27" i="8"/>
  <c r="U27" i="8"/>
  <c r="T27" i="8"/>
  <c r="S27" i="8"/>
  <c r="R27" i="8"/>
  <c r="K27" i="8"/>
  <c r="Z27" i="8" s="1"/>
  <c r="Y26" i="8"/>
  <c r="V26" i="8"/>
  <c r="U26" i="8"/>
  <c r="T26" i="8"/>
  <c r="S26" i="8"/>
  <c r="R26" i="8"/>
  <c r="K26" i="8"/>
  <c r="X26" i="8" s="1"/>
  <c r="AA25" i="8"/>
  <c r="Z25" i="8"/>
  <c r="Y25" i="8"/>
  <c r="X25" i="8"/>
  <c r="V25" i="8"/>
  <c r="U25" i="8"/>
  <c r="T25" i="8"/>
  <c r="S25" i="8"/>
  <c r="R25" i="8"/>
  <c r="AA24" i="8"/>
  <c r="Z24" i="8"/>
  <c r="Y24" i="8"/>
  <c r="X24" i="8"/>
  <c r="V24" i="8"/>
  <c r="U24" i="8"/>
  <c r="T24" i="8"/>
  <c r="S24" i="8"/>
  <c r="R24" i="8"/>
  <c r="AA23" i="8"/>
  <c r="Z23" i="8"/>
  <c r="Y23" i="8"/>
  <c r="X23" i="8"/>
  <c r="V23" i="8"/>
  <c r="U23" i="8"/>
  <c r="T23" i="8"/>
  <c r="S23" i="8"/>
  <c r="R23" i="8"/>
  <c r="AA22" i="8"/>
  <c r="Z22" i="8"/>
  <c r="Y22" i="8"/>
  <c r="X22" i="8"/>
  <c r="V22" i="8"/>
  <c r="U22" i="8"/>
  <c r="T22" i="8"/>
  <c r="S22" i="8"/>
  <c r="R22" i="8"/>
  <c r="AA21" i="8"/>
  <c r="Z21" i="8"/>
  <c r="Y21" i="8"/>
  <c r="X21" i="8"/>
  <c r="V21" i="8"/>
  <c r="U21" i="8"/>
  <c r="T21" i="8"/>
  <c r="S21" i="8"/>
  <c r="R21" i="8"/>
  <c r="AA20" i="8"/>
  <c r="Z20" i="8"/>
  <c r="Y20" i="8"/>
  <c r="X20" i="8"/>
  <c r="V20" i="8"/>
  <c r="U20" i="8"/>
  <c r="T20" i="8"/>
  <c r="S20" i="8"/>
  <c r="R20" i="8"/>
  <c r="AA19" i="8"/>
  <c r="Z19" i="8"/>
  <c r="Y19" i="8"/>
  <c r="X19" i="8"/>
  <c r="V19" i="8"/>
  <c r="U19" i="8"/>
  <c r="T19" i="8"/>
  <c r="S19" i="8"/>
  <c r="R19" i="8"/>
  <c r="AA18" i="8"/>
  <c r="Z18" i="8"/>
  <c r="Y18" i="8"/>
  <c r="X18" i="8"/>
  <c r="V18" i="8"/>
  <c r="U18" i="8"/>
  <c r="T18" i="8"/>
  <c r="S18" i="8"/>
  <c r="R18" i="8"/>
  <c r="AA17" i="8"/>
  <c r="Z17" i="8"/>
  <c r="Y17" i="8"/>
  <c r="X17" i="8"/>
  <c r="V17" i="8"/>
  <c r="U17" i="8"/>
  <c r="T17" i="8"/>
  <c r="S17" i="8"/>
  <c r="R17" i="8"/>
  <c r="AA16" i="8"/>
  <c r="Z16" i="8"/>
  <c r="Y16" i="8"/>
  <c r="X16" i="8"/>
  <c r="V16" i="8"/>
  <c r="U16" i="8"/>
  <c r="T16" i="8"/>
  <c r="S16" i="8"/>
  <c r="R16" i="8"/>
  <c r="AA15" i="8"/>
  <c r="Z15" i="8"/>
  <c r="Y15" i="8"/>
  <c r="X15" i="8"/>
  <c r="V15" i="8"/>
  <c r="U15" i="8"/>
  <c r="T15" i="8"/>
  <c r="S15" i="8"/>
  <c r="R15" i="8"/>
  <c r="AA14" i="8"/>
  <c r="Z14" i="8"/>
  <c r="Y14" i="8"/>
  <c r="X14" i="8"/>
  <c r="V14" i="8"/>
  <c r="U14" i="8"/>
  <c r="T14" i="8"/>
  <c r="S14" i="8"/>
  <c r="R14" i="8"/>
  <c r="AA13" i="8"/>
  <c r="Z13" i="8"/>
  <c r="Y13" i="8"/>
  <c r="X13" i="8"/>
  <c r="V13" i="8"/>
  <c r="U13" i="8"/>
  <c r="T13" i="8"/>
  <c r="S13" i="8"/>
  <c r="R13" i="8"/>
  <c r="AA12" i="8"/>
  <c r="Z12" i="8"/>
  <c r="Y12" i="8"/>
  <c r="X12" i="8"/>
  <c r="V12" i="8"/>
  <c r="U12" i="8"/>
  <c r="T12" i="8"/>
  <c r="S12" i="8"/>
  <c r="R12" i="8"/>
  <c r="AA11" i="8"/>
  <c r="Z11" i="8"/>
  <c r="Y11" i="8"/>
  <c r="X11" i="8"/>
  <c r="V11" i="8"/>
  <c r="U11" i="8"/>
  <c r="T11" i="8"/>
  <c r="S11" i="8"/>
  <c r="R11" i="8"/>
  <c r="AA10" i="8"/>
  <c r="Z10" i="8"/>
  <c r="Y10" i="8"/>
  <c r="X10" i="8"/>
  <c r="V10" i="8"/>
  <c r="U10" i="8"/>
  <c r="T10" i="8"/>
  <c r="S10" i="8"/>
  <c r="R10" i="8"/>
  <c r="AA9" i="8"/>
  <c r="Z9" i="8"/>
  <c r="Y9" i="8"/>
  <c r="X9" i="8"/>
  <c r="V9" i="8"/>
  <c r="U9" i="8"/>
  <c r="T9" i="8"/>
  <c r="S9" i="8"/>
  <c r="R9" i="8"/>
  <c r="AA8" i="8"/>
  <c r="Z8" i="8"/>
  <c r="Y8" i="8"/>
  <c r="X8" i="8"/>
  <c r="V8" i="8"/>
  <c r="U8" i="8"/>
  <c r="T8" i="8"/>
  <c r="S8" i="8"/>
  <c r="R8" i="8"/>
  <c r="AA7" i="8"/>
  <c r="Z7" i="8"/>
  <c r="Y7" i="8"/>
  <c r="X7" i="8"/>
  <c r="V7" i="8"/>
  <c r="U7" i="8"/>
  <c r="T7" i="8"/>
  <c r="S7" i="8"/>
  <c r="R7" i="8"/>
  <c r="AA6" i="8"/>
  <c r="Z6" i="8"/>
  <c r="Y6" i="8"/>
  <c r="X6" i="8"/>
  <c r="V6" i="8"/>
  <c r="U6" i="8"/>
  <c r="T6" i="8"/>
  <c r="S6" i="8"/>
  <c r="R6" i="8"/>
  <c r="AA5" i="8"/>
  <c r="Z5" i="8"/>
  <c r="Y5" i="8"/>
  <c r="X5" i="8"/>
  <c r="V5" i="8"/>
  <c r="U5" i="8"/>
  <c r="T5" i="8"/>
  <c r="S5" i="8"/>
  <c r="R5" i="8"/>
  <c r="AA4" i="8"/>
  <c r="Z4" i="8"/>
  <c r="Y4" i="8"/>
  <c r="X4" i="8"/>
  <c r="V4" i="8"/>
  <c r="U4" i="8"/>
  <c r="T4" i="8"/>
  <c r="S4" i="8"/>
  <c r="R4" i="8"/>
  <c r="AA3" i="8"/>
  <c r="Z3" i="8"/>
  <c r="Y3" i="8"/>
  <c r="X3" i="8"/>
  <c r="V3" i="8"/>
  <c r="U3" i="8"/>
  <c r="T3" i="8"/>
  <c r="S3" i="8"/>
  <c r="R3" i="8"/>
  <c r="AA2" i="8"/>
  <c r="Z2" i="8"/>
  <c r="Y2" i="8"/>
  <c r="X2" i="8"/>
  <c r="V2" i="8"/>
  <c r="U2" i="8"/>
  <c r="T2" i="8"/>
  <c r="S2" i="8"/>
  <c r="R2" i="8"/>
  <c r="Z34" i="7"/>
  <c r="Y34" i="7"/>
  <c r="X34" i="7"/>
  <c r="W34" i="7"/>
  <c r="V34" i="7"/>
  <c r="U34" i="7"/>
  <c r="T34" i="7"/>
  <c r="S34" i="7"/>
  <c r="N34" i="7"/>
  <c r="G34" i="7"/>
  <c r="R34" i="7" s="1"/>
  <c r="Z33" i="7"/>
  <c r="Y33" i="7"/>
  <c r="X33" i="7"/>
  <c r="W33" i="7"/>
  <c r="V33" i="7"/>
  <c r="U33" i="7"/>
  <c r="T33" i="7"/>
  <c r="S33" i="7"/>
  <c r="N33" i="7"/>
  <c r="G33" i="7"/>
  <c r="R33" i="7" s="1"/>
  <c r="Z32" i="7"/>
  <c r="Y32" i="7"/>
  <c r="X32" i="7"/>
  <c r="W32" i="7"/>
  <c r="V32" i="7"/>
  <c r="U32" i="7"/>
  <c r="T32" i="7"/>
  <c r="S32" i="7"/>
  <c r="N32" i="7"/>
  <c r="G32" i="7"/>
  <c r="R32" i="7" s="1"/>
  <c r="X31" i="7"/>
  <c r="V31" i="7"/>
  <c r="U31" i="7"/>
  <c r="T31" i="7"/>
  <c r="S31" i="7"/>
  <c r="R31" i="7"/>
  <c r="N31" i="7"/>
  <c r="K31" i="7"/>
  <c r="G31" i="7"/>
  <c r="X30" i="7"/>
  <c r="V30" i="7"/>
  <c r="U30" i="7"/>
  <c r="T30" i="7"/>
  <c r="S30" i="7"/>
  <c r="N30" i="7"/>
  <c r="K30" i="7"/>
  <c r="G30" i="7"/>
  <c r="R30" i="7" s="1"/>
  <c r="X29" i="7"/>
  <c r="V29" i="7"/>
  <c r="U29" i="7"/>
  <c r="T29" i="7"/>
  <c r="S29" i="7"/>
  <c r="R29" i="7"/>
  <c r="N29" i="7"/>
  <c r="K29" i="7"/>
  <c r="G29" i="7"/>
  <c r="Z28" i="7"/>
  <c r="Y28" i="7"/>
  <c r="X28" i="7"/>
  <c r="W28" i="7"/>
  <c r="V28" i="7"/>
  <c r="U28" i="7"/>
  <c r="T28" i="7"/>
  <c r="S28" i="7"/>
  <c r="N28" i="7"/>
  <c r="G28" i="7"/>
  <c r="R28" i="7" s="1"/>
  <c r="Z27" i="7"/>
  <c r="Y27" i="7"/>
  <c r="X27" i="7"/>
  <c r="W27" i="7"/>
  <c r="V27" i="7"/>
  <c r="U27" i="7"/>
  <c r="T27" i="7"/>
  <c r="S27" i="7"/>
  <c r="N27" i="7"/>
  <c r="G27" i="7"/>
  <c r="R27" i="7" s="1"/>
  <c r="Z26" i="7"/>
  <c r="Y26" i="7"/>
  <c r="X26" i="7"/>
  <c r="W26" i="7"/>
  <c r="V26" i="7"/>
  <c r="U26" i="7"/>
  <c r="T26" i="7"/>
  <c r="S26" i="7"/>
  <c r="R26" i="7"/>
  <c r="N26" i="7"/>
  <c r="G26" i="7"/>
  <c r="Z25" i="7"/>
  <c r="Y25" i="7"/>
  <c r="X25" i="7"/>
  <c r="W25" i="7"/>
  <c r="V25" i="7"/>
  <c r="U25" i="7"/>
  <c r="T25" i="7"/>
  <c r="S25" i="7"/>
  <c r="N25" i="7"/>
  <c r="G25" i="7"/>
  <c r="R25" i="7" s="1"/>
  <c r="Z24" i="7"/>
  <c r="Y24" i="7"/>
  <c r="X24" i="7"/>
  <c r="W24" i="7"/>
  <c r="V24" i="7"/>
  <c r="U24" i="7"/>
  <c r="T24" i="7"/>
  <c r="S24" i="7"/>
  <c r="N24" i="7"/>
  <c r="G24" i="7"/>
  <c r="R24" i="7" s="1"/>
  <c r="Z23" i="7"/>
  <c r="Y23" i="7"/>
  <c r="X23" i="7"/>
  <c r="W23" i="7"/>
  <c r="V23" i="7"/>
  <c r="U23" i="7"/>
  <c r="T23" i="7"/>
  <c r="S23" i="7"/>
  <c r="R23" i="7"/>
  <c r="N23" i="7"/>
  <c r="G23" i="7"/>
  <c r="Z22" i="7"/>
  <c r="Y22" i="7"/>
  <c r="X22" i="7"/>
  <c r="W22" i="7"/>
  <c r="V22" i="7"/>
  <c r="U22" i="7"/>
  <c r="T22" i="7"/>
  <c r="S22" i="7"/>
  <c r="G22" i="7"/>
  <c r="R22" i="7" s="1"/>
  <c r="Z21" i="7"/>
  <c r="Y21" i="7"/>
  <c r="X21" i="7"/>
  <c r="W21" i="7"/>
  <c r="V21" i="7"/>
  <c r="U21" i="7"/>
  <c r="T21" i="7"/>
  <c r="S21" i="7"/>
  <c r="R21" i="7"/>
  <c r="G21" i="7"/>
  <c r="Z20" i="7"/>
  <c r="Y20" i="7"/>
  <c r="X20" i="7"/>
  <c r="W20" i="7"/>
  <c r="V20" i="7"/>
  <c r="U20" i="7"/>
  <c r="T20" i="7"/>
  <c r="S20" i="7"/>
  <c r="G20" i="7"/>
  <c r="R20" i="7" s="1"/>
  <c r="Z19" i="7"/>
  <c r="Y19" i="7"/>
  <c r="X19" i="7"/>
  <c r="W19" i="7"/>
  <c r="V19" i="7"/>
  <c r="U19" i="7"/>
  <c r="T19" i="7"/>
  <c r="S19" i="7"/>
  <c r="N19" i="7"/>
  <c r="G19" i="7"/>
  <c r="R19" i="7" s="1"/>
  <c r="Z18" i="7"/>
  <c r="Y18" i="7"/>
  <c r="X18" i="7"/>
  <c r="W18" i="7"/>
  <c r="V18" i="7"/>
  <c r="U18" i="7"/>
  <c r="T18" i="7"/>
  <c r="S18" i="7"/>
  <c r="N18" i="7"/>
  <c r="G18" i="7"/>
  <c r="R18" i="7" s="1"/>
  <c r="Z17" i="7"/>
  <c r="Y17" i="7"/>
  <c r="X17" i="7"/>
  <c r="W17" i="7"/>
  <c r="V17" i="7"/>
  <c r="U17" i="7"/>
  <c r="T17" i="7"/>
  <c r="S17" i="7"/>
  <c r="N17" i="7"/>
  <c r="G17" i="7"/>
  <c r="R17" i="7" s="1"/>
  <c r="Z16" i="7"/>
  <c r="Y16" i="7"/>
  <c r="X16" i="7"/>
  <c r="W16" i="7"/>
  <c r="V16" i="7"/>
  <c r="U16" i="7"/>
  <c r="T16" i="7"/>
  <c r="S16" i="7"/>
  <c r="N16" i="7"/>
  <c r="G16" i="7"/>
  <c r="R16" i="7" s="1"/>
  <c r="Z15" i="7"/>
  <c r="Y15" i="7"/>
  <c r="X15" i="7"/>
  <c r="W15" i="7"/>
  <c r="V15" i="7"/>
  <c r="U15" i="7"/>
  <c r="T15" i="7"/>
  <c r="S15" i="7"/>
  <c r="N15" i="7"/>
  <c r="G15" i="7"/>
  <c r="R15" i="7" s="1"/>
  <c r="Z14" i="7"/>
  <c r="Y14" i="7"/>
  <c r="X14" i="7"/>
  <c r="W14" i="7"/>
  <c r="V14" i="7"/>
  <c r="U14" i="7"/>
  <c r="T14" i="7"/>
  <c r="S14" i="7"/>
  <c r="R14" i="7"/>
  <c r="N14" i="7"/>
  <c r="G14" i="7"/>
  <c r="Z13" i="7"/>
  <c r="Y13" i="7"/>
  <c r="X13" i="7"/>
  <c r="W13" i="7"/>
  <c r="V13" i="7"/>
  <c r="U13" i="7"/>
  <c r="T13" i="7"/>
  <c r="S13" i="7"/>
  <c r="R13" i="7"/>
  <c r="N13" i="7"/>
  <c r="G13" i="7"/>
  <c r="Z12" i="7"/>
  <c r="Y12" i="7"/>
  <c r="X12" i="7"/>
  <c r="W12" i="7"/>
  <c r="V12" i="7"/>
  <c r="U12" i="7"/>
  <c r="T12" i="7"/>
  <c r="S12" i="7"/>
  <c r="N12" i="7"/>
  <c r="G12" i="7"/>
  <c r="R12" i="7" s="1"/>
  <c r="Z11" i="7"/>
  <c r="Y11" i="7"/>
  <c r="X11" i="7"/>
  <c r="W11" i="7"/>
  <c r="V11" i="7"/>
  <c r="U11" i="7"/>
  <c r="T11" i="7"/>
  <c r="S11" i="7"/>
  <c r="N11" i="7"/>
  <c r="G11" i="7"/>
  <c r="R11" i="7" s="1"/>
  <c r="Z10" i="7"/>
  <c r="Y10" i="7"/>
  <c r="X10" i="7"/>
  <c r="W10" i="7"/>
  <c r="V10" i="7"/>
  <c r="U10" i="7"/>
  <c r="T10" i="7"/>
  <c r="S10" i="7"/>
  <c r="N10" i="7"/>
  <c r="G10" i="7"/>
  <c r="R10" i="7" s="1"/>
  <c r="Z9" i="7"/>
  <c r="Y9" i="7"/>
  <c r="X9" i="7"/>
  <c r="W9" i="7"/>
  <c r="V9" i="7"/>
  <c r="U9" i="7"/>
  <c r="T9" i="7"/>
  <c r="S9" i="7"/>
  <c r="N9" i="7"/>
  <c r="G9" i="7"/>
  <c r="R9" i="7" s="1"/>
  <c r="Z8" i="7"/>
  <c r="Y8" i="7"/>
  <c r="X8" i="7"/>
  <c r="W8" i="7"/>
  <c r="V8" i="7"/>
  <c r="U8" i="7"/>
  <c r="T8" i="7"/>
  <c r="S8" i="7"/>
  <c r="N8" i="7"/>
  <c r="G8" i="7"/>
  <c r="R8" i="7" s="1"/>
  <c r="Z7" i="7"/>
  <c r="Y7" i="7"/>
  <c r="X7" i="7"/>
  <c r="W7" i="7"/>
  <c r="V7" i="7"/>
  <c r="U7" i="7"/>
  <c r="T7" i="7"/>
  <c r="S7" i="7"/>
  <c r="N7" i="7"/>
  <c r="G7" i="7"/>
  <c r="R7" i="7" s="1"/>
  <c r="Z6" i="7"/>
  <c r="Y6" i="7"/>
  <c r="X6" i="7"/>
  <c r="W6" i="7"/>
  <c r="V6" i="7"/>
  <c r="U6" i="7"/>
  <c r="T6" i="7"/>
  <c r="S6" i="7"/>
  <c r="R6" i="7"/>
  <c r="N6" i="7"/>
  <c r="G6" i="7"/>
  <c r="Z5" i="7"/>
  <c r="Y5" i="7"/>
  <c r="X5" i="7"/>
  <c r="W5" i="7"/>
  <c r="V5" i="7"/>
  <c r="U5" i="7"/>
  <c r="T5" i="7"/>
  <c r="S5" i="7"/>
  <c r="R5" i="7"/>
  <c r="N5" i="7"/>
  <c r="G5" i="7"/>
  <c r="Z4" i="7"/>
  <c r="Y4" i="7"/>
  <c r="X4" i="7"/>
  <c r="W4" i="7"/>
  <c r="V4" i="7"/>
  <c r="U4" i="7"/>
  <c r="T4" i="7"/>
  <c r="S4" i="7"/>
  <c r="N4" i="7"/>
  <c r="G4" i="7"/>
  <c r="R4" i="7" s="1"/>
  <c r="Z3" i="7"/>
  <c r="Y3" i="7"/>
  <c r="X3" i="7"/>
  <c r="W3" i="7"/>
  <c r="V3" i="7"/>
  <c r="U3" i="7"/>
  <c r="T3" i="7"/>
  <c r="S3" i="7"/>
  <c r="N3" i="7"/>
  <c r="G3" i="7"/>
  <c r="R3" i="7" s="1"/>
  <c r="Z2" i="7"/>
  <c r="Y2" i="7"/>
  <c r="X2" i="7"/>
  <c r="W2" i="7"/>
  <c r="V2" i="7"/>
  <c r="U2" i="7"/>
  <c r="T2" i="7"/>
  <c r="S2" i="7"/>
  <c r="N2" i="7"/>
  <c r="G2" i="7"/>
  <c r="R2" i="7" s="1"/>
  <c r="Z34" i="6"/>
  <c r="Y34" i="6"/>
  <c r="X34" i="6"/>
  <c r="V34" i="6"/>
  <c r="U34" i="6"/>
  <c r="T34" i="6"/>
  <c r="S34" i="6"/>
  <c r="P34" i="6"/>
  <c r="W34" i="6" s="1"/>
  <c r="N34" i="6"/>
  <c r="G34" i="6"/>
  <c r="R34" i="6" s="1"/>
  <c r="Z33" i="6"/>
  <c r="Y33" i="6"/>
  <c r="V33" i="6"/>
  <c r="U33" i="6"/>
  <c r="T33" i="6"/>
  <c r="S33" i="6"/>
  <c r="R33" i="6"/>
  <c r="P33" i="6"/>
  <c r="W33" i="6" s="1"/>
  <c r="N33" i="6"/>
  <c r="G33" i="6"/>
  <c r="Z32" i="6"/>
  <c r="Y32" i="6"/>
  <c r="V32" i="6"/>
  <c r="U32" i="6"/>
  <c r="T32" i="6"/>
  <c r="S32" i="6"/>
  <c r="P32" i="6"/>
  <c r="W32" i="6" s="1"/>
  <c r="N32" i="6"/>
  <c r="G32" i="6"/>
  <c r="R32" i="6" s="1"/>
  <c r="Z31" i="6"/>
  <c r="Y31" i="6"/>
  <c r="X31" i="6"/>
  <c r="W31" i="6"/>
  <c r="V31" i="6"/>
  <c r="U31" i="6"/>
  <c r="T31" i="6"/>
  <c r="S31" i="6"/>
  <c r="G31" i="6"/>
  <c r="R31" i="6" s="1"/>
  <c r="Z30" i="6"/>
  <c r="Y30" i="6"/>
  <c r="X30" i="6"/>
  <c r="W30" i="6"/>
  <c r="V30" i="6"/>
  <c r="U30" i="6"/>
  <c r="T30" i="6"/>
  <c r="S30" i="6"/>
  <c r="G30" i="6"/>
  <c r="R30" i="6" s="1"/>
  <c r="Z29" i="6"/>
  <c r="Y29" i="6"/>
  <c r="X29" i="6"/>
  <c r="W29" i="6"/>
  <c r="V29" i="6"/>
  <c r="U29" i="6"/>
  <c r="T29" i="6"/>
  <c r="S29" i="6"/>
  <c r="G29" i="6"/>
  <c r="R29" i="6" s="1"/>
  <c r="Z28" i="6"/>
  <c r="Y28" i="6"/>
  <c r="X28" i="6"/>
  <c r="W28" i="6"/>
  <c r="V28" i="6"/>
  <c r="U28" i="6"/>
  <c r="T28" i="6"/>
  <c r="S28" i="6"/>
  <c r="G28" i="6"/>
  <c r="R28" i="6" s="1"/>
  <c r="Z27" i="6"/>
  <c r="Y27" i="6"/>
  <c r="X27" i="6"/>
  <c r="W27" i="6"/>
  <c r="V27" i="6"/>
  <c r="U27" i="6"/>
  <c r="T27" i="6"/>
  <c r="S27" i="6"/>
  <c r="G27" i="6"/>
  <c r="R27" i="6" s="1"/>
  <c r="Z26" i="6"/>
  <c r="Y26" i="6"/>
  <c r="X26" i="6"/>
  <c r="W26" i="6"/>
  <c r="V26" i="6"/>
  <c r="U26" i="6"/>
  <c r="T26" i="6"/>
  <c r="S26" i="6"/>
  <c r="G26" i="6"/>
  <c r="R26" i="6" s="1"/>
  <c r="Z25" i="6"/>
  <c r="Y25" i="6"/>
  <c r="X25" i="6"/>
  <c r="W25" i="6"/>
  <c r="V25" i="6"/>
  <c r="U25" i="6"/>
  <c r="T25" i="6"/>
  <c r="S25" i="6"/>
  <c r="G25" i="6"/>
  <c r="R25" i="6" s="1"/>
  <c r="Z24" i="6"/>
  <c r="Y24" i="6"/>
  <c r="X24" i="6"/>
  <c r="W24" i="6"/>
  <c r="V24" i="6"/>
  <c r="U24" i="6"/>
  <c r="T24" i="6"/>
  <c r="S24" i="6"/>
  <c r="G24" i="6"/>
  <c r="R24" i="6" s="1"/>
  <c r="Z23" i="6"/>
  <c r="Y23" i="6"/>
  <c r="X23" i="6"/>
  <c r="W23" i="6"/>
  <c r="V23" i="6"/>
  <c r="U23" i="6"/>
  <c r="T23" i="6"/>
  <c r="S23" i="6"/>
  <c r="G23" i="6"/>
  <c r="R23" i="6" s="1"/>
  <c r="Z22" i="6"/>
  <c r="Y22" i="6"/>
  <c r="W22" i="6"/>
  <c r="V22" i="6"/>
  <c r="U22" i="6"/>
  <c r="T22" i="6"/>
  <c r="S22" i="6"/>
  <c r="P22" i="6"/>
  <c r="X22" i="6" s="1"/>
  <c r="M22" i="6"/>
  <c r="G22" i="6"/>
  <c r="R22" i="6" s="1"/>
  <c r="Z21" i="6"/>
  <c r="Y21" i="6"/>
  <c r="W21" i="6"/>
  <c r="V21" i="6"/>
  <c r="U21" i="6"/>
  <c r="T21" i="6"/>
  <c r="S21" i="6"/>
  <c r="P21" i="6"/>
  <c r="X21" i="6" s="1"/>
  <c r="M21" i="6"/>
  <c r="G21" i="6"/>
  <c r="R21" i="6" s="1"/>
  <c r="Z20" i="6"/>
  <c r="Y20" i="6"/>
  <c r="W20" i="6"/>
  <c r="V20" i="6"/>
  <c r="U20" i="6"/>
  <c r="T20" i="6"/>
  <c r="S20" i="6"/>
  <c r="P20" i="6"/>
  <c r="X20" i="6" s="1"/>
  <c r="M20" i="6"/>
  <c r="G20" i="6"/>
  <c r="R20" i="6" s="1"/>
  <c r="Z19" i="6"/>
  <c r="Y19" i="6"/>
  <c r="X19" i="6"/>
  <c r="W19" i="6"/>
  <c r="V19" i="6"/>
  <c r="U19" i="6"/>
  <c r="T19" i="6"/>
  <c r="S19" i="6"/>
  <c r="N19" i="6"/>
  <c r="G19" i="6"/>
  <c r="R19" i="6" s="1"/>
  <c r="Z18" i="6"/>
  <c r="Y18" i="6"/>
  <c r="X18" i="6"/>
  <c r="W18" i="6"/>
  <c r="V18" i="6"/>
  <c r="U18" i="6"/>
  <c r="T18" i="6"/>
  <c r="S18" i="6"/>
  <c r="N18" i="6"/>
  <c r="G18" i="6"/>
  <c r="R18" i="6" s="1"/>
  <c r="Z17" i="6"/>
  <c r="Y17" i="6"/>
  <c r="X17" i="6"/>
  <c r="V17" i="6"/>
  <c r="U17" i="6"/>
  <c r="T17" i="6"/>
  <c r="S17" i="6"/>
  <c r="P17" i="6"/>
  <c r="W17" i="6" s="1"/>
  <c r="N17" i="6"/>
  <c r="G17" i="6"/>
  <c r="R17" i="6" s="1"/>
  <c r="X16" i="6"/>
  <c r="V16" i="6"/>
  <c r="U16" i="6"/>
  <c r="T16" i="6"/>
  <c r="S16" i="6"/>
  <c r="N16" i="6"/>
  <c r="K16" i="6"/>
  <c r="Y16" i="6" s="1"/>
  <c r="G16" i="6"/>
  <c r="R16" i="6" s="1"/>
  <c r="X15" i="6"/>
  <c r="V15" i="6"/>
  <c r="U15" i="6"/>
  <c r="T15" i="6"/>
  <c r="S15" i="6"/>
  <c r="N15" i="6"/>
  <c r="K15" i="6"/>
  <c r="Y15" i="6" s="1"/>
  <c r="G15" i="6"/>
  <c r="R15" i="6" s="1"/>
  <c r="X14" i="6"/>
  <c r="V14" i="6"/>
  <c r="U14" i="6"/>
  <c r="T14" i="6"/>
  <c r="S14" i="6"/>
  <c r="N14" i="6"/>
  <c r="K14" i="6"/>
  <c r="Y14" i="6" s="1"/>
  <c r="G14" i="6"/>
  <c r="R14" i="6" s="1"/>
  <c r="Z13" i="6"/>
  <c r="Y13" i="6"/>
  <c r="X13" i="6"/>
  <c r="W13" i="6"/>
  <c r="V13" i="6"/>
  <c r="U13" i="6"/>
  <c r="T13" i="6"/>
  <c r="S13" i="6"/>
  <c r="N13" i="6"/>
  <c r="I13" i="6"/>
  <c r="G13" i="6" s="1"/>
  <c r="R13" i="6" s="1"/>
  <c r="Z12" i="6"/>
  <c r="Y12" i="6"/>
  <c r="X12" i="6"/>
  <c r="W12" i="6"/>
  <c r="V12" i="6"/>
  <c r="U12" i="6"/>
  <c r="T12" i="6"/>
  <c r="S12" i="6"/>
  <c r="N12" i="6"/>
  <c r="I12" i="6"/>
  <c r="G12" i="6" s="1"/>
  <c r="R12" i="6" s="1"/>
  <c r="Z11" i="6"/>
  <c r="Y11" i="6"/>
  <c r="X11" i="6"/>
  <c r="W11" i="6"/>
  <c r="V11" i="6"/>
  <c r="U11" i="6"/>
  <c r="T11" i="6"/>
  <c r="S11" i="6"/>
  <c r="N11" i="6"/>
  <c r="I11" i="6"/>
  <c r="G11" i="6" s="1"/>
  <c r="R11" i="6" s="1"/>
  <c r="X10" i="6"/>
  <c r="V10" i="6"/>
  <c r="U10" i="6"/>
  <c r="T10" i="6"/>
  <c r="S10" i="6"/>
  <c r="R10" i="6"/>
  <c r="N10" i="6"/>
  <c r="K10" i="6"/>
  <c r="Y10" i="6" s="1"/>
  <c r="G10" i="6"/>
  <c r="X9" i="6"/>
  <c r="V9" i="6"/>
  <c r="U9" i="6"/>
  <c r="T9" i="6"/>
  <c r="S9" i="6"/>
  <c r="R9" i="6"/>
  <c r="N9" i="6"/>
  <c r="K9" i="6"/>
  <c r="Y9" i="6" s="1"/>
  <c r="G9" i="6"/>
  <c r="X8" i="6"/>
  <c r="V8" i="6"/>
  <c r="U8" i="6"/>
  <c r="T8" i="6"/>
  <c r="S8" i="6"/>
  <c r="R8" i="6"/>
  <c r="N8" i="6"/>
  <c r="K8" i="6"/>
  <c r="Y8" i="6" s="1"/>
  <c r="G8" i="6"/>
  <c r="Z7" i="6"/>
  <c r="Y7" i="6"/>
  <c r="V7" i="6"/>
  <c r="U7" i="6"/>
  <c r="T7" i="6"/>
  <c r="S7" i="6"/>
  <c r="P7" i="6"/>
  <c r="W7" i="6" s="1"/>
  <c r="G7" i="6"/>
  <c r="R7" i="6" s="1"/>
  <c r="Z6" i="6"/>
  <c r="Y6" i="6"/>
  <c r="V6" i="6"/>
  <c r="U6" i="6"/>
  <c r="T6" i="6"/>
  <c r="S6" i="6"/>
  <c r="P6" i="6"/>
  <c r="G6" i="6"/>
  <c r="R6" i="6" s="1"/>
  <c r="Z5" i="6"/>
  <c r="Y5" i="6"/>
  <c r="X5" i="6"/>
  <c r="W5" i="6"/>
  <c r="V5" i="6"/>
  <c r="U5" i="6"/>
  <c r="T5" i="6"/>
  <c r="S5" i="6"/>
  <c r="R5" i="6"/>
  <c r="G5" i="6"/>
  <c r="Z4" i="6"/>
  <c r="Y4" i="6"/>
  <c r="X4" i="6"/>
  <c r="W4" i="6"/>
  <c r="V4" i="6"/>
  <c r="U4" i="6"/>
  <c r="T4" i="6"/>
  <c r="S4" i="6"/>
  <c r="R4" i="6"/>
  <c r="N4" i="6"/>
  <c r="G4" i="6"/>
  <c r="Z3" i="6"/>
  <c r="Y3" i="6"/>
  <c r="X3" i="6"/>
  <c r="W3" i="6"/>
  <c r="V3" i="6"/>
  <c r="U3" i="6"/>
  <c r="T3" i="6"/>
  <c r="S3" i="6"/>
  <c r="N3" i="6"/>
  <c r="G3" i="6"/>
  <c r="R3" i="6" s="1"/>
  <c r="Z2" i="6"/>
  <c r="Y2" i="6"/>
  <c r="X2" i="6"/>
  <c r="W2" i="6"/>
  <c r="V2" i="6"/>
  <c r="U2" i="6"/>
  <c r="T2" i="6"/>
  <c r="S2" i="6"/>
  <c r="N2" i="6"/>
  <c r="G2" i="6"/>
  <c r="R2" i="6" s="1"/>
  <c r="Z118" i="5"/>
  <c r="Y118" i="5"/>
  <c r="X118" i="5"/>
  <c r="W118" i="5"/>
  <c r="V118" i="5"/>
  <c r="U118" i="5"/>
  <c r="T118" i="5"/>
  <c r="S118" i="5"/>
  <c r="N118" i="5"/>
  <c r="G118" i="5"/>
  <c r="R118" i="5" s="1"/>
  <c r="Z117" i="5"/>
  <c r="Y117" i="5"/>
  <c r="X117" i="5"/>
  <c r="W117" i="5"/>
  <c r="V117" i="5"/>
  <c r="U117" i="5"/>
  <c r="T117" i="5"/>
  <c r="S117" i="5"/>
  <c r="N117" i="5"/>
  <c r="G117" i="5"/>
  <c r="R117" i="5" s="1"/>
  <c r="Z116" i="5"/>
  <c r="Y116" i="5"/>
  <c r="X116" i="5"/>
  <c r="W116" i="5"/>
  <c r="V116" i="5"/>
  <c r="U116" i="5"/>
  <c r="T116" i="5"/>
  <c r="S116" i="5"/>
  <c r="N116" i="5"/>
  <c r="G116" i="5"/>
  <c r="R116" i="5" s="1"/>
  <c r="Z115" i="5"/>
  <c r="Y115" i="5"/>
  <c r="X115" i="5"/>
  <c r="W115" i="5"/>
  <c r="V115" i="5"/>
  <c r="U115" i="5"/>
  <c r="T115" i="5"/>
  <c r="S115" i="5"/>
  <c r="N115" i="5"/>
  <c r="G115" i="5"/>
  <c r="R115" i="5" s="1"/>
  <c r="Z114" i="5"/>
  <c r="Y114" i="5"/>
  <c r="X114" i="5"/>
  <c r="W114" i="5"/>
  <c r="V114" i="5"/>
  <c r="U114" i="5"/>
  <c r="T114" i="5"/>
  <c r="S114" i="5"/>
  <c r="N114" i="5"/>
  <c r="G114" i="5"/>
  <c r="R114" i="5" s="1"/>
  <c r="Z113" i="5"/>
  <c r="Y113" i="5"/>
  <c r="X113" i="5"/>
  <c r="W113" i="5"/>
  <c r="V113" i="5"/>
  <c r="U113" i="5"/>
  <c r="T113" i="5"/>
  <c r="S113" i="5"/>
  <c r="N113" i="5"/>
  <c r="G113" i="5"/>
  <c r="R113" i="5" s="1"/>
  <c r="Z112" i="5"/>
  <c r="Y112" i="5"/>
  <c r="X112" i="5"/>
  <c r="W112" i="5"/>
  <c r="V112" i="5"/>
  <c r="U112" i="5"/>
  <c r="T112" i="5"/>
  <c r="S112" i="5"/>
  <c r="G112" i="5"/>
  <c r="R112" i="5" s="1"/>
  <c r="Z111" i="5"/>
  <c r="Y111" i="5"/>
  <c r="X111" i="5"/>
  <c r="W111" i="5"/>
  <c r="V111" i="5"/>
  <c r="U111" i="5"/>
  <c r="T111" i="5"/>
  <c r="S111" i="5"/>
  <c r="G111" i="5"/>
  <c r="R111" i="5" s="1"/>
  <c r="Z110" i="5"/>
  <c r="Y110" i="5"/>
  <c r="X110" i="5"/>
  <c r="W110" i="5"/>
  <c r="V110" i="5"/>
  <c r="U110" i="5"/>
  <c r="T110" i="5"/>
  <c r="S110" i="5"/>
  <c r="G110" i="5"/>
  <c r="R110" i="5" s="1"/>
  <c r="Z109" i="5"/>
  <c r="Y109" i="5"/>
  <c r="X109" i="5"/>
  <c r="W109" i="5"/>
  <c r="V109" i="5"/>
  <c r="U109" i="5"/>
  <c r="T109" i="5"/>
  <c r="S109" i="5"/>
  <c r="N109" i="5"/>
  <c r="G109" i="5"/>
  <c r="R109" i="5" s="1"/>
  <c r="Z108" i="5"/>
  <c r="Y108" i="5"/>
  <c r="X108" i="5"/>
  <c r="W108" i="5"/>
  <c r="V108" i="5"/>
  <c r="U108" i="5"/>
  <c r="T108" i="5"/>
  <c r="S108" i="5"/>
  <c r="N108" i="5"/>
  <c r="G108" i="5"/>
  <c r="R108" i="5" s="1"/>
  <c r="Z107" i="5"/>
  <c r="Y107" i="5"/>
  <c r="X107" i="5"/>
  <c r="W107" i="5"/>
  <c r="V107" i="5"/>
  <c r="U107" i="5"/>
  <c r="T107" i="5"/>
  <c r="S107" i="5"/>
  <c r="N107" i="5"/>
  <c r="G107" i="5"/>
  <c r="R107" i="5" s="1"/>
  <c r="Z106" i="5"/>
  <c r="Y106" i="5"/>
  <c r="X106" i="5"/>
  <c r="W106" i="5"/>
  <c r="V106" i="5"/>
  <c r="U106" i="5"/>
  <c r="T106" i="5"/>
  <c r="S106" i="5"/>
  <c r="N106" i="5"/>
  <c r="G106" i="5"/>
  <c r="R106" i="5" s="1"/>
  <c r="Z105" i="5"/>
  <c r="Y105" i="5"/>
  <c r="X105" i="5"/>
  <c r="W105" i="5"/>
  <c r="V105" i="5"/>
  <c r="U105" i="5"/>
  <c r="T105" i="5"/>
  <c r="S105" i="5"/>
  <c r="R105" i="5"/>
  <c r="N105" i="5"/>
  <c r="G105" i="5"/>
  <c r="Z104" i="5"/>
  <c r="Y104" i="5"/>
  <c r="X104" i="5"/>
  <c r="W104" i="5"/>
  <c r="V104" i="5"/>
  <c r="U104" i="5"/>
  <c r="T104" i="5"/>
  <c r="S104" i="5"/>
  <c r="N104" i="5"/>
  <c r="G104" i="5"/>
  <c r="R104" i="5" s="1"/>
  <c r="Z103" i="5"/>
  <c r="Y103" i="5"/>
  <c r="X103" i="5"/>
  <c r="W103" i="5"/>
  <c r="V103" i="5"/>
  <c r="U103" i="5"/>
  <c r="T103" i="5"/>
  <c r="S103" i="5"/>
  <c r="N103" i="5"/>
  <c r="G103" i="5"/>
  <c r="R103" i="5" s="1"/>
  <c r="Z102" i="5"/>
  <c r="Y102" i="5"/>
  <c r="X102" i="5"/>
  <c r="W102" i="5"/>
  <c r="V102" i="5"/>
  <c r="U102" i="5"/>
  <c r="T102" i="5"/>
  <c r="S102" i="5"/>
  <c r="N102" i="5"/>
  <c r="G102" i="5"/>
  <c r="R102" i="5" s="1"/>
  <c r="Z101" i="5"/>
  <c r="Y101" i="5"/>
  <c r="X101" i="5"/>
  <c r="V101" i="5"/>
  <c r="U101" i="5"/>
  <c r="T101" i="5"/>
  <c r="S101" i="5"/>
  <c r="N101" i="5"/>
  <c r="G101" i="5"/>
  <c r="R101" i="5" s="1"/>
  <c r="Z100" i="5"/>
  <c r="Y100" i="5"/>
  <c r="X100" i="5"/>
  <c r="W100" i="5"/>
  <c r="V100" i="5"/>
  <c r="U100" i="5"/>
  <c r="T100" i="5"/>
  <c r="S100" i="5"/>
  <c r="N100" i="5"/>
  <c r="G100" i="5"/>
  <c r="R100" i="5" s="1"/>
  <c r="Z99" i="5"/>
  <c r="Y99" i="5"/>
  <c r="X99" i="5"/>
  <c r="W99" i="5"/>
  <c r="V99" i="5"/>
  <c r="U99" i="5"/>
  <c r="T99" i="5"/>
  <c r="S99" i="5"/>
  <c r="N99" i="5"/>
  <c r="G99" i="5"/>
  <c r="R99" i="5" s="1"/>
  <c r="Z98" i="5"/>
  <c r="Y98" i="5"/>
  <c r="X98" i="5"/>
  <c r="W98" i="5"/>
  <c r="V98" i="5"/>
  <c r="U98" i="5"/>
  <c r="T98" i="5"/>
  <c r="S98" i="5"/>
  <c r="N98" i="5"/>
  <c r="G98" i="5"/>
  <c r="R98" i="5" s="1"/>
  <c r="Z97" i="5"/>
  <c r="Y97" i="5"/>
  <c r="X97" i="5"/>
  <c r="W97" i="5"/>
  <c r="V97" i="5"/>
  <c r="U97" i="5"/>
  <c r="T97" i="5"/>
  <c r="S97" i="5"/>
  <c r="N97" i="5"/>
  <c r="G97" i="5"/>
  <c r="R97" i="5" s="1"/>
  <c r="Z96" i="5"/>
  <c r="Y96" i="5"/>
  <c r="X96" i="5"/>
  <c r="W96" i="5"/>
  <c r="V96" i="5"/>
  <c r="U96" i="5"/>
  <c r="T96" i="5"/>
  <c r="S96" i="5"/>
  <c r="N96" i="5"/>
  <c r="G96" i="5"/>
  <c r="R96" i="5" s="1"/>
  <c r="Z95" i="5"/>
  <c r="Y95" i="5"/>
  <c r="X95" i="5"/>
  <c r="W95" i="5"/>
  <c r="V95" i="5"/>
  <c r="U95" i="5"/>
  <c r="T95" i="5"/>
  <c r="S95" i="5"/>
  <c r="N95" i="5"/>
  <c r="G95" i="5"/>
  <c r="R95" i="5" s="1"/>
  <c r="Z94" i="5"/>
  <c r="Y94" i="5"/>
  <c r="X94" i="5"/>
  <c r="W94" i="5"/>
  <c r="V94" i="5"/>
  <c r="U94" i="5"/>
  <c r="T94" i="5"/>
  <c r="S94" i="5"/>
  <c r="N94" i="5"/>
  <c r="G94" i="5"/>
  <c r="R94" i="5" s="1"/>
  <c r="Z93" i="5"/>
  <c r="Y93" i="5"/>
  <c r="X93" i="5"/>
  <c r="W93" i="5"/>
  <c r="V93" i="5"/>
  <c r="U93" i="5"/>
  <c r="T93" i="5"/>
  <c r="S93" i="5"/>
  <c r="N93" i="5"/>
  <c r="G93" i="5"/>
  <c r="R93" i="5" s="1"/>
  <c r="Z92" i="5"/>
  <c r="Y92" i="5"/>
  <c r="X92" i="5"/>
  <c r="V92" i="5"/>
  <c r="U92" i="5"/>
  <c r="T92" i="5"/>
  <c r="S92" i="5"/>
  <c r="N92" i="5"/>
  <c r="G92" i="5"/>
  <c r="R92" i="5" s="1"/>
  <c r="Z91" i="5"/>
  <c r="Y91" i="5"/>
  <c r="X91" i="5"/>
  <c r="W91" i="5"/>
  <c r="V91" i="5"/>
  <c r="U91" i="5"/>
  <c r="T91" i="5"/>
  <c r="S91" i="5"/>
  <c r="G91" i="5"/>
  <c r="R91" i="5" s="1"/>
  <c r="Z90" i="5"/>
  <c r="Y90" i="5"/>
  <c r="X90" i="5"/>
  <c r="W90" i="5"/>
  <c r="V90" i="5"/>
  <c r="U90" i="5"/>
  <c r="T90" i="5"/>
  <c r="S90" i="5"/>
  <c r="G90" i="5"/>
  <c r="R90" i="5" s="1"/>
  <c r="Z89" i="5"/>
  <c r="Y89" i="5"/>
  <c r="X89" i="5"/>
  <c r="W89" i="5"/>
  <c r="V89" i="5"/>
  <c r="U89" i="5"/>
  <c r="T89" i="5"/>
  <c r="S89" i="5"/>
  <c r="G89" i="5"/>
  <c r="R89" i="5" s="1"/>
  <c r="Z88" i="5"/>
  <c r="Y88" i="5"/>
  <c r="X88" i="5"/>
  <c r="W88" i="5"/>
  <c r="V88" i="5"/>
  <c r="U88" i="5"/>
  <c r="T88" i="5"/>
  <c r="S88" i="5"/>
  <c r="N88" i="5"/>
  <c r="G88" i="5"/>
  <c r="R88" i="5" s="1"/>
  <c r="Z87" i="5"/>
  <c r="Y87" i="5"/>
  <c r="X87" i="5"/>
  <c r="W87" i="5"/>
  <c r="V87" i="5"/>
  <c r="U87" i="5"/>
  <c r="T87" i="5"/>
  <c r="S87" i="5"/>
  <c r="N87" i="5"/>
  <c r="G87" i="5"/>
  <c r="R87" i="5" s="1"/>
  <c r="Z86" i="5"/>
  <c r="Y86" i="5"/>
  <c r="X86" i="5"/>
  <c r="W86" i="5"/>
  <c r="V86" i="5"/>
  <c r="U86" i="5"/>
  <c r="T86" i="5"/>
  <c r="S86" i="5"/>
  <c r="N86" i="5"/>
  <c r="G86" i="5"/>
  <c r="R86" i="5" s="1"/>
  <c r="Z85" i="5"/>
  <c r="Y85" i="5"/>
  <c r="X85" i="5"/>
  <c r="W85" i="5"/>
  <c r="V85" i="5"/>
  <c r="U85" i="5"/>
  <c r="T85" i="5"/>
  <c r="S85" i="5"/>
  <c r="N85" i="5"/>
  <c r="G85" i="5"/>
  <c r="R85" i="5" s="1"/>
  <c r="Z84" i="5"/>
  <c r="Y84" i="5"/>
  <c r="X84" i="5"/>
  <c r="W84" i="5"/>
  <c r="V84" i="5"/>
  <c r="U84" i="5"/>
  <c r="T84" i="5"/>
  <c r="S84" i="5"/>
  <c r="N84" i="5"/>
  <c r="G84" i="5"/>
  <c r="R84" i="5" s="1"/>
  <c r="Z83" i="5"/>
  <c r="Y83" i="5"/>
  <c r="X83" i="5"/>
  <c r="W83" i="5"/>
  <c r="V83" i="5"/>
  <c r="U83" i="5"/>
  <c r="T83" i="5"/>
  <c r="S83" i="5"/>
  <c r="N83" i="5"/>
  <c r="G83" i="5"/>
  <c r="R83" i="5" s="1"/>
  <c r="Z82" i="5"/>
  <c r="Y82" i="5"/>
  <c r="X82" i="5"/>
  <c r="W82" i="5"/>
  <c r="V82" i="5"/>
  <c r="U82" i="5"/>
  <c r="T82" i="5"/>
  <c r="S82" i="5"/>
  <c r="N82" i="5"/>
  <c r="G82" i="5"/>
  <c r="R82" i="5" s="1"/>
  <c r="Z81" i="5"/>
  <c r="Y81" i="5"/>
  <c r="X81" i="5"/>
  <c r="W81" i="5"/>
  <c r="V81" i="5"/>
  <c r="U81" i="5"/>
  <c r="T81" i="5"/>
  <c r="S81" i="5"/>
  <c r="N81" i="5"/>
  <c r="G81" i="5"/>
  <c r="R81" i="5" s="1"/>
  <c r="Z80" i="5"/>
  <c r="Y80" i="5"/>
  <c r="X80" i="5"/>
  <c r="W80" i="5"/>
  <c r="V80" i="5"/>
  <c r="U80" i="5"/>
  <c r="T80" i="5"/>
  <c r="S80" i="5"/>
  <c r="N80" i="5"/>
  <c r="G80" i="5"/>
  <c r="R80" i="5" s="1"/>
  <c r="Z79" i="5"/>
  <c r="Y79" i="5"/>
  <c r="X79" i="5"/>
  <c r="W79" i="5"/>
  <c r="V79" i="5"/>
  <c r="U79" i="5"/>
  <c r="T79" i="5"/>
  <c r="S79" i="5"/>
  <c r="N79" i="5"/>
  <c r="G79" i="5"/>
  <c r="R79" i="5" s="1"/>
  <c r="Z78" i="5"/>
  <c r="Y78" i="5"/>
  <c r="X78" i="5"/>
  <c r="W78" i="5"/>
  <c r="V78" i="5"/>
  <c r="U78" i="5"/>
  <c r="T78" i="5"/>
  <c r="S78" i="5"/>
  <c r="N78" i="5"/>
  <c r="G78" i="5"/>
  <c r="R78" i="5" s="1"/>
  <c r="Z77" i="5"/>
  <c r="Y77" i="5"/>
  <c r="X77" i="5"/>
  <c r="W77" i="5"/>
  <c r="V77" i="5"/>
  <c r="U77" i="5"/>
  <c r="T77" i="5"/>
  <c r="S77" i="5"/>
  <c r="N77" i="5"/>
  <c r="G77" i="5"/>
  <c r="R77" i="5" s="1"/>
  <c r="Z76" i="5"/>
  <c r="Y76" i="5"/>
  <c r="V76" i="5"/>
  <c r="U76" i="5"/>
  <c r="T76" i="5"/>
  <c r="S76" i="5"/>
  <c r="P76" i="5"/>
  <c r="X76" i="5" s="1"/>
  <c r="G76" i="5"/>
  <c r="R76" i="5" s="1"/>
  <c r="Z75" i="5"/>
  <c r="Y75" i="5"/>
  <c r="V75" i="5"/>
  <c r="U75" i="5"/>
  <c r="T75" i="5"/>
  <c r="S75" i="5"/>
  <c r="P75" i="5"/>
  <c r="X75" i="5" s="1"/>
  <c r="G75" i="5"/>
  <c r="R75" i="5" s="1"/>
  <c r="Z74" i="5"/>
  <c r="Y74" i="5"/>
  <c r="X74" i="5"/>
  <c r="W74" i="5"/>
  <c r="V74" i="5"/>
  <c r="U74" i="5"/>
  <c r="T74" i="5"/>
  <c r="S74" i="5"/>
  <c r="G74" i="5"/>
  <c r="R74" i="5" s="1"/>
  <c r="Z73" i="5"/>
  <c r="Y73" i="5"/>
  <c r="X73" i="5"/>
  <c r="W73" i="5"/>
  <c r="V73" i="5"/>
  <c r="U73" i="5"/>
  <c r="T73" i="5"/>
  <c r="S73" i="5"/>
  <c r="N73" i="5"/>
  <c r="G73" i="5"/>
  <c r="R73" i="5" s="1"/>
  <c r="Z72" i="5"/>
  <c r="Y72" i="5"/>
  <c r="X72" i="5"/>
  <c r="W72" i="5"/>
  <c r="V72" i="5"/>
  <c r="U72" i="5"/>
  <c r="T72" i="5"/>
  <c r="S72" i="5"/>
  <c r="N72" i="5"/>
  <c r="G72" i="5"/>
  <c r="R72" i="5" s="1"/>
  <c r="Z71" i="5"/>
  <c r="Y71" i="5"/>
  <c r="X71" i="5"/>
  <c r="W71" i="5"/>
  <c r="V71" i="5"/>
  <c r="U71" i="5"/>
  <c r="T71" i="5"/>
  <c r="S71" i="5"/>
  <c r="N71" i="5"/>
  <c r="G71" i="5"/>
  <c r="R71" i="5" s="1"/>
  <c r="Z70" i="5"/>
  <c r="Y70" i="5"/>
  <c r="V70" i="5"/>
  <c r="U70" i="5"/>
  <c r="T70" i="5"/>
  <c r="S70" i="5"/>
  <c r="P70" i="5"/>
  <c r="W70" i="5" s="1"/>
  <c r="N70" i="5"/>
  <c r="G70" i="5"/>
  <c r="R70" i="5" s="1"/>
  <c r="Z69" i="5"/>
  <c r="Y69" i="5"/>
  <c r="W69" i="5"/>
  <c r="V69" i="5"/>
  <c r="U69" i="5"/>
  <c r="T69" i="5"/>
  <c r="S69" i="5"/>
  <c r="P69" i="5"/>
  <c r="X69" i="5" s="1"/>
  <c r="N69" i="5"/>
  <c r="G69" i="5"/>
  <c r="R69" i="5" s="1"/>
  <c r="Z68" i="5"/>
  <c r="Y68" i="5"/>
  <c r="V68" i="5"/>
  <c r="U68" i="5"/>
  <c r="T68" i="5"/>
  <c r="S68" i="5"/>
  <c r="P68" i="5"/>
  <c r="W68" i="5" s="1"/>
  <c r="N68" i="5"/>
  <c r="G68" i="5"/>
  <c r="R68" i="5" s="1"/>
  <c r="Z67" i="5"/>
  <c r="Y67" i="5"/>
  <c r="X67" i="5"/>
  <c r="W67" i="5"/>
  <c r="V67" i="5"/>
  <c r="U67" i="5"/>
  <c r="T67" i="5"/>
  <c r="S67" i="5"/>
  <c r="N67" i="5"/>
  <c r="G67" i="5"/>
  <c r="R67" i="5" s="1"/>
  <c r="Z66" i="5"/>
  <c r="Y66" i="5"/>
  <c r="X66" i="5"/>
  <c r="W66" i="5"/>
  <c r="V66" i="5"/>
  <c r="U66" i="5"/>
  <c r="T66" i="5"/>
  <c r="S66" i="5"/>
  <c r="N66" i="5"/>
  <c r="G66" i="5"/>
  <c r="R66" i="5" s="1"/>
  <c r="Z65" i="5"/>
  <c r="Y65" i="5"/>
  <c r="X65" i="5"/>
  <c r="W65" i="5"/>
  <c r="V65" i="5"/>
  <c r="U65" i="5"/>
  <c r="T65" i="5"/>
  <c r="S65" i="5"/>
  <c r="N65" i="5"/>
  <c r="G65" i="5"/>
  <c r="R65" i="5" s="1"/>
  <c r="Z64" i="5"/>
  <c r="Y64" i="5"/>
  <c r="X64" i="5"/>
  <c r="W64" i="5"/>
  <c r="V64" i="5"/>
  <c r="U64" i="5"/>
  <c r="T64" i="5"/>
  <c r="S64" i="5"/>
  <c r="N64" i="5"/>
  <c r="G64" i="5"/>
  <c r="R64" i="5" s="1"/>
  <c r="Z63" i="5"/>
  <c r="Y63" i="5"/>
  <c r="X63" i="5"/>
  <c r="W63" i="5"/>
  <c r="V63" i="5"/>
  <c r="U63" i="5"/>
  <c r="T63" i="5"/>
  <c r="S63" i="5"/>
  <c r="N63" i="5"/>
  <c r="G63" i="5"/>
  <c r="R63" i="5" s="1"/>
  <c r="Z62" i="5"/>
  <c r="Y62" i="5"/>
  <c r="X62" i="5"/>
  <c r="W62" i="5"/>
  <c r="V62" i="5"/>
  <c r="U62" i="5"/>
  <c r="T62" i="5"/>
  <c r="S62" i="5"/>
  <c r="N62" i="5"/>
  <c r="G62" i="5"/>
  <c r="R62" i="5" s="1"/>
  <c r="Z61" i="5"/>
  <c r="Y61" i="5"/>
  <c r="X61" i="5"/>
  <c r="W61" i="5"/>
  <c r="V61" i="5"/>
  <c r="U61" i="5"/>
  <c r="T61" i="5"/>
  <c r="S61" i="5"/>
  <c r="N61" i="5"/>
  <c r="G61" i="5"/>
  <c r="R61" i="5" s="1"/>
  <c r="Z60" i="5"/>
  <c r="Y60" i="5"/>
  <c r="X60" i="5"/>
  <c r="W60" i="5"/>
  <c r="V60" i="5"/>
  <c r="U60" i="5"/>
  <c r="T60" i="5"/>
  <c r="S60" i="5"/>
  <c r="N60" i="5"/>
  <c r="G60" i="5"/>
  <c r="R60" i="5" s="1"/>
  <c r="Z59" i="5"/>
  <c r="Y59" i="5"/>
  <c r="X59" i="5"/>
  <c r="W59" i="5"/>
  <c r="V59" i="5"/>
  <c r="U59" i="5"/>
  <c r="T59" i="5"/>
  <c r="S59" i="5"/>
  <c r="N59" i="5"/>
  <c r="G59" i="5"/>
  <c r="R59" i="5" s="1"/>
  <c r="Z58" i="5"/>
  <c r="Y58" i="5"/>
  <c r="X58" i="5"/>
  <c r="W58" i="5"/>
  <c r="V58" i="5"/>
  <c r="U58" i="5"/>
  <c r="T58" i="5"/>
  <c r="S58" i="5"/>
  <c r="N58" i="5"/>
  <c r="G58" i="5"/>
  <c r="R58" i="5" s="1"/>
  <c r="Z57" i="5"/>
  <c r="Y57" i="5"/>
  <c r="X57" i="5"/>
  <c r="W57" i="5"/>
  <c r="V57" i="5"/>
  <c r="U57" i="5"/>
  <c r="T57" i="5"/>
  <c r="S57" i="5"/>
  <c r="N57" i="5"/>
  <c r="G57" i="5"/>
  <c r="R57" i="5" s="1"/>
  <c r="Z56" i="5"/>
  <c r="Y56" i="5"/>
  <c r="X56" i="5"/>
  <c r="W56" i="5"/>
  <c r="V56" i="5"/>
  <c r="U56" i="5"/>
  <c r="T56" i="5"/>
  <c r="S56" i="5"/>
  <c r="N56" i="5"/>
  <c r="G56" i="5"/>
  <c r="R56" i="5" s="1"/>
  <c r="Z55" i="5"/>
  <c r="Y55" i="5"/>
  <c r="X55" i="5"/>
  <c r="W55" i="5"/>
  <c r="V55" i="5"/>
  <c r="U55" i="5"/>
  <c r="T55" i="5"/>
  <c r="S55" i="5"/>
  <c r="N55" i="5"/>
  <c r="G55" i="5"/>
  <c r="R55" i="5" s="1"/>
  <c r="Z54" i="5"/>
  <c r="Y54" i="5"/>
  <c r="X54" i="5"/>
  <c r="W54" i="5"/>
  <c r="V54" i="5"/>
  <c r="U54" i="5"/>
  <c r="T54" i="5"/>
  <c r="S54" i="5"/>
  <c r="R54" i="5"/>
  <c r="N54" i="5"/>
  <c r="G54" i="5"/>
  <c r="Z53" i="5"/>
  <c r="Y53" i="5"/>
  <c r="X53" i="5"/>
  <c r="W53" i="5"/>
  <c r="V53" i="5"/>
  <c r="U53" i="5"/>
  <c r="T53" i="5"/>
  <c r="S53" i="5"/>
  <c r="N53" i="5"/>
  <c r="G53" i="5"/>
  <c r="R53" i="5" s="1"/>
  <c r="Z52" i="5"/>
  <c r="Y52" i="5"/>
  <c r="X52" i="5"/>
  <c r="W52" i="5"/>
  <c r="V52" i="5"/>
  <c r="U52" i="5"/>
  <c r="T52" i="5"/>
  <c r="S52" i="5"/>
  <c r="N52" i="5"/>
  <c r="G52" i="5"/>
  <c r="R52" i="5" s="1"/>
  <c r="Z51" i="5"/>
  <c r="Y51" i="5"/>
  <c r="X51" i="5"/>
  <c r="W51" i="5"/>
  <c r="V51" i="5"/>
  <c r="U51" i="5"/>
  <c r="T51" i="5"/>
  <c r="S51" i="5"/>
  <c r="N51" i="5"/>
  <c r="G51" i="5"/>
  <c r="R51" i="5" s="1"/>
  <c r="Z50" i="5"/>
  <c r="Y50" i="5"/>
  <c r="X50" i="5"/>
  <c r="W50" i="5"/>
  <c r="V50" i="5"/>
  <c r="U50" i="5"/>
  <c r="T50" i="5"/>
  <c r="S50" i="5"/>
  <c r="N50" i="5"/>
  <c r="G50" i="5"/>
  <c r="R50" i="5" s="1"/>
  <c r="Z49" i="5"/>
  <c r="Y49" i="5"/>
  <c r="X49" i="5"/>
  <c r="W49" i="5"/>
  <c r="V49" i="5"/>
  <c r="U49" i="5"/>
  <c r="T49" i="5"/>
  <c r="S49" i="5"/>
  <c r="N49" i="5"/>
  <c r="G49" i="5"/>
  <c r="R49" i="5" s="1"/>
  <c r="Z48" i="5"/>
  <c r="Y48" i="5"/>
  <c r="X48" i="5"/>
  <c r="W48" i="5"/>
  <c r="V48" i="5"/>
  <c r="U48" i="5"/>
  <c r="T48" i="5"/>
  <c r="S48" i="5"/>
  <c r="N48" i="5"/>
  <c r="G48" i="5"/>
  <c r="R48" i="5" s="1"/>
  <c r="Z47" i="5"/>
  <c r="Y47" i="5"/>
  <c r="X47" i="5"/>
  <c r="W47" i="5"/>
  <c r="V47" i="5"/>
  <c r="U47" i="5"/>
  <c r="T47" i="5"/>
  <c r="S47" i="5"/>
  <c r="N47" i="5"/>
  <c r="G47" i="5"/>
  <c r="R47" i="5" s="1"/>
  <c r="Z46" i="5"/>
  <c r="Y46" i="5"/>
  <c r="X46" i="5"/>
  <c r="W46" i="5"/>
  <c r="V46" i="5"/>
  <c r="U46" i="5"/>
  <c r="T46" i="5"/>
  <c r="S46" i="5"/>
  <c r="N46" i="5"/>
  <c r="G46" i="5"/>
  <c r="R46" i="5" s="1"/>
  <c r="Z45" i="5"/>
  <c r="Y45" i="5"/>
  <c r="X45" i="5"/>
  <c r="W45" i="5"/>
  <c r="V45" i="5"/>
  <c r="U45" i="5"/>
  <c r="T45" i="5"/>
  <c r="S45" i="5"/>
  <c r="G45" i="5"/>
  <c r="R45" i="5" s="1"/>
  <c r="Z44" i="5"/>
  <c r="Y44" i="5"/>
  <c r="X44" i="5"/>
  <c r="W44" i="5"/>
  <c r="V44" i="5"/>
  <c r="U44" i="5"/>
  <c r="T44" i="5"/>
  <c r="S44" i="5"/>
  <c r="G44" i="5"/>
  <c r="R44" i="5" s="1"/>
  <c r="Z43" i="5"/>
  <c r="Y43" i="5"/>
  <c r="X43" i="5"/>
  <c r="W43" i="5"/>
  <c r="V43" i="5"/>
  <c r="U43" i="5"/>
  <c r="T43" i="5"/>
  <c r="S43" i="5"/>
  <c r="N43" i="5"/>
  <c r="G43" i="5"/>
  <c r="R43" i="5" s="1"/>
  <c r="Z42" i="5"/>
  <c r="Y42" i="5"/>
  <c r="X42" i="5"/>
  <c r="W42" i="5"/>
  <c r="V42" i="5"/>
  <c r="U42" i="5"/>
  <c r="T42" i="5"/>
  <c r="S42" i="5"/>
  <c r="N42" i="5"/>
  <c r="G42" i="5"/>
  <c r="R42" i="5" s="1"/>
  <c r="Z41" i="5"/>
  <c r="Y41" i="5"/>
  <c r="X41" i="5"/>
  <c r="W41" i="5"/>
  <c r="V41" i="5"/>
  <c r="U41" i="5"/>
  <c r="T41" i="5"/>
  <c r="S41" i="5"/>
  <c r="N41" i="5"/>
  <c r="G41" i="5"/>
  <c r="R41" i="5" s="1"/>
  <c r="Z40" i="5"/>
  <c r="Y40" i="5"/>
  <c r="X40" i="5"/>
  <c r="W40" i="5"/>
  <c r="V40" i="5"/>
  <c r="U40" i="5"/>
  <c r="T40" i="5"/>
  <c r="S40" i="5"/>
  <c r="N40" i="5"/>
  <c r="G40" i="5"/>
  <c r="R40" i="5" s="1"/>
  <c r="Z39" i="5"/>
  <c r="Y39" i="5"/>
  <c r="X39" i="5"/>
  <c r="W39" i="5"/>
  <c r="V39" i="5"/>
  <c r="U39" i="5"/>
  <c r="T39" i="5"/>
  <c r="S39" i="5"/>
  <c r="N39" i="5"/>
  <c r="G39" i="5"/>
  <c r="R39" i="5" s="1"/>
  <c r="Z38" i="5"/>
  <c r="Y38" i="5"/>
  <c r="X38" i="5"/>
  <c r="W38" i="5"/>
  <c r="V38" i="5"/>
  <c r="U38" i="5"/>
  <c r="T38" i="5"/>
  <c r="S38" i="5"/>
  <c r="N38" i="5"/>
  <c r="G38" i="5"/>
  <c r="R38" i="5" s="1"/>
  <c r="Z37" i="5"/>
  <c r="Y37" i="5"/>
  <c r="X37" i="5"/>
  <c r="W37" i="5"/>
  <c r="V37" i="5"/>
  <c r="U37" i="5"/>
  <c r="T37" i="5"/>
  <c r="S37" i="5"/>
  <c r="N37" i="5"/>
  <c r="G37" i="5"/>
  <c r="R37" i="5" s="1"/>
  <c r="Z36" i="5"/>
  <c r="Y36" i="5"/>
  <c r="X36" i="5"/>
  <c r="W36" i="5"/>
  <c r="V36" i="5"/>
  <c r="U36" i="5"/>
  <c r="T36" i="5"/>
  <c r="S36" i="5"/>
  <c r="N36" i="5"/>
  <c r="G36" i="5"/>
  <c r="R36" i="5" s="1"/>
  <c r="Z35" i="5"/>
  <c r="Y35" i="5"/>
  <c r="X35" i="5"/>
  <c r="W35" i="5"/>
  <c r="V35" i="5"/>
  <c r="U35" i="5"/>
  <c r="T35" i="5"/>
  <c r="S35" i="5"/>
  <c r="N35" i="5"/>
  <c r="G35" i="5"/>
  <c r="R35" i="5" s="1"/>
  <c r="Z34" i="5"/>
  <c r="Y34" i="5"/>
  <c r="X34" i="5"/>
  <c r="W34" i="5"/>
  <c r="V34" i="5"/>
  <c r="U34" i="5"/>
  <c r="T34" i="5"/>
  <c r="S34" i="5"/>
  <c r="N34" i="5"/>
  <c r="G34" i="5"/>
  <c r="R34" i="5" s="1"/>
  <c r="Z33" i="5"/>
  <c r="Y33" i="5"/>
  <c r="X33" i="5"/>
  <c r="W33" i="5"/>
  <c r="V33" i="5"/>
  <c r="U33" i="5"/>
  <c r="T33" i="5"/>
  <c r="S33" i="5"/>
  <c r="N33" i="5"/>
  <c r="G33" i="5"/>
  <c r="R33" i="5" s="1"/>
  <c r="Z32" i="5"/>
  <c r="Y32" i="5"/>
  <c r="X32" i="5"/>
  <c r="W32" i="5"/>
  <c r="V32" i="5"/>
  <c r="U32" i="5"/>
  <c r="T32" i="5"/>
  <c r="S32" i="5"/>
  <c r="N32" i="5"/>
  <c r="G32" i="5"/>
  <c r="R32" i="5" s="1"/>
  <c r="Z31" i="5"/>
  <c r="Y31" i="5"/>
  <c r="X31" i="5"/>
  <c r="W31" i="5"/>
  <c r="V31" i="5"/>
  <c r="U31" i="5"/>
  <c r="T31" i="5"/>
  <c r="S31" i="5"/>
  <c r="N31" i="5"/>
  <c r="G31" i="5"/>
  <c r="R31" i="5" s="1"/>
  <c r="Z30" i="5"/>
  <c r="Y30" i="5"/>
  <c r="X30" i="5"/>
  <c r="W30" i="5"/>
  <c r="V30" i="5"/>
  <c r="U30" i="5"/>
  <c r="T30" i="5"/>
  <c r="S30" i="5"/>
  <c r="N30" i="5"/>
  <c r="G30" i="5"/>
  <c r="R30" i="5" s="1"/>
  <c r="Z29" i="5"/>
  <c r="Y29" i="5"/>
  <c r="X29" i="5"/>
  <c r="W29" i="5"/>
  <c r="V29" i="5"/>
  <c r="U29" i="5"/>
  <c r="T29" i="5"/>
  <c r="S29" i="5"/>
  <c r="N29" i="5"/>
  <c r="G29" i="5"/>
  <c r="R29" i="5" s="1"/>
  <c r="Z28" i="5"/>
  <c r="Y28" i="5"/>
  <c r="X28" i="5"/>
  <c r="W28" i="5"/>
  <c r="V28" i="5"/>
  <c r="U28" i="5"/>
  <c r="T28" i="5"/>
  <c r="S28" i="5"/>
  <c r="N28" i="5"/>
  <c r="G28" i="5"/>
  <c r="R28" i="5" s="1"/>
  <c r="Z27" i="5"/>
  <c r="Y27" i="5"/>
  <c r="X27" i="5"/>
  <c r="W27" i="5"/>
  <c r="V27" i="5"/>
  <c r="U27" i="5"/>
  <c r="T27" i="5"/>
  <c r="S27" i="5"/>
  <c r="N27" i="5"/>
  <c r="G27" i="5"/>
  <c r="R27" i="5" s="1"/>
  <c r="Z26" i="5"/>
  <c r="Y26" i="5"/>
  <c r="X26" i="5"/>
  <c r="W26" i="5"/>
  <c r="V26" i="5"/>
  <c r="U26" i="5"/>
  <c r="T26" i="5"/>
  <c r="S26" i="5"/>
  <c r="N26" i="5"/>
  <c r="G26" i="5"/>
  <c r="R26" i="5" s="1"/>
  <c r="Z25" i="5"/>
  <c r="Y25" i="5"/>
  <c r="X25" i="5"/>
  <c r="W25" i="5"/>
  <c r="V25" i="5"/>
  <c r="U25" i="5"/>
  <c r="T25" i="5"/>
  <c r="S25" i="5"/>
  <c r="N25" i="5"/>
  <c r="G25" i="5"/>
  <c r="R25" i="5" s="1"/>
  <c r="Z24" i="5"/>
  <c r="Y24" i="5"/>
  <c r="X24" i="5"/>
  <c r="W24" i="5"/>
  <c r="V24" i="5"/>
  <c r="U24" i="5"/>
  <c r="T24" i="5"/>
  <c r="S24" i="5"/>
  <c r="N24" i="5"/>
  <c r="G24" i="5"/>
  <c r="R24" i="5" s="1"/>
  <c r="Z23" i="5"/>
  <c r="Y23" i="5"/>
  <c r="X23" i="5"/>
  <c r="W23" i="5"/>
  <c r="V23" i="5"/>
  <c r="U23" i="5"/>
  <c r="T23" i="5"/>
  <c r="S23" i="5"/>
  <c r="R23" i="5"/>
  <c r="N23" i="5"/>
  <c r="G23" i="5"/>
  <c r="P22" i="5"/>
  <c r="O22" i="5"/>
  <c r="U22" i="5" s="1"/>
  <c r="N22" i="5"/>
  <c r="M22" i="5"/>
  <c r="L22" i="5"/>
  <c r="K22" i="5"/>
  <c r="J22" i="5"/>
  <c r="I22" i="5"/>
  <c r="H22" i="5"/>
  <c r="F22" i="5"/>
  <c r="E22" i="5"/>
  <c r="D22" i="5"/>
  <c r="P21" i="5"/>
  <c r="O21" i="5"/>
  <c r="N21" i="5"/>
  <c r="M21" i="5"/>
  <c r="L21" i="5"/>
  <c r="K21" i="5"/>
  <c r="J21" i="5"/>
  <c r="I21" i="5"/>
  <c r="H21" i="5"/>
  <c r="F21" i="5"/>
  <c r="E21" i="5"/>
  <c r="D21" i="5"/>
  <c r="P20" i="5"/>
  <c r="O20" i="5"/>
  <c r="U20" i="5" s="1"/>
  <c r="N20" i="5"/>
  <c r="M20" i="5"/>
  <c r="L20" i="5"/>
  <c r="K20" i="5"/>
  <c r="J20" i="5"/>
  <c r="I20" i="5"/>
  <c r="H20" i="5"/>
  <c r="S20" i="5" s="1"/>
  <c r="F20" i="5"/>
  <c r="E20" i="5"/>
  <c r="D20" i="5"/>
  <c r="Z19" i="5"/>
  <c r="Y19" i="5"/>
  <c r="X19" i="5"/>
  <c r="W19" i="5"/>
  <c r="V19" i="5"/>
  <c r="U19" i="5"/>
  <c r="T19" i="5"/>
  <c r="S19" i="5"/>
  <c r="N19" i="5"/>
  <c r="G19" i="5"/>
  <c r="R19" i="5" s="1"/>
  <c r="Z18" i="5"/>
  <c r="Y18" i="5"/>
  <c r="X18" i="5"/>
  <c r="W18" i="5"/>
  <c r="V18" i="5"/>
  <c r="U18" i="5"/>
  <c r="T18" i="5"/>
  <c r="S18" i="5"/>
  <c r="N18" i="5"/>
  <c r="G18" i="5"/>
  <c r="R18" i="5" s="1"/>
  <c r="Z17" i="5"/>
  <c r="Y17" i="5"/>
  <c r="X17" i="5"/>
  <c r="W17" i="5"/>
  <c r="V17" i="5"/>
  <c r="U17" i="5"/>
  <c r="T17" i="5"/>
  <c r="S17" i="5"/>
  <c r="N17" i="5"/>
  <c r="G17" i="5"/>
  <c r="R17" i="5" s="1"/>
  <c r="Z16" i="5"/>
  <c r="Y16" i="5"/>
  <c r="X16" i="5"/>
  <c r="W16" i="5"/>
  <c r="V16" i="5"/>
  <c r="U16" i="5"/>
  <c r="T16" i="5"/>
  <c r="S16" i="5"/>
  <c r="N16" i="5"/>
  <c r="G16" i="5"/>
  <c r="R16" i="5" s="1"/>
  <c r="Z15" i="5"/>
  <c r="Y15" i="5"/>
  <c r="X15" i="5"/>
  <c r="W15" i="5"/>
  <c r="V15" i="5"/>
  <c r="U15" i="5"/>
  <c r="T15" i="5"/>
  <c r="S15" i="5"/>
  <c r="N15" i="5"/>
  <c r="G15" i="5"/>
  <c r="R15" i="5" s="1"/>
  <c r="Z14" i="5"/>
  <c r="Y14" i="5"/>
  <c r="X14" i="5"/>
  <c r="W14" i="5"/>
  <c r="V14" i="5"/>
  <c r="U14" i="5"/>
  <c r="T14" i="5"/>
  <c r="S14" i="5"/>
  <c r="N14" i="5"/>
  <c r="G14" i="5"/>
  <c r="R14" i="5" s="1"/>
  <c r="Z13" i="5"/>
  <c r="Y13" i="5"/>
  <c r="X13" i="5"/>
  <c r="W13" i="5"/>
  <c r="V13" i="5"/>
  <c r="U13" i="5"/>
  <c r="T13" i="5"/>
  <c r="S13" i="5"/>
  <c r="R13" i="5"/>
  <c r="N13" i="5"/>
  <c r="G13" i="5"/>
  <c r="Z12" i="5"/>
  <c r="Y12" i="5"/>
  <c r="X12" i="5"/>
  <c r="W12" i="5"/>
  <c r="V12" i="5"/>
  <c r="U12" i="5"/>
  <c r="T12" i="5"/>
  <c r="S12" i="5"/>
  <c r="N12" i="5"/>
  <c r="G12" i="5"/>
  <c r="R12" i="5" s="1"/>
  <c r="Z11" i="5"/>
  <c r="Y11" i="5"/>
  <c r="X11" i="5"/>
  <c r="W11" i="5"/>
  <c r="V11" i="5"/>
  <c r="U11" i="5"/>
  <c r="T11" i="5"/>
  <c r="S11" i="5"/>
  <c r="N11" i="5"/>
  <c r="G11" i="5"/>
  <c r="R11" i="5" s="1"/>
  <c r="Z10" i="5"/>
  <c r="Y10" i="5"/>
  <c r="X10" i="5"/>
  <c r="W10" i="5"/>
  <c r="V10" i="5"/>
  <c r="U10" i="5"/>
  <c r="T10" i="5"/>
  <c r="S10" i="5"/>
  <c r="N10" i="5"/>
  <c r="G10" i="5"/>
  <c r="R10" i="5" s="1"/>
  <c r="Z9" i="5"/>
  <c r="Y9" i="5"/>
  <c r="X9" i="5"/>
  <c r="W9" i="5"/>
  <c r="V9" i="5"/>
  <c r="U9" i="5"/>
  <c r="T9" i="5"/>
  <c r="S9" i="5"/>
  <c r="N9" i="5"/>
  <c r="G9" i="5"/>
  <c r="R9" i="5" s="1"/>
  <c r="Z8" i="5"/>
  <c r="Y8" i="5"/>
  <c r="X8" i="5"/>
  <c r="W8" i="5"/>
  <c r="V8" i="5"/>
  <c r="U8" i="5"/>
  <c r="T8" i="5"/>
  <c r="S8" i="5"/>
  <c r="N8" i="5"/>
  <c r="G8" i="5"/>
  <c r="R8" i="5" s="1"/>
  <c r="Z7" i="5"/>
  <c r="Y7" i="5"/>
  <c r="X7" i="5"/>
  <c r="W7" i="5"/>
  <c r="V7" i="5"/>
  <c r="U7" i="5"/>
  <c r="T7" i="5"/>
  <c r="S7" i="5"/>
  <c r="G7" i="5"/>
  <c r="R7" i="5" s="1"/>
  <c r="Z6" i="5"/>
  <c r="Y6" i="5"/>
  <c r="X6" i="5"/>
  <c r="W6" i="5"/>
  <c r="V6" i="5"/>
  <c r="U6" i="5"/>
  <c r="T6" i="5"/>
  <c r="S6" i="5"/>
  <c r="N6" i="5"/>
  <c r="G6" i="5"/>
  <c r="R6" i="5" s="1"/>
  <c r="Z5" i="5"/>
  <c r="Y5" i="5"/>
  <c r="X5" i="5"/>
  <c r="W5" i="5"/>
  <c r="V5" i="5"/>
  <c r="U5" i="5"/>
  <c r="T5" i="5"/>
  <c r="S5" i="5"/>
  <c r="G5" i="5"/>
  <c r="R5" i="5" s="1"/>
  <c r="Z4" i="5"/>
  <c r="Y4" i="5"/>
  <c r="X4" i="5"/>
  <c r="W4" i="5"/>
  <c r="V4" i="5"/>
  <c r="U4" i="5"/>
  <c r="T4" i="5"/>
  <c r="S4" i="5"/>
  <c r="G4" i="5"/>
  <c r="R4" i="5" s="1"/>
  <c r="Z3" i="5"/>
  <c r="Y3" i="5"/>
  <c r="X3" i="5"/>
  <c r="W3" i="5"/>
  <c r="V3" i="5"/>
  <c r="U3" i="5"/>
  <c r="T3" i="5"/>
  <c r="S3" i="5"/>
  <c r="G3" i="5"/>
  <c r="R3" i="5" s="1"/>
  <c r="Z2" i="5"/>
  <c r="Y2" i="5"/>
  <c r="X2" i="5"/>
  <c r="W2" i="5"/>
  <c r="V2" i="5"/>
  <c r="U2" i="5"/>
  <c r="T2" i="5"/>
  <c r="S2" i="5"/>
  <c r="G2" i="5"/>
  <c r="R2" i="5" s="1"/>
  <c r="Z28" i="4"/>
  <c r="Y28" i="4"/>
  <c r="X28" i="4"/>
  <c r="W28" i="4"/>
  <c r="V28" i="4"/>
  <c r="U28" i="4"/>
  <c r="T28" i="4"/>
  <c r="S28" i="4"/>
  <c r="R28" i="4"/>
  <c r="Z27" i="4"/>
  <c r="Y27" i="4"/>
  <c r="X27" i="4"/>
  <c r="W27" i="4"/>
  <c r="V27" i="4"/>
  <c r="U27" i="4"/>
  <c r="T27" i="4"/>
  <c r="S27" i="4"/>
  <c r="R27" i="4"/>
  <c r="Z26" i="4"/>
  <c r="Y26" i="4"/>
  <c r="X26" i="4"/>
  <c r="W26" i="4"/>
  <c r="V26" i="4"/>
  <c r="U26" i="4"/>
  <c r="T26" i="4"/>
  <c r="S26" i="4"/>
  <c r="R26" i="4"/>
  <c r="Z25" i="4"/>
  <c r="Y25" i="4"/>
  <c r="X25" i="4"/>
  <c r="W25" i="4"/>
  <c r="V25" i="4"/>
  <c r="U25" i="4"/>
  <c r="T25" i="4"/>
  <c r="S25" i="4"/>
  <c r="N25" i="4"/>
  <c r="G25" i="4"/>
  <c r="R25" i="4" s="1"/>
  <c r="Z24" i="4"/>
  <c r="Y24" i="4"/>
  <c r="X24" i="4"/>
  <c r="W24" i="4"/>
  <c r="V24" i="4"/>
  <c r="U24" i="4"/>
  <c r="T24" i="4"/>
  <c r="S24" i="4"/>
  <c r="N24" i="4"/>
  <c r="G24" i="4"/>
  <c r="R24" i="4" s="1"/>
  <c r="Z23" i="4"/>
  <c r="Y23" i="4"/>
  <c r="X23" i="4"/>
  <c r="W23" i="4"/>
  <c r="V23" i="4"/>
  <c r="U23" i="4"/>
  <c r="T23" i="4"/>
  <c r="S23" i="4"/>
  <c r="N23" i="4"/>
  <c r="G23" i="4"/>
  <c r="R23" i="4" s="1"/>
  <c r="Z22" i="4"/>
  <c r="Y22" i="4"/>
  <c r="X22" i="4"/>
  <c r="W22" i="4"/>
  <c r="V22" i="4"/>
  <c r="U22" i="4"/>
  <c r="T22" i="4"/>
  <c r="S22" i="4"/>
  <c r="R22" i="4"/>
  <c r="Z21" i="4"/>
  <c r="Y21" i="4"/>
  <c r="X21" i="4"/>
  <c r="W21" i="4"/>
  <c r="V21" i="4"/>
  <c r="U21" i="4"/>
  <c r="T21" i="4"/>
  <c r="S21" i="4"/>
  <c r="R21" i="4"/>
  <c r="Z20" i="4"/>
  <c r="Y20" i="4"/>
  <c r="X20" i="4"/>
  <c r="W20" i="4"/>
  <c r="V20" i="4"/>
  <c r="U20" i="4"/>
  <c r="T20" i="4"/>
  <c r="S20" i="4"/>
  <c r="R20" i="4"/>
  <c r="Z19" i="4"/>
  <c r="Y19" i="4"/>
  <c r="X19" i="4"/>
  <c r="W19" i="4"/>
  <c r="V19" i="4"/>
  <c r="U19" i="4"/>
  <c r="T19" i="4"/>
  <c r="S19" i="4"/>
  <c r="N19" i="4"/>
  <c r="G19" i="4"/>
  <c r="R19" i="4" s="1"/>
  <c r="Z18" i="4"/>
  <c r="Y18" i="4"/>
  <c r="X18" i="4"/>
  <c r="W18" i="4"/>
  <c r="V18" i="4"/>
  <c r="U18" i="4"/>
  <c r="T18" i="4"/>
  <c r="S18" i="4"/>
  <c r="N18" i="4"/>
  <c r="G18" i="4"/>
  <c r="R18" i="4" s="1"/>
  <c r="Z17" i="4"/>
  <c r="Y17" i="4"/>
  <c r="X17" i="4"/>
  <c r="W17" i="4"/>
  <c r="V17" i="4"/>
  <c r="U17" i="4"/>
  <c r="T17" i="4"/>
  <c r="S17" i="4"/>
  <c r="R17" i="4"/>
  <c r="N17" i="4"/>
  <c r="G17" i="4"/>
  <c r="Z16" i="4"/>
  <c r="Y16" i="4"/>
  <c r="X16" i="4"/>
  <c r="W16" i="4"/>
  <c r="V16" i="4"/>
  <c r="U16" i="4"/>
  <c r="T16" i="4"/>
  <c r="S16" i="4"/>
  <c r="R16" i="4"/>
  <c r="Z15" i="4"/>
  <c r="Y15" i="4"/>
  <c r="X15" i="4"/>
  <c r="W15" i="4"/>
  <c r="V15" i="4"/>
  <c r="U15" i="4"/>
  <c r="T15" i="4"/>
  <c r="S15" i="4"/>
  <c r="R15" i="4"/>
  <c r="Z14" i="4"/>
  <c r="Y14" i="4"/>
  <c r="X14" i="4"/>
  <c r="W14" i="4"/>
  <c r="V14" i="4"/>
  <c r="U14" i="4"/>
  <c r="T14" i="4"/>
  <c r="S14" i="4"/>
  <c r="R14" i="4"/>
  <c r="Z13" i="4"/>
  <c r="Y13" i="4"/>
  <c r="X13" i="4"/>
  <c r="W13" i="4"/>
  <c r="V13" i="4"/>
  <c r="U13" i="4"/>
  <c r="T13" i="4"/>
  <c r="S13" i="4"/>
  <c r="N13" i="4"/>
  <c r="G13" i="4"/>
  <c r="R13" i="4" s="1"/>
  <c r="Z12" i="4"/>
  <c r="Y12" i="4"/>
  <c r="X12" i="4"/>
  <c r="W12" i="4"/>
  <c r="V12" i="4"/>
  <c r="U12" i="4"/>
  <c r="T12" i="4"/>
  <c r="S12" i="4"/>
  <c r="R12" i="4"/>
  <c r="N12" i="4"/>
  <c r="G12" i="4"/>
  <c r="Z11" i="4"/>
  <c r="Y11" i="4"/>
  <c r="X11" i="4"/>
  <c r="W11" i="4"/>
  <c r="V11" i="4"/>
  <c r="U11" i="4"/>
  <c r="T11" i="4"/>
  <c r="S11" i="4"/>
  <c r="N11" i="4"/>
  <c r="G11" i="4"/>
  <c r="R11" i="4" s="1"/>
  <c r="Z10" i="4"/>
  <c r="Y10" i="4"/>
  <c r="X10" i="4"/>
  <c r="W10" i="4"/>
  <c r="V10" i="4"/>
  <c r="U10" i="4"/>
  <c r="T10" i="4"/>
  <c r="S10" i="4"/>
  <c r="R10" i="4"/>
  <c r="Z9" i="4"/>
  <c r="Y9" i="4"/>
  <c r="X9" i="4"/>
  <c r="W9" i="4"/>
  <c r="V9" i="4"/>
  <c r="U9" i="4"/>
  <c r="T9" i="4"/>
  <c r="S9" i="4"/>
  <c r="R9" i="4"/>
  <c r="Z8" i="4"/>
  <c r="Y8" i="4"/>
  <c r="X8" i="4"/>
  <c r="W8" i="4"/>
  <c r="V8" i="4"/>
  <c r="U8" i="4"/>
  <c r="T8" i="4"/>
  <c r="S8" i="4"/>
  <c r="R8" i="4"/>
  <c r="Z7" i="4"/>
  <c r="Y7" i="4"/>
  <c r="X7" i="4"/>
  <c r="W7" i="4"/>
  <c r="V7" i="4"/>
  <c r="U7" i="4"/>
  <c r="T7" i="4"/>
  <c r="S7" i="4"/>
  <c r="R7" i="4"/>
  <c r="Z6" i="4"/>
  <c r="Y6" i="4"/>
  <c r="X6" i="4"/>
  <c r="W6" i="4"/>
  <c r="V6" i="4"/>
  <c r="U6" i="4"/>
  <c r="T6" i="4"/>
  <c r="S6" i="4"/>
  <c r="R6" i="4"/>
  <c r="Z5" i="4"/>
  <c r="Y5" i="4"/>
  <c r="X5" i="4"/>
  <c r="W5" i="4"/>
  <c r="V5" i="4"/>
  <c r="U5" i="4"/>
  <c r="T5" i="4"/>
  <c r="S5" i="4"/>
  <c r="R5" i="4"/>
  <c r="Z4" i="4"/>
  <c r="Y4" i="4"/>
  <c r="X4" i="4"/>
  <c r="W4" i="4"/>
  <c r="V4" i="4"/>
  <c r="U4" i="4"/>
  <c r="T4" i="4"/>
  <c r="S4" i="4"/>
  <c r="R4" i="4"/>
  <c r="Z3" i="4"/>
  <c r="Y3" i="4"/>
  <c r="X3" i="4"/>
  <c r="W3" i="4"/>
  <c r="V3" i="4"/>
  <c r="U3" i="4"/>
  <c r="T3" i="4"/>
  <c r="S3" i="4"/>
  <c r="R3" i="4"/>
  <c r="Z2" i="4"/>
  <c r="Y2" i="4"/>
  <c r="X2" i="4"/>
  <c r="W2" i="4"/>
  <c r="V2" i="4"/>
  <c r="U2" i="4"/>
  <c r="T2" i="4"/>
  <c r="S2" i="4"/>
  <c r="R2" i="4"/>
  <c r="Z154" i="3"/>
  <c r="Y154" i="3"/>
  <c r="X154" i="3"/>
  <c r="W154" i="3"/>
  <c r="V154" i="3"/>
  <c r="U154" i="3"/>
  <c r="T154" i="3"/>
  <c r="S154" i="3"/>
  <c r="R154" i="3"/>
  <c r="Z153" i="3"/>
  <c r="Y153" i="3"/>
  <c r="X153" i="3"/>
  <c r="W153" i="3"/>
  <c r="V153" i="3"/>
  <c r="U153" i="3"/>
  <c r="T153" i="3"/>
  <c r="S153" i="3"/>
  <c r="R153" i="3"/>
  <c r="Z152" i="3"/>
  <c r="Y152" i="3"/>
  <c r="X152" i="3"/>
  <c r="W152" i="3"/>
  <c r="V152" i="3"/>
  <c r="U152" i="3"/>
  <c r="T152" i="3"/>
  <c r="S152" i="3"/>
  <c r="R152" i="3"/>
  <c r="Z151" i="3"/>
  <c r="Y151" i="3"/>
  <c r="X151" i="3"/>
  <c r="W151" i="3"/>
  <c r="V151" i="3"/>
  <c r="U151" i="3"/>
  <c r="T151" i="3"/>
  <c r="S151" i="3"/>
  <c r="R151" i="3"/>
  <c r="Z150" i="3"/>
  <c r="Y150" i="3"/>
  <c r="X150" i="3"/>
  <c r="W150" i="3"/>
  <c r="V150" i="3"/>
  <c r="U150" i="3"/>
  <c r="T150" i="3"/>
  <c r="S150" i="3"/>
  <c r="R150" i="3"/>
  <c r="Z149" i="3"/>
  <c r="Y149" i="3"/>
  <c r="X149" i="3"/>
  <c r="W149" i="3"/>
  <c r="V149" i="3"/>
  <c r="U149" i="3"/>
  <c r="T149" i="3"/>
  <c r="S149" i="3"/>
  <c r="R149" i="3"/>
  <c r="Z148" i="3"/>
  <c r="Y148" i="3"/>
  <c r="X148" i="3"/>
  <c r="W148" i="3"/>
  <c r="V148" i="3"/>
  <c r="U148" i="3"/>
  <c r="T148" i="3"/>
  <c r="S148" i="3"/>
  <c r="R148" i="3"/>
  <c r="Z147" i="3"/>
  <c r="Y147" i="3"/>
  <c r="X147" i="3"/>
  <c r="W147" i="3"/>
  <c r="V147" i="3"/>
  <c r="U147" i="3"/>
  <c r="T147" i="3"/>
  <c r="S147" i="3"/>
  <c r="R147" i="3"/>
  <c r="Z146" i="3"/>
  <c r="Y146" i="3"/>
  <c r="X146" i="3"/>
  <c r="W146" i="3"/>
  <c r="V146" i="3"/>
  <c r="U146" i="3"/>
  <c r="T146" i="3"/>
  <c r="S146" i="3"/>
  <c r="R146" i="3"/>
  <c r="Z145" i="3"/>
  <c r="Y145" i="3"/>
  <c r="X145" i="3"/>
  <c r="W145" i="3"/>
  <c r="V145" i="3"/>
  <c r="U145" i="3"/>
  <c r="T145" i="3"/>
  <c r="S145" i="3"/>
  <c r="R145" i="3"/>
  <c r="Z144" i="3"/>
  <c r="Y144" i="3"/>
  <c r="X144" i="3"/>
  <c r="W144" i="3"/>
  <c r="V144" i="3"/>
  <c r="U144" i="3"/>
  <c r="T144" i="3"/>
  <c r="S144" i="3"/>
  <c r="R144" i="3"/>
  <c r="Z143" i="3"/>
  <c r="Y143" i="3"/>
  <c r="X143" i="3"/>
  <c r="W143" i="3"/>
  <c r="V143" i="3"/>
  <c r="U143" i="3"/>
  <c r="T143" i="3"/>
  <c r="S143" i="3"/>
  <c r="R143" i="3"/>
  <c r="Z142" i="3"/>
  <c r="Y142" i="3"/>
  <c r="X142" i="3"/>
  <c r="W142" i="3"/>
  <c r="V142" i="3"/>
  <c r="U142" i="3"/>
  <c r="T142" i="3"/>
  <c r="S142" i="3"/>
  <c r="R142" i="3"/>
  <c r="Z141" i="3"/>
  <c r="Y141" i="3"/>
  <c r="X141" i="3"/>
  <c r="W141" i="3"/>
  <c r="V141" i="3"/>
  <c r="U141" i="3"/>
  <c r="T141" i="3"/>
  <c r="S141" i="3"/>
  <c r="R141" i="3"/>
  <c r="Z140" i="3"/>
  <c r="Y140" i="3"/>
  <c r="X140" i="3"/>
  <c r="W140" i="3"/>
  <c r="V140" i="3"/>
  <c r="U140" i="3"/>
  <c r="T140" i="3"/>
  <c r="S140" i="3"/>
  <c r="R140" i="3"/>
  <c r="Z139" i="3"/>
  <c r="Y139" i="3"/>
  <c r="X139" i="3"/>
  <c r="W139" i="3"/>
  <c r="V139" i="3"/>
  <c r="U139" i="3"/>
  <c r="T139" i="3"/>
  <c r="S139" i="3"/>
  <c r="R139" i="3"/>
  <c r="Z138" i="3"/>
  <c r="Y138" i="3"/>
  <c r="X138" i="3"/>
  <c r="W138" i="3"/>
  <c r="V138" i="3"/>
  <c r="U138" i="3"/>
  <c r="T138" i="3"/>
  <c r="S138" i="3"/>
  <c r="R138" i="3"/>
  <c r="Z137" i="3"/>
  <c r="Y137" i="3"/>
  <c r="X137" i="3"/>
  <c r="W137" i="3"/>
  <c r="V137" i="3"/>
  <c r="U137" i="3"/>
  <c r="T137" i="3"/>
  <c r="S137" i="3"/>
  <c r="R137" i="3"/>
  <c r="Z136" i="3"/>
  <c r="Y136" i="3"/>
  <c r="X136" i="3"/>
  <c r="W136" i="3"/>
  <c r="V136" i="3"/>
  <c r="U136" i="3"/>
  <c r="T136" i="3"/>
  <c r="S136" i="3"/>
  <c r="R136" i="3"/>
  <c r="Z135" i="3"/>
  <c r="Y135" i="3"/>
  <c r="X135" i="3"/>
  <c r="W135" i="3"/>
  <c r="V135" i="3"/>
  <c r="U135" i="3"/>
  <c r="T135" i="3"/>
  <c r="S135" i="3"/>
  <c r="R135" i="3"/>
  <c r="Z134" i="3"/>
  <c r="Y134" i="3"/>
  <c r="X134" i="3"/>
  <c r="W134" i="3"/>
  <c r="V134" i="3"/>
  <c r="U134" i="3"/>
  <c r="T134" i="3"/>
  <c r="S134" i="3"/>
  <c r="R134" i="3"/>
  <c r="Z133" i="3"/>
  <c r="Y133" i="3"/>
  <c r="X133" i="3"/>
  <c r="W133" i="3"/>
  <c r="V133" i="3"/>
  <c r="U133" i="3"/>
  <c r="T133" i="3"/>
  <c r="S133" i="3"/>
  <c r="R133" i="3"/>
  <c r="Z132" i="3"/>
  <c r="Y132" i="3"/>
  <c r="X132" i="3"/>
  <c r="W132" i="3"/>
  <c r="V132" i="3"/>
  <c r="U132" i="3"/>
  <c r="T132" i="3"/>
  <c r="S132" i="3"/>
  <c r="R132" i="3"/>
  <c r="Z131" i="3"/>
  <c r="Y131" i="3"/>
  <c r="X131" i="3"/>
  <c r="W131" i="3"/>
  <c r="V131" i="3"/>
  <c r="U131" i="3"/>
  <c r="T131" i="3"/>
  <c r="S131" i="3"/>
  <c r="R131" i="3"/>
  <c r="Z130" i="3"/>
  <c r="Y130" i="3"/>
  <c r="X130" i="3"/>
  <c r="W130" i="3"/>
  <c r="V130" i="3"/>
  <c r="U130" i="3"/>
  <c r="T130" i="3"/>
  <c r="S130" i="3"/>
  <c r="R130" i="3"/>
  <c r="Z129" i="3"/>
  <c r="Y129" i="3"/>
  <c r="X129" i="3"/>
  <c r="W129" i="3"/>
  <c r="V129" i="3"/>
  <c r="U129" i="3"/>
  <c r="T129" i="3"/>
  <c r="S129" i="3"/>
  <c r="R129" i="3"/>
  <c r="Z128" i="3"/>
  <c r="Y128" i="3"/>
  <c r="X128" i="3"/>
  <c r="W128" i="3"/>
  <c r="V128" i="3"/>
  <c r="U128" i="3"/>
  <c r="T128" i="3"/>
  <c r="S128" i="3"/>
  <c r="R128" i="3"/>
  <c r="Z127" i="3"/>
  <c r="Y127" i="3"/>
  <c r="X127" i="3"/>
  <c r="W127" i="3"/>
  <c r="V127" i="3"/>
  <c r="U127" i="3"/>
  <c r="T127" i="3"/>
  <c r="S127" i="3"/>
  <c r="R127" i="3"/>
  <c r="Z126" i="3"/>
  <c r="Y126" i="3"/>
  <c r="X126" i="3"/>
  <c r="W126" i="3"/>
  <c r="V126" i="3"/>
  <c r="U126" i="3"/>
  <c r="T126" i="3"/>
  <c r="S126" i="3"/>
  <c r="R126" i="3"/>
  <c r="Z125" i="3"/>
  <c r="Y125" i="3"/>
  <c r="X125" i="3"/>
  <c r="W125" i="3"/>
  <c r="V125" i="3"/>
  <c r="U125" i="3"/>
  <c r="T125" i="3"/>
  <c r="S125" i="3"/>
  <c r="R125" i="3"/>
  <c r="Z124" i="3"/>
  <c r="Y124" i="3"/>
  <c r="X124" i="3"/>
  <c r="W124" i="3"/>
  <c r="V124" i="3"/>
  <c r="U124" i="3"/>
  <c r="T124" i="3"/>
  <c r="S124" i="3"/>
  <c r="R124" i="3"/>
  <c r="Z123" i="3"/>
  <c r="Y123" i="3"/>
  <c r="X123" i="3"/>
  <c r="W123" i="3"/>
  <c r="V123" i="3"/>
  <c r="U123" i="3"/>
  <c r="T123" i="3"/>
  <c r="S123" i="3"/>
  <c r="R123" i="3"/>
  <c r="Z122" i="3"/>
  <c r="Y122" i="3"/>
  <c r="X122" i="3"/>
  <c r="W122" i="3"/>
  <c r="V122" i="3"/>
  <c r="U122" i="3"/>
  <c r="T122" i="3"/>
  <c r="S122" i="3"/>
  <c r="R122" i="3"/>
  <c r="Z121" i="3"/>
  <c r="Y121" i="3"/>
  <c r="X121" i="3"/>
  <c r="W121" i="3"/>
  <c r="V121" i="3"/>
  <c r="U121" i="3"/>
  <c r="T121" i="3"/>
  <c r="S121" i="3"/>
  <c r="R121" i="3"/>
  <c r="Z120" i="3"/>
  <c r="Y120" i="3"/>
  <c r="X120" i="3"/>
  <c r="W120" i="3"/>
  <c r="V120" i="3"/>
  <c r="U120" i="3"/>
  <c r="T120" i="3"/>
  <c r="S120" i="3"/>
  <c r="R120" i="3"/>
  <c r="Z119" i="3"/>
  <c r="Y119" i="3"/>
  <c r="X119" i="3"/>
  <c r="W119" i="3"/>
  <c r="V119" i="3"/>
  <c r="U119" i="3"/>
  <c r="T119" i="3"/>
  <c r="S119" i="3"/>
  <c r="R119" i="3"/>
  <c r="Z118" i="3"/>
  <c r="Y118" i="3"/>
  <c r="X118" i="3"/>
  <c r="W118" i="3"/>
  <c r="V118" i="3"/>
  <c r="U118" i="3"/>
  <c r="T118" i="3"/>
  <c r="S118" i="3"/>
  <c r="R118" i="3"/>
  <c r="Z117" i="3"/>
  <c r="Y117" i="3"/>
  <c r="X117" i="3"/>
  <c r="W117" i="3"/>
  <c r="V117" i="3"/>
  <c r="U117" i="3"/>
  <c r="T117" i="3"/>
  <c r="S117" i="3"/>
  <c r="R117" i="3"/>
  <c r="Z116" i="3"/>
  <c r="Y116" i="3"/>
  <c r="X116" i="3"/>
  <c r="W116" i="3"/>
  <c r="V116" i="3"/>
  <c r="U116" i="3"/>
  <c r="T116" i="3"/>
  <c r="S116" i="3"/>
  <c r="R116" i="3"/>
  <c r="Z115" i="3"/>
  <c r="Y115" i="3"/>
  <c r="X115" i="3"/>
  <c r="W115" i="3"/>
  <c r="V115" i="3"/>
  <c r="U115" i="3"/>
  <c r="T115" i="3"/>
  <c r="S115" i="3"/>
  <c r="R115" i="3"/>
  <c r="Z114" i="3"/>
  <c r="Y114" i="3"/>
  <c r="X114" i="3"/>
  <c r="W114" i="3"/>
  <c r="V114" i="3"/>
  <c r="U114" i="3"/>
  <c r="T114" i="3"/>
  <c r="S114" i="3"/>
  <c r="R114" i="3"/>
  <c r="Z113" i="3"/>
  <c r="Y113" i="3"/>
  <c r="X113" i="3"/>
  <c r="W113" i="3"/>
  <c r="V113" i="3"/>
  <c r="U113" i="3"/>
  <c r="T113" i="3"/>
  <c r="S113" i="3"/>
  <c r="R113" i="3"/>
  <c r="Z112" i="3"/>
  <c r="Y112" i="3"/>
  <c r="X112" i="3"/>
  <c r="W112" i="3"/>
  <c r="V112" i="3"/>
  <c r="U112" i="3"/>
  <c r="T112" i="3"/>
  <c r="S112" i="3"/>
  <c r="R112" i="3"/>
  <c r="Z111" i="3"/>
  <c r="Y111" i="3"/>
  <c r="X111" i="3"/>
  <c r="W111" i="3"/>
  <c r="V111" i="3"/>
  <c r="U111" i="3"/>
  <c r="T111" i="3"/>
  <c r="S111" i="3"/>
  <c r="R111" i="3"/>
  <c r="Z110" i="3"/>
  <c r="Y110" i="3"/>
  <c r="X110" i="3"/>
  <c r="W110" i="3"/>
  <c r="V110" i="3"/>
  <c r="U110" i="3"/>
  <c r="T110" i="3"/>
  <c r="S110" i="3"/>
  <c r="R110" i="3"/>
  <c r="Z109" i="3"/>
  <c r="Y109" i="3"/>
  <c r="X109" i="3"/>
  <c r="W109" i="3"/>
  <c r="V109" i="3"/>
  <c r="U109" i="3"/>
  <c r="T109" i="3"/>
  <c r="S109" i="3"/>
  <c r="R109" i="3"/>
  <c r="Z108" i="3"/>
  <c r="Y108" i="3"/>
  <c r="X108" i="3"/>
  <c r="W108" i="3"/>
  <c r="V108" i="3"/>
  <c r="U108" i="3"/>
  <c r="T108" i="3"/>
  <c r="S108" i="3"/>
  <c r="R108" i="3"/>
  <c r="Z107" i="3"/>
  <c r="Y107" i="3"/>
  <c r="X107" i="3"/>
  <c r="W107" i="3"/>
  <c r="V107" i="3"/>
  <c r="U107" i="3"/>
  <c r="T107" i="3"/>
  <c r="S107" i="3"/>
  <c r="R107" i="3"/>
  <c r="Z106" i="3"/>
  <c r="Y106" i="3"/>
  <c r="X106" i="3"/>
  <c r="W106" i="3"/>
  <c r="V106" i="3"/>
  <c r="U106" i="3"/>
  <c r="T106" i="3"/>
  <c r="S106" i="3"/>
  <c r="R106" i="3"/>
  <c r="Z105" i="3"/>
  <c r="Y105" i="3"/>
  <c r="X105" i="3"/>
  <c r="W105" i="3"/>
  <c r="V105" i="3"/>
  <c r="U105" i="3"/>
  <c r="T105" i="3"/>
  <c r="S105" i="3"/>
  <c r="R105" i="3"/>
  <c r="Z104" i="3"/>
  <c r="Y104" i="3"/>
  <c r="X104" i="3"/>
  <c r="W104" i="3"/>
  <c r="V104" i="3"/>
  <c r="U104" i="3"/>
  <c r="T104" i="3"/>
  <c r="S104" i="3"/>
  <c r="R104" i="3"/>
  <c r="Z103" i="3"/>
  <c r="Y103" i="3"/>
  <c r="X103" i="3"/>
  <c r="W103" i="3"/>
  <c r="V103" i="3"/>
  <c r="U103" i="3"/>
  <c r="T103" i="3"/>
  <c r="S103" i="3"/>
  <c r="R103" i="3"/>
  <c r="Z102" i="3"/>
  <c r="Y102" i="3"/>
  <c r="X102" i="3"/>
  <c r="W102" i="3"/>
  <c r="V102" i="3"/>
  <c r="U102" i="3"/>
  <c r="T102" i="3"/>
  <c r="S102" i="3"/>
  <c r="R102" i="3"/>
  <c r="Z101" i="3"/>
  <c r="Y101" i="3"/>
  <c r="X101" i="3"/>
  <c r="W101" i="3"/>
  <c r="V101" i="3"/>
  <c r="U101" i="3"/>
  <c r="T101" i="3"/>
  <c r="S101" i="3"/>
  <c r="R101" i="3"/>
  <c r="Z100" i="3"/>
  <c r="Y100" i="3"/>
  <c r="X100" i="3"/>
  <c r="W100" i="3"/>
  <c r="V100" i="3"/>
  <c r="U100" i="3"/>
  <c r="T100" i="3"/>
  <c r="S100" i="3"/>
  <c r="R100" i="3"/>
  <c r="Z99" i="3"/>
  <c r="Y99" i="3"/>
  <c r="X99" i="3"/>
  <c r="W99" i="3"/>
  <c r="V99" i="3"/>
  <c r="U99" i="3"/>
  <c r="T99" i="3"/>
  <c r="S99" i="3"/>
  <c r="R99" i="3"/>
  <c r="Z98" i="3"/>
  <c r="Y98" i="3"/>
  <c r="X98" i="3"/>
  <c r="W98" i="3"/>
  <c r="V98" i="3"/>
  <c r="U98" i="3"/>
  <c r="T98" i="3"/>
  <c r="S98" i="3"/>
  <c r="R98" i="3"/>
  <c r="Z97" i="3"/>
  <c r="Y97" i="3"/>
  <c r="X97" i="3"/>
  <c r="W97" i="3"/>
  <c r="V97" i="3"/>
  <c r="U97" i="3"/>
  <c r="T97" i="3"/>
  <c r="S97" i="3"/>
  <c r="R97" i="3"/>
  <c r="Z96" i="3"/>
  <c r="Y96" i="3"/>
  <c r="X96" i="3"/>
  <c r="W96" i="3"/>
  <c r="V96" i="3"/>
  <c r="U96" i="3"/>
  <c r="T96" i="3"/>
  <c r="S96" i="3"/>
  <c r="R96" i="3"/>
  <c r="Z95" i="3"/>
  <c r="Y95" i="3"/>
  <c r="X95" i="3"/>
  <c r="W95" i="3"/>
  <c r="V95" i="3"/>
  <c r="U95" i="3"/>
  <c r="T95" i="3"/>
  <c r="S95" i="3"/>
  <c r="R95" i="3"/>
  <c r="Z94" i="3"/>
  <c r="Y94" i="3"/>
  <c r="X94" i="3"/>
  <c r="W94" i="3"/>
  <c r="V94" i="3"/>
  <c r="U94" i="3"/>
  <c r="T94" i="3"/>
  <c r="S94" i="3"/>
  <c r="R94" i="3"/>
  <c r="Z93" i="3"/>
  <c r="Y93" i="3"/>
  <c r="X93" i="3"/>
  <c r="W93" i="3"/>
  <c r="V93" i="3"/>
  <c r="U93" i="3"/>
  <c r="T93" i="3"/>
  <c r="S93" i="3"/>
  <c r="R93" i="3"/>
  <c r="Z92" i="3"/>
  <c r="Y92" i="3"/>
  <c r="X92" i="3"/>
  <c r="W92" i="3"/>
  <c r="V92" i="3"/>
  <c r="U92" i="3"/>
  <c r="T92" i="3"/>
  <c r="S92" i="3"/>
  <c r="R92" i="3"/>
  <c r="Z91" i="3"/>
  <c r="Y91" i="3"/>
  <c r="X91" i="3"/>
  <c r="W91" i="3"/>
  <c r="V91" i="3"/>
  <c r="U91" i="3"/>
  <c r="T91" i="3"/>
  <c r="S91" i="3"/>
  <c r="R91" i="3"/>
  <c r="Z90" i="3"/>
  <c r="Y90" i="3"/>
  <c r="X90" i="3"/>
  <c r="W90" i="3"/>
  <c r="V90" i="3"/>
  <c r="U90" i="3"/>
  <c r="T90" i="3"/>
  <c r="S90" i="3"/>
  <c r="R90" i="3"/>
  <c r="Z89" i="3"/>
  <c r="Y89" i="3"/>
  <c r="X89" i="3"/>
  <c r="W89" i="3"/>
  <c r="V89" i="3"/>
  <c r="U89" i="3"/>
  <c r="T89" i="3"/>
  <c r="S89" i="3"/>
  <c r="R89" i="3"/>
  <c r="Z88" i="3"/>
  <c r="Y88" i="3"/>
  <c r="X88" i="3"/>
  <c r="W88" i="3"/>
  <c r="V88" i="3"/>
  <c r="U88" i="3"/>
  <c r="T88" i="3"/>
  <c r="S88" i="3"/>
  <c r="R88" i="3"/>
  <c r="Z87" i="3"/>
  <c r="Y87" i="3"/>
  <c r="X87" i="3"/>
  <c r="W87" i="3"/>
  <c r="V87" i="3"/>
  <c r="U87" i="3"/>
  <c r="T87" i="3"/>
  <c r="S87" i="3"/>
  <c r="R87" i="3"/>
  <c r="Z86" i="3"/>
  <c r="Y86" i="3"/>
  <c r="X86" i="3"/>
  <c r="W86" i="3"/>
  <c r="V86" i="3"/>
  <c r="U86" i="3"/>
  <c r="T86" i="3"/>
  <c r="S86" i="3"/>
  <c r="R86" i="3"/>
  <c r="Z85" i="3"/>
  <c r="Y85" i="3"/>
  <c r="X85" i="3"/>
  <c r="W85" i="3"/>
  <c r="V85" i="3"/>
  <c r="U85" i="3"/>
  <c r="T85" i="3"/>
  <c r="S85" i="3"/>
  <c r="R85" i="3"/>
  <c r="Z84" i="3"/>
  <c r="Y84" i="3"/>
  <c r="X84" i="3"/>
  <c r="W84" i="3"/>
  <c r="V84" i="3"/>
  <c r="U84" i="3"/>
  <c r="T84" i="3"/>
  <c r="S84" i="3"/>
  <c r="R84" i="3"/>
  <c r="Z83" i="3"/>
  <c r="Y83" i="3"/>
  <c r="X83" i="3"/>
  <c r="W83" i="3"/>
  <c r="V83" i="3"/>
  <c r="U83" i="3"/>
  <c r="T83" i="3"/>
  <c r="S83" i="3"/>
  <c r="R83" i="3"/>
  <c r="Z82" i="3"/>
  <c r="Y82" i="3"/>
  <c r="X82" i="3"/>
  <c r="W82" i="3"/>
  <c r="V82" i="3"/>
  <c r="U82" i="3"/>
  <c r="T82" i="3"/>
  <c r="S82" i="3"/>
  <c r="R82" i="3"/>
  <c r="Z81" i="3"/>
  <c r="Y81" i="3"/>
  <c r="X81" i="3"/>
  <c r="W81" i="3"/>
  <c r="V81" i="3"/>
  <c r="U81" i="3"/>
  <c r="T81" i="3"/>
  <c r="S81" i="3"/>
  <c r="R81" i="3"/>
  <c r="Z80" i="3"/>
  <c r="Y80" i="3"/>
  <c r="X80" i="3"/>
  <c r="W80" i="3"/>
  <c r="V80" i="3"/>
  <c r="U80" i="3"/>
  <c r="T80" i="3"/>
  <c r="S80" i="3"/>
  <c r="R80" i="3"/>
  <c r="Z79" i="3"/>
  <c r="Y79" i="3"/>
  <c r="X79" i="3"/>
  <c r="W79" i="3"/>
  <c r="V79" i="3"/>
  <c r="U79" i="3"/>
  <c r="T79" i="3"/>
  <c r="S79" i="3"/>
  <c r="R79" i="3"/>
  <c r="Z78" i="3"/>
  <c r="Y78" i="3"/>
  <c r="X78" i="3"/>
  <c r="W78" i="3"/>
  <c r="V78" i="3"/>
  <c r="U78" i="3"/>
  <c r="T78" i="3"/>
  <c r="S78" i="3"/>
  <c r="R78" i="3"/>
  <c r="Z77" i="3"/>
  <c r="Y77" i="3"/>
  <c r="X77" i="3"/>
  <c r="W77" i="3"/>
  <c r="V77" i="3"/>
  <c r="U77" i="3"/>
  <c r="T77" i="3"/>
  <c r="S77" i="3"/>
  <c r="R77" i="3"/>
  <c r="Z76" i="3"/>
  <c r="Y76" i="3"/>
  <c r="X76" i="3"/>
  <c r="W76" i="3"/>
  <c r="V76" i="3"/>
  <c r="U76" i="3"/>
  <c r="T76" i="3"/>
  <c r="S76" i="3"/>
  <c r="R76" i="3"/>
  <c r="Z75" i="3"/>
  <c r="Y75" i="3"/>
  <c r="X75" i="3"/>
  <c r="W75" i="3"/>
  <c r="V75" i="3"/>
  <c r="U75" i="3"/>
  <c r="T75" i="3"/>
  <c r="S75" i="3"/>
  <c r="R75" i="3"/>
  <c r="Z74" i="3"/>
  <c r="Y74" i="3"/>
  <c r="X74" i="3"/>
  <c r="W74" i="3"/>
  <c r="V74" i="3"/>
  <c r="U74" i="3"/>
  <c r="T74" i="3"/>
  <c r="S74" i="3"/>
  <c r="R74" i="3"/>
  <c r="Z73" i="3"/>
  <c r="Y73" i="3"/>
  <c r="X73" i="3"/>
  <c r="W73" i="3"/>
  <c r="V73" i="3"/>
  <c r="U73" i="3"/>
  <c r="T73" i="3"/>
  <c r="S73" i="3"/>
  <c r="R73" i="3"/>
  <c r="Z72" i="3"/>
  <c r="Y72" i="3"/>
  <c r="X72" i="3"/>
  <c r="W72" i="3"/>
  <c r="V72" i="3"/>
  <c r="U72" i="3"/>
  <c r="T72" i="3"/>
  <c r="S72" i="3"/>
  <c r="R72" i="3"/>
  <c r="Z71" i="3"/>
  <c r="Y71" i="3"/>
  <c r="X71" i="3"/>
  <c r="W71" i="3"/>
  <c r="V71" i="3"/>
  <c r="U71" i="3"/>
  <c r="T71" i="3"/>
  <c r="S71" i="3"/>
  <c r="R71" i="3"/>
  <c r="Z70" i="3"/>
  <c r="Y70" i="3"/>
  <c r="X70" i="3"/>
  <c r="W70" i="3"/>
  <c r="V70" i="3"/>
  <c r="U70" i="3"/>
  <c r="T70" i="3"/>
  <c r="S70" i="3"/>
  <c r="R70" i="3"/>
  <c r="Z69" i="3"/>
  <c r="Y69" i="3"/>
  <c r="X69" i="3"/>
  <c r="W69" i="3"/>
  <c r="V69" i="3"/>
  <c r="U69" i="3"/>
  <c r="T69" i="3"/>
  <c r="S69" i="3"/>
  <c r="R69" i="3"/>
  <c r="Z68" i="3"/>
  <c r="Y68" i="3"/>
  <c r="X68" i="3"/>
  <c r="W68" i="3"/>
  <c r="V68" i="3"/>
  <c r="U68" i="3"/>
  <c r="T68" i="3"/>
  <c r="S68" i="3"/>
  <c r="R68" i="3"/>
  <c r="Z67" i="3"/>
  <c r="Y67" i="3"/>
  <c r="X67" i="3"/>
  <c r="W67" i="3"/>
  <c r="V67" i="3"/>
  <c r="U67" i="3"/>
  <c r="T67" i="3"/>
  <c r="S67" i="3"/>
  <c r="R67" i="3"/>
  <c r="Z66" i="3"/>
  <c r="Y66" i="3"/>
  <c r="X66" i="3"/>
  <c r="W66" i="3"/>
  <c r="V66" i="3"/>
  <c r="U66" i="3"/>
  <c r="T66" i="3"/>
  <c r="S66" i="3"/>
  <c r="R66" i="3"/>
  <c r="Z65" i="3"/>
  <c r="Y65" i="3"/>
  <c r="X65" i="3"/>
  <c r="W65" i="3"/>
  <c r="V65" i="3"/>
  <c r="U65" i="3"/>
  <c r="T65" i="3"/>
  <c r="S65" i="3"/>
  <c r="R65" i="3"/>
  <c r="Z64" i="3"/>
  <c r="Y64" i="3"/>
  <c r="X64" i="3"/>
  <c r="W64" i="3"/>
  <c r="V64" i="3"/>
  <c r="U64" i="3"/>
  <c r="T64" i="3"/>
  <c r="S64" i="3"/>
  <c r="R64" i="3"/>
  <c r="Z63" i="3"/>
  <c r="Y63" i="3"/>
  <c r="X63" i="3"/>
  <c r="W63" i="3"/>
  <c r="V63" i="3"/>
  <c r="U63" i="3"/>
  <c r="T63" i="3"/>
  <c r="S63" i="3"/>
  <c r="R63" i="3"/>
  <c r="Z62" i="3"/>
  <c r="Y62" i="3"/>
  <c r="X62" i="3"/>
  <c r="W62" i="3"/>
  <c r="V62" i="3"/>
  <c r="U62" i="3"/>
  <c r="T62" i="3"/>
  <c r="S62" i="3"/>
  <c r="R62" i="3"/>
  <c r="Z61" i="3"/>
  <c r="Y61" i="3"/>
  <c r="X61" i="3"/>
  <c r="W61" i="3"/>
  <c r="V61" i="3"/>
  <c r="U61" i="3"/>
  <c r="T61" i="3"/>
  <c r="S61" i="3"/>
  <c r="R61" i="3"/>
  <c r="Z60" i="3"/>
  <c r="Y60" i="3"/>
  <c r="X60" i="3"/>
  <c r="W60" i="3"/>
  <c r="V60" i="3"/>
  <c r="U60" i="3"/>
  <c r="T60" i="3"/>
  <c r="S60" i="3"/>
  <c r="R60" i="3"/>
  <c r="Z59" i="3"/>
  <c r="Y59" i="3"/>
  <c r="X59" i="3"/>
  <c r="W59" i="3"/>
  <c r="V59" i="3"/>
  <c r="U59" i="3"/>
  <c r="T59" i="3"/>
  <c r="S59" i="3"/>
  <c r="R59" i="3"/>
  <c r="Z58" i="3"/>
  <c r="Y58" i="3"/>
  <c r="X58" i="3"/>
  <c r="W58" i="3"/>
  <c r="V58" i="3"/>
  <c r="U58" i="3"/>
  <c r="T58" i="3"/>
  <c r="S58" i="3"/>
  <c r="R58" i="3"/>
  <c r="Z57" i="3"/>
  <c r="Y57" i="3"/>
  <c r="X57" i="3"/>
  <c r="W57" i="3"/>
  <c r="V57" i="3"/>
  <c r="U57" i="3"/>
  <c r="T57" i="3"/>
  <c r="S57" i="3"/>
  <c r="R57" i="3"/>
  <c r="Z56" i="3"/>
  <c r="Y56" i="3"/>
  <c r="X56" i="3"/>
  <c r="W56" i="3"/>
  <c r="V56" i="3"/>
  <c r="U56" i="3"/>
  <c r="T56" i="3"/>
  <c r="S56" i="3"/>
  <c r="R56" i="3"/>
  <c r="Z55" i="3"/>
  <c r="Y55" i="3"/>
  <c r="X55" i="3"/>
  <c r="W55" i="3"/>
  <c r="V55" i="3"/>
  <c r="U55" i="3"/>
  <c r="T55" i="3"/>
  <c r="S55" i="3"/>
  <c r="R55" i="3"/>
  <c r="Z54" i="3"/>
  <c r="Y54" i="3"/>
  <c r="X54" i="3"/>
  <c r="W54" i="3"/>
  <c r="V54" i="3"/>
  <c r="U54" i="3"/>
  <c r="T54" i="3"/>
  <c r="S54" i="3"/>
  <c r="R54" i="3"/>
  <c r="Z53" i="3"/>
  <c r="Y53" i="3"/>
  <c r="X53" i="3"/>
  <c r="W53" i="3"/>
  <c r="V53" i="3"/>
  <c r="U53" i="3"/>
  <c r="T53" i="3"/>
  <c r="S53" i="3"/>
  <c r="R53" i="3"/>
  <c r="Z52" i="3"/>
  <c r="Y52" i="3"/>
  <c r="X52" i="3"/>
  <c r="W52" i="3"/>
  <c r="V52" i="3"/>
  <c r="U52" i="3"/>
  <c r="T52" i="3"/>
  <c r="S52" i="3"/>
  <c r="R52" i="3"/>
  <c r="Z51" i="3"/>
  <c r="Y51" i="3"/>
  <c r="X51" i="3"/>
  <c r="W51" i="3"/>
  <c r="V51" i="3"/>
  <c r="U51" i="3"/>
  <c r="T51" i="3"/>
  <c r="S51" i="3"/>
  <c r="R51" i="3"/>
  <c r="Z50" i="3"/>
  <c r="Y50" i="3"/>
  <c r="X50" i="3"/>
  <c r="W50" i="3"/>
  <c r="V50" i="3"/>
  <c r="U50" i="3"/>
  <c r="T50" i="3"/>
  <c r="S50" i="3"/>
  <c r="R50" i="3"/>
  <c r="Z49" i="3"/>
  <c r="Y49" i="3"/>
  <c r="X49" i="3"/>
  <c r="W49" i="3"/>
  <c r="V49" i="3"/>
  <c r="U49" i="3"/>
  <c r="T49" i="3"/>
  <c r="S49" i="3"/>
  <c r="R49" i="3"/>
  <c r="Z48" i="3"/>
  <c r="Y48" i="3"/>
  <c r="X48" i="3"/>
  <c r="W48" i="3"/>
  <c r="V48" i="3"/>
  <c r="U48" i="3"/>
  <c r="T48" i="3"/>
  <c r="S48" i="3"/>
  <c r="R48" i="3"/>
  <c r="Z47" i="3"/>
  <c r="Y47" i="3"/>
  <c r="X47" i="3"/>
  <c r="W47" i="3"/>
  <c r="V47" i="3"/>
  <c r="U47" i="3"/>
  <c r="T47" i="3"/>
  <c r="S47" i="3"/>
  <c r="R47" i="3"/>
  <c r="Z46" i="3"/>
  <c r="Y46" i="3"/>
  <c r="X46" i="3"/>
  <c r="W46" i="3"/>
  <c r="V46" i="3"/>
  <c r="U46" i="3"/>
  <c r="T46" i="3"/>
  <c r="S46" i="3"/>
  <c r="R46" i="3"/>
  <c r="Z45" i="3"/>
  <c r="Y45" i="3"/>
  <c r="X45" i="3"/>
  <c r="W45" i="3"/>
  <c r="V45" i="3"/>
  <c r="U45" i="3"/>
  <c r="T45" i="3"/>
  <c r="S45" i="3"/>
  <c r="R45" i="3"/>
  <c r="Z44" i="3"/>
  <c r="Y44" i="3"/>
  <c r="X44" i="3"/>
  <c r="W44" i="3"/>
  <c r="V44" i="3"/>
  <c r="U44" i="3"/>
  <c r="T44" i="3"/>
  <c r="S44" i="3"/>
  <c r="R44" i="3"/>
  <c r="Z43" i="3"/>
  <c r="Y43" i="3"/>
  <c r="X43" i="3"/>
  <c r="W43" i="3"/>
  <c r="V43" i="3"/>
  <c r="U43" i="3"/>
  <c r="T43" i="3"/>
  <c r="S43" i="3"/>
  <c r="R43" i="3"/>
  <c r="Z42" i="3"/>
  <c r="Y42" i="3"/>
  <c r="X42" i="3"/>
  <c r="W42" i="3"/>
  <c r="V42" i="3"/>
  <c r="U42" i="3"/>
  <c r="T42" i="3"/>
  <c r="S42" i="3"/>
  <c r="R42" i="3"/>
  <c r="Z41" i="3"/>
  <c r="Y41" i="3"/>
  <c r="X41" i="3"/>
  <c r="W41" i="3"/>
  <c r="V41" i="3"/>
  <c r="U41" i="3"/>
  <c r="T41" i="3"/>
  <c r="S41" i="3"/>
  <c r="R41" i="3"/>
  <c r="Z40" i="3"/>
  <c r="Y40" i="3"/>
  <c r="X40" i="3"/>
  <c r="W40" i="3"/>
  <c r="V40" i="3"/>
  <c r="U40" i="3"/>
  <c r="T40" i="3"/>
  <c r="S40" i="3"/>
  <c r="R40" i="3"/>
  <c r="Z39" i="3"/>
  <c r="Y39" i="3"/>
  <c r="X39" i="3"/>
  <c r="W39" i="3"/>
  <c r="V39" i="3"/>
  <c r="U39" i="3"/>
  <c r="T39" i="3"/>
  <c r="S39" i="3"/>
  <c r="R39" i="3"/>
  <c r="Z38" i="3"/>
  <c r="Y38" i="3"/>
  <c r="X38" i="3"/>
  <c r="W38" i="3"/>
  <c r="V38" i="3"/>
  <c r="U38" i="3"/>
  <c r="T38" i="3"/>
  <c r="S38" i="3"/>
  <c r="R38" i="3"/>
  <c r="Z37" i="3"/>
  <c r="Y37" i="3"/>
  <c r="X37" i="3"/>
  <c r="W37" i="3"/>
  <c r="V37" i="3"/>
  <c r="U37" i="3"/>
  <c r="T37" i="3"/>
  <c r="S37" i="3"/>
  <c r="R37" i="3"/>
  <c r="Z36" i="3"/>
  <c r="Y36" i="3"/>
  <c r="X36" i="3"/>
  <c r="W36" i="3"/>
  <c r="V36" i="3"/>
  <c r="U36" i="3"/>
  <c r="T36" i="3"/>
  <c r="S36" i="3"/>
  <c r="R36" i="3"/>
  <c r="Z35" i="3"/>
  <c r="Y35" i="3"/>
  <c r="X35" i="3"/>
  <c r="W35" i="3"/>
  <c r="V35" i="3"/>
  <c r="U35" i="3"/>
  <c r="T35" i="3"/>
  <c r="S35" i="3"/>
  <c r="R35" i="3"/>
  <c r="Z34" i="3"/>
  <c r="Y34" i="3"/>
  <c r="X34" i="3"/>
  <c r="W34" i="3"/>
  <c r="V34" i="3"/>
  <c r="U34" i="3"/>
  <c r="T34" i="3"/>
  <c r="S34" i="3"/>
  <c r="R34" i="3"/>
  <c r="Z33" i="3"/>
  <c r="Y33" i="3"/>
  <c r="X33" i="3"/>
  <c r="W33" i="3"/>
  <c r="V33" i="3"/>
  <c r="U33" i="3"/>
  <c r="T33" i="3"/>
  <c r="S33" i="3"/>
  <c r="R33" i="3"/>
  <c r="Z32" i="3"/>
  <c r="Y32" i="3"/>
  <c r="X32" i="3"/>
  <c r="W32" i="3"/>
  <c r="V32" i="3"/>
  <c r="U32" i="3"/>
  <c r="T32" i="3"/>
  <c r="S32" i="3"/>
  <c r="R32" i="3"/>
  <c r="Z31" i="3"/>
  <c r="Y31" i="3"/>
  <c r="X31" i="3"/>
  <c r="W31" i="3"/>
  <c r="V31" i="3"/>
  <c r="U31" i="3"/>
  <c r="T31" i="3"/>
  <c r="S31" i="3"/>
  <c r="R31" i="3"/>
  <c r="Z30" i="3"/>
  <c r="Y30" i="3"/>
  <c r="X30" i="3"/>
  <c r="W30" i="3"/>
  <c r="V30" i="3"/>
  <c r="U30" i="3"/>
  <c r="T30" i="3"/>
  <c r="S30" i="3"/>
  <c r="R30" i="3"/>
  <c r="Z29" i="3"/>
  <c r="Y29" i="3"/>
  <c r="X29" i="3"/>
  <c r="W29" i="3"/>
  <c r="V29" i="3"/>
  <c r="U29" i="3"/>
  <c r="T29" i="3"/>
  <c r="S29" i="3"/>
  <c r="R29" i="3"/>
  <c r="Z28" i="3"/>
  <c r="Y28" i="3"/>
  <c r="X28" i="3"/>
  <c r="W28" i="3"/>
  <c r="V28" i="3"/>
  <c r="U28" i="3"/>
  <c r="T28" i="3"/>
  <c r="S28" i="3"/>
  <c r="R28" i="3"/>
  <c r="Z27" i="3"/>
  <c r="Y27" i="3"/>
  <c r="X27" i="3"/>
  <c r="W27" i="3"/>
  <c r="V27" i="3"/>
  <c r="U27" i="3"/>
  <c r="T27" i="3"/>
  <c r="S27" i="3"/>
  <c r="R27" i="3"/>
  <c r="Z26" i="3"/>
  <c r="Y26" i="3"/>
  <c r="X26" i="3"/>
  <c r="W26" i="3"/>
  <c r="V26" i="3"/>
  <c r="U26" i="3"/>
  <c r="T26" i="3"/>
  <c r="S26" i="3"/>
  <c r="R26" i="3"/>
  <c r="Z25" i="3"/>
  <c r="Y25" i="3"/>
  <c r="X25" i="3"/>
  <c r="W25" i="3"/>
  <c r="V25" i="3"/>
  <c r="U25" i="3"/>
  <c r="T25" i="3"/>
  <c r="S25" i="3"/>
  <c r="R25" i="3"/>
  <c r="Z24" i="3"/>
  <c r="Y24" i="3"/>
  <c r="X24" i="3"/>
  <c r="W24" i="3"/>
  <c r="V24" i="3"/>
  <c r="U24" i="3"/>
  <c r="T24" i="3"/>
  <c r="S24" i="3"/>
  <c r="R24" i="3"/>
  <c r="Z23" i="3"/>
  <c r="Y23" i="3"/>
  <c r="X23" i="3"/>
  <c r="W23" i="3"/>
  <c r="V23" i="3"/>
  <c r="U23" i="3"/>
  <c r="T23" i="3"/>
  <c r="S23" i="3"/>
  <c r="R23" i="3"/>
  <c r="Z22" i="3"/>
  <c r="Y22" i="3"/>
  <c r="X22" i="3"/>
  <c r="W22" i="3"/>
  <c r="V22" i="3"/>
  <c r="U22" i="3"/>
  <c r="T22" i="3"/>
  <c r="S22" i="3"/>
  <c r="R22" i="3"/>
  <c r="Z21" i="3"/>
  <c r="Y21" i="3"/>
  <c r="X21" i="3"/>
  <c r="W21" i="3"/>
  <c r="V21" i="3"/>
  <c r="U21" i="3"/>
  <c r="T21" i="3"/>
  <c r="S21" i="3"/>
  <c r="R21" i="3"/>
  <c r="Z20" i="3"/>
  <c r="Y20" i="3"/>
  <c r="X20" i="3"/>
  <c r="W20" i="3"/>
  <c r="V20" i="3"/>
  <c r="U20" i="3"/>
  <c r="T20" i="3"/>
  <c r="S20" i="3"/>
  <c r="R20" i="3"/>
  <c r="Z19" i="3"/>
  <c r="Y19" i="3"/>
  <c r="X19" i="3"/>
  <c r="W19" i="3"/>
  <c r="V19" i="3"/>
  <c r="U19" i="3"/>
  <c r="T19" i="3"/>
  <c r="S19" i="3"/>
  <c r="R19" i="3"/>
  <c r="Z18" i="3"/>
  <c r="Y18" i="3"/>
  <c r="X18" i="3"/>
  <c r="W18" i="3"/>
  <c r="V18" i="3"/>
  <c r="U18" i="3"/>
  <c r="T18" i="3"/>
  <c r="S18" i="3"/>
  <c r="R18" i="3"/>
  <c r="Z17" i="3"/>
  <c r="Y17" i="3"/>
  <c r="X17" i="3"/>
  <c r="W17" i="3"/>
  <c r="V17" i="3"/>
  <c r="U17" i="3"/>
  <c r="T17" i="3"/>
  <c r="S17" i="3"/>
  <c r="R17" i="3"/>
  <c r="Z16" i="3"/>
  <c r="Y16" i="3"/>
  <c r="X16" i="3"/>
  <c r="W16" i="3"/>
  <c r="V16" i="3"/>
  <c r="U16" i="3"/>
  <c r="T16" i="3"/>
  <c r="S16" i="3"/>
  <c r="R16" i="3"/>
  <c r="Z15" i="3"/>
  <c r="Y15" i="3"/>
  <c r="X15" i="3"/>
  <c r="W15" i="3"/>
  <c r="V15" i="3"/>
  <c r="U15" i="3"/>
  <c r="T15" i="3"/>
  <c r="S15" i="3"/>
  <c r="R15" i="3"/>
  <c r="Z14" i="3"/>
  <c r="Y14" i="3"/>
  <c r="X14" i="3"/>
  <c r="W14" i="3"/>
  <c r="V14" i="3"/>
  <c r="U14" i="3"/>
  <c r="T14" i="3"/>
  <c r="S14" i="3"/>
  <c r="R14" i="3"/>
  <c r="Z13" i="3"/>
  <c r="Y13" i="3"/>
  <c r="X13" i="3"/>
  <c r="W13" i="3"/>
  <c r="V13" i="3"/>
  <c r="U13" i="3"/>
  <c r="T13" i="3"/>
  <c r="S13" i="3"/>
  <c r="R13" i="3"/>
  <c r="Z12" i="3"/>
  <c r="Y12" i="3"/>
  <c r="X12" i="3"/>
  <c r="W12" i="3"/>
  <c r="V12" i="3"/>
  <c r="U12" i="3"/>
  <c r="T12" i="3"/>
  <c r="S12" i="3"/>
  <c r="R12" i="3"/>
  <c r="Z11" i="3"/>
  <c r="Y11" i="3"/>
  <c r="X11" i="3"/>
  <c r="W11" i="3"/>
  <c r="V11" i="3"/>
  <c r="U11" i="3"/>
  <c r="T11" i="3"/>
  <c r="S11" i="3"/>
  <c r="R11" i="3"/>
  <c r="Z10" i="3"/>
  <c r="Y10" i="3"/>
  <c r="X10" i="3"/>
  <c r="W10" i="3"/>
  <c r="V10" i="3"/>
  <c r="U10" i="3"/>
  <c r="T10" i="3"/>
  <c r="S10" i="3"/>
  <c r="R10" i="3"/>
  <c r="Z9" i="3"/>
  <c r="Y9" i="3"/>
  <c r="X9" i="3"/>
  <c r="W9" i="3"/>
  <c r="V9" i="3"/>
  <c r="U9" i="3"/>
  <c r="T9" i="3"/>
  <c r="S9" i="3"/>
  <c r="R9" i="3"/>
  <c r="Z8" i="3"/>
  <c r="Y8" i="3"/>
  <c r="X8" i="3"/>
  <c r="W8" i="3"/>
  <c r="V8" i="3"/>
  <c r="U8" i="3"/>
  <c r="T8" i="3"/>
  <c r="S8" i="3"/>
  <c r="R8" i="3"/>
  <c r="Z7" i="3"/>
  <c r="Y7" i="3"/>
  <c r="X7" i="3"/>
  <c r="W7" i="3"/>
  <c r="V7" i="3"/>
  <c r="U7" i="3"/>
  <c r="T7" i="3"/>
  <c r="S7" i="3"/>
  <c r="R7" i="3"/>
  <c r="Z6" i="3"/>
  <c r="Y6" i="3"/>
  <c r="X6" i="3"/>
  <c r="W6" i="3"/>
  <c r="V6" i="3"/>
  <c r="U6" i="3"/>
  <c r="T6" i="3"/>
  <c r="S6" i="3"/>
  <c r="R6" i="3"/>
  <c r="Z5" i="3"/>
  <c r="Y5" i="3"/>
  <c r="X5" i="3"/>
  <c r="W5" i="3"/>
  <c r="V5" i="3"/>
  <c r="U5" i="3"/>
  <c r="T5" i="3"/>
  <c r="S5" i="3"/>
  <c r="R5" i="3"/>
  <c r="Z4" i="3"/>
  <c r="Y4" i="3"/>
  <c r="X4" i="3"/>
  <c r="W4" i="3"/>
  <c r="V4" i="3"/>
  <c r="U4" i="3"/>
  <c r="T4" i="3"/>
  <c r="S4" i="3"/>
  <c r="R4" i="3"/>
  <c r="Z3" i="3"/>
  <c r="Y3" i="3"/>
  <c r="X3" i="3"/>
  <c r="W3" i="3"/>
  <c r="V3" i="3"/>
  <c r="U3" i="3"/>
  <c r="T3" i="3"/>
  <c r="S3" i="3"/>
  <c r="R3" i="3"/>
  <c r="Z2" i="3"/>
  <c r="Y2" i="3"/>
  <c r="X2" i="3"/>
  <c r="W2" i="3"/>
  <c r="V2" i="3"/>
  <c r="U2" i="3"/>
  <c r="T2" i="3"/>
  <c r="S2" i="3"/>
  <c r="R2" i="3"/>
  <c r="C79" i="2"/>
  <c r="B79" i="2"/>
  <c r="A79" i="2"/>
  <c r="C78" i="2"/>
  <c r="B78" i="2"/>
  <c r="A78" i="2"/>
  <c r="C70" i="2"/>
  <c r="B70" i="2"/>
  <c r="A70" i="2"/>
  <c r="C64" i="2"/>
  <c r="B64" i="2"/>
  <c r="A64" i="2"/>
  <c r="A58" i="2"/>
  <c r="H346" i="1" s="1"/>
  <c r="A54" i="2"/>
  <c r="A50" i="2"/>
  <c r="B45" i="2"/>
  <c r="A45" i="2"/>
  <c r="O85" i="1" s="1"/>
  <c r="AB85" i="1" s="1"/>
  <c r="B40" i="2"/>
  <c r="A40" i="2"/>
  <c r="B35" i="2"/>
  <c r="A35" i="2"/>
  <c r="C28" i="2"/>
  <c r="B28" i="2"/>
  <c r="A28" i="2"/>
  <c r="C23" i="2"/>
  <c r="B23" i="2"/>
  <c r="A23" i="2"/>
  <c r="C12" i="2"/>
  <c r="B12" i="2"/>
  <c r="A12" i="2"/>
  <c r="V491" i="1"/>
  <c r="V490" i="1"/>
  <c r="V489" i="1"/>
  <c r="V488" i="1"/>
  <c r="AB487" i="1"/>
  <c r="AA487" i="1"/>
  <c r="AC487" i="1" s="1"/>
  <c r="Z487" i="1"/>
  <c r="Y487" i="1"/>
  <c r="X487" i="1"/>
  <c r="W487" i="1"/>
  <c r="V487" i="1"/>
  <c r="AB486" i="1"/>
  <c r="AA486" i="1"/>
  <c r="AC486" i="1" s="1"/>
  <c r="Z486" i="1"/>
  <c r="Y486" i="1"/>
  <c r="X486" i="1"/>
  <c r="W486" i="1"/>
  <c r="V486" i="1"/>
  <c r="AB485" i="1"/>
  <c r="AA485" i="1"/>
  <c r="AC485" i="1" s="1"/>
  <c r="Z485" i="1"/>
  <c r="Y485" i="1"/>
  <c r="X485" i="1"/>
  <c r="W485" i="1"/>
  <c r="V485" i="1"/>
  <c r="AC484" i="1"/>
  <c r="AB484" i="1"/>
  <c r="AA484" i="1"/>
  <c r="Z484" i="1"/>
  <c r="Y484" i="1"/>
  <c r="X484" i="1"/>
  <c r="W484" i="1"/>
  <c r="V484" i="1"/>
  <c r="T484" i="1"/>
  <c r="AC483" i="1"/>
  <c r="AB483" i="1"/>
  <c r="AA483" i="1"/>
  <c r="Z483" i="1"/>
  <c r="Y483" i="1"/>
  <c r="X483" i="1"/>
  <c r="W483" i="1"/>
  <c r="V483" i="1"/>
  <c r="T483" i="1"/>
  <c r="AB482" i="1"/>
  <c r="AA482" i="1"/>
  <c r="AC482" i="1" s="1"/>
  <c r="Z482" i="1"/>
  <c r="Y482" i="1"/>
  <c r="X482" i="1"/>
  <c r="W482" i="1"/>
  <c r="V482" i="1"/>
  <c r="T482" i="1"/>
  <c r="AB481" i="1"/>
  <c r="AA481" i="1"/>
  <c r="AC481" i="1" s="1"/>
  <c r="Z481" i="1"/>
  <c r="Y481" i="1"/>
  <c r="X481" i="1"/>
  <c r="W481" i="1"/>
  <c r="V481" i="1"/>
  <c r="T481" i="1"/>
  <c r="AB480" i="1"/>
  <c r="AA480" i="1"/>
  <c r="AC480" i="1" s="1"/>
  <c r="Z480" i="1"/>
  <c r="Y480" i="1"/>
  <c r="X480" i="1"/>
  <c r="W480" i="1"/>
  <c r="V480" i="1"/>
  <c r="T480" i="1"/>
  <c r="AB479" i="1"/>
  <c r="AA479" i="1"/>
  <c r="AC479" i="1" s="1"/>
  <c r="Z479" i="1"/>
  <c r="Y479" i="1"/>
  <c r="X479" i="1"/>
  <c r="W479" i="1"/>
  <c r="V479" i="1"/>
  <c r="T479" i="1"/>
  <c r="AB478" i="1"/>
  <c r="AA478" i="1"/>
  <c r="AC478" i="1" s="1"/>
  <c r="Z478" i="1"/>
  <c r="Y478" i="1"/>
  <c r="X478" i="1"/>
  <c r="W478" i="1"/>
  <c r="V478" i="1"/>
  <c r="T478" i="1"/>
  <c r="AB477" i="1"/>
  <c r="AA477" i="1"/>
  <c r="AC477" i="1" s="1"/>
  <c r="Z477" i="1"/>
  <c r="Y477" i="1"/>
  <c r="X477" i="1"/>
  <c r="W477" i="1"/>
  <c r="V477" i="1"/>
  <c r="T477" i="1"/>
  <c r="AB476" i="1"/>
  <c r="AA476" i="1"/>
  <c r="AC476" i="1" s="1"/>
  <c r="Z476" i="1"/>
  <c r="Y476" i="1"/>
  <c r="X476" i="1"/>
  <c r="W476" i="1"/>
  <c r="V476" i="1"/>
  <c r="T476" i="1"/>
  <c r="AC475" i="1"/>
  <c r="AB475" i="1"/>
  <c r="AA475" i="1"/>
  <c r="Z475" i="1"/>
  <c r="Y475" i="1"/>
  <c r="X475" i="1"/>
  <c r="W475" i="1"/>
  <c r="V475" i="1"/>
  <c r="T475" i="1"/>
  <c r="AB474" i="1"/>
  <c r="AA474" i="1"/>
  <c r="AC474" i="1" s="1"/>
  <c r="Z474" i="1"/>
  <c r="Y474" i="1"/>
  <c r="X474" i="1"/>
  <c r="W474" i="1"/>
  <c r="V474" i="1"/>
  <c r="T474" i="1"/>
  <c r="AB473" i="1"/>
  <c r="AA473" i="1"/>
  <c r="AC473" i="1" s="1"/>
  <c r="Z473" i="1"/>
  <c r="Y473" i="1"/>
  <c r="X473" i="1"/>
  <c r="W473" i="1"/>
  <c r="V473" i="1"/>
  <c r="T473" i="1"/>
  <c r="AB472" i="1"/>
  <c r="AA472" i="1"/>
  <c r="AC472" i="1" s="1"/>
  <c r="Z472" i="1"/>
  <c r="Y472" i="1"/>
  <c r="X472" i="1"/>
  <c r="W472" i="1"/>
  <c r="V472" i="1"/>
  <c r="T472" i="1"/>
  <c r="K472" i="1"/>
  <c r="AB471" i="1"/>
  <c r="AA471" i="1"/>
  <c r="AC471" i="1" s="1"/>
  <c r="Z471" i="1"/>
  <c r="Y471" i="1"/>
  <c r="X471" i="1"/>
  <c r="W471" i="1"/>
  <c r="V471" i="1"/>
  <c r="T471" i="1"/>
  <c r="AB470" i="1"/>
  <c r="AA470" i="1"/>
  <c r="AC470" i="1" s="1"/>
  <c r="Z470" i="1"/>
  <c r="Y470" i="1"/>
  <c r="X470" i="1"/>
  <c r="W470" i="1"/>
  <c r="V470" i="1"/>
  <c r="T470" i="1"/>
  <c r="AB469" i="1"/>
  <c r="AA469" i="1"/>
  <c r="AC469" i="1" s="1"/>
  <c r="Z469" i="1"/>
  <c r="Y469" i="1"/>
  <c r="X469" i="1"/>
  <c r="W469" i="1"/>
  <c r="V469" i="1"/>
  <c r="AB468" i="1"/>
  <c r="AA468" i="1"/>
  <c r="AC468" i="1" s="1"/>
  <c r="Z468" i="1"/>
  <c r="Y468" i="1"/>
  <c r="X468" i="1"/>
  <c r="W468" i="1"/>
  <c r="V468" i="1"/>
  <c r="AB467" i="1"/>
  <c r="AA467" i="1"/>
  <c r="AC467" i="1" s="1"/>
  <c r="Z467" i="1"/>
  <c r="Y467" i="1"/>
  <c r="X467" i="1"/>
  <c r="W467" i="1"/>
  <c r="V467" i="1"/>
  <c r="AC466" i="1"/>
  <c r="AB466" i="1"/>
  <c r="AA466" i="1"/>
  <c r="Z466" i="1"/>
  <c r="Y466" i="1"/>
  <c r="X466" i="1"/>
  <c r="W466" i="1"/>
  <c r="V466" i="1"/>
  <c r="T466" i="1"/>
  <c r="N466" i="1"/>
  <c r="AB465" i="1"/>
  <c r="AA465" i="1"/>
  <c r="AC465" i="1" s="1"/>
  <c r="Z465" i="1"/>
  <c r="Y465" i="1"/>
  <c r="X465" i="1"/>
  <c r="W465" i="1"/>
  <c r="V465" i="1"/>
  <c r="T465" i="1"/>
  <c r="N465" i="1"/>
  <c r="AB464" i="1"/>
  <c r="AA464" i="1"/>
  <c r="AC464" i="1" s="1"/>
  <c r="Z464" i="1"/>
  <c r="Y464" i="1"/>
  <c r="X464" i="1"/>
  <c r="W464" i="1"/>
  <c r="V464" i="1"/>
  <c r="T464" i="1"/>
  <c r="N464" i="1"/>
  <c r="AB463" i="1"/>
  <c r="AA463" i="1"/>
  <c r="AC463" i="1" s="1"/>
  <c r="Z463" i="1"/>
  <c r="Y463" i="1"/>
  <c r="X463" i="1"/>
  <c r="W463" i="1"/>
  <c r="V463" i="1"/>
  <c r="AB462" i="1"/>
  <c r="AA462" i="1"/>
  <c r="AC462" i="1" s="1"/>
  <c r="Z462" i="1"/>
  <c r="Y462" i="1"/>
  <c r="X462" i="1"/>
  <c r="W462" i="1"/>
  <c r="V462" i="1"/>
  <c r="AB461" i="1"/>
  <c r="AA461" i="1"/>
  <c r="AC461" i="1" s="1"/>
  <c r="Z461" i="1"/>
  <c r="Y461" i="1"/>
  <c r="X461" i="1"/>
  <c r="W461" i="1"/>
  <c r="V461" i="1"/>
  <c r="AB460" i="1"/>
  <c r="Z460" i="1"/>
  <c r="Y460" i="1"/>
  <c r="X460" i="1"/>
  <c r="W460" i="1"/>
  <c r="V460" i="1"/>
  <c r="P460" i="1"/>
  <c r="AA460" i="1" s="1"/>
  <c r="AC460" i="1" s="1"/>
  <c r="AB459" i="1"/>
  <c r="Z459" i="1"/>
  <c r="Y459" i="1"/>
  <c r="X459" i="1"/>
  <c r="W459" i="1"/>
  <c r="V459" i="1"/>
  <c r="P459" i="1"/>
  <c r="AA459" i="1" s="1"/>
  <c r="AC459" i="1" s="1"/>
  <c r="AB458" i="1"/>
  <c r="Z458" i="1"/>
  <c r="Y458" i="1"/>
  <c r="X458" i="1"/>
  <c r="W458" i="1"/>
  <c r="V458" i="1"/>
  <c r="P458" i="1"/>
  <c r="AA458" i="1" s="1"/>
  <c r="AC458" i="1" s="1"/>
  <c r="AC457" i="1"/>
  <c r="AB457" i="1"/>
  <c r="AA457" i="1"/>
  <c r="Z457" i="1"/>
  <c r="Y457" i="1"/>
  <c r="X457" i="1"/>
  <c r="W457" i="1"/>
  <c r="V457" i="1"/>
  <c r="T457" i="1"/>
  <c r="H457" i="1"/>
  <c r="AB456" i="1"/>
  <c r="AA456" i="1"/>
  <c r="AC456" i="1" s="1"/>
  <c r="Z456" i="1"/>
  <c r="Y456" i="1"/>
  <c r="X456" i="1"/>
  <c r="W456" i="1"/>
  <c r="V456" i="1"/>
  <c r="T456" i="1"/>
  <c r="H456" i="1"/>
  <c r="AB455" i="1"/>
  <c r="AA455" i="1"/>
  <c r="AC455" i="1" s="1"/>
  <c r="Z455" i="1"/>
  <c r="Y455" i="1"/>
  <c r="X455" i="1"/>
  <c r="W455" i="1"/>
  <c r="V455" i="1"/>
  <c r="T455" i="1"/>
  <c r="H455" i="1"/>
  <c r="AJ454" i="1"/>
  <c r="AB454" i="1"/>
  <c r="AA454" i="1"/>
  <c r="AC454" i="1" s="1"/>
  <c r="Z454" i="1"/>
  <c r="Y454" i="1"/>
  <c r="X454" i="1"/>
  <c r="W454" i="1"/>
  <c r="V454" i="1"/>
  <c r="T454" i="1"/>
  <c r="N454" i="1"/>
  <c r="AJ453" i="1"/>
  <c r="AB453" i="1"/>
  <c r="AA453" i="1"/>
  <c r="AC453" i="1" s="1"/>
  <c r="Z453" i="1"/>
  <c r="Y453" i="1"/>
  <c r="X453" i="1"/>
  <c r="W453" i="1"/>
  <c r="V453" i="1"/>
  <c r="T453" i="1"/>
  <c r="N453" i="1"/>
  <c r="AJ452" i="1"/>
  <c r="AB452" i="1"/>
  <c r="AA452" i="1"/>
  <c r="AC452" i="1" s="1"/>
  <c r="Z452" i="1"/>
  <c r="Y452" i="1"/>
  <c r="X452" i="1"/>
  <c r="W452" i="1"/>
  <c r="V452" i="1"/>
  <c r="T452" i="1"/>
  <c r="N452" i="1"/>
  <c r="AJ451" i="1"/>
  <c r="AB451" i="1"/>
  <c r="AA451" i="1"/>
  <c r="AC451" i="1" s="1"/>
  <c r="Z451" i="1"/>
  <c r="Y451" i="1"/>
  <c r="V451" i="1"/>
  <c r="T451" i="1"/>
  <c r="L451" i="1"/>
  <c r="X451" i="1" s="1"/>
  <c r="AJ450" i="1"/>
  <c r="AB450" i="1"/>
  <c r="AA450" i="1"/>
  <c r="AC450" i="1" s="1"/>
  <c r="Z450" i="1"/>
  <c r="Y450" i="1"/>
  <c r="V450" i="1"/>
  <c r="T450" i="1"/>
  <c r="L450" i="1"/>
  <c r="W450" i="1" s="1"/>
  <c r="AJ449" i="1"/>
  <c r="AB449" i="1"/>
  <c r="AA449" i="1"/>
  <c r="AC449" i="1" s="1"/>
  <c r="Z449" i="1"/>
  <c r="Y449" i="1"/>
  <c r="W449" i="1"/>
  <c r="V449" i="1"/>
  <c r="T449" i="1"/>
  <c r="L449" i="1"/>
  <c r="X449" i="1" s="1"/>
  <c r="AB448" i="1"/>
  <c r="AA448" i="1"/>
  <c r="AC448" i="1" s="1"/>
  <c r="Z448" i="1"/>
  <c r="Y448" i="1"/>
  <c r="X448" i="1"/>
  <c r="W448" i="1"/>
  <c r="V448" i="1"/>
  <c r="T448" i="1"/>
  <c r="N448" i="1"/>
  <c r="AB447" i="1"/>
  <c r="AA447" i="1"/>
  <c r="AC447" i="1" s="1"/>
  <c r="Z447" i="1"/>
  <c r="Y447" i="1"/>
  <c r="X447" i="1"/>
  <c r="W447" i="1"/>
  <c r="V447" i="1"/>
  <c r="T447" i="1"/>
  <c r="N447" i="1"/>
  <c r="AB446" i="1"/>
  <c r="AA446" i="1"/>
  <c r="AC446" i="1" s="1"/>
  <c r="Z446" i="1"/>
  <c r="Y446" i="1"/>
  <c r="X446" i="1"/>
  <c r="W446" i="1"/>
  <c r="V446" i="1"/>
  <c r="T446" i="1"/>
  <c r="N446" i="1"/>
  <c r="AB445" i="1"/>
  <c r="AA445" i="1"/>
  <c r="AC445" i="1" s="1"/>
  <c r="Z445" i="1"/>
  <c r="Y445" i="1"/>
  <c r="X445" i="1"/>
  <c r="W445" i="1"/>
  <c r="V445" i="1"/>
  <c r="AB444" i="1"/>
  <c r="AA444" i="1"/>
  <c r="AC444" i="1" s="1"/>
  <c r="Z444" i="1"/>
  <c r="Y444" i="1"/>
  <c r="X444" i="1"/>
  <c r="W444" i="1"/>
  <c r="V444" i="1"/>
  <c r="AB443" i="1"/>
  <c r="AA443" i="1"/>
  <c r="AC443" i="1" s="1"/>
  <c r="Z443" i="1"/>
  <c r="Y443" i="1"/>
  <c r="X443" i="1"/>
  <c r="W443" i="1"/>
  <c r="V443" i="1"/>
  <c r="AB442" i="1"/>
  <c r="AA442" i="1"/>
  <c r="AC442" i="1" s="1"/>
  <c r="Z442" i="1"/>
  <c r="Y442" i="1"/>
  <c r="X442" i="1"/>
  <c r="W442" i="1"/>
  <c r="V442" i="1"/>
  <c r="T442" i="1"/>
  <c r="N442" i="1"/>
  <c r="H442" i="1"/>
  <c r="AB441" i="1"/>
  <c r="AA441" i="1"/>
  <c r="AC441" i="1" s="1"/>
  <c r="Z441" i="1"/>
  <c r="Y441" i="1"/>
  <c r="X441" i="1"/>
  <c r="W441" i="1"/>
  <c r="V441" i="1"/>
  <c r="T441" i="1"/>
  <c r="N441" i="1"/>
  <c r="H441" i="1"/>
  <c r="AB440" i="1"/>
  <c r="AA440" i="1"/>
  <c r="AC440" i="1" s="1"/>
  <c r="Z440" i="1"/>
  <c r="Y440" i="1"/>
  <c r="X440" i="1"/>
  <c r="W440" i="1"/>
  <c r="V440" i="1"/>
  <c r="T440" i="1"/>
  <c r="N440" i="1"/>
  <c r="H440" i="1"/>
  <c r="AC439" i="1"/>
  <c r="AB439" i="1"/>
  <c r="AA439" i="1"/>
  <c r="Z439" i="1"/>
  <c r="Y439" i="1"/>
  <c r="X439" i="1"/>
  <c r="W439" i="1"/>
  <c r="V439" i="1"/>
  <c r="T439" i="1"/>
  <c r="AB438" i="1"/>
  <c r="AA438" i="1"/>
  <c r="AC438" i="1" s="1"/>
  <c r="Z438" i="1"/>
  <c r="Y438" i="1"/>
  <c r="X438" i="1"/>
  <c r="W438" i="1"/>
  <c r="V438" i="1"/>
  <c r="T438" i="1"/>
  <c r="AB437" i="1"/>
  <c r="AA437" i="1"/>
  <c r="AC437" i="1" s="1"/>
  <c r="Z437" i="1"/>
  <c r="Y437" i="1"/>
  <c r="X437" i="1"/>
  <c r="W437" i="1"/>
  <c r="V437" i="1"/>
  <c r="T437" i="1"/>
  <c r="AB436" i="1"/>
  <c r="AA436" i="1"/>
  <c r="AC436" i="1" s="1"/>
  <c r="Z436" i="1"/>
  <c r="Y436" i="1"/>
  <c r="X436" i="1"/>
  <c r="W436" i="1"/>
  <c r="V436" i="1"/>
  <c r="AB435" i="1"/>
  <c r="AA435" i="1"/>
  <c r="AC435" i="1" s="1"/>
  <c r="Z435" i="1"/>
  <c r="Y435" i="1"/>
  <c r="X435" i="1"/>
  <c r="W435" i="1"/>
  <c r="V435" i="1"/>
  <c r="AB434" i="1"/>
  <c r="AA434" i="1"/>
  <c r="AC434" i="1" s="1"/>
  <c r="Z434" i="1"/>
  <c r="Y434" i="1"/>
  <c r="X434" i="1"/>
  <c r="W434" i="1"/>
  <c r="V434" i="1"/>
  <c r="AB433" i="1"/>
  <c r="AA433" i="1"/>
  <c r="AC433" i="1" s="1"/>
  <c r="Z433" i="1"/>
  <c r="Y433" i="1"/>
  <c r="X433" i="1"/>
  <c r="W433" i="1"/>
  <c r="V433" i="1"/>
  <c r="T433" i="1"/>
  <c r="AB432" i="1"/>
  <c r="AA432" i="1"/>
  <c r="AC432" i="1" s="1"/>
  <c r="Z432" i="1"/>
  <c r="Y432" i="1"/>
  <c r="X432" i="1"/>
  <c r="W432" i="1"/>
  <c r="V432" i="1"/>
  <c r="T432" i="1"/>
  <c r="AC431" i="1"/>
  <c r="AB431" i="1"/>
  <c r="AA431" i="1"/>
  <c r="Z431" i="1"/>
  <c r="Y431" i="1"/>
  <c r="X431" i="1"/>
  <c r="W431" i="1"/>
  <c r="V431" i="1"/>
  <c r="T431" i="1"/>
  <c r="AB430" i="1"/>
  <c r="AA430" i="1"/>
  <c r="AC430" i="1" s="1"/>
  <c r="Z430" i="1"/>
  <c r="Y430" i="1"/>
  <c r="X430" i="1"/>
  <c r="W430" i="1"/>
  <c r="V430" i="1"/>
  <c r="T430" i="1"/>
  <c r="AB429" i="1"/>
  <c r="AA429" i="1"/>
  <c r="AC429" i="1" s="1"/>
  <c r="Z429" i="1"/>
  <c r="Y429" i="1"/>
  <c r="X429" i="1"/>
  <c r="W429" i="1"/>
  <c r="V429" i="1"/>
  <c r="T429" i="1"/>
  <c r="AB428" i="1"/>
  <c r="AA428" i="1"/>
  <c r="AC428" i="1" s="1"/>
  <c r="Z428" i="1"/>
  <c r="Y428" i="1"/>
  <c r="X428" i="1"/>
  <c r="W428" i="1"/>
  <c r="V428" i="1"/>
  <c r="T428" i="1"/>
  <c r="AB427" i="1"/>
  <c r="AA427" i="1"/>
  <c r="AC427" i="1" s="1"/>
  <c r="Z427" i="1"/>
  <c r="Y427" i="1"/>
  <c r="X427" i="1"/>
  <c r="W427" i="1"/>
  <c r="V427" i="1"/>
  <c r="T427" i="1"/>
  <c r="AB426" i="1"/>
  <c r="AA426" i="1"/>
  <c r="AC426" i="1" s="1"/>
  <c r="Z426" i="1"/>
  <c r="Y426" i="1"/>
  <c r="X426" i="1"/>
  <c r="W426" i="1"/>
  <c r="V426" i="1"/>
  <c r="T426" i="1"/>
  <c r="AB425" i="1"/>
  <c r="AA425" i="1"/>
  <c r="AC425" i="1" s="1"/>
  <c r="Z425" i="1"/>
  <c r="Y425" i="1"/>
  <c r="X425" i="1"/>
  <c r="W425" i="1"/>
  <c r="V425" i="1"/>
  <c r="T425" i="1"/>
  <c r="H425" i="1"/>
  <c r="AC424" i="1"/>
  <c r="AB424" i="1"/>
  <c r="AA424" i="1"/>
  <c r="Z424" i="1"/>
  <c r="Y424" i="1"/>
  <c r="X424" i="1"/>
  <c r="W424" i="1"/>
  <c r="V424" i="1"/>
  <c r="AC423" i="1"/>
  <c r="AB423" i="1"/>
  <c r="AA423" i="1"/>
  <c r="Z423" i="1"/>
  <c r="Y423" i="1"/>
  <c r="X423" i="1"/>
  <c r="W423" i="1"/>
  <c r="V423" i="1"/>
  <c r="AC422" i="1"/>
  <c r="AB422" i="1"/>
  <c r="AA422" i="1"/>
  <c r="Z422" i="1"/>
  <c r="Y422" i="1"/>
  <c r="X422" i="1"/>
  <c r="W422" i="1"/>
  <c r="V422" i="1"/>
  <c r="AC421" i="1"/>
  <c r="AB421" i="1"/>
  <c r="AA421" i="1"/>
  <c r="Z421" i="1"/>
  <c r="Y421" i="1"/>
  <c r="X421" i="1"/>
  <c r="W421" i="1"/>
  <c r="V421" i="1"/>
  <c r="AC420" i="1"/>
  <c r="AB420" i="1"/>
  <c r="AA420" i="1"/>
  <c r="Z420" i="1"/>
  <c r="Y420" i="1"/>
  <c r="X420" i="1"/>
  <c r="W420" i="1"/>
  <c r="V420" i="1"/>
  <c r="AC419" i="1"/>
  <c r="AB419" i="1"/>
  <c r="AA419" i="1"/>
  <c r="Z419" i="1"/>
  <c r="Y419" i="1"/>
  <c r="X419" i="1"/>
  <c r="W419" i="1"/>
  <c r="V419" i="1"/>
  <c r="AC418" i="1"/>
  <c r="AB418" i="1"/>
  <c r="AA418" i="1"/>
  <c r="Z418" i="1"/>
  <c r="Y418" i="1"/>
  <c r="X418" i="1"/>
  <c r="W418" i="1"/>
  <c r="V418" i="1"/>
  <c r="AC417" i="1"/>
  <c r="AB417" i="1"/>
  <c r="AA417" i="1"/>
  <c r="Z417" i="1"/>
  <c r="Y417" i="1"/>
  <c r="X417" i="1"/>
  <c r="W417" i="1"/>
  <c r="V417" i="1"/>
  <c r="AC416" i="1"/>
  <c r="AB416" i="1"/>
  <c r="AA416" i="1"/>
  <c r="Z416" i="1"/>
  <c r="Y416" i="1"/>
  <c r="X416" i="1"/>
  <c r="W416" i="1"/>
  <c r="V416" i="1"/>
  <c r="AC415" i="1"/>
  <c r="AB415" i="1"/>
  <c r="Z415" i="1"/>
  <c r="Y415" i="1"/>
  <c r="X415" i="1"/>
  <c r="W415" i="1"/>
  <c r="V415" i="1"/>
  <c r="P415" i="1"/>
  <c r="AA415" i="1" s="1"/>
  <c r="AB414" i="1"/>
  <c r="Z414" i="1"/>
  <c r="Y414" i="1"/>
  <c r="X414" i="1"/>
  <c r="W414" i="1"/>
  <c r="V414" i="1"/>
  <c r="P414" i="1"/>
  <c r="AA414" i="1" s="1"/>
  <c r="AC414" i="1" s="1"/>
  <c r="AB413" i="1"/>
  <c r="Z413" i="1"/>
  <c r="Y413" i="1"/>
  <c r="X413" i="1"/>
  <c r="W413" i="1"/>
  <c r="V413" i="1"/>
  <c r="P413" i="1"/>
  <c r="AA413" i="1" s="1"/>
  <c r="AC413" i="1" s="1"/>
  <c r="AC412" i="1"/>
  <c r="AA412" i="1"/>
  <c r="X412" i="1"/>
  <c r="W412" i="1"/>
  <c r="V412" i="1"/>
  <c r="T412" i="1"/>
  <c r="Z412" i="1" s="1"/>
  <c r="AB411" i="1"/>
  <c r="AA411" i="1"/>
  <c r="AC411" i="1" s="1"/>
  <c r="Z411" i="1"/>
  <c r="Y411" i="1"/>
  <c r="X411" i="1"/>
  <c r="W411" i="1"/>
  <c r="V411" i="1"/>
  <c r="T411" i="1"/>
  <c r="AB410" i="1"/>
  <c r="AA410" i="1"/>
  <c r="AC410" i="1" s="1"/>
  <c r="Z410" i="1"/>
  <c r="Y410" i="1"/>
  <c r="X410" i="1"/>
  <c r="W410" i="1"/>
  <c r="V410" i="1"/>
  <c r="T410" i="1"/>
  <c r="AB409" i="1"/>
  <c r="AA409" i="1"/>
  <c r="AC409" i="1" s="1"/>
  <c r="Z409" i="1"/>
  <c r="Y409" i="1"/>
  <c r="X409" i="1"/>
  <c r="W409" i="1"/>
  <c r="V409" i="1"/>
  <c r="AB408" i="1"/>
  <c r="AA408" i="1"/>
  <c r="AC408" i="1" s="1"/>
  <c r="Z408" i="1"/>
  <c r="Y408" i="1"/>
  <c r="X408" i="1"/>
  <c r="W408" i="1"/>
  <c r="V408" i="1"/>
  <c r="AB407" i="1"/>
  <c r="AA407" i="1"/>
  <c r="AC407" i="1" s="1"/>
  <c r="Z407" i="1"/>
  <c r="Y407" i="1"/>
  <c r="X407" i="1"/>
  <c r="W407" i="1"/>
  <c r="V407" i="1"/>
  <c r="AB406" i="1"/>
  <c r="AA406" i="1"/>
  <c r="AC406" i="1" s="1"/>
  <c r="Z406" i="1"/>
  <c r="Y406" i="1"/>
  <c r="X406" i="1"/>
  <c r="W406" i="1"/>
  <c r="V406" i="1"/>
  <c r="H406" i="1"/>
  <c r="AB405" i="1"/>
  <c r="AA405" i="1"/>
  <c r="AC405" i="1" s="1"/>
  <c r="Z405" i="1"/>
  <c r="Y405" i="1"/>
  <c r="X405" i="1"/>
  <c r="W405" i="1"/>
  <c r="V405" i="1"/>
  <c r="T405" i="1"/>
  <c r="H405" i="1"/>
  <c r="AB404" i="1"/>
  <c r="AA404" i="1"/>
  <c r="AC404" i="1" s="1"/>
  <c r="Z404" i="1"/>
  <c r="Y404" i="1"/>
  <c r="X404" i="1"/>
  <c r="W404" i="1"/>
  <c r="V404" i="1"/>
  <c r="T404" i="1"/>
  <c r="H404" i="1"/>
  <c r="AC403" i="1"/>
  <c r="AB403" i="1"/>
  <c r="AA403" i="1"/>
  <c r="Z403" i="1"/>
  <c r="Y403" i="1"/>
  <c r="X403" i="1"/>
  <c r="W403" i="1"/>
  <c r="V403" i="1"/>
  <c r="T403" i="1"/>
  <c r="H403" i="1"/>
  <c r="AB402" i="1"/>
  <c r="AA402" i="1"/>
  <c r="AC402" i="1" s="1"/>
  <c r="Z402" i="1"/>
  <c r="Y402" i="1"/>
  <c r="X402" i="1"/>
  <c r="W402" i="1"/>
  <c r="V402" i="1"/>
  <c r="T402" i="1"/>
  <c r="H402" i="1"/>
  <c r="AC401" i="1"/>
  <c r="AB401" i="1"/>
  <c r="AA401" i="1"/>
  <c r="Z401" i="1"/>
  <c r="Y401" i="1"/>
  <c r="X401" i="1"/>
  <c r="W401" i="1"/>
  <c r="V401" i="1"/>
  <c r="T401" i="1"/>
  <c r="H401" i="1"/>
  <c r="AB400" i="1"/>
  <c r="AA400" i="1"/>
  <c r="AC400" i="1" s="1"/>
  <c r="Z400" i="1"/>
  <c r="Y400" i="1"/>
  <c r="X400" i="1"/>
  <c r="W400" i="1"/>
  <c r="V400" i="1"/>
  <c r="T400" i="1"/>
  <c r="AB399" i="1"/>
  <c r="AA399" i="1"/>
  <c r="AC399" i="1" s="1"/>
  <c r="Z399" i="1"/>
  <c r="Y399" i="1"/>
  <c r="X399" i="1"/>
  <c r="W399" i="1"/>
  <c r="V399" i="1"/>
  <c r="T399" i="1"/>
  <c r="AB398" i="1"/>
  <c r="AA398" i="1"/>
  <c r="AC398" i="1" s="1"/>
  <c r="Z398" i="1"/>
  <c r="Y398" i="1"/>
  <c r="X398" i="1"/>
  <c r="W398" i="1"/>
  <c r="V398" i="1"/>
  <c r="T398" i="1"/>
  <c r="AB397" i="1"/>
  <c r="AA397" i="1"/>
  <c r="AC397" i="1" s="1"/>
  <c r="Z397" i="1"/>
  <c r="Y397" i="1"/>
  <c r="X397" i="1"/>
  <c r="W397" i="1"/>
  <c r="V397" i="1"/>
  <c r="T397" i="1"/>
  <c r="N397" i="1"/>
  <c r="H397" i="1"/>
  <c r="AB396" i="1"/>
  <c r="AA396" i="1"/>
  <c r="AC396" i="1" s="1"/>
  <c r="Z396" i="1"/>
  <c r="Y396" i="1"/>
  <c r="X396" i="1"/>
  <c r="W396" i="1"/>
  <c r="V396" i="1"/>
  <c r="T396" i="1"/>
  <c r="N396" i="1"/>
  <c r="H396" i="1"/>
  <c r="AB395" i="1"/>
  <c r="AA395" i="1"/>
  <c r="AC395" i="1" s="1"/>
  <c r="Z395" i="1"/>
  <c r="Y395" i="1"/>
  <c r="X395" i="1"/>
  <c r="W395" i="1"/>
  <c r="V395" i="1"/>
  <c r="T395" i="1"/>
  <c r="N395" i="1"/>
  <c r="H395" i="1"/>
  <c r="AB394" i="1"/>
  <c r="AA394" i="1"/>
  <c r="AC394" i="1" s="1"/>
  <c r="Z394" i="1"/>
  <c r="Y394" i="1"/>
  <c r="X394" i="1"/>
  <c r="W394" i="1"/>
  <c r="V394" i="1"/>
  <c r="T394" i="1"/>
  <c r="H394" i="1"/>
  <c r="AB393" i="1"/>
  <c r="AA393" i="1"/>
  <c r="AC393" i="1" s="1"/>
  <c r="Z393" i="1"/>
  <c r="Y393" i="1"/>
  <c r="X393" i="1"/>
  <c r="W393" i="1"/>
  <c r="V393" i="1"/>
  <c r="T393" i="1"/>
  <c r="H393" i="1"/>
  <c r="AB392" i="1"/>
  <c r="AA392" i="1"/>
  <c r="AC392" i="1" s="1"/>
  <c r="Z392" i="1"/>
  <c r="Y392" i="1"/>
  <c r="X392" i="1"/>
  <c r="W392" i="1"/>
  <c r="V392" i="1"/>
  <c r="T392" i="1"/>
  <c r="H392" i="1"/>
  <c r="AB391" i="1"/>
  <c r="AA391" i="1"/>
  <c r="AC391" i="1" s="1"/>
  <c r="Z391" i="1"/>
  <c r="Y391" i="1"/>
  <c r="X391" i="1"/>
  <c r="W391" i="1"/>
  <c r="V391" i="1"/>
  <c r="AB390" i="1"/>
  <c r="AA390" i="1"/>
  <c r="AC390" i="1" s="1"/>
  <c r="Z390" i="1"/>
  <c r="Y390" i="1"/>
  <c r="X390" i="1"/>
  <c r="W390" i="1"/>
  <c r="V390" i="1"/>
  <c r="AB389" i="1"/>
  <c r="AA389" i="1"/>
  <c r="AC389" i="1" s="1"/>
  <c r="Z389" i="1"/>
  <c r="Y389" i="1"/>
  <c r="X389" i="1"/>
  <c r="W389" i="1"/>
  <c r="V389" i="1"/>
  <c r="AB388" i="1"/>
  <c r="AA388" i="1"/>
  <c r="AC388" i="1" s="1"/>
  <c r="Z388" i="1"/>
  <c r="Y388" i="1"/>
  <c r="X388" i="1"/>
  <c r="W388" i="1"/>
  <c r="V388" i="1"/>
  <c r="T388" i="1"/>
  <c r="H388" i="1"/>
  <c r="AB387" i="1"/>
  <c r="AA387" i="1"/>
  <c r="AC387" i="1" s="1"/>
  <c r="Z387" i="1"/>
  <c r="Y387" i="1"/>
  <c r="X387" i="1"/>
  <c r="W387" i="1"/>
  <c r="V387" i="1"/>
  <c r="T387" i="1"/>
  <c r="H387" i="1"/>
  <c r="AB386" i="1"/>
  <c r="AA386" i="1"/>
  <c r="AC386" i="1" s="1"/>
  <c r="Z386" i="1"/>
  <c r="Y386" i="1"/>
  <c r="X386" i="1"/>
  <c r="W386" i="1"/>
  <c r="V386" i="1"/>
  <c r="T386" i="1"/>
  <c r="H386" i="1"/>
  <c r="AB385" i="1"/>
  <c r="AA385" i="1"/>
  <c r="AC385" i="1" s="1"/>
  <c r="Z385" i="1"/>
  <c r="Y385" i="1"/>
  <c r="X385" i="1"/>
  <c r="W385" i="1"/>
  <c r="V385" i="1"/>
  <c r="H385" i="1"/>
  <c r="AB384" i="1"/>
  <c r="AA384" i="1"/>
  <c r="AC384" i="1" s="1"/>
  <c r="Z384" i="1"/>
  <c r="Y384" i="1"/>
  <c r="X384" i="1"/>
  <c r="W384" i="1"/>
  <c r="V384" i="1"/>
  <c r="H384" i="1"/>
  <c r="AB383" i="1"/>
  <c r="AA383" i="1"/>
  <c r="AC383" i="1" s="1"/>
  <c r="Z383" i="1"/>
  <c r="Y383" i="1"/>
  <c r="X383" i="1"/>
  <c r="W383" i="1"/>
  <c r="V383" i="1"/>
  <c r="H383" i="1"/>
  <c r="AC382" i="1"/>
  <c r="AB382" i="1"/>
  <c r="AA382" i="1"/>
  <c r="Z382" i="1"/>
  <c r="Y382" i="1"/>
  <c r="X382" i="1"/>
  <c r="W382" i="1"/>
  <c r="V382" i="1"/>
  <c r="T382" i="1"/>
  <c r="AB381" i="1"/>
  <c r="AA381" i="1"/>
  <c r="AC381" i="1" s="1"/>
  <c r="Z381" i="1"/>
  <c r="Y381" i="1"/>
  <c r="X381" i="1"/>
  <c r="W381" i="1"/>
  <c r="V381" i="1"/>
  <c r="T381" i="1"/>
  <c r="AB380" i="1"/>
  <c r="AA380" i="1"/>
  <c r="AC380" i="1" s="1"/>
  <c r="Z380" i="1"/>
  <c r="Y380" i="1"/>
  <c r="X380" i="1"/>
  <c r="W380" i="1"/>
  <c r="V380" i="1"/>
  <c r="T380" i="1"/>
  <c r="AB379" i="1"/>
  <c r="AA379" i="1"/>
  <c r="AC379" i="1" s="1"/>
  <c r="Z379" i="1"/>
  <c r="Y379" i="1"/>
  <c r="X379" i="1"/>
  <c r="W379" i="1"/>
  <c r="V379" i="1"/>
  <c r="T379" i="1"/>
  <c r="H379" i="1"/>
  <c r="AB378" i="1"/>
  <c r="AA378" i="1"/>
  <c r="AC378" i="1" s="1"/>
  <c r="Z378" i="1"/>
  <c r="Y378" i="1"/>
  <c r="X378" i="1"/>
  <c r="W378" i="1"/>
  <c r="V378" i="1"/>
  <c r="T378" i="1"/>
  <c r="H378" i="1"/>
  <c r="AC377" i="1"/>
  <c r="AB377" i="1"/>
  <c r="AA377" i="1"/>
  <c r="Z377" i="1"/>
  <c r="Y377" i="1"/>
  <c r="X377" i="1"/>
  <c r="W377" i="1"/>
  <c r="V377" i="1"/>
  <c r="T377" i="1"/>
  <c r="H377" i="1"/>
  <c r="AB376" i="1"/>
  <c r="AA376" i="1"/>
  <c r="AC376" i="1" s="1"/>
  <c r="Z376" i="1"/>
  <c r="Y376" i="1"/>
  <c r="X376" i="1"/>
  <c r="W376" i="1"/>
  <c r="V376" i="1"/>
  <c r="T376" i="1"/>
  <c r="H376" i="1"/>
  <c r="AB375" i="1"/>
  <c r="AA375" i="1"/>
  <c r="AC375" i="1" s="1"/>
  <c r="Z375" i="1"/>
  <c r="Y375" i="1"/>
  <c r="X375" i="1"/>
  <c r="W375" i="1"/>
  <c r="V375" i="1"/>
  <c r="T375" i="1"/>
  <c r="AC374" i="1"/>
  <c r="AB374" i="1"/>
  <c r="AA374" i="1"/>
  <c r="Z374" i="1"/>
  <c r="Y374" i="1"/>
  <c r="X374" i="1"/>
  <c r="W374" i="1"/>
  <c r="V374" i="1"/>
  <c r="T374" i="1"/>
  <c r="AM373" i="1"/>
  <c r="AB373" i="1"/>
  <c r="AA373" i="1"/>
  <c r="AC373" i="1" s="1"/>
  <c r="Z373" i="1"/>
  <c r="Y373" i="1"/>
  <c r="X373" i="1"/>
  <c r="W373" i="1"/>
  <c r="V373" i="1"/>
  <c r="T373" i="1"/>
  <c r="AM372" i="1"/>
  <c r="AB372" i="1"/>
  <c r="AA372" i="1"/>
  <c r="AC372" i="1" s="1"/>
  <c r="Z372" i="1"/>
  <c r="Y372" i="1"/>
  <c r="X372" i="1"/>
  <c r="W372" i="1"/>
  <c r="V372" i="1"/>
  <c r="T372" i="1"/>
  <c r="AM371" i="1"/>
  <c r="AB371" i="1"/>
  <c r="AA371" i="1"/>
  <c r="AC371" i="1" s="1"/>
  <c r="Z371" i="1"/>
  <c r="Y371" i="1"/>
  <c r="X371" i="1"/>
  <c r="W371" i="1"/>
  <c r="V371" i="1"/>
  <c r="T371" i="1"/>
  <c r="AB370" i="1"/>
  <c r="AA370" i="1"/>
  <c r="AC370" i="1" s="1"/>
  <c r="Z370" i="1"/>
  <c r="Y370" i="1"/>
  <c r="X370" i="1"/>
  <c r="W370" i="1"/>
  <c r="V370" i="1"/>
  <c r="T370" i="1"/>
  <c r="H370" i="1"/>
  <c r="AB369" i="1"/>
  <c r="AA369" i="1"/>
  <c r="AC369" i="1" s="1"/>
  <c r="Z369" i="1"/>
  <c r="Y369" i="1"/>
  <c r="X369" i="1"/>
  <c r="W369" i="1"/>
  <c r="V369" i="1"/>
  <c r="T369" i="1"/>
  <c r="H369" i="1"/>
  <c r="AC368" i="1"/>
  <c r="AB368" i="1"/>
  <c r="AA368" i="1"/>
  <c r="Z368" i="1"/>
  <c r="Y368" i="1"/>
  <c r="X368" i="1"/>
  <c r="W368" i="1"/>
  <c r="V368" i="1"/>
  <c r="T368" i="1"/>
  <c r="H368" i="1"/>
  <c r="AB367" i="1"/>
  <c r="AA367" i="1"/>
  <c r="AC367" i="1" s="1"/>
  <c r="Z367" i="1"/>
  <c r="Y367" i="1"/>
  <c r="X367" i="1"/>
  <c r="W367" i="1"/>
  <c r="V367" i="1"/>
  <c r="T367" i="1"/>
  <c r="AB366" i="1"/>
  <c r="AA366" i="1"/>
  <c r="AC366" i="1" s="1"/>
  <c r="Z366" i="1"/>
  <c r="Y366" i="1"/>
  <c r="X366" i="1"/>
  <c r="W366" i="1"/>
  <c r="V366" i="1"/>
  <c r="T366" i="1"/>
  <c r="AB365" i="1"/>
  <c r="AA365" i="1"/>
  <c r="AC365" i="1" s="1"/>
  <c r="Z365" i="1"/>
  <c r="Y365" i="1"/>
  <c r="X365" i="1"/>
  <c r="W365" i="1"/>
  <c r="V365" i="1"/>
  <c r="T365" i="1"/>
  <c r="AB364" i="1"/>
  <c r="AA364" i="1"/>
  <c r="AC364" i="1" s="1"/>
  <c r="Z364" i="1"/>
  <c r="Y364" i="1"/>
  <c r="X364" i="1"/>
  <c r="W364" i="1"/>
  <c r="V364" i="1"/>
  <c r="T364" i="1"/>
  <c r="AB363" i="1"/>
  <c r="AA363" i="1"/>
  <c r="AC363" i="1" s="1"/>
  <c r="Z363" i="1"/>
  <c r="Y363" i="1"/>
  <c r="X363" i="1"/>
  <c r="W363" i="1"/>
  <c r="V363" i="1"/>
  <c r="T363" i="1"/>
  <c r="AB362" i="1"/>
  <c r="AA362" i="1"/>
  <c r="AC362" i="1" s="1"/>
  <c r="Z362" i="1"/>
  <c r="Y362" i="1"/>
  <c r="X362" i="1"/>
  <c r="W362" i="1"/>
  <c r="V362" i="1"/>
  <c r="T362" i="1"/>
  <c r="AC361" i="1"/>
  <c r="AB361" i="1"/>
  <c r="AA361" i="1"/>
  <c r="Z361" i="1"/>
  <c r="Y361" i="1"/>
  <c r="X361" i="1"/>
  <c r="W361" i="1"/>
  <c r="V361" i="1"/>
  <c r="T361" i="1"/>
  <c r="AC360" i="1"/>
  <c r="AB360" i="1"/>
  <c r="AA360" i="1"/>
  <c r="Z360" i="1"/>
  <c r="Y360" i="1"/>
  <c r="X360" i="1"/>
  <c r="W360" i="1"/>
  <c r="V360" i="1"/>
  <c r="T360" i="1"/>
  <c r="AB359" i="1"/>
  <c r="AA359" i="1"/>
  <c r="AC359" i="1" s="1"/>
  <c r="Z359" i="1"/>
  <c r="Y359" i="1"/>
  <c r="X359" i="1"/>
  <c r="W359" i="1"/>
  <c r="V359" i="1"/>
  <c r="T359" i="1"/>
  <c r="AB358" i="1"/>
  <c r="AA358" i="1"/>
  <c r="AC358" i="1" s="1"/>
  <c r="Z358" i="1"/>
  <c r="Y358" i="1"/>
  <c r="X358" i="1"/>
  <c r="W358" i="1"/>
  <c r="V358" i="1"/>
  <c r="T358" i="1"/>
  <c r="AB357" i="1"/>
  <c r="AA357" i="1"/>
  <c r="AC357" i="1" s="1"/>
  <c r="Z357" i="1"/>
  <c r="Y357" i="1"/>
  <c r="X357" i="1"/>
  <c r="W357" i="1"/>
  <c r="V357" i="1"/>
  <c r="T357" i="1"/>
  <c r="AC356" i="1"/>
  <c r="AB356" i="1"/>
  <c r="AA356" i="1"/>
  <c r="Z356" i="1"/>
  <c r="Y356" i="1"/>
  <c r="X356" i="1"/>
  <c r="W356" i="1"/>
  <c r="V356" i="1"/>
  <c r="T356" i="1"/>
  <c r="AB355" i="1"/>
  <c r="AA355" i="1"/>
  <c r="AC355" i="1" s="1"/>
  <c r="Z355" i="1"/>
  <c r="Y355" i="1"/>
  <c r="X355" i="1"/>
  <c r="W355" i="1"/>
  <c r="V355" i="1"/>
  <c r="T355" i="1"/>
  <c r="AB354" i="1"/>
  <c r="AA354" i="1"/>
  <c r="AC354" i="1" s="1"/>
  <c r="Z354" i="1"/>
  <c r="Y354" i="1"/>
  <c r="X354" i="1"/>
  <c r="W354" i="1"/>
  <c r="V354" i="1"/>
  <c r="T354" i="1"/>
  <c r="AB353" i="1"/>
  <c r="AA353" i="1"/>
  <c r="AC353" i="1" s="1"/>
  <c r="Z353" i="1"/>
  <c r="Y353" i="1"/>
  <c r="X353" i="1"/>
  <c r="W353" i="1"/>
  <c r="V353" i="1"/>
  <c r="T353" i="1"/>
  <c r="AB352" i="1"/>
  <c r="AA352" i="1"/>
  <c r="AC352" i="1" s="1"/>
  <c r="Z352" i="1"/>
  <c r="Y352" i="1"/>
  <c r="X352" i="1"/>
  <c r="W352" i="1"/>
  <c r="V352" i="1"/>
  <c r="AB351" i="1"/>
  <c r="AA351" i="1"/>
  <c r="AC351" i="1" s="1"/>
  <c r="Z351" i="1"/>
  <c r="Y351" i="1"/>
  <c r="X351" i="1"/>
  <c r="W351" i="1"/>
  <c r="V351" i="1"/>
  <c r="AB350" i="1"/>
  <c r="AA350" i="1"/>
  <c r="AC350" i="1" s="1"/>
  <c r="Z350" i="1"/>
  <c r="Y350" i="1"/>
  <c r="X350" i="1"/>
  <c r="W350" i="1"/>
  <c r="V350" i="1"/>
  <c r="AB349" i="1"/>
  <c r="AA349" i="1"/>
  <c r="AC349" i="1" s="1"/>
  <c r="Z349" i="1"/>
  <c r="Y349" i="1"/>
  <c r="X349" i="1"/>
  <c r="W349" i="1"/>
  <c r="V349" i="1"/>
  <c r="T349" i="1"/>
  <c r="H349" i="1"/>
  <c r="AB348" i="1"/>
  <c r="AA348" i="1"/>
  <c r="AC348" i="1" s="1"/>
  <c r="Z348" i="1"/>
  <c r="Y348" i="1"/>
  <c r="X348" i="1"/>
  <c r="W348" i="1"/>
  <c r="V348" i="1"/>
  <c r="T348" i="1"/>
  <c r="H348" i="1"/>
  <c r="AB347" i="1"/>
  <c r="AA347" i="1"/>
  <c r="AC347" i="1" s="1"/>
  <c r="Z347" i="1"/>
  <c r="Y347" i="1"/>
  <c r="X347" i="1"/>
  <c r="W347" i="1"/>
  <c r="V347" i="1"/>
  <c r="T347" i="1"/>
  <c r="H347" i="1"/>
  <c r="AB346" i="1"/>
  <c r="AA346" i="1"/>
  <c r="AC346" i="1" s="1"/>
  <c r="Z346" i="1"/>
  <c r="Y346" i="1"/>
  <c r="X346" i="1"/>
  <c r="W346" i="1"/>
  <c r="V346" i="1"/>
  <c r="AB345" i="1"/>
  <c r="AA345" i="1"/>
  <c r="AC345" i="1" s="1"/>
  <c r="Z345" i="1"/>
  <c r="Y345" i="1"/>
  <c r="X345" i="1"/>
  <c r="W345" i="1"/>
  <c r="V345" i="1"/>
  <c r="H345" i="1"/>
  <c r="AC344" i="1"/>
  <c r="AB344" i="1"/>
  <c r="AA344" i="1"/>
  <c r="Z344" i="1"/>
  <c r="Y344" i="1"/>
  <c r="X344" i="1"/>
  <c r="W344" i="1"/>
  <c r="V344" i="1"/>
  <c r="H344" i="1"/>
  <c r="AB343" i="1"/>
  <c r="AA343" i="1"/>
  <c r="AC343" i="1" s="1"/>
  <c r="Z343" i="1"/>
  <c r="Y343" i="1"/>
  <c r="X343" i="1"/>
  <c r="W343" i="1"/>
  <c r="V343" i="1"/>
  <c r="T343" i="1"/>
  <c r="AB342" i="1"/>
  <c r="AA342" i="1"/>
  <c r="AC342" i="1" s="1"/>
  <c r="Z342" i="1"/>
  <c r="Y342" i="1"/>
  <c r="X342" i="1"/>
  <c r="W342" i="1"/>
  <c r="V342" i="1"/>
  <c r="T342" i="1"/>
  <c r="AC341" i="1"/>
  <c r="AB341" i="1"/>
  <c r="AA341" i="1"/>
  <c r="Z341" i="1"/>
  <c r="Y341" i="1"/>
  <c r="X341" i="1"/>
  <c r="W341" i="1"/>
  <c r="V341" i="1"/>
  <c r="T341" i="1"/>
  <c r="AB340" i="1"/>
  <c r="AA340" i="1"/>
  <c r="AC340" i="1" s="1"/>
  <c r="Z340" i="1"/>
  <c r="Y340" i="1"/>
  <c r="X340" i="1"/>
  <c r="W340" i="1"/>
  <c r="V340" i="1"/>
  <c r="T340" i="1"/>
  <c r="AB339" i="1"/>
  <c r="AA339" i="1"/>
  <c r="AC339" i="1" s="1"/>
  <c r="Z339" i="1"/>
  <c r="Y339" i="1"/>
  <c r="X339" i="1"/>
  <c r="W339" i="1"/>
  <c r="V339" i="1"/>
  <c r="T339" i="1"/>
  <c r="AB338" i="1"/>
  <c r="AA338" i="1"/>
  <c r="AC338" i="1" s="1"/>
  <c r="Z338" i="1"/>
  <c r="Y338" i="1"/>
  <c r="X338" i="1"/>
  <c r="W338" i="1"/>
  <c r="V338" i="1"/>
  <c r="T338" i="1"/>
  <c r="H338" i="1"/>
  <c r="AC337" i="1"/>
  <c r="AB337" i="1"/>
  <c r="AA337" i="1"/>
  <c r="Z337" i="1"/>
  <c r="Y337" i="1"/>
  <c r="X337" i="1"/>
  <c r="W337" i="1"/>
  <c r="V337" i="1"/>
  <c r="H337" i="1"/>
  <c r="AB336" i="1"/>
  <c r="AA336" i="1"/>
  <c r="AC336" i="1" s="1"/>
  <c r="Z336" i="1"/>
  <c r="Y336" i="1"/>
  <c r="X336" i="1"/>
  <c r="W336" i="1"/>
  <c r="V336" i="1"/>
  <c r="H336" i="1"/>
  <c r="AB335" i="1"/>
  <c r="AA335" i="1"/>
  <c r="AC335" i="1" s="1"/>
  <c r="Z335" i="1"/>
  <c r="Y335" i="1"/>
  <c r="X335" i="1"/>
  <c r="W335" i="1"/>
  <c r="V335" i="1"/>
  <c r="H335" i="1"/>
  <c r="AC334" i="1"/>
  <c r="AB334" i="1"/>
  <c r="AA334" i="1"/>
  <c r="Z334" i="1"/>
  <c r="Y334" i="1"/>
  <c r="X334" i="1"/>
  <c r="W334" i="1"/>
  <c r="V334" i="1"/>
  <c r="T334" i="1"/>
  <c r="AB333" i="1"/>
  <c r="AA333" i="1"/>
  <c r="AC333" i="1" s="1"/>
  <c r="Z333" i="1"/>
  <c r="Y333" i="1"/>
  <c r="X333" i="1"/>
  <c r="W333" i="1"/>
  <c r="V333" i="1"/>
  <c r="T333" i="1"/>
  <c r="AB332" i="1"/>
  <c r="AA332" i="1"/>
  <c r="AC332" i="1" s="1"/>
  <c r="Z332" i="1"/>
  <c r="Y332" i="1"/>
  <c r="X332" i="1"/>
  <c r="W332" i="1"/>
  <c r="V332" i="1"/>
  <c r="T332" i="1"/>
  <c r="AB331" i="1"/>
  <c r="AA331" i="1"/>
  <c r="AC331" i="1" s="1"/>
  <c r="Z331" i="1"/>
  <c r="Y331" i="1"/>
  <c r="X331" i="1"/>
  <c r="W331" i="1"/>
  <c r="V331" i="1"/>
  <c r="T331" i="1"/>
  <c r="AB330" i="1"/>
  <c r="AA330" i="1"/>
  <c r="AC330" i="1" s="1"/>
  <c r="Z330" i="1"/>
  <c r="Y330" i="1"/>
  <c r="X330" i="1"/>
  <c r="W330" i="1"/>
  <c r="V330" i="1"/>
  <c r="T330" i="1"/>
  <c r="AC329" i="1"/>
  <c r="AB329" i="1"/>
  <c r="AA329" i="1"/>
  <c r="Z329" i="1"/>
  <c r="Y329" i="1"/>
  <c r="X329" i="1"/>
  <c r="W329" i="1"/>
  <c r="V329" i="1"/>
  <c r="T329" i="1"/>
  <c r="AB328" i="1"/>
  <c r="AA328" i="1"/>
  <c r="AC328" i="1" s="1"/>
  <c r="Z328" i="1"/>
  <c r="Y328" i="1"/>
  <c r="X328" i="1"/>
  <c r="W328" i="1"/>
  <c r="V328" i="1"/>
  <c r="T328" i="1"/>
  <c r="AB327" i="1"/>
  <c r="AA327" i="1"/>
  <c r="AC327" i="1" s="1"/>
  <c r="Z327" i="1"/>
  <c r="Y327" i="1"/>
  <c r="X327" i="1"/>
  <c r="W327" i="1"/>
  <c r="V327" i="1"/>
  <c r="T327" i="1"/>
  <c r="AC326" i="1"/>
  <c r="AB326" i="1"/>
  <c r="AA326" i="1"/>
  <c r="Z326" i="1"/>
  <c r="Y326" i="1"/>
  <c r="X326" i="1"/>
  <c r="W326" i="1"/>
  <c r="V326" i="1"/>
  <c r="T326" i="1"/>
  <c r="AB325" i="1"/>
  <c r="AA325" i="1"/>
  <c r="AC325" i="1" s="1"/>
  <c r="Z325" i="1"/>
  <c r="Y325" i="1"/>
  <c r="X325" i="1"/>
  <c r="W325" i="1"/>
  <c r="V325" i="1"/>
  <c r="T325" i="1"/>
  <c r="AB324" i="1"/>
  <c r="AA324" i="1"/>
  <c r="AC324" i="1" s="1"/>
  <c r="Z324" i="1"/>
  <c r="Y324" i="1"/>
  <c r="X324" i="1"/>
  <c r="W324" i="1"/>
  <c r="V324" i="1"/>
  <c r="T324" i="1"/>
  <c r="AB323" i="1"/>
  <c r="AA323" i="1"/>
  <c r="AC323" i="1" s="1"/>
  <c r="Z323" i="1"/>
  <c r="Y323" i="1"/>
  <c r="X323" i="1"/>
  <c r="W323" i="1"/>
  <c r="V323" i="1"/>
  <c r="T323" i="1"/>
  <c r="AB322" i="1"/>
  <c r="AA322" i="1"/>
  <c r="AC322" i="1" s="1"/>
  <c r="Z322" i="1"/>
  <c r="Y322" i="1"/>
  <c r="X322" i="1"/>
  <c r="W322" i="1"/>
  <c r="V322" i="1"/>
  <c r="T322" i="1"/>
  <c r="AC321" i="1"/>
  <c r="AB321" i="1"/>
  <c r="AA321" i="1"/>
  <c r="Z321" i="1"/>
  <c r="Y321" i="1"/>
  <c r="X321" i="1"/>
  <c r="W321" i="1"/>
  <c r="V321" i="1"/>
  <c r="T321" i="1"/>
  <c r="AB320" i="1"/>
  <c r="AA320" i="1"/>
  <c r="AC320" i="1" s="1"/>
  <c r="Z320" i="1"/>
  <c r="Y320" i="1"/>
  <c r="X320" i="1"/>
  <c r="W320" i="1"/>
  <c r="V320" i="1"/>
  <c r="T320" i="1"/>
  <c r="AB319" i="1"/>
  <c r="AA319" i="1"/>
  <c r="AC319" i="1" s="1"/>
  <c r="Z319" i="1"/>
  <c r="Y319" i="1"/>
  <c r="X319" i="1"/>
  <c r="W319" i="1"/>
  <c r="V319" i="1"/>
  <c r="T319" i="1"/>
  <c r="AC318" i="1"/>
  <c r="AB318" i="1"/>
  <c r="AA318" i="1"/>
  <c r="Z318" i="1"/>
  <c r="Y318" i="1"/>
  <c r="X318" i="1"/>
  <c r="W318" i="1"/>
  <c r="V318" i="1"/>
  <c r="T318" i="1"/>
  <c r="AC317" i="1"/>
  <c r="AB317" i="1"/>
  <c r="AA317" i="1"/>
  <c r="Z317" i="1"/>
  <c r="Y317" i="1"/>
  <c r="X317" i="1"/>
  <c r="W317" i="1"/>
  <c r="V317" i="1"/>
  <c r="T317" i="1"/>
  <c r="AB316" i="1"/>
  <c r="AA316" i="1"/>
  <c r="AC316" i="1" s="1"/>
  <c r="Z316" i="1"/>
  <c r="Y316" i="1"/>
  <c r="X316" i="1"/>
  <c r="W316" i="1"/>
  <c r="V316" i="1"/>
  <c r="T316" i="1"/>
  <c r="AB315" i="1"/>
  <c r="AA315" i="1"/>
  <c r="AC315" i="1" s="1"/>
  <c r="Z315" i="1"/>
  <c r="Y315" i="1"/>
  <c r="X315" i="1"/>
  <c r="W315" i="1"/>
  <c r="V315" i="1"/>
  <c r="T315" i="1"/>
  <c r="AB314" i="1"/>
  <c r="AA314" i="1"/>
  <c r="AC314" i="1" s="1"/>
  <c r="Z314" i="1"/>
  <c r="Y314" i="1"/>
  <c r="X314" i="1"/>
  <c r="W314" i="1"/>
  <c r="V314" i="1"/>
  <c r="T314" i="1"/>
  <c r="AB313" i="1"/>
  <c r="AA313" i="1"/>
  <c r="AC313" i="1" s="1"/>
  <c r="Z313" i="1"/>
  <c r="Y313" i="1"/>
  <c r="X313" i="1"/>
  <c r="W313" i="1"/>
  <c r="V313" i="1"/>
  <c r="T313" i="1"/>
  <c r="AB312" i="1"/>
  <c r="AA312" i="1"/>
  <c r="AC312" i="1" s="1"/>
  <c r="Z312" i="1"/>
  <c r="Y312" i="1"/>
  <c r="X312" i="1"/>
  <c r="W312" i="1"/>
  <c r="V312" i="1"/>
  <c r="T312" i="1"/>
  <c r="AB311" i="1"/>
  <c r="AA311" i="1"/>
  <c r="AC311" i="1" s="1"/>
  <c r="Z311" i="1"/>
  <c r="Y311" i="1"/>
  <c r="X311" i="1"/>
  <c r="W311" i="1"/>
  <c r="V311" i="1"/>
  <c r="T311" i="1"/>
  <c r="AM310" i="1"/>
  <c r="AC310" i="1"/>
  <c r="AB310" i="1"/>
  <c r="AA310" i="1"/>
  <c r="Z310" i="1"/>
  <c r="Y310" i="1"/>
  <c r="X310" i="1"/>
  <c r="W310" i="1"/>
  <c r="V310" i="1"/>
  <c r="T310" i="1"/>
  <c r="AM309" i="1"/>
  <c r="AB309" i="1"/>
  <c r="AA309" i="1"/>
  <c r="AC309" i="1" s="1"/>
  <c r="Z309" i="1"/>
  <c r="Y309" i="1"/>
  <c r="X309" i="1"/>
  <c r="W309" i="1"/>
  <c r="V309" i="1"/>
  <c r="T309" i="1"/>
  <c r="AM308" i="1"/>
  <c r="AC308" i="1"/>
  <c r="AB308" i="1"/>
  <c r="AA308" i="1"/>
  <c r="Z308" i="1"/>
  <c r="Y308" i="1"/>
  <c r="X308" i="1"/>
  <c r="W308" i="1"/>
  <c r="V308" i="1"/>
  <c r="T308" i="1"/>
  <c r="AB307" i="1"/>
  <c r="AA307" i="1"/>
  <c r="AC307" i="1" s="1"/>
  <c r="Z307" i="1"/>
  <c r="Y307" i="1"/>
  <c r="X307" i="1"/>
  <c r="W307" i="1"/>
  <c r="V307" i="1"/>
  <c r="T307" i="1"/>
  <c r="AB306" i="1"/>
  <c r="AA306" i="1"/>
  <c r="AC306" i="1" s="1"/>
  <c r="Z306" i="1"/>
  <c r="Y306" i="1"/>
  <c r="X306" i="1"/>
  <c r="W306" i="1"/>
  <c r="V306" i="1"/>
  <c r="AB305" i="1"/>
  <c r="AA305" i="1"/>
  <c r="AC305" i="1" s="1"/>
  <c r="Z305" i="1"/>
  <c r="Y305" i="1"/>
  <c r="X305" i="1"/>
  <c r="W305" i="1"/>
  <c r="V305" i="1"/>
  <c r="H305" i="1"/>
  <c r="AC304" i="1"/>
  <c r="AB304" i="1"/>
  <c r="AA304" i="1"/>
  <c r="Z304" i="1"/>
  <c r="Y304" i="1"/>
  <c r="X304" i="1"/>
  <c r="W304" i="1"/>
  <c r="V304" i="1"/>
  <c r="T304" i="1"/>
  <c r="AC303" i="1"/>
  <c r="AB303" i="1"/>
  <c r="AA303" i="1"/>
  <c r="Z303" i="1"/>
  <c r="Y303" i="1"/>
  <c r="X303" i="1"/>
  <c r="W303" i="1"/>
  <c r="V303" i="1"/>
  <c r="T303" i="1"/>
  <c r="AB302" i="1"/>
  <c r="AA302" i="1"/>
  <c r="AC302" i="1" s="1"/>
  <c r="Z302" i="1"/>
  <c r="Y302" i="1"/>
  <c r="X302" i="1"/>
  <c r="W302" i="1"/>
  <c r="V302" i="1"/>
  <c r="T302" i="1"/>
  <c r="AB301" i="1"/>
  <c r="AA301" i="1"/>
  <c r="AC301" i="1" s="1"/>
  <c r="Z301" i="1"/>
  <c r="Y301" i="1"/>
  <c r="X301" i="1"/>
  <c r="W301" i="1"/>
  <c r="V301" i="1"/>
  <c r="T301" i="1"/>
  <c r="AB300" i="1"/>
  <c r="AA300" i="1"/>
  <c r="AC300" i="1" s="1"/>
  <c r="Z300" i="1"/>
  <c r="Y300" i="1"/>
  <c r="X300" i="1"/>
  <c r="W300" i="1"/>
  <c r="V300" i="1"/>
  <c r="T300" i="1"/>
  <c r="AB299" i="1"/>
  <c r="AA299" i="1"/>
  <c r="AC299" i="1" s="1"/>
  <c r="Z299" i="1"/>
  <c r="Y299" i="1"/>
  <c r="X299" i="1"/>
  <c r="W299" i="1"/>
  <c r="V299" i="1"/>
  <c r="T299" i="1"/>
  <c r="AB298" i="1"/>
  <c r="AA298" i="1"/>
  <c r="AC298" i="1" s="1"/>
  <c r="Z298" i="1"/>
  <c r="Y298" i="1"/>
  <c r="X298" i="1"/>
  <c r="W298" i="1"/>
  <c r="V298" i="1"/>
  <c r="T298" i="1"/>
  <c r="AB297" i="1"/>
  <c r="AA297" i="1"/>
  <c r="AC297" i="1" s="1"/>
  <c r="Z297" i="1"/>
  <c r="Y297" i="1"/>
  <c r="X297" i="1"/>
  <c r="W297" i="1"/>
  <c r="V297" i="1"/>
  <c r="T297" i="1"/>
  <c r="AC296" i="1"/>
  <c r="AB296" i="1"/>
  <c r="AA296" i="1"/>
  <c r="Z296" i="1"/>
  <c r="Y296" i="1"/>
  <c r="X296" i="1"/>
  <c r="W296" i="1"/>
  <c r="V296" i="1"/>
  <c r="T296" i="1"/>
  <c r="AC295" i="1"/>
  <c r="AB295" i="1"/>
  <c r="AA295" i="1"/>
  <c r="Z295" i="1"/>
  <c r="Y295" i="1"/>
  <c r="X295" i="1"/>
  <c r="W295" i="1"/>
  <c r="V295" i="1"/>
  <c r="T295" i="1"/>
  <c r="AB294" i="1"/>
  <c r="AA294" i="1"/>
  <c r="AC294" i="1" s="1"/>
  <c r="Z294" i="1"/>
  <c r="Y294" i="1"/>
  <c r="X294" i="1"/>
  <c r="W294" i="1"/>
  <c r="V294" i="1"/>
  <c r="T294" i="1"/>
  <c r="AB293" i="1"/>
  <c r="AA293" i="1"/>
  <c r="AC293" i="1" s="1"/>
  <c r="Z293" i="1"/>
  <c r="Y293" i="1"/>
  <c r="X293" i="1"/>
  <c r="W293" i="1"/>
  <c r="V293" i="1"/>
  <c r="T293" i="1"/>
  <c r="AB292" i="1"/>
  <c r="AA292" i="1"/>
  <c r="AC292" i="1" s="1"/>
  <c r="Z292" i="1"/>
  <c r="Y292" i="1"/>
  <c r="X292" i="1"/>
  <c r="W292" i="1"/>
  <c r="V292" i="1"/>
  <c r="T292" i="1"/>
  <c r="AB291" i="1"/>
  <c r="AA291" i="1"/>
  <c r="AC291" i="1" s="1"/>
  <c r="Z291" i="1"/>
  <c r="Y291" i="1"/>
  <c r="X291" i="1"/>
  <c r="W291" i="1"/>
  <c r="V291" i="1"/>
  <c r="T291" i="1"/>
  <c r="AB290" i="1"/>
  <c r="AA290" i="1"/>
  <c r="AC290" i="1" s="1"/>
  <c r="Z290" i="1"/>
  <c r="Y290" i="1"/>
  <c r="X290" i="1"/>
  <c r="W290" i="1"/>
  <c r="V290" i="1"/>
  <c r="T290" i="1"/>
  <c r="AB289" i="1"/>
  <c r="AA289" i="1"/>
  <c r="AC289" i="1" s="1"/>
  <c r="Z289" i="1"/>
  <c r="Y289" i="1"/>
  <c r="X289" i="1"/>
  <c r="W289" i="1"/>
  <c r="V289" i="1"/>
  <c r="T289" i="1"/>
  <c r="AC288" i="1"/>
  <c r="AB288" i="1"/>
  <c r="AA288" i="1"/>
  <c r="Z288" i="1"/>
  <c r="Y288" i="1"/>
  <c r="X288" i="1"/>
  <c r="W288" i="1"/>
  <c r="V288" i="1"/>
  <c r="T288" i="1"/>
  <c r="AC287" i="1"/>
  <c r="AB287" i="1"/>
  <c r="AA287" i="1"/>
  <c r="Z287" i="1"/>
  <c r="Y287" i="1"/>
  <c r="X287" i="1"/>
  <c r="W287" i="1"/>
  <c r="V287" i="1"/>
  <c r="T287" i="1"/>
  <c r="AB286" i="1"/>
  <c r="AA286" i="1"/>
  <c r="AC286" i="1" s="1"/>
  <c r="Z286" i="1"/>
  <c r="Y286" i="1"/>
  <c r="X286" i="1"/>
  <c r="W286" i="1"/>
  <c r="V286" i="1"/>
  <c r="T286" i="1"/>
  <c r="H286" i="1"/>
  <c r="AB285" i="1"/>
  <c r="AA285" i="1"/>
  <c r="AC285" i="1" s="1"/>
  <c r="Z285" i="1"/>
  <c r="Y285" i="1"/>
  <c r="X285" i="1"/>
  <c r="W285" i="1"/>
  <c r="V285" i="1"/>
  <c r="T285" i="1"/>
  <c r="AC284" i="1"/>
  <c r="AB284" i="1"/>
  <c r="AA284" i="1"/>
  <c r="Z284" i="1"/>
  <c r="Y284" i="1"/>
  <c r="X284" i="1"/>
  <c r="W284" i="1"/>
  <c r="V284" i="1"/>
  <c r="T284" i="1"/>
  <c r="AB283" i="1"/>
  <c r="AA283" i="1"/>
  <c r="AC283" i="1" s="1"/>
  <c r="Z283" i="1"/>
  <c r="Y283" i="1"/>
  <c r="X283" i="1"/>
  <c r="W283" i="1"/>
  <c r="V283" i="1"/>
  <c r="T283" i="1"/>
  <c r="AB282" i="1"/>
  <c r="AA282" i="1"/>
  <c r="AC282" i="1" s="1"/>
  <c r="Z282" i="1"/>
  <c r="Y282" i="1"/>
  <c r="X282" i="1"/>
  <c r="W282" i="1"/>
  <c r="V282" i="1"/>
  <c r="T282" i="1"/>
  <c r="AC281" i="1"/>
  <c r="AB281" i="1"/>
  <c r="AA281" i="1"/>
  <c r="Z281" i="1"/>
  <c r="Y281" i="1"/>
  <c r="X281" i="1"/>
  <c r="W281" i="1"/>
  <c r="V281" i="1"/>
  <c r="T281" i="1"/>
  <c r="AB280" i="1"/>
  <c r="AA280" i="1"/>
  <c r="AC280" i="1" s="1"/>
  <c r="Z280" i="1"/>
  <c r="Y280" i="1"/>
  <c r="X280" i="1"/>
  <c r="W280" i="1"/>
  <c r="V280" i="1"/>
  <c r="T280" i="1"/>
  <c r="AB279" i="1"/>
  <c r="AA279" i="1"/>
  <c r="AC279" i="1" s="1"/>
  <c r="Z279" i="1"/>
  <c r="Y279" i="1"/>
  <c r="X279" i="1"/>
  <c r="W279" i="1"/>
  <c r="V279" i="1"/>
  <c r="T279" i="1"/>
  <c r="AB278" i="1"/>
  <c r="AA278" i="1"/>
  <c r="AC278" i="1" s="1"/>
  <c r="Z278" i="1"/>
  <c r="Y278" i="1"/>
  <c r="X278" i="1"/>
  <c r="W278" i="1"/>
  <c r="V278" i="1"/>
  <c r="T278" i="1"/>
  <c r="AB277" i="1"/>
  <c r="AA277" i="1"/>
  <c r="AC277" i="1" s="1"/>
  <c r="Z277" i="1"/>
  <c r="Y277" i="1"/>
  <c r="X277" i="1"/>
  <c r="W277" i="1"/>
  <c r="V277" i="1"/>
  <c r="T277" i="1"/>
  <c r="AC276" i="1"/>
  <c r="AB276" i="1"/>
  <c r="AA276" i="1"/>
  <c r="Z276" i="1"/>
  <c r="Y276" i="1"/>
  <c r="X276" i="1"/>
  <c r="W276" i="1"/>
  <c r="V276" i="1"/>
  <c r="T276" i="1"/>
  <c r="AB275" i="1"/>
  <c r="AA275" i="1"/>
  <c r="AC275" i="1" s="1"/>
  <c r="Z275" i="1"/>
  <c r="Y275" i="1"/>
  <c r="X275" i="1"/>
  <c r="W275" i="1"/>
  <c r="V275" i="1"/>
  <c r="T275" i="1"/>
  <c r="AB274" i="1"/>
  <c r="AA274" i="1"/>
  <c r="AC274" i="1" s="1"/>
  <c r="Z274" i="1"/>
  <c r="Y274" i="1"/>
  <c r="X274" i="1"/>
  <c r="W274" i="1"/>
  <c r="V274" i="1"/>
  <c r="T274" i="1"/>
  <c r="H274" i="1"/>
  <c r="AB273" i="1"/>
  <c r="AA273" i="1"/>
  <c r="AC273" i="1" s="1"/>
  <c r="Z273" i="1"/>
  <c r="Y273" i="1"/>
  <c r="X273" i="1"/>
  <c r="W273" i="1"/>
  <c r="V273" i="1"/>
  <c r="T273" i="1"/>
  <c r="H273" i="1"/>
  <c r="AB272" i="1"/>
  <c r="AA272" i="1"/>
  <c r="AC272" i="1" s="1"/>
  <c r="Z272" i="1"/>
  <c r="Y272" i="1"/>
  <c r="X272" i="1"/>
  <c r="W272" i="1"/>
  <c r="V272" i="1"/>
  <c r="T272" i="1"/>
  <c r="H272" i="1"/>
  <c r="AB271" i="1"/>
  <c r="AA271" i="1"/>
  <c r="AC271" i="1" s="1"/>
  <c r="Z271" i="1"/>
  <c r="Y271" i="1"/>
  <c r="X271" i="1"/>
  <c r="W271" i="1"/>
  <c r="V271" i="1"/>
  <c r="T271" i="1"/>
  <c r="AB270" i="1"/>
  <c r="AA270" i="1"/>
  <c r="AC270" i="1" s="1"/>
  <c r="Z270" i="1"/>
  <c r="Y270" i="1"/>
  <c r="X270" i="1"/>
  <c r="W270" i="1"/>
  <c r="V270" i="1"/>
  <c r="T270" i="1"/>
  <c r="AB269" i="1"/>
  <c r="AA269" i="1"/>
  <c r="AC269" i="1" s="1"/>
  <c r="Z269" i="1"/>
  <c r="Y269" i="1"/>
  <c r="X269" i="1"/>
  <c r="W269" i="1"/>
  <c r="V269" i="1"/>
  <c r="T269" i="1"/>
  <c r="AC268" i="1"/>
  <c r="AB268" i="1"/>
  <c r="AA268" i="1"/>
  <c r="Z268" i="1"/>
  <c r="Y268" i="1"/>
  <c r="X268" i="1"/>
  <c r="W268" i="1"/>
  <c r="V268" i="1"/>
  <c r="T268" i="1"/>
  <c r="AC267" i="1"/>
  <c r="AB267" i="1"/>
  <c r="AA267" i="1"/>
  <c r="Z267" i="1"/>
  <c r="Y267" i="1"/>
  <c r="X267" i="1"/>
  <c r="W267" i="1"/>
  <c r="V267" i="1"/>
  <c r="T267" i="1"/>
  <c r="AB266" i="1"/>
  <c r="AA266" i="1"/>
  <c r="AC266" i="1" s="1"/>
  <c r="Z266" i="1"/>
  <c r="Y266" i="1"/>
  <c r="X266" i="1"/>
  <c r="W266" i="1"/>
  <c r="V266" i="1"/>
  <c r="T266" i="1"/>
  <c r="AB265" i="1"/>
  <c r="AA265" i="1"/>
  <c r="AC265" i="1" s="1"/>
  <c r="Z265" i="1"/>
  <c r="Y265" i="1"/>
  <c r="X265" i="1"/>
  <c r="W265" i="1"/>
  <c r="V265" i="1"/>
  <c r="T265" i="1"/>
  <c r="AB264" i="1"/>
  <c r="AA264" i="1"/>
  <c r="AC264" i="1" s="1"/>
  <c r="Z264" i="1"/>
  <c r="Y264" i="1"/>
  <c r="X264" i="1"/>
  <c r="W264" i="1"/>
  <c r="V264" i="1"/>
  <c r="T264" i="1"/>
  <c r="AB263" i="1"/>
  <c r="AA263" i="1"/>
  <c r="AC263" i="1" s="1"/>
  <c r="Z263" i="1"/>
  <c r="Y263" i="1"/>
  <c r="X263" i="1"/>
  <c r="W263" i="1"/>
  <c r="V263" i="1"/>
  <c r="T263" i="1"/>
  <c r="AB262" i="1"/>
  <c r="AA262" i="1"/>
  <c r="AC262" i="1" s="1"/>
  <c r="Z262" i="1"/>
  <c r="Y262" i="1"/>
  <c r="X262" i="1"/>
  <c r="W262" i="1"/>
  <c r="V262" i="1"/>
  <c r="T262" i="1"/>
  <c r="AB261" i="1"/>
  <c r="AA261" i="1"/>
  <c r="AC261" i="1" s="1"/>
  <c r="Z261" i="1"/>
  <c r="Y261" i="1"/>
  <c r="X261" i="1"/>
  <c r="W261" i="1"/>
  <c r="V261" i="1"/>
  <c r="T261" i="1"/>
  <c r="AC260" i="1"/>
  <c r="AB260" i="1"/>
  <c r="AA260" i="1"/>
  <c r="Z260" i="1"/>
  <c r="Y260" i="1"/>
  <c r="X260" i="1"/>
  <c r="W260" i="1"/>
  <c r="V260" i="1"/>
  <c r="T260" i="1"/>
  <c r="AC259" i="1"/>
  <c r="AB259" i="1"/>
  <c r="AA259" i="1"/>
  <c r="Z259" i="1"/>
  <c r="Y259" i="1"/>
  <c r="X259" i="1"/>
  <c r="W259" i="1"/>
  <c r="V259" i="1"/>
  <c r="T259" i="1"/>
  <c r="AB258" i="1"/>
  <c r="AA258" i="1"/>
  <c r="AC258" i="1" s="1"/>
  <c r="Z258" i="1"/>
  <c r="Y258" i="1"/>
  <c r="X258" i="1"/>
  <c r="W258" i="1"/>
  <c r="V258" i="1"/>
  <c r="T258" i="1"/>
  <c r="AB257" i="1"/>
  <c r="AA257" i="1"/>
  <c r="AC257" i="1" s="1"/>
  <c r="Z257" i="1"/>
  <c r="Y257" i="1"/>
  <c r="X257" i="1"/>
  <c r="W257" i="1"/>
  <c r="V257" i="1"/>
  <c r="T257" i="1"/>
  <c r="AB256" i="1"/>
  <c r="AA256" i="1"/>
  <c r="AC256" i="1" s="1"/>
  <c r="Z256" i="1"/>
  <c r="Y256" i="1"/>
  <c r="X256" i="1"/>
  <c r="W256" i="1"/>
  <c r="V256" i="1"/>
  <c r="T256" i="1"/>
  <c r="AB255" i="1"/>
  <c r="AA255" i="1"/>
  <c r="AC255" i="1" s="1"/>
  <c r="Z255" i="1"/>
  <c r="Y255" i="1"/>
  <c r="X255" i="1"/>
  <c r="W255" i="1"/>
  <c r="V255" i="1"/>
  <c r="T255" i="1"/>
  <c r="AB254" i="1"/>
  <c r="AA254" i="1"/>
  <c r="AC254" i="1" s="1"/>
  <c r="Z254" i="1"/>
  <c r="Y254" i="1"/>
  <c r="X254" i="1"/>
  <c r="W254" i="1"/>
  <c r="V254" i="1"/>
  <c r="T254" i="1"/>
  <c r="AB253" i="1"/>
  <c r="AA253" i="1"/>
  <c r="AC253" i="1" s="1"/>
  <c r="Z253" i="1"/>
  <c r="Y253" i="1"/>
  <c r="X253" i="1"/>
  <c r="W253" i="1"/>
  <c r="V253" i="1"/>
  <c r="T253" i="1"/>
  <c r="AC252" i="1"/>
  <c r="AB252" i="1"/>
  <c r="AA252" i="1"/>
  <c r="Z252" i="1"/>
  <c r="Y252" i="1"/>
  <c r="X252" i="1"/>
  <c r="W252" i="1"/>
  <c r="V252" i="1"/>
  <c r="T252" i="1"/>
  <c r="AC251" i="1"/>
  <c r="AB251" i="1"/>
  <c r="AA251" i="1"/>
  <c r="Z251" i="1"/>
  <c r="Y251" i="1"/>
  <c r="X251" i="1"/>
  <c r="W251" i="1"/>
  <c r="V251" i="1"/>
  <c r="T251" i="1"/>
  <c r="AB250" i="1"/>
  <c r="AA250" i="1"/>
  <c r="AC250" i="1" s="1"/>
  <c r="Z250" i="1"/>
  <c r="Y250" i="1"/>
  <c r="X250" i="1"/>
  <c r="W250" i="1"/>
  <c r="V250" i="1"/>
  <c r="T250" i="1"/>
  <c r="AB249" i="1"/>
  <c r="AA249" i="1"/>
  <c r="AC249" i="1" s="1"/>
  <c r="Z249" i="1"/>
  <c r="Y249" i="1"/>
  <c r="X249" i="1"/>
  <c r="W249" i="1"/>
  <c r="V249" i="1"/>
  <c r="T249" i="1"/>
  <c r="AB248" i="1"/>
  <c r="AA248" i="1"/>
  <c r="AC248" i="1" s="1"/>
  <c r="Z248" i="1"/>
  <c r="Y248" i="1"/>
  <c r="X248" i="1"/>
  <c r="W248" i="1"/>
  <c r="V248" i="1"/>
  <c r="T248" i="1"/>
  <c r="AB247" i="1"/>
  <c r="AA247" i="1"/>
  <c r="AC247" i="1" s="1"/>
  <c r="Z247" i="1"/>
  <c r="Y247" i="1"/>
  <c r="X247" i="1"/>
  <c r="W247" i="1"/>
  <c r="V247" i="1"/>
  <c r="T247" i="1"/>
  <c r="AB246" i="1"/>
  <c r="AA246" i="1"/>
  <c r="AC246" i="1" s="1"/>
  <c r="Z246" i="1"/>
  <c r="Y246" i="1"/>
  <c r="X246" i="1"/>
  <c r="W246" i="1"/>
  <c r="V246" i="1"/>
  <c r="T246" i="1"/>
  <c r="AB245" i="1"/>
  <c r="AA245" i="1"/>
  <c r="AC245" i="1" s="1"/>
  <c r="Z245" i="1"/>
  <c r="Y245" i="1"/>
  <c r="X245" i="1"/>
  <c r="W245" i="1"/>
  <c r="V245" i="1"/>
  <c r="T245" i="1"/>
  <c r="AA244" i="1"/>
  <c r="AC244" i="1" s="1"/>
  <c r="X244" i="1"/>
  <c r="W244" i="1"/>
  <c r="V244" i="1"/>
  <c r="U244" i="1"/>
  <c r="Z244" i="1" s="1"/>
  <c r="T244" i="1"/>
  <c r="AB243" i="1"/>
  <c r="AA243" i="1"/>
  <c r="AC243" i="1" s="1"/>
  <c r="Z243" i="1"/>
  <c r="Y243" i="1"/>
  <c r="X243" i="1"/>
  <c r="W243" i="1"/>
  <c r="V243" i="1"/>
  <c r="T243" i="1"/>
  <c r="AB242" i="1"/>
  <c r="AA242" i="1"/>
  <c r="AC242" i="1" s="1"/>
  <c r="Z242" i="1"/>
  <c r="Y242" i="1"/>
  <c r="X242" i="1"/>
  <c r="W242" i="1"/>
  <c r="V242" i="1"/>
  <c r="T242" i="1"/>
  <c r="AC241" i="1"/>
  <c r="AB241" i="1"/>
  <c r="AA241" i="1"/>
  <c r="Z241" i="1"/>
  <c r="Y241" i="1"/>
  <c r="X241" i="1"/>
  <c r="W241" i="1"/>
  <c r="V241" i="1"/>
  <c r="T241" i="1"/>
  <c r="AC240" i="1"/>
  <c r="AB240" i="1"/>
  <c r="AA240" i="1"/>
  <c r="Z240" i="1"/>
  <c r="Y240" i="1"/>
  <c r="X240" i="1"/>
  <c r="W240" i="1"/>
  <c r="V240" i="1"/>
  <c r="T240" i="1"/>
  <c r="AB239" i="1"/>
  <c r="AA239" i="1"/>
  <c r="AC239" i="1" s="1"/>
  <c r="Z239" i="1"/>
  <c r="Y239" i="1"/>
  <c r="X239" i="1"/>
  <c r="W239" i="1"/>
  <c r="V239" i="1"/>
  <c r="T239" i="1"/>
  <c r="AB238" i="1"/>
  <c r="AA238" i="1"/>
  <c r="AC238" i="1" s="1"/>
  <c r="Z238" i="1"/>
  <c r="Y238" i="1"/>
  <c r="X238" i="1"/>
  <c r="W238" i="1"/>
  <c r="V238" i="1"/>
  <c r="AB237" i="1"/>
  <c r="AA237" i="1"/>
  <c r="AC237" i="1" s="1"/>
  <c r="Z237" i="1"/>
  <c r="Y237" i="1"/>
  <c r="X237" i="1"/>
  <c r="W237" i="1"/>
  <c r="V237" i="1"/>
  <c r="T237" i="1"/>
  <c r="AC236" i="1"/>
  <c r="AB236" i="1"/>
  <c r="AA236" i="1"/>
  <c r="Z236" i="1"/>
  <c r="Y236" i="1"/>
  <c r="X236" i="1"/>
  <c r="W236" i="1"/>
  <c r="V236" i="1"/>
  <c r="T236" i="1"/>
  <c r="AB235" i="1"/>
  <c r="AA235" i="1"/>
  <c r="AC235" i="1" s="1"/>
  <c r="Z235" i="1"/>
  <c r="Y235" i="1"/>
  <c r="X235" i="1"/>
  <c r="W235" i="1"/>
  <c r="V235" i="1"/>
  <c r="T235" i="1"/>
  <c r="AB234" i="1"/>
  <c r="AA234" i="1"/>
  <c r="AC234" i="1" s="1"/>
  <c r="Z234" i="1"/>
  <c r="Y234" i="1"/>
  <c r="X234" i="1"/>
  <c r="W234" i="1"/>
  <c r="V234" i="1"/>
  <c r="T234" i="1"/>
  <c r="AB233" i="1"/>
  <c r="AA233" i="1"/>
  <c r="AC233" i="1" s="1"/>
  <c r="Z233" i="1"/>
  <c r="Y233" i="1"/>
  <c r="X233" i="1"/>
  <c r="W233" i="1"/>
  <c r="V233" i="1"/>
  <c r="T233" i="1"/>
  <c r="AB232" i="1"/>
  <c r="AA232" i="1"/>
  <c r="AC232" i="1" s="1"/>
  <c r="Z232" i="1"/>
  <c r="Y232" i="1"/>
  <c r="X232" i="1"/>
  <c r="W232" i="1"/>
  <c r="V232" i="1"/>
  <c r="T232" i="1"/>
  <c r="AC231" i="1"/>
  <c r="AB231" i="1"/>
  <c r="AA231" i="1"/>
  <c r="Z231" i="1"/>
  <c r="Y231" i="1"/>
  <c r="X231" i="1"/>
  <c r="W231" i="1"/>
  <c r="V231" i="1"/>
  <c r="T231" i="1"/>
  <c r="AB230" i="1"/>
  <c r="AA230" i="1"/>
  <c r="AC230" i="1" s="1"/>
  <c r="Z230" i="1"/>
  <c r="Y230" i="1"/>
  <c r="X230" i="1"/>
  <c r="W230" i="1"/>
  <c r="V230" i="1"/>
  <c r="T230" i="1"/>
  <c r="AB229" i="1"/>
  <c r="AA229" i="1"/>
  <c r="AC229" i="1" s="1"/>
  <c r="Z229" i="1"/>
  <c r="Y229" i="1"/>
  <c r="X229" i="1"/>
  <c r="W229" i="1"/>
  <c r="V229" i="1"/>
  <c r="T229" i="1"/>
  <c r="AC228" i="1"/>
  <c r="AB228" i="1"/>
  <c r="AA228" i="1"/>
  <c r="Z228" i="1"/>
  <c r="Y228" i="1"/>
  <c r="X228" i="1"/>
  <c r="W228" i="1"/>
  <c r="V228" i="1"/>
  <c r="T228" i="1"/>
  <c r="AB227" i="1"/>
  <c r="AA227" i="1"/>
  <c r="AC227" i="1" s="1"/>
  <c r="Z227" i="1"/>
  <c r="Y227" i="1"/>
  <c r="X227" i="1"/>
  <c r="W227" i="1"/>
  <c r="V227" i="1"/>
  <c r="T227" i="1"/>
  <c r="AA226" i="1"/>
  <c r="AC226" i="1" s="1"/>
  <c r="X226" i="1"/>
  <c r="W226" i="1"/>
  <c r="V226" i="1"/>
  <c r="U226" i="1"/>
  <c r="Y226" i="1" s="1"/>
  <c r="T226" i="1"/>
  <c r="AB225" i="1"/>
  <c r="AA225" i="1"/>
  <c r="AC225" i="1" s="1"/>
  <c r="Z225" i="1"/>
  <c r="Y225" i="1"/>
  <c r="X225" i="1"/>
  <c r="W225" i="1"/>
  <c r="V225" i="1"/>
  <c r="T225" i="1"/>
  <c r="AC224" i="1"/>
  <c r="AB224" i="1"/>
  <c r="AA224" i="1"/>
  <c r="Z224" i="1"/>
  <c r="Y224" i="1"/>
  <c r="X224" i="1"/>
  <c r="W224" i="1"/>
  <c r="V224" i="1"/>
  <c r="T224" i="1"/>
  <c r="AE223" i="1"/>
  <c r="AB223" i="1"/>
  <c r="AA223" i="1"/>
  <c r="AC223" i="1" s="1"/>
  <c r="Z223" i="1"/>
  <c r="Y223" i="1"/>
  <c r="X223" i="1"/>
  <c r="W223" i="1"/>
  <c r="V223" i="1"/>
  <c r="T223" i="1"/>
  <c r="AE222" i="1"/>
  <c r="AB222" i="1"/>
  <c r="AA222" i="1"/>
  <c r="AC222" i="1" s="1"/>
  <c r="Z222" i="1"/>
  <c r="Y222" i="1"/>
  <c r="X222" i="1"/>
  <c r="W222" i="1"/>
  <c r="V222" i="1"/>
  <c r="T222" i="1"/>
  <c r="AE221" i="1"/>
  <c r="AB221" i="1"/>
  <c r="AA221" i="1"/>
  <c r="AC221" i="1" s="1"/>
  <c r="Z221" i="1"/>
  <c r="Y221" i="1"/>
  <c r="X221" i="1"/>
  <c r="W221" i="1"/>
  <c r="V221" i="1"/>
  <c r="T221" i="1"/>
  <c r="AC220" i="1"/>
  <c r="AB220" i="1"/>
  <c r="AA220" i="1"/>
  <c r="Z220" i="1"/>
  <c r="Y220" i="1"/>
  <c r="X220" i="1"/>
  <c r="W220" i="1"/>
  <c r="V220" i="1"/>
  <c r="T220" i="1"/>
  <c r="H220" i="1"/>
  <c r="AB219" i="1"/>
  <c r="AA219" i="1"/>
  <c r="AC219" i="1" s="1"/>
  <c r="Z219" i="1"/>
  <c r="Y219" i="1"/>
  <c r="X219" i="1"/>
  <c r="W219" i="1"/>
  <c r="V219" i="1"/>
  <c r="T219" i="1"/>
  <c r="H219" i="1"/>
  <c r="AC218" i="1"/>
  <c r="AB218" i="1"/>
  <c r="AA218" i="1"/>
  <c r="Z218" i="1"/>
  <c r="Y218" i="1"/>
  <c r="X218" i="1"/>
  <c r="W218" i="1"/>
  <c r="V218" i="1"/>
  <c r="T218" i="1"/>
  <c r="H218" i="1"/>
  <c r="AB217" i="1"/>
  <c r="AA217" i="1"/>
  <c r="AC217" i="1" s="1"/>
  <c r="Z217" i="1"/>
  <c r="Y217" i="1"/>
  <c r="X217" i="1"/>
  <c r="W217" i="1"/>
  <c r="V217" i="1"/>
  <c r="T217" i="1"/>
  <c r="N217" i="1"/>
  <c r="H217" i="1"/>
  <c r="AC216" i="1"/>
  <c r="AB216" i="1"/>
  <c r="AA216" i="1"/>
  <c r="Z216" i="1"/>
  <c r="Y216" i="1"/>
  <c r="X216" i="1"/>
  <c r="W216" i="1"/>
  <c r="V216" i="1"/>
  <c r="T216" i="1"/>
  <c r="N216" i="1"/>
  <c r="H216" i="1"/>
  <c r="AC215" i="1"/>
  <c r="AB215" i="1"/>
  <c r="AA215" i="1"/>
  <c r="Z215" i="1"/>
  <c r="Y215" i="1"/>
  <c r="X215" i="1"/>
  <c r="W215" i="1"/>
  <c r="V215" i="1"/>
  <c r="T215" i="1"/>
  <c r="N215" i="1"/>
  <c r="H215" i="1"/>
  <c r="AB214" i="1"/>
  <c r="AA214" i="1"/>
  <c r="AC214" i="1" s="1"/>
  <c r="Z214" i="1"/>
  <c r="Y214" i="1"/>
  <c r="X214" i="1"/>
  <c r="W214" i="1"/>
  <c r="V214" i="1"/>
  <c r="T214" i="1"/>
  <c r="N214" i="1"/>
  <c r="H214" i="1"/>
  <c r="AB213" i="1"/>
  <c r="AA213" i="1"/>
  <c r="AC213" i="1" s="1"/>
  <c r="Z213" i="1"/>
  <c r="Y213" i="1"/>
  <c r="X213" i="1"/>
  <c r="W213" i="1"/>
  <c r="V213" i="1"/>
  <c r="N213" i="1"/>
  <c r="H213" i="1"/>
  <c r="AB212" i="1"/>
  <c r="AA212" i="1"/>
  <c r="AC212" i="1" s="1"/>
  <c r="Z212" i="1"/>
  <c r="Y212" i="1"/>
  <c r="X212" i="1"/>
  <c r="W212" i="1"/>
  <c r="V212" i="1"/>
  <c r="T212" i="1"/>
  <c r="N212" i="1"/>
  <c r="H212" i="1"/>
  <c r="AB211" i="1"/>
  <c r="AA211" i="1"/>
  <c r="AC211" i="1" s="1"/>
  <c r="Z211" i="1"/>
  <c r="Y211" i="1"/>
  <c r="X211" i="1"/>
  <c r="W211" i="1"/>
  <c r="V211" i="1"/>
  <c r="T211" i="1"/>
  <c r="AC210" i="1"/>
  <c r="AB210" i="1"/>
  <c r="AA210" i="1"/>
  <c r="Z210" i="1"/>
  <c r="Y210" i="1"/>
  <c r="X210" i="1"/>
  <c r="W210" i="1"/>
  <c r="V210" i="1"/>
  <c r="T210" i="1"/>
  <c r="AB209" i="1"/>
  <c r="AA209" i="1"/>
  <c r="AC209" i="1" s="1"/>
  <c r="Z209" i="1"/>
  <c r="Y209" i="1"/>
  <c r="X209" i="1"/>
  <c r="W209" i="1"/>
  <c r="V209" i="1"/>
  <c r="T209" i="1"/>
  <c r="AB208" i="1"/>
  <c r="AA208" i="1"/>
  <c r="AC208" i="1" s="1"/>
  <c r="Z208" i="1"/>
  <c r="Y208" i="1"/>
  <c r="X208" i="1"/>
  <c r="W208" i="1"/>
  <c r="V208" i="1"/>
  <c r="AB207" i="1"/>
  <c r="AA207" i="1"/>
  <c r="AC207" i="1" s="1"/>
  <c r="Z207" i="1"/>
  <c r="Y207" i="1"/>
  <c r="X207" i="1"/>
  <c r="W207" i="1"/>
  <c r="V207" i="1"/>
  <c r="AB206" i="1"/>
  <c r="AA206" i="1"/>
  <c r="AC206" i="1" s="1"/>
  <c r="Z206" i="1"/>
  <c r="Y206" i="1"/>
  <c r="X206" i="1"/>
  <c r="W206" i="1"/>
  <c r="V206" i="1"/>
  <c r="H206" i="1"/>
  <c r="AB205" i="1"/>
  <c r="AA205" i="1"/>
  <c r="AC205" i="1" s="1"/>
  <c r="Z205" i="1"/>
  <c r="Y205" i="1"/>
  <c r="X205" i="1"/>
  <c r="W205" i="1"/>
  <c r="V205" i="1"/>
  <c r="T205" i="1"/>
  <c r="AB204" i="1"/>
  <c r="AA204" i="1"/>
  <c r="AC204" i="1" s="1"/>
  <c r="Z204" i="1"/>
  <c r="Y204" i="1"/>
  <c r="X204" i="1"/>
  <c r="W204" i="1"/>
  <c r="V204" i="1"/>
  <c r="T204" i="1"/>
  <c r="AB203" i="1"/>
  <c r="AA203" i="1"/>
  <c r="AC203" i="1" s="1"/>
  <c r="Z203" i="1"/>
  <c r="Y203" i="1"/>
  <c r="X203" i="1"/>
  <c r="W203" i="1"/>
  <c r="V203" i="1"/>
  <c r="T203" i="1"/>
  <c r="AB202" i="1"/>
  <c r="AA202" i="1"/>
  <c r="AC202" i="1" s="1"/>
  <c r="Z202" i="1"/>
  <c r="Y202" i="1"/>
  <c r="X202" i="1"/>
  <c r="W202" i="1"/>
  <c r="V202" i="1"/>
  <c r="AB201" i="1"/>
  <c r="AA201" i="1"/>
  <c r="AC201" i="1" s="1"/>
  <c r="Z201" i="1"/>
  <c r="Y201" i="1"/>
  <c r="X201" i="1"/>
  <c r="W201" i="1"/>
  <c r="V201" i="1"/>
  <c r="AB200" i="1"/>
  <c r="AA200" i="1"/>
  <c r="AC200" i="1" s="1"/>
  <c r="Z200" i="1"/>
  <c r="Y200" i="1"/>
  <c r="X200" i="1"/>
  <c r="W200" i="1"/>
  <c r="V200" i="1"/>
  <c r="AB199" i="1"/>
  <c r="AA199" i="1"/>
  <c r="AC199" i="1" s="1"/>
  <c r="Z199" i="1"/>
  <c r="Y199" i="1"/>
  <c r="X199" i="1"/>
  <c r="W199" i="1"/>
  <c r="V199" i="1"/>
  <c r="T199" i="1"/>
  <c r="AB198" i="1"/>
  <c r="AA198" i="1"/>
  <c r="AC198" i="1" s="1"/>
  <c r="Z198" i="1"/>
  <c r="Y198" i="1"/>
  <c r="X198" i="1"/>
  <c r="W198" i="1"/>
  <c r="V198" i="1"/>
  <c r="T198" i="1"/>
  <c r="AC197" i="1"/>
  <c r="AB197" i="1"/>
  <c r="AA197" i="1"/>
  <c r="Z197" i="1"/>
  <c r="Y197" i="1"/>
  <c r="X197" i="1"/>
  <c r="W197" i="1"/>
  <c r="V197" i="1"/>
  <c r="T197" i="1"/>
  <c r="AB196" i="1"/>
  <c r="AA196" i="1"/>
  <c r="AC196" i="1" s="1"/>
  <c r="Z196" i="1"/>
  <c r="Y196" i="1"/>
  <c r="X196" i="1"/>
  <c r="W196" i="1"/>
  <c r="V196" i="1"/>
  <c r="AB195" i="1"/>
  <c r="AA195" i="1"/>
  <c r="AC195" i="1" s="1"/>
  <c r="Z195" i="1"/>
  <c r="Y195" i="1"/>
  <c r="X195" i="1"/>
  <c r="W195" i="1"/>
  <c r="V195" i="1"/>
  <c r="T195" i="1"/>
  <c r="AB194" i="1"/>
  <c r="AA194" i="1"/>
  <c r="AC194" i="1" s="1"/>
  <c r="Z194" i="1"/>
  <c r="Y194" i="1"/>
  <c r="X194" i="1"/>
  <c r="W194" i="1"/>
  <c r="V194" i="1"/>
  <c r="AB193" i="1"/>
  <c r="AA193" i="1"/>
  <c r="AC193" i="1" s="1"/>
  <c r="Z193" i="1"/>
  <c r="Y193" i="1"/>
  <c r="X193" i="1"/>
  <c r="W193" i="1"/>
  <c r="V193" i="1"/>
  <c r="AB192" i="1"/>
  <c r="AA192" i="1"/>
  <c r="AC192" i="1" s="1"/>
  <c r="Z192" i="1"/>
  <c r="Y192" i="1"/>
  <c r="X192" i="1"/>
  <c r="W192" i="1"/>
  <c r="V192" i="1"/>
  <c r="AB191" i="1"/>
  <c r="AA191" i="1"/>
  <c r="AC191" i="1" s="1"/>
  <c r="Z191" i="1"/>
  <c r="Y191" i="1"/>
  <c r="X191" i="1"/>
  <c r="W191" i="1"/>
  <c r="V191" i="1"/>
  <c r="AB190" i="1"/>
  <c r="AA190" i="1"/>
  <c r="AC190" i="1" s="1"/>
  <c r="Z190" i="1"/>
  <c r="Y190" i="1"/>
  <c r="X190" i="1"/>
  <c r="W190" i="1"/>
  <c r="V190" i="1"/>
  <c r="T190" i="1"/>
  <c r="AB189" i="1"/>
  <c r="AA189" i="1"/>
  <c r="AC189" i="1" s="1"/>
  <c r="Z189" i="1"/>
  <c r="Y189" i="1"/>
  <c r="X189" i="1"/>
  <c r="W189" i="1"/>
  <c r="V189" i="1"/>
  <c r="T189" i="1"/>
  <c r="AB188" i="1"/>
  <c r="AA188" i="1"/>
  <c r="AC188" i="1" s="1"/>
  <c r="Z188" i="1"/>
  <c r="Y188" i="1"/>
  <c r="X188" i="1"/>
  <c r="W188" i="1"/>
  <c r="V188" i="1"/>
  <c r="T188" i="1"/>
  <c r="AC187" i="1"/>
  <c r="AB187" i="1"/>
  <c r="AA187" i="1"/>
  <c r="Z187" i="1"/>
  <c r="Y187" i="1"/>
  <c r="X187" i="1"/>
  <c r="W187" i="1"/>
  <c r="V187" i="1"/>
  <c r="T187" i="1"/>
  <c r="AB186" i="1"/>
  <c r="AA186" i="1"/>
  <c r="AC186" i="1" s="1"/>
  <c r="Z186" i="1"/>
  <c r="Y186" i="1"/>
  <c r="X186" i="1"/>
  <c r="W186" i="1"/>
  <c r="V186" i="1"/>
  <c r="T186" i="1"/>
  <c r="AB185" i="1"/>
  <c r="AA185" i="1"/>
  <c r="AC185" i="1" s="1"/>
  <c r="Z185" i="1"/>
  <c r="Y185" i="1"/>
  <c r="X185" i="1"/>
  <c r="W185" i="1"/>
  <c r="V185" i="1"/>
  <c r="T185" i="1"/>
  <c r="AB184" i="1"/>
  <c r="AA184" i="1"/>
  <c r="AC184" i="1" s="1"/>
  <c r="Z184" i="1"/>
  <c r="Y184" i="1"/>
  <c r="X184" i="1"/>
  <c r="W184" i="1"/>
  <c r="V184" i="1"/>
  <c r="T184" i="1"/>
  <c r="AB183" i="1"/>
  <c r="AA183" i="1"/>
  <c r="AC183" i="1" s="1"/>
  <c r="Z183" i="1"/>
  <c r="Y183" i="1"/>
  <c r="X183" i="1"/>
  <c r="W183" i="1"/>
  <c r="V183" i="1"/>
  <c r="T183" i="1"/>
  <c r="AB182" i="1"/>
  <c r="AA182" i="1"/>
  <c r="AC182" i="1" s="1"/>
  <c r="Z182" i="1"/>
  <c r="Y182" i="1"/>
  <c r="X182" i="1"/>
  <c r="W182" i="1"/>
  <c r="V182" i="1"/>
  <c r="T182" i="1"/>
  <c r="AB181" i="1"/>
  <c r="AA181" i="1"/>
  <c r="AC181" i="1" s="1"/>
  <c r="Z181" i="1"/>
  <c r="Y181" i="1"/>
  <c r="X181" i="1"/>
  <c r="W181" i="1"/>
  <c r="V181" i="1"/>
  <c r="T181" i="1"/>
  <c r="AB180" i="1"/>
  <c r="AA180" i="1"/>
  <c r="AC180" i="1" s="1"/>
  <c r="Z180" i="1"/>
  <c r="Y180" i="1"/>
  <c r="X180" i="1"/>
  <c r="W180" i="1"/>
  <c r="V180" i="1"/>
  <c r="T180" i="1"/>
  <c r="AA179" i="1"/>
  <c r="AC179" i="1" s="1"/>
  <c r="X179" i="1"/>
  <c r="W179" i="1"/>
  <c r="V179" i="1"/>
  <c r="T179" i="1"/>
  <c r="AB179" i="1" s="1"/>
  <c r="AB178" i="1"/>
  <c r="AA178" i="1"/>
  <c r="AC178" i="1" s="1"/>
  <c r="Z178" i="1"/>
  <c r="Y178" i="1"/>
  <c r="X178" i="1"/>
  <c r="W178" i="1"/>
  <c r="V178" i="1"/>
  <c r="T178" i="1"/>
  <c r="N178" i="1"/>
  <c r="AB177" i="1"/>
  <c r="AA177" i="1"/>
  <c r="AC177" i="1" s="1"/>
  <c r="Z177" i="1"/>
  <c r="Y177" i="1"/>
  <c r="X177" i="1"/>
  <c r="W177" i="1"/>
  <c r="V177" i="1"/>
  <c r="T177" i="1"/>
  <c r="N177" i="1"/>
  <c r="AB176" i="1"/>
  <c r="AA176" i="1"/>
  <c r="AC176" i="1" s="1"/>
  <c r="Z176" i="1"/>
  <c r="Y176" i="1"/>
  <c r="X176" i="1"/>
  <c r="W176" i="1"/>
  <c r="V176" i="1"/>
  <c r="T176" i="1"/>
  <c r="N176" i="1"/>
  <c r="AB175" i="1"/>
  <c r="AA175" i="1"/>
  <c r="AC175" i="1" s="1"/>
  <c r="Z175" i="1"/>
  <c r="Y175" i="1"/>
  <c r="X175" i="1"/>
  <c r="W175" i="1"/>
  <c r="V175" i="1"/>
  <c r="AB174" i="1"/>
  <c r="AA174" i="1"/>
  <c r="AC174" i="1" s="1"/>
  <c r="Z174" i="1"/>
  <c r="Y174" i="1"/>
  <c r="X174" i="1"/>
  <c r="W174" i="1"/>
  <c r="V174" i="1"/>
  <c r="AB173" i="1"/>
  <c r="AA173" i="1"/>
  <c r="AC173" i="1" s="1"/>
  <c r="Z173" i="1"/>
  <c r="Y173" i="1"/>
  <c r="X173" i="1"/>
  <c r="W173" i="1"/>
  <c r="V173" i="1"/>
  <c r="AB172" i="1"/>
  <c r="AA172" i="1"/>
  <c r="AC172" i="1" s="1"/>
  <c r="Z172" i="1"/>
  <c r="Y172" i="1"/>
  <c r="X172" i="1"/>
  <c r="W172" i="1"/>
  <c r="V172" i="1"/>
  <c r="T172" i="1"/>
  <c r="AB171" i="1"/>
  <c r="AA171" i="1"/>
  <c r="AC171" i="1" s="1"/>
  <c r="Z171" i="1"/>
  <c r="Y171" i="1"/>
  <c r="X171" i="1"/>
  <c r="W171" i="1"/>
  <c r="V171" i="1"/>
  <c r="T171" i="1"/>
  <c r="AB170" i="1"/>
  <c r="AA170" i="1"/>
  <c r="AC170" i="1" s="1"/>
  <c r="Z170" i="1"/>
  <c r="Y170" i="1"/>
  <c r="X170" i="1"/>
  <c r="W170" i="1"/>
  <c r="V170" i="1"/>
  <c r="T170" i="1"/>
  <c r="AB169" i="1"/>
  <c r="AA169" i="1"/>
  <c r="AC169" i="1" s="1"/>
  <c r="Z169" i="1"/>
  <c r="Y169" i="1"/>
  <c r="X169" i="1"/>
  <c r="W169" i="1"/>
  <c r="V169" i="1"/>
  <c r="AA168" i="1"/>
  <c r="AC168" i="1" s="1"/>
  <c r="X168" i="1"/>
  <c r="W168" i="1"/>
  <c r="V168" i="1"/>
  <c r="U168" i="1"/>
  <c r="Z168" i="1" s="1"/>
  <c r="T168" i="1"/>
  <c r="AB167" i="1"/>
  <c r="AA167" i="1"/>
  <c r="AC167" i="1" s="1"/>
  <c r="Z167" i="1"/>
  <c r="Y167" i="1"/>
  <c r="X167" i="1"/>
  <c r="W167" i="1"/>
  <c r="V167" i="1"/>
  <c r="T167" i="1"/>
  <c r="AB166" i="1"/>
  <c r="AA166" i="1"/>
  <c r="AC166" i="1" s="1"/>
  <c r="Z166" i="1"/>
  <c r="Y166" i="1"/>
  <c r="X166" i="1"/>
  <c r="W166" i="1"/>
  <c r="V166" i="1"/>
  <c r="T166" i="1"/>
  <c r="AB165" i="1"/>
  <c r="AA165" i="1"/>
  <c r="AC165" i="1" s="1"/>
  <c r="Z165" i="1"/>
  <c r="Y165" i="1"/>
  <c r="X165" i="1"/>
  <c r="W165" i="1"/>
  <c r="V165" i="1"/>
  <c r="T165" i="1"/>
  <c r="AC164" i="1"/>
  <c r="AB164" i="1"/>
  <c r="AA164" i="1"/>
  <c r="Z164" i="1"/>
  <c r="Y164" i="1"/>
  <c r="X164" i="1"/>
  <c r="W164" i="1"/>
  <c r="V164" i="1"/>
  <c r="T164" i="1"/>
  <c r="AB163" i="1"/>
  <c r="AA163" i="1"/>
  <c r="AC163" i="1" s="1"/>
  <c r="Z163" i="1"/>
  <c r="Y163" i="1"/>
  <c r="X163" i="1"/>
  <c r="W163" i="1"/>
  <c r="V163" i="1"/>
  <c r="T163" i="1"/>
  <c r="AB162" i="1"/>
  <c r="AA162" i="1"/>
  <c r="AC162" i="1" s="1"/>
  <c r="Z162" i="1"/>
  <c r="Y162" i="1"/>
  <c r="X162" i="1"/>
  <c r="W162" i="1"/>
  <c r="V162" i="1"/>
  <c r="T162" i="1"/>
  <c r="AC161" i="1"/>
  <c r="AB161" i="1"/>
  <c r="AA161" i="1"/>
  <c r="Z161" i="1"/>
  <c r="Y161" i="1"/>
  <c r="X161" i="1"/>
  <c r="W161" i="1"/>
  <c r="V161" i="1"/>
  <c r="T161" i="1"/>
  <c r="AB160" i="1"/>
  <c r="AA160" i="1"/>
  <c r="AC160" i="1" s="1"/>
  <c r="Z160" i="1"/>
  <c r="Y160" i="1"/>
  <c r="X160" i="1"/>
  <c r="W160" i="1"/>
  <c r="V160" i="1"/>
  <c r="T160" i="1"/>
  <c r="H160" i="1"/>
  <c r="AB159" i="1"/>
  <c r="AA159" i="1"/>
  <c r="AC159" i="1" s="1"/>
  <c r="Z159" i="1"/>
  <c r="Y159" i="1"/>
  <c r="X159" i="1"/>
  <c r="W159" i="1"/>
  <c r="V159" i="1"/>
  <c r="T159" i="1"/>
  <c r="H159" i="1"/>
  <c r="AC158" i="1"/>
  <c r="AB158" i="1"/>
  <c r="AA158" i="1"/>
  <c r="Z158" i="1"/>
  <c r="Y158" i="1"/>
  <c r="X158" i="1"/>
  <c r="W158" i="1"/>
  <c r="V158" i="1"/>
  <c r="T158" i="1"/>
  <c r="AB157" i="1"/>
  <c r="AA157" i="1"/>
  <c r="AC157" i="1" s="1"/>
  <c r="Z157" i="1"/>
  <c r="Y157" i="1"/>
  <c r="X157" i="1"/>
  <c r="W157" i="1"/>
  <c r="V157" i="1"/>
  <c r="T157" i="1"/>
  <c r="AB156" i="1"/>
  <c r="AA156" i="1"/>
  <c r="AC156" i="1" s="1"/>
  <c r="Z156" i="1"/>
  <c r="Y156" i="1"/>
  <c r="X156" i="1"/>
  <c r="W156" i="1"/>
  <c r="V156" i="1"/>
  <c r="AB155" i="1"/>
  <c r="AA155" i="1"/>
  <c r="AC155" i="1" s="1"/>
  <c r="Z155" i="1"/>
  <c r="Y155" i="1"/>
  <c r="X155" i="1"/>
  <c r="W155" i="1"/>
  <c r="V155" i="1"/>
  <c r="AB154" i="1"/>
  <c r="AA154" i="1"/>
  <c r="AC154" i="1" s="1"/>
  <c r="Z154" i="1"/>
  <c r="Y154" i="1"/>
  <c r="X154" i="1"/>
  <c r="W154" i="1"/>
  <c r="V154" i="1"/>
  <c r="T154" i="1"/>
  <c r="AC153" i="1"/>
  <c r="AB153" i="1"/>
  <c r="AA153" i="1"/>
  <c r="Z153" i="1"/>
  <c r="Y153" i="1"/>
  <c r="X153" i="1"/>
  <c r="W153" i="1"/>
  <c r="V153" i="1"/>
  <c r="T153" i="1"/>
  <c r="AB152" i="1"/>
  <c r="AA152" i="1"/>
  <c r="AC152" i="1" s="1"/>
  <c r="Z152" i="1"/>
  <c r="Y152" i="1"/>
  <c r="X152" i="1"/>
  <c r="W152" i="1"/>
  <c r="V152" i="1"/>
  <c r="T152" i="1"/>
  <c r="AB151" i="1"/>
  <c r="AA151" i="1"/>
  <c r="AC151" i="1" s="1"/>
  <c r="Z151" i="1"/>
  <c r="Y151" i="1"/>
  <c r="X151" i="1"/>
  <c r="W151" i="1"/>
  <c r="V151" i="1"/>
  <c r="T151" i="1"/>
  <c r="H151" i="1"/>
  <c r="AC150" i="1"/>
  <c r="AB150" i="1"/>
  <c r="AA150" i="1"/>
  <c r="Z150" i="1"/>
  <c r="Y150" i="1"/>
  <c r="X150" i="1"/>
  <c r="W150" i="1"/>
  <c r="V150" i="1"/>
  <c r="T150" i="1"/>
  <c r="H150" i="1"/>
  <c r="AB149" i="1"/>
  <c r="AA149" i="1"/>
  <c r="AC149" i="1" s="1"/>
  <c r="Z149" i="1"/>
  <c r="Y149" i="1"/>
  <c r="X149" i="1"/>
  <c r="W149" i="1"/>
  <c r="V149" i="1"/>
  <c r="T149" i="1"/>
  <c r="H149" i="1"/>
  <c r="AB148" i="1"/>
  <c r="AA148" i="1"/>
  <c r="AC148" i="1" s="1"/>
  <c r="Z148" i="1"/>
  <c r="Y148" i="1"/>
  <c r="X148" i="1"/>
  <c r="W148" i="1"/>
  <c r="V148" i="1"/>
  <c r="T148" i="1"/>
  <c r="AC147" i="1"/>
  <c r="AB147" i="1"/>
  <c r="AA147" i="1"/>
  <c r="Z147" i="1"/>
  <c r="Y147" i="1"/>
  <c r="X147" i="1"/>
  <c r="W147" i="1"/>
  <c r="V147" i="1"/>
  <c r="T147" i="1"/>
  <c r="AB146" i="1"/>
  <c r="AA146" i="1"/>
  <c r="AC146" i="1" s="1"/>
  <c r="Z146" i="1"/>
  <c r="Y146" i="1"/>
  <c r="X146" i="1"/>
  <c r="W146" i="1"/>
  <c r="V146" i="1"/>
  <c r="T146" i="1"/>
  <c r="AB145" i="1"/>
  <c r="AA145" i="1"/>
  <c r="AC145" i="1" s="1"/>
  <c r="Z145" i="1"/>
  <c r="Y145" i="1"/>
  <c r="X145" i="1"/>
  <c r="W145" i="1"/>
  <c r="V145" i="1"/>
  <c r="T145" i="1"/>
  <c r="AB144" i="1"/>
  <c r="AA144" i="1"/>
  <c r="AC144" i="1" s="1"/>
  <c r="Z144" i="1"/>
  <c r="Y144" i="1"/>
  <c r="X144" i="1"/>
  <c r="W144" i="1"/>
  <c r="V144" i="1"/>
  <c r="T144" i="1"/>
  <c r="AC143" i="1"/>
  <c r="AB143" i="1"/>
  <c r="AA143" i="1"/>
  <c r="Z143" i="1"/>
  <c r="Y143" i="1"/>
  <c r="X143" i="1"/>
  <c r="W143" i="1"/>
  <c r="V143" i="1"/>
  <c r="T143" i="1"/>
  <c r="AB142" i="1"/>
  <c r="AA142" i="1"/>
  <c r="AC142" i="1" s="1"/>
  <c r="Z142" i="1"/>
  <c r="Y142" i="1"/>
  <c r="X142" i="1"/>
  <c r="W142" i="1"/>
  <c r="V142" i="1"/>
  <c r="AB141" i="1"/>
  <c r="AA141" i="1"/>
  <c r="AC141" i="1" s="1"/>
  <c r="Z141" i="1"/>
  <c r="Y141" i="1"/>
  <c r="X141" i="1"/>
  <c r="W141" i="1"/>
  <c r="V141" i="1"/>
  <c r="AB140" i="1"/>
  <c r="AA140" i="1"/>
  <c r="AC140" i="1" s="1"/>
  <c r="Z140" i="1"/>
  <c r="Y140" i="1"/>
  <c r="X140" i="1"/>
  <c r="W140" i="1"/>
  <c r="V140" i="1"/>
  <c r="AM139" i="1"/>
  <c r="AL139" i="1"/>
  <c r="AB139" i="1"/>
  <c r="AA139" i="1"/>
  <c r="AC139" i="1" s="1"/>
  <c r="Z139" i="1"/>
  <c r="Y139" i="1"/>
  <c r="X139" i="1"/>
  <c r="W139" i="1"/>
  <c r="V139" i="1"/>
  <c r="T139" i="1"/>
  <c r="AM138" i="1"/>
  <c r="AL138" i="1"/>
  <c r="AB138" i="1"/>
  <c r="AA138" i="1"/>
  <c r="AC138" i="1" s="1"/>
  <c r="Z138" i="1"/>
  <c r="Y138" i="1"/>
  <c r="X138" i="1"/>
  <c r="W138" i="1"/>
  <c r="V138" i="1"/>
  <c r="T138" i="1"/>
  <c r="AM137" i="1"/>
  <c r="AL137" i="1"/>
  <c r="AC137" i="1"/>
  <c r="AB137" i="1"/>
  <c r="AA137" i="1"/>
  <c r="Z137" i="1"/>
  <c r="Y137" i="1"/>
  <c r="X137" i="1"/>
  <c r="W137" i="1"/>
  <c r="V137" i="1"/>
  <c r="T137" i="1"/>
  <c r="AB136" i="1"/>
  <c r="AA136" i="1"/>
  <c r="AC136" i="1" s="1"/>
  <c r="Z136" i="1"/>
  <c r="Y136" i="1"/>
  <c r="X136" i="1"/>
  <c r="W136" i="1"/>
  <c r="V136" i="1"/>
  <c r="T136" i="1"/>
  <c r="AC135" i="1"/>
  <c r="AB135" i="1"/>
  <c r="AA135" i="1"/>
  <c r="Z135" i="1"/>
  <c r="Y135" i="1"/>
  <c r="X135" i="1"/>
  <c r="W135" i="1"/>
  <c r="V135" i="1"/>
  <c r="T135" i="1"/>
  <c r="AB134" i="1"/>
  <c r="AA134" i="1"/>
  <c r="AC134" i="1" s="1"/>
  <c r="Z134" i="1"/>
  <c r="Y134" i="1"/>
  <c r="X134" i="1"/>
  <c r="W134" i="1"/>
  <c r="V134" i="1"/>
  <c r="T134" i="1"/>
  <c r="AB133" i="1"/>
  <c r="AA133" i="1"/>
  <c r="AC133" i="1" s="1"/>
  <c r="Z133" i="1"/>
  <c r="Y133" i="1"/>
  <c r="X133" i="1"/>
  <c r="W133" i="1"/>
  <c r="V133" i="1"/>
  <c r="T133" i="1"/>
  <c r="AB132" i="1"/>
  <c r="AA132" i="1"/>
  <c r="AC132" i="1" s="1"/>
  <c r="Z132" i="1"/>
  <c r="Y132" i="1"/>
  <c r="X132" i="1"/>
  <c r="W132" i="1"/>
  <c r="V132" i="1"/>
  <c r="T132" i="1"/>
  <c r="AB131" i="1"/>
  <c r="AA131" i="1"/>
  <c r="AC131" i="1" s="1"/>
  <c r="Z131" i="1"/>
  <c r="Y131" i="1"/>
  <c r="X131" i="1"/>
  <c r="W131" i="1"/>
  <c r="V131" i="1"/>
  <c r="T131" i="1"/>
  <c r="AC130" i="1"/>
  <c r="AB130" i="1"/>
  <c r="AA130" i="1"/>
  <c r="Z130" i="1"/>
  <c r="Y130" i="1"/>
  <c r="X130" i="1"/>
  <c r="W130" i="1"/>
  <c r="V130" i="1"/>
  <c r="H130" i="1"/>
  <c r="AB129" i="1"/>
  <c r="AA129" i="1"/>
  <c r="AC129" i="1" s="1"/>
  <c r="Z129" i="1"/>
  <c r="Y129" i="1"/>
  <c r="X129" i="1"/>
  <c r="W129" i="1"/>
  <c r="V129" i="1"/>
  <c r="H129" i="1"/>
  <c r="AB128" i="1"/>
  <c r="AA128" i="1"/>
  <c r="AC128" i="1" s="1"/>
  <c r="Z128" i="1"/>
  <c r="Y128" i="1"/>
  <c r="X128" i="1"/>
  <c r="W128" i="1"/>
  <c r="V128" i="1"/>
  <c r="H128" i="1"/>
  <c r="Z127" i="1"/>
  <c r="Y127" i="1"/>
  <c r="X127" i="1"/>
  <c r="W127" i="1"/>
  <c r="V127" i="1"/>
  <c r="P127" i="1"/>
  <c r="O127" i="1"/>
  <c r="AB127" i="1" s="1"/>
  <c r="Z126" i="1"/>
  <c r="Y126" i="1"/>
  <c r="X126" i="1"/>
  <c r="W126" i="1"/>
  <c r="V126" i="1"/>
  <c r="P126" i="1"/>
  <c r="AA126" i="1" s="1"/>
  <c r="AC126" i="1" s="1"/>
  <c r="O126" i="1"/>
  <c r="AB126" i="1" s="1"/>
  <c r="Z125" i="1"/>
  <c r="Y125" i="1"/>
  <c r="X125" i="1"/>
  <c r="W125" i="1"/>
  <c r="V125" i="1"/>
  <c r="P125" i="1"/>
  <c r="AA125" i="1" s="1"/>
  <c r="AC125" i="1" s="1"/>
  <c r="O125" i="1"/>
  <c r="AB125" i="1" s="1"/>
  <c r="AC124" i="1"/>
  <c r="AB124" i="1"/>
  <c r="AA124" i="1"/>
  <c r="Z124" i="1"/>
  <c r="Y124" i="1"/>
  <c r="X124" i="1"/>
  <c r="W124" i="1"/>
  <c r="V124" i="1"/>
  <c r="AB123" i="1"/>
  <c r="AA123" i="1"/>
  <c r="AC123" i="1" s="1"/>
  <c r="Z123" i="1"/>
  <c r="Y123" i="1"/>
  <c r="X123" i="1"/>
  <c r="W123" i="1"/>
  <c r="V123" i="1"/>
  <c r="AB122" i="1"/>
  <c r="AA122" i="1"/>
  <c r="AC122" i="1" s="1"/>
  <c r="Z122" i="1"/>
  <c r="Y122" i="1"/>
  <c r="X122" i="1"/>
  <c r="W122" i="1"/>
  <c r="V122" i="1"/>
  <c r="AB121" i="1"/>
  <c r="AA121" i="1"/>
  <c r="AC121" i="1" s="1"/>
  <c r="Z121" i="1"/>
  <c r="Y121" i="1"/>
  <c r="X121" i="1"/>
  <c r="W121" i="1"/>
  <c r="V121" i="1"/>
  <c r="AB120" i="1"/>
  <c r="AA120" i="1"/>
  <c r="AC120" i="1" s="1"/>
  <c r="Z120" i="1"/>
  <c r="Y120" i="1"/>
  <c r="X120" i="1"/>
  <c r="W120" i="1"/>
  <c r="V120" i="1"/>
  <c r="AB119" i="1"/>
  <c r="AA119" i="1"/>
  <c r="AC119" i="1" s="1"/>
  <c r="Z119" i="1"/>
  <c r="Y119" i="1"/>
  <c r="X119" i="1"/>
  <c r="W119" i="1"/>
  <c r="V119" i="1"/>
  <c r="Z118" i="1"/>
  <c r="Y118" i="1"/>
  <c r="X118" i="1"/>
  <c r="W118" i="1"/>
  <c r="V118" i="1"/>
  <c r="P118" i="1"/>
  <c r="AA118" i="1" s="1"/>
  <c r="AC118" i="1" s="1"/>
  <c r="O118" i="1"/>
  <c r="AB118" i="1" s="1"/>
  <c r="Z117" i="1"/>
  <c r="Y117" i="1"/>
  <c r="X117" i="1"/>
  <c r="W117" i="1"/>
  <c r="V117" i="1"/>
  <c r="P117" i="1"/>
  <c r="O117" i="1"/>
  <c r="AB117" i="1" s="1"/>
  <c r="Z116" i="1"/>
  <c r="Y116" i="1"/>
  <c r="X116" i="1"/>
  <c r="W116" i="1"/>
  <c r="V116" i="1"/>
  <c r="P116" i="1"/>
  <c r="O116" i="1"/>
  <c r="AB116" i="1" s="1"/>
  <c r="AB115" i="1"/>
  <c r="AA115" i="1"/>
  <c r="AC115" i="1" s="1"/>
  <c r="Z115" i="1"/>
  <c r="Y115" i="1"/>
  <c r="X115" i="1"/>
  <c r="W115" i="1"/>
  <c r="V115" i="1"/>
  <c r="AB114" i="1"/>
  <c r="AA114" i="1"/>
  <c r="AC114" i="1" s="1"/>
  <c r="Z114" i="1"/>
  <c r="Y114" i="1"/>
  <c r="X114" i="1"/>
  <c r="W114" i="1"/>
  <c r="V114" i="1"/>
  <c r="AB113" i="1"/>
  <c r="AA113" i="1"/>
  <c r="AC113" i="1" s="1"/>
  <c r="Z113" i="1"/>
  <c r="Y113" i="1"/>
  <c r="X113" i="1"/>
  <c r="W113" i="1"/>
  <c r="V113" i="1"/>
  <c r="AB112" i="1"/>
  <c r="AA112" i="1"/>
  <c r="AC112" i="1" s="1"/>
  <c r="Z112" i="1"/>
  <c r="Y112" i="1"/>
  <c r="X112" i="1"/>
  <c r="W112" i="1"/>
  <c r="V112" i="1"/>
  <c r="T112" i="1"/>
  <c r="AB111" i="1"/>
  <c r="AA111" i="1"/>
  <c r="AC111" i="1" s="1"/>
  <c r="Z111" i="1"/>
  <c r="Y111" i="1"/>
  <c r="X111" i="1"/>
  <c r="W111" i="1"/>
  <c r="V111" i="1"/>
  <c r="T111" i="1"/>
  <c r="AB110" i="1"/>
  <c r="AA110" i="1"/>
  <c r="AC110" i="1" s="1"/>
  <c r="Z110" i="1"/>
  <c r="Y110" i="1"/>
  <c r="X110" i="1"/>
  <c r="W110" i="1"/>
  <c r="V110" i="1"/>
  <c r="T110" i="1"/>
  <c r="AM109" i="1"/>
  <c r="AC109" i="1"/>
  <c r="AB109" i="1"/>
  <c r="AA109" i="1"/>
  <c r="Z109" i="1"/>
  <c r="Y109" i="1"/>
  <c r="X109" i="1"/>
  <c r="W109" i="1"/>
  <c r="V109" i="1"/>
  <c r="AM108" i="1"/>
  <c r="AB108" i="1"/>
  <c r="AA108" i="1"/>
  <c r="AC108" i="1" s="1"/>
  <c r="Z108" i="1"/>
  <c r="Y108" i="1"/>
  <c r="X108" i="1"/>
  <c r="W108" i="1"/>
  <c r="V108" i="1"/>
  <c r="AM107" i="1"/>
  <c r="AB107" i="1"/>
  <c r="AA107" i="1"/>
  <c r="AC107" i="1" s="1"/>
  <c r="Z107" i="1"/>
  <c r="Y107" i="1"/>
  <c r="X107" i="1"/>
  <c r="W107" i="1"/>
  <c r="V107" i="1"/>
  <c r="AE106" i="1"/>
  <c r="AB106" i="1"/>
  <c r="AA106" i="1"/>
  <c r="AC106" i="1" s="1"/>
  <c r="Z106" i="1"/>
  <c r="Y106" i="1"/>
  <c r="X106" i="1"/>
  <c r="W106" i="1"/>
  <c r="V106" i="1"/>
  <c r="T106" i="1"/>
  <c r="AE105" i="1"/>
  <c r="AC105" i="1"/>
  <c r="AB105" i="1"/>
  <c r="AA105" i="1"/>
  <c r="Z105" i="1"/>
  <c r="Y105" i="1"/>
  <c r="X105" i="1"/>
  <c r="W105" i="1"/>
  <c r="V105" i="1"/>
  <c r="T105" i="1"/>
  <c r="AE104" i="1"/>
  <c r="AB104" i="1"/>
  <c r="AA104" i="1"/>
  <c r="AC104" i="1" s="1"/>
  <c r="Z104" i="1"/>
  <c r="Y104" i="1"/>
  <c r="X104" i="1"/>
  <c r="W104" i="1"/>
  <c r="V104" i="1"/>
  <c r="T104" i="1"/>
  <c r="AE103" i="1"/>
  <c r="AB103" i="1"/>
  <c r="AA103" i="1"/>
  <c r="AC103" i="1" s="1"/>
  <c r="Z103" i="1"/>
  <c r="Y103" i="1"/>
  <c r="X103" i="1"/>
  <c r="W103" i="1"/>
  <c r="V103" i="1"/>
  <c r="AE102" i="1"/>
  <c r="AC102" i="1"/>
  <c r="AB102" i="1"/>
  <c r="AA102" i="1"/>
  <c r="Z102" i="1"/>
  <c r="Y102" i="1"/>
  <c r="X102" i="1"/>
  <c r="W102" i="1"/>
  <c r="V102" i="1"/>
  <c r="AE101" i="1"/>
  <c r="AB101" i="1"/>
  <c r="AA101" i="1"/>
  <c r="AC101" i="1" s="1"/>
  <c r="Z101" i="1"/>
  <c r="Y101" i="1"/>
  <c r="X101" i="1"/>
  <c r="W101" i="1"/>
  <c r="V101" i="1"/>
  <c r="Z100" i="1"/>
  <c r="Y100" i="1"/>
  <c r="X100" i="1"/>
  <c r="W100" i="1"/>
  <c r="V100" i="1"/>
  <c r="P100" i="1"/>
  <c r="O100" i="1"/>
  <c r="AB100" i="1" s="1"/>
  <c r="Z99" i="1"/>
  <c r="Y99" i="1"/>
  <c r="X99" i="1"/>
  <c r="W99" i="1"/>
  <c r="V99" i="1"/>
  <c r="P99" i="1"/>
  <c r="O99" i="1"/>
  <c r="Z98" i="1"/>
  <c r="Y98" i="1"/>
  <c r="X98" i="1"/>
  <c r="W98" i="1"/>
  <c r="V98" i="1"/>
  <c r="P98" i="1"/>
  <c r="O98" i="1"/>
  <c r="AB98" i="1" s="1"/>
  <c r="AE97" i="1"/>
  <c r="Z97" i="1"/>
  <c r="Y97" i="1"/>
  <c r="X97" i="1"/>
  <c r="W97" i="1"/>
  <c r="V97" i="1"/>
  <c r="P97" i="1"/>
  <c r="AA97" i="1" s="1"/>
  <c r="AC97" i="1" s="1"/>
  <c r="O97" i="1"/>
  <c r="AB97" i="1" s="1"/>
  <c r="N97" i="1"/>
  <c r="AE96" i="1"/>
  <c r="AA96" i="1"/>
  <c r="AC96" i="1" s="1"/>
  <c r="Z96" i="1"/>
  <c r="Y96" i="1"/>
  <c r="X96" i="1"/>
  <c r="W96" i="1"/>
  <c r="V96" i="1"/>
  <c r="P96" i="1"/>
  <c r="O96" i="1"/>
  <c r="AB96" i="1" s="1"/>
  <c r="N96" i="1"/>
  <c r="AE95" i="1"/>
  <c r="Z95" i="1"/>
  <c r="Y95" i="1"/>
  <c r="X95" i="1"/>
  <c r="W95" i="1"/>
  <c r="V95" i="1"/>
  <c r="P95" i="1"/>
  <c r="O95" i="1"/>
  <c r="AB95" i="1" s="1"/>
  <c r="N95" i="1"/>
  <c r="AB94" i="1"/>
  <c r="AA94" i="1"/>
  <c r="AC94" i="1" s="1"/>
  <c r="Z94" i="1"/>
  <c r="Y94" i="1"/>
  <c r="X94" i="1"/>
  <c r="W94" i="1"/>
  <c r="V94" i="1"/>
  <c r="AB93" i="1"/>
  <c r="AA93" i="1"/>
  <c r="AC93" i="1" s="1"/>
  <c r="Z93" i="1"/>
  <c r="Y93" i="1"/>
  <c r="X93" i="1"/>
  <c r="W93" i="1"/>
  <c r="V93" i="1"/>
  <c r="AB92" i="1"/>
  <c r="AA92" i="1"/>
  <c r="AC92" i="1" s="1"/>
  <c r="Z92" i="1"/>
  <c r="Y92" i="1"/>
  <c r="X92" i="1"/>
  <c r="W92" i="1"/>
  <c r="V92" i="1"/>
  <c r="AB91" i="1"/>
  <c r="Z91" i="1"/>
  <c r="Y91" i="1"/>
  <c r="X91" i="1"/>
  <c r="W91" i="1"/>
  <c r="V91" i="1"/>
  <c r="P91" i="1"/>
  <c r="O91" i="1"/>
  <c r="N91" i="1"/>
  <c r="Z90" i="1"/>
  <c r="Y90" i="1"/>
  <c r="X90" i="1"/>
  <c r="W90" i="1"/>
  <c r="V90" i="1"/>
  <c r="P90" i="1"/>
  <c r="O90" i="1"/>
  <c r="AB90" i="1" s="1"/>
  <c r="N90" i="1"/>
  <c r="AB89" i="1"/>
  <c r="Z89" i="1"/>
  <c r="Y89" i="1"/>
  <c r="X89" i="1"/>
  <c r="W89" i="1"/>
  <c r="V89" i="1"/>
  <c r="P89" i="1"/>
  <c r="O89" i="1"/>
  <c r="N89" i="1"/>
  <c r="AB88" i="1"/>
  <c r="AA88" i="1"/>
  <c r="AC88" i="1" s="1"/>
  <c r="Z88" i="1"/>
  <c r="Y88" i="1"/>
  <c r="X88" i="1"/>
  <c r="W88" i="1"/>
  <c r="V88" i="1"/>
  <c r="AB87" i="1"/>
  <c r="AA87" i="1"/>
  <c r="AC87" i="1" s="1"/>
  <c r="Z87" i="1"/>
  <c r="Y87" i="1"/>
  <c r="X87" i="1"/>
  <c r="W87" i="1"/>
  <c r="V87" i="1"/>
  <c r="AB86" i="1"/>
  <c r="AA86" i="1"/>
  <c r="AC86" i="1" s="1"/>
  <c r="Z86" i="1"/>
  <c r="Y86" i="1"/>
  <c r="X86" i="1"/>
  <c r="W86" i="1"/>
  <c r="V86" i="1"/>
  <c r="Z85" i="1"/>
  <c r="Y85" i="1"/>
  <c r="X85" i="1"/>
  <c r="W85" i="1"/>
  <c r="V85" i="1"/>
  <c r="P85" i="1"/>
  <c r="AA85" i="1" s="1"/>
  <c r="AC85" i="1" s="1"/>
  <c r="N85" i="1"/>
  <c r="Z84" i="1"/>
  <c r="Y84" i="1"/>
  <c r="X84" i="1"/>
  <c r="W84" i="1"/>
  <c r="V84" i="1"/>
  <c r="T84" i="1"/>
  <c r="P84" i="1"/>
  <c r="O84" i="1"/>
  <c r="AA84" i="1" s="1"/>
  <c r="AC84" i="1" s="1"/>
  <c r="N84" i="1"/>
  <c r="AB83" i="1"/>
  <c r="Z83" i="1"/>
  <c r="Y83" i="1"/>
  <c r="X83" i="1"/>
  <c r="W83" i="1"/>
  <c r="V83" i="1"/>
  <c r="P83" i="1"/>
  <c r="O83" i="1"/>
  <c r="N83" i="1"/>
  <c r="AB82" i="1"/>
  <c r="AA82" i="1"/>
  <c r="AC82" i="1" s="1"/>
  <c r="Z82" i="1"/>
  <c r="Y82" i="1"/>
  <c r="X82" i="1"/>
  <c r="W82" i="1"/>
  <c r="V82" i="1"/>
  <c r="AB81" i="1"/>
  <c r="AA81" i="1"/>
  <c r="AC81" i="1" s="1"/>
  <c r="Z81" i="1"/>
  <c r="Y81" i="1"/>
  <c r="X81" i="1"/>
  <c r="W81" i="1"/>
  <c r="V81" i="1"/>
  <c r="T81" i="1"/>
  <c r="AB80" i="1"/>
  <c r="AA80" i="1"/>
  <c r="AC80" i="1" s="1"/>
  <c r="Z80" i="1"/>
  <c r="Y80" i="1"/>
  <c r="X80" i="1"/>
  <c r="W80" i="1"/>
  <c r="V80" i="1"/>
  <c r="AI79" i="1"/>
  <c r="AE79" i="1"/>
  <c r="AB79" i="1"/>
  <c r="AA79" i="1"/>
  <c r="AC79" i="1" s="1"/>
  <c r="Z79" i="1"/>
  <c r="Y79" i="1"/>
  <c r="X79" i="1"/>
  <c r="W79" i="1"/>
  <c r="V79" i="1"/>
  <c r="AI78" i="1"/>
  <c r="AE78" i="1"/>
  <c r="AB78" i="1"/>
  <c r="AA78" i="1"/>
  <c r="AC78" i="1" s="1"/>
  <c r="Z78" i="1"/>
  <c r="Y78" i="1"/>
  <c r="X78" i="1"/>
  <c r="W78" i="1"/>
  <c r="V78" i="1"/>
  <c r="H78" i="1"/>
  <c r="AI77" i="1"/>
  <c r="AE77" i="1"/>
  <c r="AC77" i="1"/>
  <c r="AB77" i="1"/>
  <c r="AA77" i="1"/>
  <c r="Z77" i="1"/>
  <c r="Y77" i="1"/>
  <c r="X77" i="1"/>
  <c r="W77" i="1"/>
  <c r="V77" i="1"/>
  <c r="H77" i="1"/>
  <c r="AB76" i="1"/>
  <c r="AA76" i="1"/>
  <c r="AC76" i="1" s="1"/>
  <c r="Z76" i="1"/>
  <c r="Y76" i="1"/>
  <c r="X76" i="1"/>
  <c r="W76" i="1"/>
  <c r="V76" i="1"/>
  <c r="AB75" i="1"/>
  <c r="AA75" i="1"/>
  <c r="AC75" i="1" s="1"/>
  <c r="Z75" i="1"/>
  <c r="Y75" i="1"/>
  <c r="X75" i="1"/>
  <c r="W75" i="1"/>
  <c r="V75" i="1"/>
  <c r="AB74" i="1"/>
  <c r="AA74" i="1"/>
  <c r="AC74" i="1" s="1"/>
  <c r="Z74" i="1"/>
  <c r="Y74" i="1"/>
  <c r="X74" i="1"/>
  <c r="W74" i="1"/>
  <c r="V74" i="1"/>
  <c r="AE73" i="1"/>
  <c r="AB73" i="1"/>
  <c r="AA73" i="1"/>
  <c r="AC73" i="1" s="1"/>
  <c r="Z73" i="1"/>
  <c r="Y73" i="1"/>
  <c r="X73" i="1"/>
  <c r="W73" i="1"/>
  <c r="V73" i="1"/>
  <c r="T73" i="1"/>
  <c r="AE72" i="1"/>
  <c r="AC72" i="1"/>
  <c r="AB72" i="1"/>
  <c r="AA72" i="1"/>
  <c r="Z72" i="1"/>
  <c r="Y72" i="1"/>
  <c r="X72" i="1"/>
  <c r="W72" i="1"/>
  <c r="V72" i="1"/>
  <c r="T72" i="1"/>
  <c r="AE71" i="1"/>
  <c r="AB71" i="1"/>
  <c r="AA71" i="1"/>
  <c r="AC71" i="1" s="1"/>
  <c r="Z71" i="1"/>
  <c r="Y71" i="1"/>
  <c r="X71" i="1"/>
  <c r="W71" i="1"/>
  <c r="V71" i="1"/>
  <c r="T71" i="1"/>
  <c r="AM70" i="1"/>
  <c r="AI70" i="1"/>
  <c r="AE70" i="1"/>
  <c r="AB70" i="1"/>
  <c r="AA70" i="1"/>
  <c r="AC70" i="1" s="1"/>
  <c r="Z70" i="1"/>
  <c r="Y70" i="1"/>
  <c r="X70" i="1"/>
  <c r="W70" i="1"/>
  <c r="V70" i="1"/>
  <c r="T70" i="1"/>
  <c r="AM69" i="1"/>
  <c r="AI69" i="1"/>
  <c r="AE69" i="1"/>
  <c r="AB69" i="1"/>
  <c r="AA69" i="1"/>
  <c r="AC69" i="1" s="1"/>
  <c r="Z69" i="1"/>
  <c r="Y69" i="1"/>
  <c r="X69" i="1"/>
  <c r="W69" i="1"/>
  <c r="V69" i="1"/>
  <c r="T69" i="1"/>
  <c r="AM68" i="1"/>
  <c r="AE68" i="1"/>
  <c r="AB68" i="1"/>
  <c r="AA68" i="1"/>
  <c r="AC68" i="1" s="1"/>
  <c r="Z68" i="1"/>
  <c r="Y68" i="1"/>
  <c r="X68" i="1"/>
  <c r="W68" i="1"/>
  <c r="V68" i="1"/>
  <c r="T68" i="1"/>
  <c r="AB67" i="1"/>
  <c r="AA67" i="1"/>
  <c r="AC67" i="1" s="1"/>
  <c r="Z67" i="1"/>
  <c r="Y67" i="1"/>
  <c r="X67" i="1"/>
  <c r="W67" i="1"/>
  <c r="V67" i="1"/>
  <c r="AB66" i="1"/>
  <c r="AA66" i="1"/>
  <c r="AC66" i="1" s="1"/>
  <c r="Z66" i="1"/>
  <c r="Y66" i="1"/>
  <c r="X66" i="1"/>
  <c r="W66" i="1"/>
  <c r="V66" i="1"/>
  <c r="T66" i="1"/>
  <c r="AB65" i="1"/>
  <c r="AA65" i="1"/>
  <c r="AC65" i="1" s="1"/>
  <c r="Z65" i="1"/>
  <c r="Y65" i="1"/>
  <c r="X65" i="1"/>
  <c r="W65" i="1"/>
  <c r="V65" i="1"/>
  <c r="T65" i="1"/>
  <c r="AB64" i="1"/>
  <c r="AA64" i="1"/>
  <c r="AC64" i="1" s="1"/>
  <c r="Z64" i="1"/>
  <c r="Y64" i="1"/>
  <c r="X64" i="1"/>
  <c r="W64" i="1"/>
  <c r="V64" i="1"/>
  <c r="T64" i="1"/>
  <c r="AB63" i="1"/>
  <c r="AA63" i="1"/>
  <c r="AC63" i="1" s="1"/>
  <c r="Z63" i="1"/>
  <c r="Y63" i="1"/>
  <c r="X63" i="1"/>
  <c r="W63" i="1"/>
  <c r="V63" i="1"/>
  <c r="T63" i="1"/>
  <c r="AC62" i="1"/>
  <c r="AB62" i="1"/>
  <c r="AA62" i="1"/>
  <c r="Z62" i="1"/>
  <c r="Y62" i="1"/>
  <c r="X62" i="1"/>
  <c r="W62" i="1"/>
  <c r="V62" i="1"/>
  <c r="AB61" i="1"/>
  <c r="AA61" i="1"/>
  <c r="AC61" i="1" s="1"/>
  <c r="Z61" i="1"/>
  <c r="Y61" i="1"/>
  <c r="X61" i="1"/>
  <c r="W61" i="1"/>
  <c r="V61" i="1"/>
  <c r="AB60" i="1"/>
  <c r="AA60" i="1"/>
  <c r="AC60" i="1" s="1"/>
  <c r="Z60" i="1"/>
  <c r="Y60" i="1"/>
  <c r="X60" i="1"/>
  <c r="W60" i="1"/>
  <c r="V60" i="1"/>
  <c r="AB59" i="1"/>
  <c r="AA59" i="1"/>
  <c r="AC59" i="1" s="1"/>
  <c r="Z59" i="1"/>
  <c r="Y59" i="1"/>
  <c r="X59" i="1"/>
  <c r="W59" i="1"/>
  <c r="V59" i="1"/>
  <c r="AB58" i="1"/>
  <c r="AA58" i="1"/>
  <c r="AC58" i="1" s="1"/>
  <c r="Z58" i="1"/>
  <c r="Y58" i="1"/>
  <c r="X58" i="1"/>
  <c r="W58" i="1"/>
  <c r="V58" i="1"/>
  <c r="AB57" i="1"/>
  <c r="AA57" i="1"/>
  <c r="AC57" i="1" s="1"/>
  <c r="Z57" i="1"/>
  <c r="Y57" i="1"/>
  <c r="X57" i="1"/>
  <c r="W57" i="1"/>
  <c r="V57" i="1"/>
  <c r="AB56" i="1"/>
  <c r="AA56" i="1"/>
  <c r="AC56" i="1" s="1"/>
  <c r="Z56" i="1"/>
  <c r="Y56" i="1"/>
  <c r="X56" i="1"/>
  <c r="W56" i="1"/>
  <c r="V56" i="1"/>
  <c r="AB55" i="1"/>
  <c r="AA55" i="1"/>
  <c r="AC55" i="1" s="1"/>
  <c r="Z55" i="1"/>
  <c r="Y55" i="1"/>
  <c r="X55" i="1"/>
  <c r="W55" i="1"/>
  <c r="V55" i="1"/>
  <c r="AB54" i="1"/>
  <c r="AA54" i="1"/>
  <c r="AC54" i="1" s="1"/>
  <c r="Z54" i="1"/>
  <c r="Y54" i="1"/>
  <c r="X54" i="1"/>
  <c r="W54" i="1"/>
  <c r="V54" i="1"/>
  <c r="AB53" i="1"/>
  <c r="AA53" i="1"/>
  <c r="AC53" i="1" s="1"/>
  <c r="Z53" i="1"/>
  <c r="Y53" i="1"/>
  <c r="X53" i="1"/>
  <c r="W53" i="1"/>
  <c r="V53" i="1"/>
  <c r="AB52" i="1"/>
  <c r="AA52" i="1"/>
  <c r="AC52" i="1" s="1"/>
  <c r="Z52" i="1"/>
  <c r="Y52" i="1"/>
  <c r="X52" i="1"/>
  <c r="W52" i="1"/>
  <c r="V52" i="1"/>
  <c r="AB51" i="1"/>
  <c r="AA51" i="1"/>
  <c r="AC51" i="1" s="1"/>
  <c r="Z51" i="1"/>
  <c r="Y51" i="1"/>
  <c r="X51" i="1"/>
  <c r="W51" i="1"/>
  <c r="V51" i="1"/>
  <c r="AB50" i="1"/>
  <c r="AA50" i="1"/>
  <c r="AC50" i="1" s="1"/>
  <c r="Z50" i="1"/>
  <c r="Y50" i="1"/>
  <c r="X50" i="1"/>
  <c r="W50" i="1"/>
  <c r="V50" i="1"/>
  <c r="AB49" i="1"/>
  <c r="AA49" i="1"/>
  <c r="AC49" i="1" s="1"/>
  <c r="Z49" i="1"/>
  <c r="Y49" i="1"/>
  <c r="X49" i="1"/>
  <c r="W49" i="1"/>
  <c r="V49" i="1"/>
  <c r="AB48" i="1"/>
  <c r="AA48" i="1"/>
  <c r="AC48" i="1" s="1"/>
  <c r="Z48" i="1"/>
  <c r="Y48" i="1"/>
  <c r="X48" i="1"/>
  <c r="W48" i="1"/>
  <c r="V48" i="1"/>
  <c r="AB47" i="1"/>
  <c r="AA47" i="1"/>
  <c r="AC47" i="1" s="1"/>
  <c r="Z47" i="1"/>
  <c r="Y47" i="1"/>
  <c r="X47" i="1"/>
  <c r="W47" i="1"/>
  <c r="V47" i="1"/>
  <c r="AB46" i="1"/>
  <c r="AA46" i="1"/>
  <c r="AC46" i="1" s="1"/>
  <c r="Z46" i="1"/>
  <c r="Y46" i="1"/>
  <c r="X46" i="1"/>
  <c r="W46" i="1"/>
  <c r="V46" i="1"/>
  <c r="AB45" i="1"/>
  <c r="AA45" i="1"/>
  <c r="AC45" i="1" s="1"/>
  <c r="Z45" i="1"/>
  <c r="Y45" i="1"/>
  <c r="X45" i="1"/>
  <c r="W45" i="1"/>
  <c r="V45" i="1"/>
  <c r="AB44" i="1"/>
  <c r="AA44" i="1"/>
  <c r="AC44" i="1" s="1"/>
  <c r="Z44" i="1"/>
  <c r="Y44" i="1"/>
  <c r="X44" i="1"/>
  <c r="W44" i="1"/>
  <c r="V44" i="1"/>
  <c r="AB43" i="1"/>
  <c r="AA43" i="1"/>
  <c r="AC43" i="1" s="1"/>
  <c r="Z43" i="1"/>
  <c r="Y43" i="1"/>
  <c r="X43" i="1"/>
  <c r="W43" i="1"/>
  <c r="V43" i="1"/>
  <c r="AB42" i="1"/>
  <c r="AA42" i="1"/>
  <c r="AC42" i="1" s="1"/>
  <c r="Z42" i="1"/>
  <c r="Y42" i="1"/>
  <c r="X42" i="1"/>
  <c r="W42" i="1"/>
  <c r="V42" i="1"/>
  <c r="AB41" i="1"/>
  <c r="AA41" i="1"/>
  <c r="AC41" i="1" s="1"/>
  <c r="Z41" i="1"/>
  <c r="Y41" i="1"/>
  <c r="X41" i="1"/>
  <c r="W41" i="1"/>
  <c r="V41" i="1"/>
  <c r="AB40" i="1"/>
  <c r="AA40" i="1"/>
  <c r="AC40" i="1" s="1"/>
  <c r="Z40" i="1"/>
  <c r="Y40" i="1"/>
  <c r="X40" i="1"/>
  <c r="W40" i="1"/>
  <c r="V40" i="1"/>
  <c r="T40" i="1"/>
  <c r="AB39" i="1"/>
  <c r="AA39" i="1"/>
  <c r="AC39" i="1" s="1"/>
  <c r="Z39" i="1"/>
  <c r="Y39" i="1"/>
  <c r="X39" i="1"/>
  <c r="W39" i="1"/>
  <c r="V39" i="1"/>
  <c r="AB38" i="1"/>
  <c r="AA38" i="1"/>
  <c r="AC38" i="1" s="1"/>
  <c r="Z38" i="1"/>
  <c r="Y38" i="1"/>
  <c r="X38" i="1"/>
  <c r="W38" i="1"/>
  <c r="V38" i="1"/>
  <c r="AB37" i="1"/>
  <c r="AA37" i="1"/>
  <c r="AC37" i="1" s="1"/>
  <c r="Z37" i="1"/>
  <c r="Y37" i="1"/>
  <c r="X37" i="1"/>
  <c r="W37" i="1"/>
  <c r="V37" i="1"/>
  <c r="H37" i="1"/>
  <c r="AB36" i="1"/>
  <c r="AA36" i="1"/>
  <c r="AC36" i="1" s="1"/>
  <c r="Z36" i="1"/>
  <c r="Y36" i="1"/>
  <c r="X36" i="1"/>
  <c r="W36" i="1"/>
  <c r="V36" i="1"/>
  <c r="H36" i="1"/>
  <c r="AB35" i="1"/>
  <c r="AA35" i="1"/>
  <c r="AC35" i="1" s="1"/>
  <c r="Z35" i="1"/>
  <c r="Y35" i="1"/>
  <c r="X35" i="1"/>
  <c r="W35" i="1"/>
  <c r="V35" i="1" s="1"/>
  <c r="H35" i="1"/>
  <c r="AB34" i="1"/>
  <c r="AA34" i="1"/>
  <c r="AC34" i="1" s="1"/>
  <c r="Z34" i="1"/>
  <c r="Y34" i="1"/>
  <c r="X34" i="1"/>
  <c r="W34" i="1"/>
  <c r="V34" i="1"/>
  <c r="T34" i="1"/>
  <c r="H34" i="1"/>
  <c r="AC33" i="1"/>
  <c r="AB33" i="1"/>
  <c r="AA33" i="1"/>
  <c r="Z33" i="1"/>
  <c r="Y33" i="1"/>
  <c r="X33" i="1"/>
  <c r="W33" i="1"/>
  <c r="V33" i="1"/>
  <c r="T33" i="1"/>
  <c r="H33" i="1"/>
  <c r="AB32" i="1"/>
  <c r="AA32" i="1"/>
  <c r="AC32" i="1" s="1"/>
  <c r="Z32" i="1"/>
  <c r="Y32" i="1"/>
  <c r="X32" i="1"/>
  <c r="W32" i="1"/>
  <c r="V32" i="1"/>
  <c r="T32" i="1"/>
  <c r="H32" i="1"/>
  <c r="AC31" i="1"/>
  <c r="AB31" i="1"/>
  <c r="AA31" i="1"/>
  <c r="Z31" i="1"/>
  <c r="Y31" i="1"/>
  <c r="X31" i="1"/>
  <c r="W31" i="1"/>
  <c r="V31" i="1"/>
  <c r="AC30" i="1"/>
  <c r="AB30" i="1"/>
  <c r="AA30" i="1"/>
  <c r="Z30" i="1"/>
  <c r="Y30" i="1"/>
  <c r="X30" i="1"/>
  <c r="W30" i="1"/>
  <c r="V30" i="1"/>
  <c r="AC29" i="1"/>
  <c r="AB29" i="1"/>
  <c r="AA29" i="1"/>
  <c r="Z29" i="1"/>
  <c r="Y29" i="1"/>
  <c r="X29" i="1"/>
  <c r="W29" i="1"/>
  <c r="V29" i="1"/>
  <c r="AC28" i="1"/>
  <c r="AB28" i="1"/>
  <c r="AA28" i="1"/>
  <c r="Z28" i="1"/>
  <c r="Y28" i="1"/>
  <c r="X28" i="1"/>
  <c r="W28" i="1"/>
  <c r="V28" i="1"/>
  <c r="AC27" i="1"/>
  <c r="AB27" i="1"/>
  <c r="AA27" i="1"/>
  <c r="Z27" i="1"/>
  <c r="Y27" i="1"/>
  <c r="X27" i="1"/>
  <c r="W27" i="1"/>
  <c r="V27" i="1"/>
  <c r="AC26" i="1"/>
  <c r="AB26" i="1"/>
  <c r="AA26" i="1"/>
  <c r="Z26" i="1"/>
  <c r="Y26" i="1"/>
  <c r="X26" i="1"/>
  <c r="W26" i="1"/>
  <c r="V26" i="1"/>
  <c r="AC25" i="1"/>
  <c r="AB25" i="1"/>
  <c r="AA25" i="1"/>
  <c r="Z25" i="1"/>
  <c r="Y25" i="1"/>
  <c r="X25" i="1"/>
  <c r="W25" i="1"/>
  <c r="V25" i="1"/>
  <c r="AC24" i="1"/>
  <c r="AB24" i="1"/>
  <c r="AA24" i="1"/>
  <c r="Z24" i="1"/>
  <c r="Y24" i="1"/>
  <c r="X24" i="1"/>
  <c r="W24" i="1"/>
  <c r="V24" i="1"/>
  <c r="AC23" i="1"/>
  <c r="AB23" i="1"/>
  <c r="AA23" i="1"/>
  <c r="Z23" i="1"/>
  <c r="Y23" i="1"/>
  <c r="X23" i="1"/>
  <c r="W23" i="1"/>
  <c r="V23" i="1"/>
  <c r="AB22" i="1"/>
  <c r="AA22" i="1"/>
  <c r="AC22" i="1" s="1"/>
  <c r="Z22" i="1"/>
  <c r="Y22" i="1"/>
  <c r="X22" i="1"/>
  <c r="W22" i="1"/>
  <c r="V22" i="1"/>
  <c r="T22" i="1"/>
  <c r="H22" i="1"/>
  <c r="AB21" i="1"/>
  <c r="AA21" i="1"/>
  <c r="AC21" i="1" s="1"/>
  <c r="Z21" i="1"/>
  <c r="Y21" i="1"/>
  <c r="X21" i="1"/>
  <c r="W21" i="1"/>
  <c r="V21" i="1"/>
  <c r="H21" i="1"/>
  <c r="AB20" i="1"/>
  <c r="AA20" i="1"/>
  <c r="AC20" i="1" s="1"/>
  <c r="Z20" i="1"/>
  <c r="Y20" i="1"/>
  <c r="X20" i="1"/>
  <c r="W20" i="1"/>
  <c r="V20" i="1"/>
  <c r="H20" i="1"/>
  <c r="AB19" i="1"/>
  <c r="AA19" i="1"/>
  <c r="AC19" i="1" s="1"/>
  <c r="Z19" i="1"/>
  <c r="Y19" i="1"/>
  <c r="X19" i="1"/>
  <c r="W19" i="1"/>
  <c r="V19" i="1"/>
  <c r="T19" i="1"/>
  <c r="AB18" i="1"/>
  <c r="AA18" i="1"/>
  <c r="AC18" i="1" s="1"/>
  <c r="Z18" i="1"/>
  <c r="Y18" i="1"/>
  <c r="X18" i="1"/>
  <c r="W18" i="1"/>
  <c r="V18" i="1"/>
  <c r="T18" i="1"/>
  <c r="AB17" i="1"/>
  <c r="AA17" i="1"/>
  <c r="AC17" i="1" s="1"/>
  <c r="Z17" i="1"/>
  <c r="Y17" i="1"/>
  <c r="X17" i="1"/>
  <c r="W17" i="1"/>
  <c r="V17" i="1"/>
  <c r="T17" i="1"/>
  <c r="AB16" i="1"/>
  <c r="AA16" i="1"/>
  <c r="AC16" i="1" s="1"/>
  <c r="Z16" i="1"/>
  <c r="Y16" i="1"/>
  <c r="X16" i="1"/>
  <c r="W16" i="1"/>
  <c r="V16" i="1"/>
  <c r="T16" i="1"/>
  <c r="H16" i="1"/>
  <c r="AC15" i="1"/>
  <c r="AB15" i="1"/>
  <c r="AA15" i="1"/>
  <c r="Z15" i="1"/>
  <c r="Y15" i="1"/>
  <c r="X15" i="1"/>
  <c r="W15" i="1"/>
  <c r="V15" i="1"/>
  <c r="T15" i="1"/>
  <c r="H15" i="1"/>
  <c r="AB14" i="1"/>
  <c r="AA14" i="1"/>
  <c r="AC14" i="1" s="1"/>
  <c r="Z14" i="1"/>
  <c r="Y14" i="1"/>
  <c r="X14" i="1"/>
  <c r="W14" i="1"/>
  <c r="V14" i="1"/>
  <c r="T14" i="1"/>
  <c r="H14" i="1"/>
  <c r="AC13" i="1"/>
  <c r="AB13" i="1"/>
  <c r="AA13" i="1"/>
  <c r="Z13" i="1"/>
  <c r="Y13" i="1"/>
  <c r="X13" i="1"/>
  <c r="W13" i="1"/>
  <c r="V13" i="1"/>
  <c r="T13" i="1"/>
  <c r="N13" i="1"/>
  <c r="AB12" i="1"/>
  <c r="AA12" i="1"/>
  <c r="AC12" i="1" s="1"/>
  <c r="Z12" i="1"/>
  <c r="Y12" i="1"/>
  <c r="X12" i="1"/>
  <c r="W12" i="1"/>
  <c r="V12" i="1"/>
  <c r="T12" i="1"/>
  <c r="N12" i="1"/>
  <c r="AB11" i="1"/>
  <c r="AA11" i="1"/>
  <c r="AC11" i="1" s="1"/>
  <c r="Z11" i="1"/>
  <c r="Y11" i="1"/>
  <c r="X11" i="1"/>
  <c r="W11" i="1"/>
  <c r="V11" i="1"/>
  <c r="T11" i="1"/>
  <c r="N11" i="1"/>
  <c r="AB10" i="1"/>
  <c r="Z10" i="1"/>
  <c r="Y10" i="1"/>
  <c r="X10" i="1"/>
  <c r="W10" i="1"/>
  <c r="V10" i="1"/>
  <c r="T10" i="1"/>
  <c r="P10" i="1"/>
  <c r="AA10" i="1" s="1"/>
  <c r="AC10" i="1" s="1"/>
  <c r="H10" i="1"/>
  <c r="AB9" i="1"/>
  <c r="AA9" i="1"/>
  <c r="AC9" i="1" s="1"/>
  <c r="Z9" i="1"/>
  <c r="Y9" i="1"/>
  <c r="X9" i="1"/>
  <c r="W9" i="1"/>
  <c r="V9" i="1"/>
  <c r="T9" i="1"/>
  <c r="P9" i="1"/>
  <c r="H9" i="1"/>
  <c r="AB8" i="1"/>
  <c r="Z8" i="1"/>
  <c r="Y8" i="1"/>
  <c r="X8" i="1"/>
  <c r="W8" i="1"/>
  <c r="V8" i="1"/>
  <c r="T8" i="1"/>
  <c r="P8" i="1"/>
  <c r="AA8" i="1" s="1"/>
  <c r="AC8" i="1" s="1"/>
  <c r="H8" i="1"/>
  <c r="AB7" i="1"/>
  <c r="AA7" i="1"/>
  <c r="AC7" i="1" s="1"/>
  <c r="Z7" i="1"/>
  <c r="Y7" i="1"/>
  <c r="X7" i="1"/>
  <c r="W7" i="1"/>
  <c r="V7" i="1"/>
  <c r="T7" i="1"/>
  <c r="N7" i="1"/>
  <c r="AB6" i="1"/>
  <c r="AA6" i="1"/>
  <c r="AC6" i="1" s="1"/>
  <c r="Z6" i="1"/>
  <c r="Y6" i="1"/>
  <c r="X6" i="1"/>
  <c r="W6" i="1"/>
  <c r="V6" i="1"/>
  <c r="T6" i="1"/>
  <c r="N6" i="1"/>
  <c r="AC5" i="1"/>
  <c r="AB5" i="1"/>
  <c r="AA5" i="1"/>
  <c r="Z5" i="1"/>
  <c r="Y5" i="1"/>
  <c r="X5" i="1"/>
  <c r="W5" i="1"/>
  <c r="V5" i="1"/>
  <c r="T5" i="1"/>
  <c r="N5" i="1"/>
  <c r="AB4" i="1"/>
  <c r="AA4" i="1"/>
  <c r="AC4" i="1" s="1"/>
  <c r="Z4" i="1"/>
  <c r="Y4" i="1"/>
  <c r="X4" i="1"/>
  <c r="W4" i="1"/>
  <c r="V4" i="1"/>
  <c r="T4" i="1"/>
  <c r="AB3" i="1"/>
  <c r="AA3" i="1"/>
  <c r="AC3" i="1" s="1"/>
  <c r="Z3" i="1"/>
  <c r="Y3" i="1"/>
  <c r="X3" i="1"/>
  <c r="W3" i="1"/>
  <c r="V3" i="1"/>
  <c r="T3" i="1"/>
  <c r="AB2" i="1"/>
  <c r="AA2" i="1"/>
  <c r="AC2" i="1" s="1"/>
  <c r="Z2" i="1"/>
  <c r="Y2" i="1"/>
  <c r="X2" i="1"/>
  <c r="W2" i="1"/>
  <c r="V2" i="1"/>
  <c r="T2" i="1"/>
  <c r="G196" i="8" l="1"/>
  <c r="Z53" i="8"/>
  <c r="X53" i="8"/>
  <c r="Z84" i="8"/>
  <c r="X84" i="8"/>
  <c r="G198" i="8"/>
  <c r="X302" i="8"/>
  <c r="Y302" i="8"/>
  <c r="Y310" i="8"/>
  <c r="X310" i="8"/>
  <c r="X68" i="8"/>
  <c r="X70" i="8"/>
  <c r="X71" i="8"/>
  <c r="U196" i="8"/>
  <c r="Y254" i="8"/>
  <c r="AA356" i="8"/>
  <c r="Z28" i="8"/>
  <c r="AA69" i="8"/>
  <c r="X68" i="5"/>
  <c r="X21" i="5"/>
  <c r="V22" i="5"/>
  <c r="G21" i="5"/>
  <c r="R21" i="5" s="1"/>
  <c r="Z20" i="5"/>
  <c r="X20" i="5"/>
  <c r="W21" i="5"/>
  <c r="G22" i="5"/>
  <c r="R22" i="5" s="1"/>
  <c r="Z22" i="5"/>
  <c r="AA91" i="1"/>
  <c r="AC91" i="1" s="1"/>
  <c r="AA99" i="1"/>
  <c r="AC99" i="1" s="1"/>
  <c r="AA116" i="1"/>
  <c r="AC116" i="1" s="1"/>
  <c r="AB168" i="1"/>
  <c r="AB226" i="1"/>
  <c r="AA89" i="1"/>
  <c r="AC89" i="1" s="1"/>
  <c r="AA90" i="1"/>
  <c r="AC90" i="1" s="1"/>
  <c r="AA95" i="1"/>
  <c r="AC95" i="1" s="1"/>
  <c r="AA100" i="1"/>
  <c r="AC100" i="1" s="1"/>
  <c r="AA127" i="1"/>
  <c r="AC127" i="1" s="1"/>
  <c r="Y244" i="1"/>
  <c r="AB84" i="1"/>
  <c r="Z226" i="1"/>
  <c r="AB412" i="1"/>
  <c r="T20" i="5"/>
  <c r="Y20" i="5"/>
  <c r="S21" i="5"/>
  <c r="X70" i="5"/>
  <c r="W76" i="5"/>
  <c r="X7" i="6"/>
  <c r="Z8" i="6"/>
  <c r="Z10" i="6"/>
  <c r="X32" i="6"/>
  <c r="X27" i="8"/>
  <c r="AA49" i="8"/>
  <c r="AA53" i="8"/>
  <c r="X73" i="8"/>
  <c r="AA84" i="8"/>
  <c r="Z85" i="8"/>
  <c r="X112" i="8"/>
  <c r="AA123" i="8"/>
  <c r="X169" i="8"/>
  <c r="X171" i="8"/>
  <c r="Z355" i="8"/>
  <c r="X357" i="8"/>
  <c r="Z14" i="6"/>
  <c r="Z16" i="6"/>
  <c r="Z26" i="8"/>
  <c r="AA36" i="8"/>
  <c r="AA110" i="8"/>
  <c r="Z111" i="8"/>
  <c r="AA127" i="8"/>
  <c r="S196" i="8"/>
  <c r="Y255" i="8"/>
  <c r="X303" i="8"/>
  <c r="X307" i="8"/>
  <c r="X326" i="8"/>
  <c r="AA355" i="8"/>
  <c r="X356" i="8"/>
  <c r="G20" i="5"/>
  <c r="R20" i="5" s="1"/>
  <c r="T22" i="5"/>
  <c r="Y22" i="5"/>
  <c r="Z9" i="6"/>
  <c r="AA27" i="8"/>
  <c r="AA73" i="8"/>
  <c r="AA112" i="8"/>
  <c r="X123" i="8"/>
  <c r="AA169" i="8"/>
  <c r="AA171" i="8"/>
  <c r="X308" i="8"/>
  <c r="Z357" i="8"/>
  <c r="V20" i="5"/>
  <c r="S22" i="5"/>
  <c r="X22" i="5"/>
  <c r="Z15" i="6"/>
  <c r="X33" i="6"/>
  <c r="X36" i="8"/>
  <c r="X48" i="8"/>
  <c r="X50" i="8"/>
  <c r="X51" i="8"/>
  <c r="X76" i="8"/>
  <c r="X110" i="8"/>
  <c r="X127" i="8"/>
  <c r="G197" i="8"/>
  <c r="R197" i="8" s="1"/>
  <c r="X309" i="8"/>
  <c r="X325" i="8"/>
  <c r="X327" i="8"/>
  <c r="X248" i="8"/>
  <c r="Y248" i="8"/>
  <c r="Z31" i="7"/>
  <c r="W31" i="7"/>
  <c r="Y31" i="7"/>
  <c r="X47" i="8"/>
  <c r="AA47" i="8"/>
  <c r="Z47" i="8"/>
  <c r="X75" i="8"/>
  <c r="AA75" i="8"/>
  <c r="Z75" i="8"/>
  <c r="AA83" i="1"/>
  <c r="AC83" i="1" s="1"/>
  <c r="AA98" i="1"/>
  <c r="AC98" i="1" s="1"/>
  <c r="AA117" i="1"/>
  <c r="AC117" i="1" s="1"/>
  <c r="Z179" i="1"/>
  <c r="AB244" i="1"/>
  <c r="Y412" i="1"/>
  <c r="AA72" i="8"/>
  <c r="X72" i="8"/>
  <c r="Z72" i="8"/>
  <c r="AA52" i="8"/>
  <c r="X52" i="8"/>
  <c r="Z52" i="8"/>
  <c r="R198" i="8"/>
  <c r="X313" i="8"/>
  <c r="Y313" i="8"/>
  <c r="Y179" i="1"/>
  <c r="AB99" i="1"/>
  <c r="Y168" i="1"/>
  <c r="X450" i="1"/>
  <c r="X55" i="8"/>
  <c r="AA55" i="8"/>
  <c r="Z55" i="8"/>
  <c r="V21" i="5"/>
  <c r="Y21" i="5"/>
  <c r="U21" i="5"/>
  <c r="W451" i="1"/>
  <c r="X6" i="6"/>
  <c r="W6" i="6"/>
  <c r="W29" i="7"/>
  <c r="Z29" i="7"/>
  <c r="Y29" i="7"/>
  <c r="X196" i="8"/>
  <c r="Y196" i="8"/>
  <c r="AA197" i="8"/>
  <c r="S197" i="8"/>
  <c r="V197" i="8"/>
  <c r="Z197" i="8"/>
  <c r="U197" i="8"/>
  <c r="Y197" i="8"/>
  <c r="T197" i="8"/>
  <c r="T21" i="5"/>
  <c r="W30" i="7"/>
  <c r="Z30" i="7"/>
  <c r="Y30" i="7"/>
  <c r="X35" i="8"/>
  <c r="Z35" i="8"/>
  <c r="AA122" i="8"/>
  <c r="X122" i="8"/>
  <c r="AA126" i="8"/>
  <c r="X126" i="8"/>
  <c r="Z126" i="8"/>
  <c r="W20" i="5"/>
  <c r="W22" i="5"/>
  <c r="W75" i="5"/>
  <c r="W8" i="6"/>
  <c r="W9" i="6"/>
  <c r="W10" i="6"/>
  <c r="W14" i="6"/>
  <c r="W15" i="6"/>
  <c r="W16" i="6"/>
  <c r="AA28" i="8"/>
  <c r="Z37" i="8"/>
  <c r="X49" i="8"/>
  <c r="Z50" i="8"/>
  <c r="X54" i="8"/>
  <c r="X69" i="8"/>
  <c r="Z70" i="8"/>
  <c r="X74" i="8"/>
  <c r="AA111" i="8"/>
  <c r="X124" i="8"/>
  <c r="X170" i="8"/>
  <c r="AA170" i="8"/>
  <c r="R196" i="8"/>
  <c r="X314" i="8"/>
  <c r="Y314" i="8"/>
  <c r="Z21" i="5"/>
  <c r="AA37" i="8"/>
  <c r="Z48" i="8"/>
  <c r="Z51" i="8"/>
  <c r="Z68" i="8"/>
  <c r="Z71" i="8"/>
  <c r="Z76" i="8"/>
  <c r="X247" i="8"/>
  <c r="Y247" i="8"/>
  <c r="X249" i="8"/>
  <c r="Y249" i="8"/>
  <c r="X315" i="8"/>
  <c r="Y315" i="8"/>
  <c r="AA26" i="8"/>
  <c r="Z54" i="8"/>
  <c r="Z74" i="8"/>
  <c r="AA85" i="8"/>
  <c r="Z124" i="8"/>
  <c r="V196" i="8"/>
  <c r="T196" i="8"/>
  <c r="V198" i="8"/>
  <c r="AA307" i="8"/>
  <c r="AA308" i="8"/>
  <c r="AA309" i="8"/>
  <c r="T198" i="8"/>
  <c r="Y198" i="8"/>
  <c r="U19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K15" authorId="0" shapeId="0" xr:uid="{00000000-0006-0000-0000-000001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M15" authorId="0" shapeId="0" xr:uid="{00000000-0006-0000-0000-000002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K209" authorId="0" shapeId="0" xr:uid="{00000000-0006-0000-0000-000003000000}">
      <text>
        <r>
          <rPr>
            <sz val="11"/>
            <color theme="1"/>
            <rFont val="Calibri"/>
            <scheme val="minor"/>
          </rPr>
          <t>telepon dan internet
======</t>
        </r>
      </text>
    </comment>
    <comment ref="AJ452" authorId="0" shapeId="0" xr:uid="{00000000-0006-0000-0000-000004000000}">
      <text>
        <r>
          <rPr>
            <sz val="11"/>
            <color theme="1"/>
            <rFont val="Calibri"/>
            <scheme val="minor"/>
          </rPr>
          <t>Hak Menggunakan Kanal dan Biaya Perolehan Pelanggan
======</t>
        </r>
      </text>
    </comment>
    <comment ref="AK452" authorId="0" shapeId="0" xr:uid="{00000000-0006-0000-0000-000005000000}">
      <text>
        <r>
          <rPr>
            <sz val="11"/>
            <color theme="1"/>
            <rFont val="Calibri"/>
            <scheme val="minor"/>
          </rPr>
          <t>Beban IT muncul karena Sektor Telekomunikasi, bisa jadi beban operasional
======</t>
        </r>
      </text>
    </comment>
  </commentList>
</comments>
</file>

<file path=xl/sharedStrings.xml><?xml version="1.0" encoding="utf-8"?>
<sst xmlns="http://schemas.openxmlformats.org/spreadsheetml/2006/main" count="3611" uniqueCount="509">
  <si>
    <t xml:space="preserve">   </t>
  </si>
  <si>
    <t>Year</t>
  </si>
  <si>
    <t>Code</t>
  </si>
  <si>
    <t>Company Name</t>
  </si>
  <si>
    <t>SIC-2</t>
  </si>
  <si>
    <t>Sub Sector</t>
  </si>
  <si>
    <t xml:space="preserve"> Current’s shares price </t>
  </si>
  <si>
    <t xml:space="preserve"> Investment </t>
  </si>
  <si>
    <t xml:space="preserve"> Fixed Assets </t>
  </si>
  <si>
    <t xml:space="preserve"> Total Assets </t>
  </si>
  <si>
    <t xml:space="preserve"> Long-Term Liabilities </t>
  </si>
  <si>
    <t xml:space="preserve"> Total Liabilities </t>
  </si>
  <si>
    <t xml:space="preserve"> Total Equity </t>
  </si>
  <si>
    <t xml:space="preserve"> Total outstanding shares </t>
  </si>
  <si>
    <t xml:space="preserve"> Total Sales/ Revenue </t>
  </si>
  <si>
    <t xml:space="preserve"> COGS/ Cost of Revenues </t>
  </si>
  <si>
    <t>delta sales</t>
  </si>
  <si>
    <t>delta COGS</t>
  </si>
  <si>
    <t>ITSE</t>
  </si>
  <si>
    <t xml:space="preserve"> Expenses (Income) </t>
  </si>
  <si>
    <t xml:space="preserve"> Net Income </t>
  </si>
  <si>
    <t xml:space="preserve"> PBV </t>
  </si>
  <si>
    <t>DAR</t>
  </si>
  <si>
    <t xml:space="preserve"> DER </t>
  </si>
  <si>
    <t xml:space="preserve"> ROA </t>
  </si>
  <si>
    <t xml:space="preserve"> ROE </t>
  </si>
  <si>
    <t>OPM</t>
  </si>
  <si>
    <t xml:space="preserve"> NPM </t>
  </si>
  <si>
    <t xml:space="preserve"> ROS </t>
  </si>
  <si>
    <t xml:space="preserve"> TI Investment - Hardware </t>
  </si>
  <si>
    <t xml:space="preserve"> TI Investment - Software </t>
  </si>
  <si>
    <t xml:space="preserve"> Pertamakali/ lanjutan </t>
  </si>
  <si>
    <t xml:space="preserve"> TI Investment - Networking </t>
  </si>
  <si>
    <t xml:space="preserve"> TI Investment - Datastorage </t>
  </si>
  <si>
    <t xml:space="preserve"> TI Investment - License </t>
  </si>
  <si>
    <t xml:space="preserve"> TI Investment - Others </t>
  </si>
  <si>
    <t xml:space="preserve"> IT Expenditure </t>
  </si>
  <si>
    <t xml:space="preserve"> R&amp;D Expenditures </t>
  </si>
  <si>
    <t xml:space="preserve"> Advertising Expenditures </t>
  </si>
  <si>
    <t>LINK</t>
  </si>
  <si>
    <t>Link Net Tbk</t>
  </si>
  <si>
    <t>9.4</t>
  </si>
  <si>
    <t xml:space="preserve"> Sub Sektor Advertising Printing dan Media</t>
  </si>
  <si>
    <t>MNCN</t>
  </si>
  <si>
    <t>Media Nusantara Citra Tbk</t>
  </si>
  <si>
    <t>SCMA</t>
  </si>
  <si>
    <t>Surya Citra Media Tbk</t>
  </si>
  <si>
    <t>VIVA</t>
  </si>
  <si>
    <t>Visi Media Asia Tbk</t>
  </si>
  <si>
    <t>EMTK</t>
  </si>
  <si>
    <t>Elang Mahkota Teknologi Tbk</t>
  </si>
  <si>
    <t xml:space="preserve"> Sub Sektor Advertising, Printing dan Media</t>
  </si>
  <si>
    <t>JTPE</t>
  </si>
  <si>
    <t>Jasuindo Tiga Perkasa Tbk</t>
  </si>
  <si>
    <t>ASBI</t>
  </si>
  <si>
    <t>Asuransi Bintang Tbk</t>
  </si>
  <si>
    <t>8.4</t>
  </si>
  <si>
    <t xml:space="preserve"> Sub Sektor Asuransi</t>
  </si>
  <si>
    <t>ASMI</t>
  </si>
  <si>
    <t>Asuransi Kresna Mitra Tbk</t>
  </si>
  <si>
    <t>ASRM</t>
  </si>
  <si>
    <t>Asuransi Ramayana Tbk</t>
  </si>
  <si>
    <t>LPGI</t>
  </si>
  <si>
    <t>Lippo General Insurance Tbk</t>
  </si>
  <si>
    <t>MREI</t>
  </si>
  <si>
    <t>Maskapai Reasuransi Indonesia Tbk</t>
  </si>
  <si>
    <t>VINS</t>
  </si>
  <si>
    <t>Victoria Insurance Tbk</t>
  </si>
  <si>
    <t>AGRO</t>
  </si>
  <si>
    <t>Bank Rakyat Indonesia Agroniaga Tbk</t>
  </si>
  <si>
    <t>8.1</t>
  </si>
  <si>
    <t xml:space="preserve"> Sub Sektor Bank</t>
  </si>
  <si>
    <t>AGRS</t>
  </si>
  <si>
    <t>Bank Agris Tbk</t>
  </si>
  <si>
    <t>BABP</t>
  </si>
  <si>
    <t>Bank MNC Internasional Tbk</t>
  </si>
  <si>
    <t>BBCA</t>
  </si>
  <si>
    <t>Bank Central Asia Tbk</t>
  </si>
  <si>
    <t>BBHI</t>
  </si>
  <si>
    <t>Bank Harda Internasional Tbk</t>
  </si>
  <si>
    <t>BBKP</t>
  </si>
  <si>
    <t>Bank Bukopin Tbk</t>
  </si>
  <si>
    <t>BBMD</t>
  </si>
  <si>
    <t>Bank Mestika Dharma Tbk</t>
  </si>
  <si>
    <t>BBNP</t>
  </si>
  <si>
    <t>Bank Nusantara Parahyangan Tbk</t>
  </si>
  <si>
    <t>BBRI</t>
  </si>
  <si>
    <t>Bank Rakyat Indonesia (Persero) Tbk</t>
  </si>
  <si>
    <t>BBYB</t>
  </si>
  <si>
    <t>Bank Yudha Bhakti Tbk</t>
  </si>
  <si>
    <t>BCIC</t>
  </si>
  <si>
    <t>Bank J Trust Indonesia Tbk</t>
  </si>
  <si>
    <t>BDMN</t>
  </si>
  <si>
    <t>Bank Danamon Indonesia Tbk</t>
  </si>
  <si>
    <t>BEKS</t>
  </si>
  <si>
    <t>Bank Pembangunan Daerah Banten</t>
  </si>
  <si>
    <t>BKSW</t>
  </si>
  <si>
    <t>Bank QNB Indonesia Tbk</t>
  </si>
  <si>
    <t>BMAS</t>
  </si>
  <si>
    <t>Bank Maspion Indonesia Tbk</t>
  </si>
  <si>
    <t>BMRI</t>
  </si>
  <si>
    <t>Bank Mandiri (Persero) Tbk</t>
  </si>
  <si>
    <t>BNBA</t>
  </si>
  <si>
    <t>Bank Bumi Arta Tbk</t>
  </si>
  <si>
    <t xml:space="preserve"> </t>
  </si>
  <si>
    <t>BNGA</t>
  </si>
  <si>
    <t>Bank CIMB Niaga Tbk</t>
  </si>
  <si>
    <t>BNII</t>
  </si>
  <si>
    <t>Bank Maybank Indonesia Tbk</t>
  </si>
  <si>
    <t>BNLI</t>
  </si>
  <si>
    <t>Bank Permata Tbk</t>
  </si>
  <si>
    <t>BSIM</t>
  </si>
  <si>
    <t>Bank Sinarmas Tbk</t>
  </si>
  <si>
    <t>BSWD</t>
  </si>
  <si>
    <t>Bank Of India Indonesia Tbk</t>
  </si>
  <si>
    <t>BTPN</t>
  </si>
  <si>
    <t>Bank Tabungan Pensiunan Nasional Tbk</t>
  </si>
  <si>
    <t>BVIC</t>
  </si>
  <si>
    <t>Bank Victoria International Tbk</t>
  </si>
  <si>
    <t>INPC</t>
  </si>
  <si>
    <t>Bank Artha Graha Internasional Tbk</t>
  </si>
  <si>
    <t>MCOR</t>
  </si>
  <si>
    <t>Bank China Construction Bank Indonesia Tbk</t>
  </si>
  <si>
    <t>NISP</t>
  </si>
  <si>
    <t>Bank OCBC NISP Tbk</t>
  </si>
  <si>
    <t>NOBU</t>
  </si>
  <si>
    <t>Bank Nationalnobu Tbk</t>
  </si>
  <si>
    <t>PNBN</t>
  </si>
  <si>
    <t>Bank Pan Indonesia Tbk</t>
  </si>
  <si>
    <t>PNBS</t>
  </si>
  <si>
    <t>Bank Panin Dubai Syariah Tbk</t>
  </si>
  <si>
    <t>SDRA</t>
  </si>
  <si>
    <t>Bank Woori Saudara Indonesia 1906 Tbk</t>
  </si>
  <si>
    <t>PGAS</t>
  </si>
  <si>
    <t>Perusahaan Gas Negara (Persero) Tbk</t>
  </si>
  <si>
    <t>7.1</t>
  </si>
  <si>
    <t xml:space="preserve"> Sub Sektor Energi</t>
  </si>
  <si>
    <t>RAJA</t>
  </si>
  <si>
    <t>Rukun Raharja Tbk</t>
  </si>
  <si>
    <t>$5.986.767</t>
  </si>
  <si>
    <t>$55.180.514</t>
  </si>
  <si>
    <t>$11.341.834</t>
  </si>
  <si>
    <t>$57.798.834</t>
  </si>
  <si>
    <t>$11.573.885</t>
  </si>
  <si>
    <t>$52.887.494</t>
  </si>
  <si>
    <t>DVLA</t>
  </si>
  <si>
    <t>Darya Varia Laboratoria Tbk</t>
  </si>
  <si>
    <t>5.3</t>
  </si>
  <si>
    <t xml:space="preserve"> Sub Sektor Farmasi</t>
  </si>
  <si>
    <t>KAEF</t>
  </si>
  <si>
    <t>Kimia Farma Tbk</t>
  </si>
  <si>
    <t>KLBF</t>
  </si>
  <si>
    <t>Kalbe Farma Tbk</t>
  </si>
  <si>
    <t>MERK</t>
  </si>
  <si>
    <t>Merck Indonesia Tbk</t>
  </si>
  <si>
    <t>JSMR</t>
  </si>
  <si>
    <t>Jasa Marga (Persero) Tbk</t>
  </si>
  <si>
    <t>7.2</t>
  </si>
  <si>
    <t xml:space="preserve"> Sub Sektor Jalan TolPelabuhanBandara dan Sejenisnya</t>
  </si>
  <si>
    <t>ASGR</t>
  </si>
  <si>
    <t>Astra Graphia Tbk</t>
  </si>
  <si>
    <t>9.6</t>
  </si>
  <si>
    <t xml:space="preserve"> Sub Sektor Jasa Komputer dan Perangkatnya</t>
  </si>
  <si>
    <t>ATIC</t>
  </si>
  <si>
    <t>Anabatic Technologies Tbk</t>
  </si>
  <si>
    <t>DNET</t>
  </si>
  <si>
    <t>Indoritel Makmur Internasional Tbk</t>
  </si>
  <si>
    <t>LMAS</t>
  </si>
  <si>
    <t>Limas Indonesia Makmur Tbk</t>
  </si>
  <si>
    <t>MLPT</t>
  </si>
  <si>
    <t>Multipolar Technology Tbk</t>
  </si>
  <si>
    <t>MTDL</t>
  </si>
  <si>
    <t>Metrodata Electronics Tbk</t>
  </si>
  <si>
    <t>IKBI</t>
  </si>
  <si>
    <t>Sumi Indo Kabel Tbk</t>
  </si>
  <si>
    <t>4.5</t>
  </si>
  <si>
    <t xml:space="preserve"> Sub Sektor Kabel</t>
  </si>
  <si>
    <t>KBLM</t>
  </si>
  <si>
    <t>Kabelindo Murni Tbk</t>
  </si>
  <si>
    <t>KIAS</t>
  </si>
  <si>
    <t>Keramika Indonesia Assosiasi Tbk</t>
  </si>
  <si>
    <t>3.2</t>
  </si>
  <si>
    <t xml:space="preserve"> Sub Sektor Keramik,Porselen dan Kaca</t>
  </si>
  <si>
    <t>AMFG</t>
  </si>
  <si>
    <t>Asahimas Flat Glass Tbk</t>
  </si>
  <si>
    <t xml:space="preserve"> Sub Sektor KeramikPorselen dan Kaca</t>
  </si>
  <si>
    <t>MIKA</t>
  </si>
  <si>
    <t>Mitra Keluarga Karyasehat Tbk</t>
  </si>
  <si>
    <t>9.5</t>
  </si>
  <si>
    <t xml:space="preserve"> Sub Sektor Kesehatan</t>
  </si>
  <si>
    <t>SILO</t>
  </si>
  <si>
    <t>Siloam International Hospitals Tbk</t>
  </si>
  <si>
    <t>SRAJ</t>
  </si>
  <si>
    <t>Sejahteraraya Anugrahjaya Tbk</t>
  </si>
  <si>
    <t>ADES</t>
  </si>
  <si>
    <t>Akasha Wira International Tbk</t>
  </si>
  <si>
    <t>5.4</t>
  </si>
  <si>
    <t xml:space="preserve"> Sub Sektor Kosmetik dan Barang Keperluan Rumah Tangga</t>
  </si>
  <si>
    <t>TCID</t>
  </si>
  <si>
    <t>Mandom Indonesia Tbk</t>
  </si>
  <si>
    <t>UNVR</t>
  </si>
  <si>
    <t>Unilever Indonesia Tbk</t>
  </si>
  <si>
    <t>APIC</t>
  </si>
  <si>
    <t>Pacific Strategic Financial Tbk</t>
  </si>
  <si>
    <t>8.5</t>
  </si>
  <si>
    <t xml:space="preserve"> Sub Sektor Lainnya</t>
  </si>
  <si>
    <t>ARTA</t>
  </si>
  <si>
    <t>Arthavest Tbk</t>
  </si>
  <si>
    <t>DYAN</t>
  </si>
  <si>
    <t>Dyandra Media International Tbk</t>
  </si>
  <si>
    <t>9.8</t>
  </si>
  <si>
    <t>GEMA</t>
  </si>
  <si>
    <t>Gema Grahasarana Tbk</t>
  </si>
  <si>
    <t>LPPS</t>
  </si>
  <si>
    <t>Lippo Securities Tbk</t>
  </si>
  <si>
    <t>SMMA</t>
  </si>
  <si>
    <t>Sinarmas Multiartha Tbk</t>
  </si>
  <si>
    <t>VICO</t>
  </si>
  <si>
    <t>Victoria Investama Tbk</t>
  </si>
  <si>
    <t>ADMF</t>
  </si>
  <si>
    <t>Adira Dinamika Multi Finance Tbk</t>
  </si>
  <si>
    <t>8.2</t>
  </si>
  <si>
    <t xml:space="preserve"> Sub Sektor Lembaga Pembiayaan</t>
  </si>
  <si>
    <t>BBLD</t>
  </si>
  <si>
    <t>Buana Finance Tbk</t>
  </si>
  <si>
    <t>BFIN</t>
  </si>
  <si>
    <t>BFI Finance Indonesia Tbk</t>
  </si>
  <si>
    <t>CFIN</t>
  </si>
  <si>
    <t>Clipan Finance Indonesia Tbk</t>
  </si>
  <si>
    <t>MFIN</t>
  </si>
  <si>
    <t>Mandala Multifinance Tbk</t>
  </si>
  <si>
    <t>MGNA</t>
  </si>
  <si>
    <t>Magna Investama Mandiri Tbk</t>
  </si>
  <si>
    <t>VRNA</t>
  </si>
  <si>
    <t>Verena Multi Finance Tbk</t>
  </si>
  <si>
    <t>CTBN</t>
  </si>
  <si>
    <t>Citra Tubindo Tbk</t>
  </si>
  <si>
    <t>3.3</t>
  </si>
  <si>
    <t xml:space="preserve"> Sub Sektor Logam dan Sejenisnya</t>
  </si>
  <si>
    <t>ISSP</t>
  </si>
  <si>
    <t>Steel Pipe Industry of Indonesia Tbk</t>
  </si>
  <si>
    <t>NIKL</t>
  </si>
  <si>
    <t>Pelat Timah Nusantara Tbk</t>
  </si>
  <si>
    <t>SRSN</t>
  </si>
  <si>
    <t>Indo Acidatama Tbk</t>
  </si>
  <si>
    <t>AISA</t>
  </si>
  <si>
    <t>Tiga Pilar Sejahtera Food Tbk</t>
  </si>
  <si>
    <t>5.1</t>
  </si>
  <si>
    <t xml:space="preserve"> Sub Sektor Makanan dan Minuman</t>
  </si>
  <si>
    <t>ROTI</t>
  </si>
  <si>
    <t>Nippon Indosari Corpindo Tbk</t>
  </si>
  <si>
    <t>SKBM</t>
  </si>
  <si>
    <t>Sekar Bumi Tbk</t>
  </si>
  <si>
    <t>ULTJ</t>
  </si>
  <si>
    <t>Ultra Jaya Milk Industry and Trading Company Tbk</t>
  </si>
  <si>
    <t>GDYR</t>
  </si>
  <si>
    <t>Goodyear Indonesia Tbk</t>
  </si>
  <si>
    <t>4.2</t>
  </si>
  <si>
    <t xml:space="preserve"> Sub Sektor Otomotif dan Komponen</t>
  </si>
  <si>
    <t>LPIN</t>
  </si>
  <si>
    <t>Multi Prima Sejahtera Tbk</t>
  </si>
  <si>
    <t>JPFA</t>
  </si>
  <si>
    <t>Japfa Comfeed Indonesia Tbk</t>
  </si>
  <si>
    <t>3.6</t>
  </si>
  <si>
    <t xml:space="preserve"> Sub Sektor Pakan Ternak</t>
  </si>
  <si>
    <t>CINT</t>
  </si>
  <si>
    <t>Chitose International Tbk</t>
  </si>
  <si>
    <t xml:space="preserve"> Sub Sektor Peralatan Rumah Tangga</t>
  </si>
  <si>
    <t>EPMT</t>
  </si>
  <si>
    <t>Enseval Putera Megatrading Tbk</t>
  </si>
  <si>
    <t>9.1</t>
  </si>
  <si>
    <t xml:space="preserve"> Sub Sektor Perdagangan Besar </t>
  </si>
  <si>
    <t>HEXA</t>
  </si>
  <si>
    <t>Hexindo Adiperkasa Tbk</t>
  </si>
  <si>
    <t>LTLS</t>
  </si>
  <si>
    <t>Lautan Luas Tbk</t>
  </si>
  <si>
    <t>MICE</t>
  </si>
  <si>
    <t>Multi Indocitra Tbk</t>
  </si>
  <si>
    <t>SDPC</t>
  </si>
  <si>
    <t>Millennium Pharmacon International Tbk</t>
  </si>
  <si>
    <t>TGKA</t>
  </si>
  <si>
    <t>Tigaraksa Satria Tbk</t>
  </si>
  <si>
    <t>WICO</t>
  </si>
  <si>
    <t>Wicaksana Overseas International Tbk</t>
  </si>
  <si>
    <t>ACES</t>
  </si>
  <si>
    <t>Ace Hardware Indonesia Tbk</t>
  </si>
  <si>
    <t>9.2</t>
  </si>
  <si>
    <t xml:space="preserve"> Sub Sektor Perdagangan Eceran</t>
  </si>
  <si>
    <t>CENT</t>
  </si>
  <si>
    <t>Centratama Telekomunikasi Indonesia Tbk</t>
  </si>
  <si>
    <t>ECII</t>
  </si>
  <si>
    <t>Electronic City Indonesia Tbk</t>
  </si>
  <si>
    <t>ERAA</t>
  </si>
  <si>
    <t>Erajaya Swasembada Tbk</t>
  </si>
  <si>
    <t>GLOB</t>
  </si>
  <si>
    <t>Global Teleshop Tbk</t>
  </si>
  <si>
    <t>HERO</t>
  </si>
  <si>
    <t>Hero Supermarket Tbk</t>
  </si>
  <si>
    <t>KOIN</t>
  </si>
  <si>
    <t>Kokoh Inti Arebama Tbk</t>
  </si>
  <si>
    <t>MPPA</t>
  </si>
  <si>
    <t>Matahari Putra Prima Tbk</t>
  </si>
  <si>
    <t>RALS</t>
  </si>
  <si>
    <t>Ramayana Lestari Sentosa Tbk</t>
  </si>
  <si>
    <t>RANC</t>
  </si>
  <si>
    <t>Supra Boga Lestari Tbk</t>
  </si>
  <si>
    <t>KREN</t>
  </si>
  <si>
    <t>Kresna Graha Investama Tbk</t>
  </si>
  <si>
    <t>8.3</t>
  </si>
  <si>
    <t xml:space="preserve"> Sub Sektor Perusahaan Efek</t>
  </si>
  <si>
    <t>OCAP</t>
  </si>
  <si>
    <t>Onix Capital Tbk</t>
  </si>
  <si>
    <t>PEGE</t>
  </si>
  <si>
    <t>Panca Global Kapital Tbk</t>
  </si>
  <si>
    <t>TRIM</t>
  </si>
  <si>
    <t>Trimegah Securities Tbk</t>
  </si>
  <si>
    <t>ABMM</t>
  </si>
  <si>
    <t>ABM Investama Tbk</t>
  </si>
  <si>
    <t>9.7</t>
  </si>
  <si>
    <t xml:space="preserve"> Sub Sektor Perusahaan Investasi</t>
  </si>
  <si>
    <t>BNBR</t>
  </si>
  <si>
    <t>Bakrie &amp; Brothers Tbk</t>
  </si>
  <si>
    <t>MLPL</t>
  </si>
  <si>
    <t>Multipolar Tbk</t>
  </si>
  <si>
    <t>POOL</t>
  </si>
  <si>
    <t>Pool Advista Indonesia Tbk</t>
  </si>
  <si>
    <t>BRNA</t>
  </si>
  <si>
    <t>Berlina Tbk</t>
  </si>
  <si>
    <t>3.5</t>
  </si>
  <si>
    <t xml:space="preserve"> Sub Sektor Plastik dan Kemasan</t>
  </si>
  <si>
    <t>-</t>
  </si>
  <si>
    <t>FPNI</t>
  </si>
  <si>
    <t>Lotte Chemical Titan Tbk</t>
  </si>
  <si>
    <t>IGAR</t>
  </si>
  <si>
    <t>Champion Pacific Indonesia Tbk</t>
  </si>
  <si>
    <t>IMPC</t>
  </si>
  <si>
    <t>Impack Pratama Industri Tbk</t>
  </si>
  <si>
    <t>BCIP</t>
  </si>
  <si>
    <t>Bumi Citra Permai Tbk</t>
  </si>
  <si>
    <t>6.1</t>
  </si>
  <si>
    <t xml:space="preserve"> Sub Sektor Properti dan Real Estate</t>
  </si>
  <si>
    <t>BSDE</t>
  </si>
  <si>
    <t>Bumi Serpong Damai Tbk</t>
  </si>
  <si>
    <t>CTRA</t>
  </si>
  <si>
    <t>Ciputra Development Tbk</t>
  </si>
  <si>
    <t>FMII</t>
  </si>
  <si>
    <t>Fortune Mate Indonesia Tbk</t>
  </si>
  <si>
    <t>JKON</t>
  </si>
  <si>
    <t>Jaya Konstruksi Manggala Pratama Tbk</t>
  </si>
  <si>
    <t>6.2</t>
  </si>
  <si>
    <t>LPKR</t>
  </si>
  <si>
    <t>Lippo Karawaci Tbk</t>
  </si>
  <si>
    <t>PPRO</t>
  </si>
  <si>
    <t>PP Properti Tbk</t>
  </si>
  <si>
    <t>PTPP</t>
  </si>
  <si>
    <t>PP (Persero) Tbk</t>
  </si>
  <si>
    <t>SCBD</t>
  </si>
  <si>
    <t>Danayasa Arthatama Tbk</t>
  </si>
  <si>
    <t>TOTL</t>
  </si>
  <si>
    <t>Total Bangun Persada Tbk</t>
  </si>
  <si>
    <t>WSKT</t>
  </si>
  <si>
    <t>Waskita Karya (Persero) Tbk</t>
  </si>
  <si>
    <t>FASW</t>
  </si>
  <si>
    <t>Fajar Surya Wisesa Tbk</t>
  </si>
  <si>
    <t>3.8</t>
  </si>
  <si>
    <t xml:space="preserve"> Sub Sektor Pulp dan Kertas</t>
  </si>
  <si>
    <t>PJAA</t>
  </si>
  <si>
    <t>Pembangunan Jaya Ancol Tbk</t>
  </si>
  <si>
    <t>9.3</t>
  </si>
  <si>
    <t xml:space="preserve"> Sub Sektor Restoran Hotel dan Pariwisata</t>
  </si>
  <si>
    <t>PNSE</t>
  </si>
  <si>
    <t>Pudjiadi &amp; Sons Tbk</t>
  </si>
  <si>
    <t>PSKT</t>
  </si>
  <si>
    <t>Pusako Tarinka Tbk</t>
  </si>
  <si>
    <t>FAST</t>
  </si>
  <si>
    <t>Fast Food Indonesia Tbk</t>
  </si>
  <si>
    <t xml:space="preserve"> Sub Sektor Restoran, Hotel dan Pariwisata</t>
  </si>
  <si>
    <t>JIHD</t>
  </si>
  <si>
    <t>Jakarta International Hotels &amp; Development</t>
  </si>
  <si>
    <t>PANR</t>
  </si>
  <si>
    <t>Panorama Sentrawisata Tbk</t>
  </si>
  <si>
    <t>PDES</t>
  </si>
  <si>
    <t>Destinasi Tirta Nusantara Tbk</t>
  </si>
  <si>
    <t>WIIM</t>
  </si>
  <si>
    <t>Wismilak Inti Makmur Tbk</t>
  </si>
  <si>
    <t>5.2</t>
  </si>
  <si>
    <t xml:space="preserve"> Sub Sektor Rokok</t>
  </si>
  <si>
    <t>BIPI</t>
  </si>
  <si>
    <t>Benakat Integra Tbk</t>
  </si>
  <si>
    <t>2.2</t>
  </si>
  <si>
    <t xml:space="preserve"> Sub Sektor Sektor Minyak dan Gas Bumi</t>
  </si>
  <si>
    <t>ELSA</t>
  </si>
  <si>
    <t>Elnusa Tbk</t>
  </si>
  <si>
    <t>INTP</t>
  </si>
  <si>
    <t>Indocement Tunggal Prakasa Tbk</t>
  </si>
  <si>
    <t>3.1</t>
  </si>
  <si>
    <t xml:space="preserve"> Sub Sektor Semen</t>
  </si>
  <si>
    <t>SMBR</t>
  </si>
  <si>
    <t>Semen Baturaja Tbk</t>
  </si>
  <si>
    <t>SMCB</t>
  </si>
  <si>
    <t>Holcim Indonesia Tbk</t>
  </si>
  <si>
    <t>SMGR</t>
  </si>
  <si>
    <t>Semen Indonesia (Persero) Tbk</t>
  </si>
  <si>
    <t>TRIS</t>
  </si>
  <si>
    <t>Trisula International Tbk</t>
  </si>
  <si>
    <t>4.3</t>
  </si>
  <si>
    <t xml:space="preserve"> Sub Sektor Tekstil dan Garmen</t>
  </si>
  <si>
    <t>BTEL</t>
  </si>
  <si>
    <t>Bakrie Telecom Tbk</t>
  </si>
  <si>
    <t>7.3</t>
  </si>
  <si>
    <t xml:space="preserve"> Sub Sektor Telekomunikasi</t>
  </si>
  <si>
    <t>EXCL</t>
  </si>
  <si>
    <t>XL Axiata Tbk</t>
  </si>
  <si>
    <t>FREN</t>
  </si>
  <si>
    <t>Smartfren Telecom Tbk</t>
  </si>
  <si>
    <t>ISAT</t>
  </si>
  <si>
    <t>Indosat Tbk</t>
  </si>
  <si>
    <t>TLKM</t>
  </si>
  <si>
    <t>Telekomunikasi Indonesia (Persero) Tbk</t>
  </si>
  <si>
    <t>ASSA</t>
  </si>
  <si>
    <t>Adi Sarana Armada Tbk</t>
  </si>
  <si>
    <t>7.4</t>
  </si>
  <si>
    <t xml:space="preserve"> Sub Sektor Transportasi</t>
  </si>
  <si>
    <t>GIAA</t>
  </si>
  <si>
    <t>Garuda Indonesia (Persero) Tbk</t>
  </si>
  <si>
    <t>HITS</t>
  </si>
  <si>
    <t>Humpuss Intermoda Transportasi Tbk</t>
  </si>
  <si>
    <t>INDX</t>
  </si>
  <si>
    <t>Tanah Laut Tbk</t>
  </si>
  <si>
    <t>MBSS</t>
  </si>
  <si>
    <t>Mitrabahtera Segara Sejati Tbk</t>
  </si>
  <si>
    <t>SOCI</t>
  </si>
  <si>
    <t>Soechi Lines Tbk</t>
  </si>
  <si>
    <t>IBST</t>
  </si>
  <si>
    <t>Inti Bangun Sejahtera Tbk</t>
  </si>
  <si>
    <t>7.5</t>
  </si>
  <si>
    <t>Sub Sektor Konstruksi Non Bangunan</t>
  </si>
  <si>
    <t>investasi sewa neto?</t>
  </si>
  <si>
    <t>INDY</t>
  </si>
  <si>
    <t>Indika Energy Tbk</t>
  </si>
  <si>
    <t>TBIG</t>
  </si>
  <si>
    <t>Tower Bersama Infrastructure Tbk</t>
  </si>
  <si>
    <t>Asuransi Bintang</t>
  </si>
  <si>
    <t>Asuransi Ramayana</t>
  </si>
  <si>
    <t>BANK QNB</t>
  </si>
  <si>
    <t>BANK MANDIRI</t>
  </si>
  <si>
    <t xml:space="preserve">pendapatan </t>
  </si>
  <si>
    <t xml:space="preserve">beban </t>
  </si>
  <si>
    <t>BAKRIE</t>
  </si>
  <si>
    <t>Tahun</t>
  </si>
  <si>
    <t>Kode</t>
  </si>
  <si>
    <t>Emiten</t>
  </si>
  <si>
    <t>Current Assets</t>
  </si>
  <si>
    <t>Fixed Assets</t>
  </si>
  <si>
    <t xml:space="preserve">Total Assets </t>
  </si>
  <si>
    <t>Current Liabilities</t>
  </si>
  <si>
    <t>Long-term Liabilities</t>
  </si>
  <si>
    <t>Total Liabilities</t>
  </si>
  <si>
    <t>Total Equity</t>
  </si>
  <si>
    <t>Outstanding shares</t>
  </si>
  <si>
    <t>Total Sales/Revenue</t>
  </si>
  <si>
    <t>COGS/COR</t>
  </si>
  <si>
    <t>Expenses</t>
  </si>
  <si>
    <t>Net Income</t>
  </si>
  <si>
    <t>Dividend</t>
  </si>
  <si>
    <t>Price</t>
  </si>
  <si>
    <t>CR</t>
  </si>
  <si>
    <t>DER</t>
  </si>
  <si>
    <t>ROA</t>
  </si>
  <si>
    <t>ROE</t>
  </si>
  <si>
    <t>NPM</t>
  </si>
  <si>
    <t>DY</t>
  </si>
  <si>
    <t>DPR</t>
  </si>
  <si>
    <t>PER</t>
  </si>
  <si>
    <t>PBV</t>
  </si>
  <si>
    <t>Industri</t>
  </si>
  <si>
    <t>Current liabilities</t>
  </si>
  <si>
    <t>Current assets</t>
  </si>
  <si>
    <t>Current Liabilites</t>
  </si>
  <si>
    <t>MRAT</t>
  </si>
  <si>
    <t>Mustika Ratu Tbk</t>
  </si>
  <si>
    <t>DLTA</t>
  </si>
  <si>
    <t>Delta Djakarta Tbk</t>
  </si>
  <si>
    <t>GOOD</t>
  </si>
  <si>
    <t>Garudafood Putra Putri Jaya Tbk</t>
  </si>
  <si>
    <t>INDF</t>
  </si>
  <si>
    <t>Indofood Sukses Makmur Tbk</t>
  </si>
  <si>
    <t>MYOR</t>
  </si>
  <si>
    <t>Mayora Indah Tbk</t>
  </si>
  <si>
    <t>KEJU</t>
  </si>
  <si>
    <t>Mulia Boga Raya Tbk</t>
  </si>
  <si>
    <t>MLBI</t>
  </si>
  <si>
    <t>Multi Bintang Indonesia Tbk</t>
  </si>
  <si>
    <t>PANI</t>
  </si>
  <si>
    <t>Pratama Abadi Nusa Industri Tbk</t>
  </si>
  <si>
    <t>STTP</t>
  </si>
  <si>
    <t>Siantar Top Tbk</t>
  </si>
  <si>
    <t>CEKA</t>
  </si>
  <si>
    <t>Wilmar Cahaya Indonesia Tbk</t>
  </si>
  <si>
    <t>OASA</t>
  </si>
  <si>
    <t>Protech Mitra Perkasa Tbk</t>
  </si>
  <si>
    <t>GHON</t>
  </si>
  <si>
    <t>Gihon Telekomunikasi Indonesia Tbk</t>
  </si>
  <si>
    <t>JAST</t>
  </si>
  <si>
    <t>Jasnita Telekomindo Tbk</t>
  </si>
  <si>
    <t>TOWR</t>
  </si>
  <si>
    <t>Sarana Menara Nusantara Tbk</t>
  </si>
  <si>
    <t>Klasifikasi</t>
  </si>
  <si>
    <t>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</si>
</sst>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Rp-421]* #,##0.00_-;_-[$Rp-421]* \-#,##0.00_-;_-[$Rp-421]* &quot;-&quot;??_-;_-@"/>
    <numFmt numFmtId="165" formatCode="[$Rp-421]#,##0.00"/>
    <numFmt numFmtId="166" formatCode="_(&quot;Rp&quot;* #,##0.00_);_(&quot;Rp&quot;* \(#,##0.00\);_(&quot;Rp&quot;* &quot;-&quot;??_);_(@_)"/>
    <numFmt numFmtId="167" formatCode="[$$]#,##0.00"/>
    <numFmt numFmtId="168" formatCode="_([$$-409]* #,##0.00_);_([$$-409]* \(#,##0.00\);_([$$-409]* &quot;-&quot;??_);_(@_)"/>
  </numFmts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Docs-Calibri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5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7" fontId="4" fillId="3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2" fillId="0" borderId="0" xfId="0" applyNumberFormat="1" applyFont="1"/>
    <xf numFmtId="168" fontId="1" fillId="0" borderId="0" xfId="0" applyNumberFormat="1" applyFont="1" applyAlignment="1">
      <alignment horizontal="right"/>
    </xf>
    <xf numFmtId="168" fontId="1" fillId="2" borderId="0" xfId="0" applyNumberFormat="1" applyFont="1" applyFill="1" applyAlignment="1">
      <alignment horizontal="right"/>
    </xf>
    <xf numFmtId="168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1" fillId="0" borderId="0" xfId="0" applyNumberFormat="1" applyFont="1"/>
    <xf numFmtId="4" fontId="1" fillId="0" borderId="0" xfId="0" applyNumberFormat="1" applyFont="1"/>
    <xf numFmtId="0" fontId="2" fillId="2" borderId="0" xfId="0" applyFont="1" applyFill="1"/>
    <xf numFmtId="164" fontId="1" fillId="0" borderId="0" xfId="0" applyNumberFormat="1" applyFont="1"/>
    <xf numFmtId="10" fontId="2" fillId="0" borderId="0" xfId="0" applyNumberFormat="1" applyFont="1" applyAlignment="1">
      <alignment horizontal="right"/>
    </xf>
    <xf numFmtId="10" fontId="2" fillId="0" borderId="0" xfId="0" applyNumberFormat="1" applyFont="1"/>
    <xf numFmtId="10" fontId="1" fillId="0" borderId="0" xfId="0" applyNumberFormat="1" applyFont="1"/>
    <xf numFmtId="4" fontId="2" fillId="0" borderId="0" xfId="0" applyNumberFormat="1" applyFont="1"/>
    <xf numFmtId="166" fontId="1" fillId="0" borderId="0" xfId="0" applyNumberFormat="1" applyFont="1"/>
    <xf numFmtId="166" fontId="2" fillId="0" borderId="0" xfId="0" applyNumberFormat="1" applyFont="1"/>
    <xf numFmtId="0" fontId="5" fillId="0" borderId="0" xfId="0" applyFont="1"/>
    <xf numFmtId="165" fontId="5" fillId="0" borderId="0" xfId="0" applyNumberFormat="1" applyFont="1"/>
    <xf numFmtId="4" fontId="5" fillId="0" borderId="0" xfId="0" applyNumberFormat="1" applyFont="1"/>
    <xf numFmtId="3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165" fontId="6" fillId="0" borderId="0" xfId="0" applyNumberFormat="1" applyFont="1"/>
    <xf numFmtId="4" fontId="6" fillId="0" borderId="0" xfId="0" applyNumberFormat="1" applyFont="1"/>
    <xf numFmtId="3" fontId="6" fillId="0" borderId="0" xfId="0" applyNumberFormat="1" applyFont="1"/>
    <xf numFmtId="10" fontId="6" fillId="0" borderId="0" xfId="0" applyNumberFormat="1" applyFont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2" fontId="5" fillId="0" borderId="0" xfId="0" applyNumberFormat="1" applyFont="1"/>
    <xf numFmtId="0" fontId="5" fillId="0" borderId="0" xfId="0" applyFont="1" applyAlignment="1">
      <alignment horizontal="right"/>
    </xf>
    <xf numFmtId="2" fontId="6" fillId="0" borderId="0" xfId="0" applyNumberFormat="1" applyFont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8" fillId="0" borderId="0" xfId="0" applyNumberFormat="1" applyFont="1" applyAlignment="1">
      <alignment horizontal="right"/>
    </xf>
    <xf numFmtId="165" fontId="4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65" fontId="9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right"/>
    </xf>
    <xf numFmtId="4" fontId="6" fillId="6" borderId="0" xfId="0" applyNumberFormat="1" applyFont="1" applyFill="1"/>
    <xf numFmtId="4" fontId="6" fillId="7" borderId="0" xfId="0" applyNumberFormat="1" applyFont="1" applyFill="1"/>
    <xf numFmtId="4" fontId="6" fillId="8" borderId="0" xfId="0" applyNumberFormat="1" applyFont="1" applyFill="1"/>
    <xf numFmtId="0" fontId="6" fillId="9" borderId="0" xfId="0" applyFont="1" applyFill="1"/>
    <xf numFmtId="0" fontId="6" fillId="9" borderId="0" xfId="0" applyFont="1" applyFill="1" applyAlignment="1">
      <alignment horizontal="right"/>
    </xf>
    <xf numFmtId="165" fontId="6" fillId="9" borderId="0" xfId="0" applyNumberFormat="1" applyFont="1" applyFill="1"/>
    <xf numFmtId="4" fontId="6" fillId="9" borderId="0" xfId="0" applyNumberFormat="1" applyFont="1" applyFill="1"/>
    <xf numFmtId="3" fontId="6" fillId="9" borderId="0" xfId="0" applyNumberFormat="1" applyFont="1" applyFill="1"/>
    <xf numFmtId="0" fontId="2" fillId="6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2" fontId="5" fillId="0" borderId="0" xfId="0" applyNumberFormat="1" applyFont="1" applyAlignment="1">
      <alignment horizontal="center"/>
    </xf>
    <xf numFmtId="2" fontId="6" fillId="9" borderId="0" xfId="0" applyNumberFormat="1" applyFont="1" applyFill="1"/>
    <xf numFmtId="2" fontId="0" fillId="0" borderId="0" xfId="0" applyNumberFormat="1"/>
    <xf numFmtId="165" fontId="6" fillId="10" borderId="0" xfId="0" applyNumberFormat="1" applyFont="1" applyFill="1"/>
    <xf numFmtId="166" fontId="1" fillId="0" borderId="0" xfId="0" applyNumberFormat="1" applyFont="1" applyAlignment="1">
      <alignment horizontal="center"/>
    </xf>
    <xf numFmtId="0" fontId="0" fillId="0" borderId="0" xfId="0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8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53125" defaultRowHeight="15" customHeight="1"/>
  <cols>
    <col min="1" max="1" width="5" customWidth="1"/>
    <col min="2" max="2" width="6.26953125" customWidth="1"/>
    <col min="3" max="3" width="7.453125" customWidth="1"/>
    <col min="4" max="5" width="21.1796875" customWidth="1"/>
    <col min="6" max="6" width="49.26953125" customWidth="1"/>
    <col min="7" max="20" width="21.1796875" customWidth="1"/>
    <col min="21" max="21" width="23.81640625" customWidth="1"/>
    <col min="22" max="22" width="23.1796875" customWidth="1"/>
    <col min="23" max="23" width="17.7265625" customWidth="1"/>
    <col min="24" max="24" width="17.1796875" customWidth="1"/>
    <col min="25" max="25" width="18.81640625" customWidth="1"/>
    <col min="26" max="26" width="19.54296875" customWidth="1"/>
    <col min="27" max="27" width="17.453125" customWidth="1"/>
    <col min="28" max="28" width="14.26953125" customWidth="1"/>
    <col min="29" max="29" width="13.1796875" customWidth="1"/>
    <col min="30" max="30" width="25.7265625" customWidth="1"/>
    <col min="31" max="31" width="25" customWidth="1"/>
    <col min="32" max="32" width="22.1796875" customWidth="1"/>
    <col min="33" max="33" width="27.26953125" customWidth="1"/>
    <col min="34" max="34" width="28.54296875" customWidth="1"/>
    <col min="35" max="35" width="24.26953125" customWidth="1"/>
    <col min="36" max="36" width="23" customWidth="1"/>
    <col min="37" max="38" width="19.26953125" customWidth="1"/>
    <col min="39" max="39" width="25.7265625" customWidth="1"/>
  </cols>
  <sheetData>
    <row r="1" spans="1:39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4" t="s">
        <v>20</v>
      </c>
      <c r="V1" s="1" t="s">
        <v>21</v>
      </c>
      <c r="W1" s="5" t="s">
        <v>22</v>
      </c>
      <c r="X1" s="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4.5">
      <c r="A2" s="6">
        <v>280</v>
      </c>
      <c r="B2" s="6">
        <v>2018</v>
      </c>
      <c r="C2" s="6" t="s">
        <v>39</v>
      </c>
      <c r="D2" s="7" t="s">
        <v>40</v>
      </c>
      <c r="E2" s="6" t="s">
        <v>41</v>
      </c>
      <c r="F2" s="6" t="s">
        <v>42</v>
      </c>
      <c r="G2" s="8"/>
      <c r="H2" s="9"/>
      <c r="I2" s="10">
        <v>4568443000000</v>
      </c>
      <c r="J2" s="10">
        <v>6023611000000</v>
      </c>
      <c r="K2" s="10">
        <v>176933000000</v>
      </c>
      <c r="L2" s="10">
        <v>1272512000000</v>
      </c>
      <c r="M2" s="10">
        <v>4751099000000</v>
      </c>
      <c r="N2" s="8">
        <v>8040000000</v>
      </c>
      <c r="O2" s="10">
        <v>3728364000000</v>
      </c>
      <c r="P2" s="10">
        <v>744797000000</v>
      </c>
      <c r="Q2" s="6"/>
      <c r="R2" s="6"/>
      <c r="S2" s="11"/>
      <c r="T2" s="10">
        <f>222697000000+869579000000+59597000000</f>
        <v>1151873000000</v>
      </c>
      <c r="U2" s="12">
        <v>788918000000</v>
      </c>
      <c r="V2" s="9">
        <f t="shared" ref="V2:V34" si="0">M2</f>
        <v>4751099000000</v>
      </c>
      <c r="W2" s="13">
        <f t="shared" ref="W2:W256" si="1">L2/J2</f>
        <v>0.21125401358089027</v>
      </c>
      <c r="X2" s="13">
        <f t="shared" ref="X2:X256" si="2">L2/M2</f>
        <v>0.26783529452869748</v>
      </c>
      <c r="Y2" s="8">
        <f t="shared" ref="Y2:Y34" si="3">U2/J2</f>
        <v>0.13097094085258826</v>
      </c>
      <c r="Z2" s="8">
        <f t="shared" ref="Z2:Z34" si="4">U2/M2</f>
        <v>0.16604958137054185</v>
      </c>
      <c r="AA2" s="8">
        <f t="shared" ref="AA2:AA256" si="5">(O2-P2)/O2</f>
        <v>0.80023490195699776</v>
      </c>
      <c r="AB2" s="8">
        <f t="shared" ref="AB2:AB34" si="6">U2/O2</f>
        <v>0.21159897477821371</v>
      </c>
      <c r="AC2" s="8">
        <f t="shared" ref="AC2:AC256" si="7">AA2</f>
        <v>0.80023490195699776</v>
      </c>
      <c r="AD2" s="9"/>
      <c r="AE2" s="10"/>
      <c r="AF2" s="9"/>
      <c r="AG2" s="9"/>
      <c r="AH2" s="9"/>
      <c r="AI2" s="9"/>
      <c r="AJ2" s="9"/>
      <c r="AK2" s="10"/>
      <c r="AL2" s="9"/>
      <c r="AM2" s="10"/>
    </row>
    <row r="3" spans="1:39" ht="14.5">
      <c r="A3" s="6">
        <v>281</v>
      </c>
      <c r="B3" s="6">
        <v>2019</v>
      </c>
      <c r="C3" s="6" t="s">
        <v>39</v>
      </c>
      <c r="D3" s="7" t="s">
        <v>40</v>
      </c>
      <c r="E3" s="6" t="s">
        <v>41</v>
      </c>
      <c r="F3" s="6" t="s">
        <v>42</v>
      </c>
      <c r="G3" s="6"/>
      <c r="H3" s="9"/>
      <c r="I3" s="10">
        <v>4993913000000</v>
      </c>
      <c r="J3" s="10">
        <v>6652974000000</v>
      </c>
      <c r="K3" s="10">
        <v>183236000000</v>
      </c>
      <c r="L3" s="10">
        <v>1996559000000</v>
      </c>
      <c r="M3" s="10">
        <v>4656415000000</v>
      </c>
      <c r="N3" s="8">
        <v>8040000000</v>
      </c>
      <c r="O3" s="10">
        <v>3755262000000</v>
      </c>
      <c r="P3" s="10">
        <v>747703000000</v>
      </c>
      <c r="Q3" s="6"/>
      <c r="R3" s="6"/>
      <c r="S3" s="11"/>
      <c r="T3" s="10">
        <f>301334000000+528656000000+11231000000</f>
        <v>841221000000</v>
      </c>
      <c r="U3" s="12">
        <v>894531000000</v>
      </c>
      <c r="V3" s="9">
        <f t="shared" si="0"/>
        <v>4656415000000</v>
      </c>
      <c r="W3" s="13">
        <f t="shared" si="1"/>
        <v>0.3001002258538813</v>
      </c>
      <c r="X3" s="13">
        <f t="shared" si="2"/>
        <v>0.42877600042092467</v>
      </c>
      <c r="Y3" s="8">
        <f t="shared" si="3"/>
        <v>0.13445580878566488</v>
      </c>
      <c r="Z3" s="8">
        <f t="shared" si="4"/>
        <v>0.19210723271014288</v>
      </c>
      <c r="AA3" s="8">
        <f t="shared" si="5"/>
        <v>0.80089192178867941</v>
      </c>
      <c r="AB3" s="8">
        <f t="shared" si="6"/>
        <v>0.23820734745005809</v>
      </c>
      <c r="AC3" s="8">
        <f t="shared" si="7"/>
        <v>0.80089192178867941</v>
      </c>
      <c r="AD3" s="9"/>
      <c r="AE3" s="10"/>
      <c r="AF3" s="9"/>
      <c r="AG3" s="9"/>
      <c r="AH3" s="9"/>
      <c r="AI3" s="9"/>
      <c r="AJ3" s="9"/>
      <c r="AK3" s="10"/>
      <c r="AL3" s="9"/>
      <c r="AM3" s="10"/>
    </row>
    <row r="4" spans="1:39" ht="14.5">
      <c r="A4" s="6">
        <v>282</v>
      </c>
      <c r="B4" s="6">
        <v>2020</v>
      </c>
      <c r="C4" s="6" t="s">
        <v>39</v>
      </c>
      <c r="D4" s="7" t="s">
        <v>40</v>
      </c>
      <c r="E4" s="6" t="s">
        <v>41</v>
      </c>
      <c r="F4" s="6" t="s">
        <v>42</v>
      </c>
      <c r="G4" s="8"/>
      <c r="H4" s="9"/>
      <c r="I4" s="10">
        <v>5641224000000</v>
      </c>
      <c r="J4" s="10">
        <v>7799803000000</v>
      </c>
      <c r="K4" s="10">
        <v>359078000000</v>
      </c>
      <c r="L4" s="10">
        <v>3177089800000</v>
      </c>
      <c r="M4" s="10">
        <v>7799803000000</v>
      </c>
      <c r="N4" s="8">
        <v>8040000000</v>
      </c>
      <c r="O4" s="10">
        <v>4047964000000</v>
      </c>
      <c r="P4" s="10">
        <v>868743000000</v>
      </c>
      <c r="Q4" s="6"/>
      <c r="R4" s="6"/>
      <c r="S4" s="11"/>
      <c r="T4" s="10">
        <f>364242000000+505765000000+8171000000</f>
        <v>878178000000</v>
      </c>
      <c r="U4" s="12">
        <v>941707000000</v>
      </c>
      <c r="V4" s="9">
        <f t="shared" si="0"/>
        <v>7799803000000</v>
      </c>
      <c r="W4" s="13">
        <f t="shared" si="1"/>
        <v>0.40732949280898506</v>
      </c>
      <c r="X4" s="13">
        <f t="shared" si="2"/>
        <v>0.40732949280898506</v>
      </c>
      <c r="Y4" s="8">
        <f t="shared" si="3"/>
        <v>0.12073471599218595</v>
      </c>
      <c r="Z4" s="8">
        <f t="shared" si="4"/>
        <v>0.12073471599218595</v>
      </c>
      <c r="AA4" s="8">
        <f t="shared" si="5"/>
        <v>0.78538766649110514</v>
      </c>
      <c r="AB4" s="8">
        <f t="shared" si="6"/>
        <v>0.23263719736637975</v>
      </c>
      <c r="AC4" s="8">
        <f t="shared" si="7"/>
        <v>0.78538766649110514</v>
      </c>
      <c r="AD4" s="9"/>
      <c r="AE4" s="10"/>
      <c r="AF4" s="9"/>
      <c r="AG4" s="9"/>
      <c r="AH4" s="9"/>
      <c r="AI4" s="9"/>
      <c r="AJ4" s="9"/>
      <c r="AK4" s="10"/>
      <c r="AL4" s="9"/>
      <c r="AM4" s="10"/>
    </row>
    <row r="5" spans="1:39" ht="14.5">
      <c r="A5" s="6">
        <v>328</v>
      </c>
      <c r="B5" s="6">
        <v>2018</v>
      </c>
      <c r="C5" s="6" t="s">
        <v>43</v>
      </c>
      <c r="D5" s="7" t="s">
        <v>44</v>
      </c>
      <c r="E5" s="6" t="s">
        <v>41</v>
      </c>
      <c r="F5" s="6" t="s">
        <v>42</v>
      </c>
      <c r="G5" s="8"/>
      <c r="H5" s="9">
        <v>10065000000</v>
      </c>
      <c r="I5" s="10">
        <v>5541768000000</v>
      </c>
      <c r="J5" s="10">
        <v>16339552000000</v>
      </c>
      <c r="K5" s="10">
        <v>3543528000000</v>
      </c>
      <c r="L5" s="10">
        <v>5697247000000</v>
      </c>
      <c r="M5" s="10">
        <v>10642305000000</v>
      </c>
      <c r="N5" s="8">
        <f t="shared" ref="N5:N7" si="8">5700000000+34300000000</f>
        <v>40000000000</v>
      </c>
      <c r="O5" s="10">
        <v>7443905000000</v>
      </c>
      <c r="P5" s="10">
        <v>2825002000000</v>
      </c>
      <c r="Q5" s="6"/>
      <c r="R5" s="6"/>
      <c r="S5" s="11"/>
      <c r="T5" s="10">
        <f>1879140000000+13176000000</f>
        <v>1892316000000</v>
      </c>
      <c r="U5" s="12">
        <v>1605621000000</v>
      </c>
      <c r="V5" s="9">
        <f t="shared" si="0"/>
        <v>10642305000000</v>
      </c>
      <c r="W5" s="13">
        <f t="shared" si="1"/>
        <v>0.34867828689550362</v>
      </c>
      <c r="X5" s="13">
        <f t="shared" si="2"/>
        <v>0.53533957164354906</v>
      </c>
      <c r="Y5" s="8">
        <f t="shared" si="3"/>
        <v>9.8265913288197865E-2</v>
      </c>
      <c r="Z5" s="8">
        <f t="shared" si="4"/>
        <v>0.15087154521506385</v>
      </c>
      <c r="AA5" s="8">
        <f t="shared" si="5"/>
        <v>0.62049461942354178</v>
      </c>
      <c r="AB5" s="8">
        <f t="shared" si="6"/>
        <v>0.21569606275200987</v>
      </c>
      <c r="AC5" s="8">
        <f t="shared" si="7"/>
        <v>0.62049461942354178</v>
      </c>
      <c r="AD5" s="9"/>
      <c r="AE5" s="10"/>
      <c r="AF5" s="9"/>
      <c r="AG5" s="9"/>
      <c r="AH5" s="9"/>
      <c r="AI5" s="9"/>
      <c r="AJ5" s="9"/>
      <c r="AK5" s="10"/>
      <c r="AL5" s="9"/>
      <c r="AM5" s="10"/>
    </row>
    <row r="6" spans="1:39" ht="14.5">
      <c r="A6" s="6">
        <v>329</v>
      </c>
      <c r="B6" s="6">
        <v>2019</v>
      </c>
      <c r="C6" s="6" t="s">
        <v>43</v>
      </c>
      <c r="D6" s="7" t="s">
        <v>44</v>
      </c>
      <c r="E6" s="6" t="s">
        <v>41</v>
      </c>
      <c r="F6" s="6" t="s">
        <v>42</v>
      </c>
      <c r="G6" s="8"/>
      <c r="H6" s="9">
        <v>196065000000</v>
      </c>
      <c r="I6" s="10">
        <v>5682365000000</v>
      </c>
      <c r="J6" s="10">
        <v>17836430000000</v>
      </c>
      <c r="K6" s="9">
        <v>3171441000000</v>
      </c>
      <c r="L6" s="10">
        <v>5310928000000</v>
      </c>
      <c r="M6" s="10">
        <v>12525502000000</v>
      </c>
      <c r="N6" s="8">
        <f t="shared" si="8"/>
        <v>40000000000</v>
      </c>
      <c r="O6" s="10">
        <v>8353365000000</v>
      </c>
      <c r="P6" s="10">
        <v>3030488000000</v>
      </c>
      <c r="Q6" s="6"/>
      <c r="R6" s="6"/>
      <c r="S6" s="11"/>
      <c r="T6" s="10">
        <f>2063877000000+20378000000</f>
        <v>2084255000000</v>
      </c>
      <c r="U6" s="12">
        <v>2352529000000</v>
      </c>
      <c r="V6" s="9">
        <f t="shared" si="0"/>
        <v>12525502000000</v>
      </c>
      <c r="W6" s="13">
        <f t="shared" si="1"/>
        <v>0.29775734269694104</v>
      </c>
      <c r="X6" s="13">
        <f t="shared" si="2"/>
        <v>0.42400919340398491</v>
      </c>
      <c r="Y6" s="8">
        <f t="shared" si="3"/>
        <v>0.1318946111974201</v>
      </c>
      <c r="Z6" s="8">
        <f t="shared" si="4"/>
        <v>0.18781913890557042</v>
      </c>
      <c r="AA6" s="8">
        <f t="shared" si="5"/>
        <v>0.6372135061738593</v>
      </c>
      <c r="AB6" s="8">
        <f t="shared" si="6"/>
        <v>0.2816265062043859</v>
      </c>
      <c r="AC6" s="8">
        <f t="shared" si="7"/>
        <v>0.6372135061738593</v>
      </c>
      <c r="AD6" s="9"/>
      <c r="AE6" s="10"/>
      <c r="AF6" s="9"/>
      <c r="AG6" s="9"/>
      <c r="AH6" s="9"/>
      <c r="AI6" s="9"/>
      <c r="AJ6" s="9"/>
      <c r="AK6" s="10"/>
      <c r="AL6" s="9"/>
      <c r="AM6" s="10"/>
    </row>
    <row r="7" spans="1:39" ht="14.5">
      <c r="A7" s="6">
        <v>330</v>
      </c>
      <c r="B7" s="6">
        <v>2020</v>
      </c>
      <c r="C7" s="6" t="s">
        <v>43</v>
      </c>
      <c r="D7" s="7" t="s">
        <v>44</v>
      </c>
      <c r="E7" s="6" t="s">
        <v>41</v>
      </c>
      <c r="F7" s="6" t="s">
        <v>42</v>
      </c>
      <c r="G7" s="8"/>
      <c r="H7" s="9">
        <v>186000000000</v>
      </c>
      <c r="I7" s="10">
        <v>5781219000000</v>
      </c>
      <c r="J7" s="10">
        <v>18923235000000</v>
      </c>
      <c r="K7" s="9">
        <v>2302157000000</v>
      </c>
      <c r="L7" s="9">
        <v>4461328000000</v>
      </c>
      <c r="M7" s="9">
        <v>14461907000000</v>
      </c>
      <c r="N7" s="8">
        <f t="shared" si="8"/>
        <v>40000000000</v>
      </c>
      <c r="O7" s="10">
        <v>7956238000000</v>
      </c>
      <c r="P7" s="10">
        <v>3050672000000</v>
      </c>
      <c r="Q7" s="6"/>
      <c r="R7" s="6"/>
      <c r="S7" s="11"/>
      <c r="T7" s="10">
        <f>2085373000000+36220000000</f>
        <v>2121593000000</v>
      </c>
      <c r="U7" s="12">
        <v>1871028000000</v>
      </c>
      <c r="V7" s="9">
        <f t="shared" si="0"/>
        <v>14461907000000</v>
      </c>
      <c r="W7" s="13">
        <f t="shared" si="1"/>
        <v>0.23575926631995006</v>
      </c>
      <c r="X7" s="13">
        <f t="shared" si="2"/>
        <v>0.30848822357936612</v>
      </c>
      <c r="Y7" s="8">
        <f t="shared" si="3"/>
        <v>9.8874637449674965E-2</v>
      </c>
      <c r="Z7" s="8">
        <f t="shared" si="4"/>
        <v>0.12937629871357906</v>
      </c>
      <c r="AA7" s="8">
        <f t="shared" si="5"/>
        <v>0.61656853402324063</v>
      </c>
      <c r="AB7" s="8">
        <f t="shared" si="6"/>
        <v>0.23516491085359689</v>
      </c>
      <c r="AC7" s="8">
        <f t="shared" si="7"/>
        <v>0.61656853402324063</v>
      </c>
      <c r="AD7" s="9"/>
      <c r="AE7" s="10"/>
      <c r="AF7" s="9"/>
      <c r="AG7" s="9"/>
      <c r="AH7" s="9"/>
      <c r="AI7" s="9"/>
      <c r="AJ7" s="9"/>
      <c r="AK7" s="10"/>
      <c r="AL7" s="9"/>
      <c r="AM7" s="10"/>
    </row>
    <row r="8" spans="1:39" ht="14.5">
      <c r="A8" s="6">
        <v>403</v>
      </c>
      <c r="B8" s="6">
        <v>2018</v>
      </c>
      <c r="C8" s="6" t="s">
        <v>45</v>
      </c>
      <c r="D8" s="7" t="s">
        <v>46</v>
      </c>
      <c r="E8" s="6" t="s">
        <v>41</v>
      </c>
      <c r="F8" s="6" t="s">
        <v>42</v>
      </c>
      <c r="G8" s="6"/>
      <c r="H8" s="9">
        <f>49777722000+101711857000</f>
        <v>151489579000</v>
      </c>
      <c r="I8" s="10">
        <v>1071441685000</v>
      </c>
      <c r="J8" s="10">
        <v>6589842943000</v>
      </c>
      <c r="K8" s="10">
        <v>218204415000</v>
      </c>
      <c r="L8" s="10">
        <v>1138592812000</v>
      </c>
      <c r="M8" s="10">
        <v>5451250131000</v>
      </c>
      <c r="N8" s="8">
        <v>58000000000</v>
      </c>
      <c r="O8" s="10">
        <v>5276794930000</v>
      </c>
      <c r="P8" s="10">
        <f>2358399763000+1069833225000</f>
        <v>3428232988000</v>
      </c>
      <c r="Q8" s="6"/>
      <c r="R8" s="6"/>
      <c r="S8" s="11"/>
      <c r="T8" s="10">
        <f>1069833225000+41960745000</f>
        <v>1111793970000</v>
      </c>
      <c r="U8" s="12">
        <v>1475042200000</v>
      </c>
      <c r="V8" s="9">
        <f t="shared" si="0"/>
        <v>5451250131000</v>
      </c>
      <c r="W8" s="13">
        <f t="shared" si="1"/>
        <v>0.1727799618061398</v>
      </c>
      <c r="X8" s="13">
        <f t="shared" si="2"/>
        <v>0.20886820172222254</v>
      </c>
      <c r="Y8" s="8">
        <f t="shared" si="3"/>
        <v>0.22383571395534549</v>
      </c>
      <c r="Z8" s="8">
        <f t="shared" si="4"/>
        <v>0.27058787701040826</v>
      </c>
      <c r="AA8" s="8">
        <f t="shared" si="5"/>
        <v>0.35031907938859391</v>
      </c>
      <c r="AB8" s="8">
        <f t="shared" si="6"/>
        <v>0.27953373583157232</v>
      </c>
      <c r="AC8" s="8">
        <f t="shared" si="7"/>
        <v>0.35031907938859391</v>
      </c>
      <c r="AD8" s="9"/>
      <c r="AE8" s="10"/>
      <c r="AF8" s="9"/>
      <c r="AG8" s="9"/>
      <c r="AH8" s="9"/>
      <c r="AI8" s="9"/>
      <c r="AJ8" s="9"/>
      <c r="AK8" s="10"/>
      <c r="AL8" s="9"/>
      <c r="AM8" s="10"/>
    </row>
    <row r="9" spans="1:39" ht="14.5">
      <c r="A9" s="6">
        <v>404</v>
      </c>
      <c r="B9" s="6">
        <v>2019</v>
      </c>
      <c r="C9" s="6" t="s">
        <v>45</v>
      </c>
      <c r="D9" s="7" t="s">
        <v>46</v>
      </c>
      <c r="E9" s="6" t="s">
        <v>41</v>
      </c>
      <c r="F9" s="6" t="s">
        <v>42</v>
      </c>
      <c r="G9" s="6"/>
      <c r="H9" s="9">
        <f>115471352000+17615430000</f>
        <v>133086782000</v>
      </c>
      <c r="I9" s="9">
        <v>1501728860000</v>
      </c>
      <c r="J9" s="10">
        <v>6716724073000</v>
      </c>
      <c r="K9" s="10">
        <v>239155397000</v>
      </c>
      <c r="L9" s="10">
        <v>1228125546000</v>
      </c>
      <c r="M9" s="10">
        <v>5488598527000</v>
      </c>
      <c r="N9" s="8">
        <v>58000000000</v>
      </c>
      <c r="O9" s="10">
        <v>5523362497000</v>
      </c>
      <c r="P9" s="10">
        <f>2862897768000+1177174576000</f>
        <v>4040072344000</v>
      </c>
      <c r="Q9" s="6"/>
      <c r="R9" s="6"/>
      <c r="S9" s="11"/>
      <c r="T9" s="10">
        <f>1177174576000+165730699000</f>
        <v>1342905275000</v>
      </c>
      <c r="U9" s="12">
        <v>1051164602000</v>
      </c>
      <c r="V9" s="9">
        <f t="shared" si="0"/>
        <v>5488598527000</v>
      </c>
      <c r="W9" s="13">
        <f t="shared" si="1"/>
        <v>0.18284591307492287</v>
      </c>
      <c r="X9" s="13">
        <f t="shared" si="2"/>
        <v>0.22375940596829882</v>
      </c>
      <c r="Y9" s="8">
        <f t="shared" si="3"/>
        <v>0.15649959572189204</v>
      </c>
      <c r="Z9" s="8">
        <f t="shared" si="4"/>
        <v>0.19151785229490151</v>
      </c>
      <c r="AA9" s="8">
        <f t="shared" si="5"/>
        <v>0.26854839851732443</v>
      </c>
      <c r="AB9" s="8">
        <f t="shared" si="6"/>
        <v>0.19031244148305262</v>
      </c>
      <c r="AC9" s="8">
        <f t="shared" si="7"/>
        <v>0.26854839851732443</v>
      </c>
      <c r="AD9" s="9"/>
      <c r="AE9" s="9"/>
      <c r="AF9" s="9"/>
      <c r="AG9" s="9"/>
      <c r="AH9" s="9"/>
      <c r="AI9" s="10"/>
      <c r="AJ9" s="9"/>
      <c r="AK9" s="10"/>
      <c r="AL9" s="9"/>
      <c r="AM9" s="10"/>
    </row>
    <row r="10" spans="1:39" ht="14.5">
      <c r="A10" s="6">
        <v>405</v>
      </c>
      <c r="B10" s="6">
        <v>2020</v>
      </c>
      <c r="C10" s="6" t="s">
        <v>45</v>
      </c>
      <c r="D10" s="7" t="s">
        <v>46</v>
      </c>
      <c r="E10" s="6" t="s">
        <v>41</v>
      </c>
      <c r="F10" s="6" t="s">
        <v>42</v>
      </c>
      <c r="G10" s="6"/>
      <c r="H10" s="9">
        <f>74618282000+45443124000</f>
        <v>120061406000</v>
      </c>
      <c r="I10" s="10">
        <v>1479438102000</v>
      </c>
      <c r="J10" s="10">
        <v>6766903494000</v>
      </c>
      <c r="K10" s="10">
        <v>1327841996000</v>
      </c>
      <c r="L10" s="10">
        <v>2870316946000</v>
      </c>
      <c r="M10" s="10">
        <v>3896586548000</v>
      </c>
      <c r="N10" s="8">
        <v>58000000000</v>
      </c>
      <c r="O10" s="10">
        <v>5101113259000</v>
      </c>
      <c r="P10" s="10">
        <f>2491631112000+1154111015000</f>
        <v>3645742127000</v>
      </c>
      <c r="Q10" s="6"/>
      <c r="R10" s="6"/>
      <c r="S10" s="11"/>
      <c r="T10" s="10">
        <f>1051164602000+1051164602000</f>
        <v>2102329204000</v>
      </c>
      <c r="U10" s="12">
        <v>1051164602000</v>
      </c>
      <c r="V10" s="9">
        <f t="shared" si="0"/>
        <v>3896586548000</v>
      </c>
      <c r="W10" s="13">
        <f t="shared" si="1"/>
        <v>0.42416992477357179</v>
      </c>
      <c r="X10" s="13">
        <f t="shared" si="2"/>
        <v>0.73662342941497005</v>
      </c>
      <c r="Y10" s="8">
        <f t="shared" si="3"/>
        <v>0.15533908573279262</v>
      </c>
      <c r="Z10" s="8">
        <f t="shared" si="4"/>
        <v>0.26976549578746839</v>
      </c>
      <c r="AA10" s="8">
        <f t="shared" si="5"/>
        <v>0.28530461060284412</v>
      </c>
      <c r="AB10" s="8">
        <f t="shared" si="6"/>
        <v>0.20606572499550141</v>
      </c>
      <c r="AC10" s="8">
        <f t="shared" si="7"/>
        <v>0.28530461060284412</v>
      </c>
      <c r="AD10" s="9"/>
      <c r="AE10" s="9"/>
      <c r="AF10" s="9"/>
      <c r="AG10" s="9"/>
      <c r="AH10" s="9"/>
      <c r="AI10" s="9"/>
      <c r="AJ10" s="9"/>
      <c r="AK10" s="9"/>
      <c r="AL10" s="9"/>
      <c r="AM10" s="10"/>
    </row>
    <row r="11" spans="1:39" ht="14.5">
      <c r="A11" s="6">
        <v>472</v>
      </c>
      <c r="B11" s="6">
        <v>2018</v>
      </c>
      <c r="C11" s="6" t="s">
        <v>47</v>
      </c>
      <c r="D11" s="7" t="s">
        <v>48</v>
      </c>
      <c r="E11" s="6" t="s">
        <v>41</v>
      </c>
      <c r="F11" s="6" t="s">
        <v>42</v>
      </c>
      <c r="G11" s="6"/>
      <c r="H11" s="9">
        <v>897825000</v>
      </c>
      <c r="I11" s="10">
        <v>801699400000</v>
      </c>
      <c r="J11" s="10">
        <v>8024565813000</v>
      </c>
      <c r="K11" s="9">
        <v>2949969316000</v>
      </c>
      <c r="L11" s="10">
        <v>6331144641000</v>
      </c>
      <c r="M11" s="10">
        <v>1692421172000</v>
      </c>
      <c r="N11" s="8">
        <f t="shared" ref="N11:N13" si="9">38287370000+2069580000</f>
        <v>40356950000</v>
      </c>
      <c r="O11" s="10">
        <v>2400197838000</v>
      </c>
      <c r="P11" s="10">
        <v>2342825116000</v>
      </c>
      <c r="Q11" s="6"/>
      <c r="R11" s="6"/>
      <c r="S11" s="11"/>
      <c r="T11" s="8">
        <f>1332657089000+1144164032000</f>
        <v>2476821121000</v>
      </c>
      <c r="U11" s="12">
        <v>-1111687862000</v>
      </c>
      <c r="V11" s="9">
        <f t="shared" si="0"/>
        <v>1692421172000</v>
      </c>
      <c r="W11" s="13">
        <f t="shared" si="1"/>
        <v>0.78897036781022911</v>
      </c>
      <c r="X11" s="13">
        <f t="shared" si="2"/>
        <v>3.7408800750927971</v>
      </c>
      <c r="Y11" s="8">
        <f t="shared" si="3"/>
        <v>-0.13853557786254772</v>
      </c>
      <c r="Z11" s="8">
        <f t="shared" si="4"/>
        <v>-0.6568624172234121</v>
      </c>
      <c r="AA11" s="8">
        <f t="shared" si="5"/>
        <v>2.3903330422048317E-2</v>
      </c>
      <c r="AB11" s="8">
        <f t="shared" si="6"/>
        <v>-0.46316509597655925</v>
      </c>
      <c r="AC11" s="8">
        <f t="shared" si="7"/>
        <v>2.3903330422048317E-2</v>
      </c>
      <c r="AD11" s="10"/>
      <c r="AE11" s="10"/>
      <c r="AF11" s="9"/>
      <c r="AG11" s="9"/>
      <c r="AH11" s="9"/>
      <c r="AI11" s="9"/>
      <c r="AJ11" s="10"/>
      <c r="AK11" s="10"/>
      <c r="AL11" s="9"/>
      <c r="AM11" s="10"/>
    </row>
    <row r="12" spans="1:39" ht="14.5">
      <c r="A12" s="6">
        <v>473</v>
      </c>
      <c r="B12" s="6">
        <v>2019</v>
      </c>
      <c r="C12" s="6" t="s">
        <v>47</v>
      </c>
      <c r="D12" s="7" t="s">
        <v>48</v>
      </c>
      <c r="E12" s="6" t="s">
        <v>41</v>
      </c>
      <c r="F12" s="6" t="s">
        <v>42</v>
      </c>
      <c r="G12" s="6"/>
      <c r="H12" s="9"/>
      <c r="I12" s="10">
        <v>755556286000</v>
      </c>
      <c r="J12" s="10">
        <v>8567653603000</v>
      </c>
      <c r="K12" s="9">
        <v>305874648000</v>
      </c>
      <c r="L12" s="10">
        <v>7419666167000</v>
      </c>
      <c r="M12" s="10">
        <v>1147987436000</v>
      </c>
      <c r="N12" s="8">
        <f t="shared" si="9"/>
        <v>40356950000</v>
      </c>
      <c r="O12" s="10">
        <v>2117781960000</v>
      </c>
      <c r="P12" s="10">
        <v>2149702385000</v>
      </c>
      <c r="Q12" s="6"/>
      <c r="R12" s="6"/>
      <c r="S12" s="11"/>
      <c r="T12" s="8">
        <f>1232204726000+473756432000</f>
        <v>1705961158000</v>
      </c>
      <c r="U12" s="12">
        <v>-540883362000</v>
      </c>
      <c r="V12" s="9">
        <f t="shared" si="0"/>
        <v>1147987436000</v>
      </c>
      <c r="W12" s="13">
        <f t="shared" si="1"/>
        <v>0.86600912114397022</v>
      </c>
      <c r="X12" s="13">
        <f t="shared" si="2"/>
        <v>6.4631945736730172</v>
      </c>
      <c r="Y12" s="8">
        <f t="shared" si="3"/>
        <v>-6.3130862551516717E-2</v>
      </c>
      <c r="Z12" s="8">
        <f t="shared" si="4"/>
        <v>-0.47115791082577668</v>
      </c>
      <c r="AA12" s="8">
        <f t="shared" si="5"/>
        <v>-1.5072573854581328E-2</v>
      </c>
      <c r="AB12" s="8">
        <f t="shared" si="6"/>
        <v>-0.25540087327970251</v>
      </c>
      <c r="AC12" s="8">
        <f t="shared" si="7"/>
        <v>-1.5072573854581328E-2</v>
      </c>
      <c r="AD12" s="10"/>
      <c r="AE12" s="10"/>
      <c r="AF12" s="9"/>
      <c r="AG12" s="9"/>
      <c r="AH12" s="9"/>
      <c r="AI12" s="9"/>
      <c r="AJ12" s="10"/>
      <c r="AK12" s="10"/>
      <c r="AL12" s="9"/>
      <c r="AM12" s="10"/>
    </row>
    <row r="13" spans="1:39" ht="14.5">
      <c r="A13" s="6">
        <v>474</v>
      </c>
      <c r="B13" s="6">
        <v>2020</v>
      </c>
      <c r="C13" s="6" t="s">
        <v>47</v>
      </c>
      <c r="D13" s="7" t="s">
        <v>48</v>
      </c>
      <c r="E13" s="6" t="s">
        <v>41</v>
      </c>
      <c r="F13" s="6" t="s">
        <v>42</v>
      </c>
      <c r="G13" s="6"/>
      <c r="H13" s="9"/>
      <c r="I13" s="10">
        <v>680914303000</v>
      </c>
      <c r="J13" s="10">
        <v>8584281930000</v>
      </c>
      <c r="K13" s="9">
        <v>459073171000</v>
      </c>
      <c r="L13" s="10">
        <v>8369846685000</v>
      </c>
      <c r="M13" s="10">
        <v>214435245000</v>
      </c>
      <c r="N13" s="8">
        <f t="shared" si="9"/>
        <v>40356950000</v>
      </c>
      <c r="O13" s="10">
        <v>1830516513000</v>
      </c>
      <c r="P13" s="10">
        <v>1780091859000</v>
      </c>
      <c r="Q13" s="6"/>
      <c r="R13" s="6"/>
      <c r="S13" s="11"/>
      <c r="T13" s="8">
        <f>1046289906000+828492869000</f>
        <v>1874782775000</v>
      </c>
      <c r="U13" s="12">
        <v>-809081475000</v>
      </c>
      <c r="V13" s="9">
        <f t="shared" si="0"/>
        <v>214435245000</v>
      </c>
      <c r="W13" s="13">
        <f t="shared" si="1"/>
        <v>0.97502001370078484</v>
      </c>
      <c r="X13" s="13">
        <f t="shared" si="2"/>
        <v>39.03204757688038</v>
      </c>
      <c r="Y13" s="8">
        <f t="shared" si="3"/>
        <v>-9.4251503107377552E-2</v>
      </c>
      <c r="Z13" s="8">
        <f t="shared" si="4"/>
        <v>-3.7730806565870272</v>
      </c>
      <c r="AA13" s="8">
        <f t="shared" si="5"/>
        <v>2.7546680754799616E-2</v>
      </c>
      <c r="AB13" s="8">
        <f t="shared" si="6"/>
        <v>-0.44199627222920335</v>
      </c>
      <c r="AC13" s="8">
        <f t="shared" si="7"/>
        <v>2.7546680754799616E-2</v>
      </c>
      <c r="AD13" s="10"/>
      <c r="AE13" s="10"/>
      <c r="AF13" s="9"/>
      <c r="AG13" s="9"/>
      <c r="AH13" s="9"/>
      <c r="AI13" s="9"/>
      <c r="AJ13" s="10"/>
      <c r="AK13" s="10"/>
      <c r="AL13" s="9"/>
      <c r="AM13" s="10"/>
    </row>
    <row r="14" spans="1:39" ht="14.5">
      <c r="A14" s="6">
        <v>169</v>
      </c>
      <c r="B14" s="6">
        <v>2018</v>
      </c>
      <c r="C14" s="6" t="s">
        <v>49</v>
      </c>
      <c r="D14" s="7" t="s">
        <v>50</v>
      </c>
      <c r="E14" s="6" t="s">
        <v>41</v>
      </c>
      <c r="F14" s="6" t="s">
        <v>51</v>
      </c>
      <c r="G14" s="6"/>
      <c r="H14" s="9">
        <f>753122507000+1890135227000</f>
        <v>2643257734000</v>
      </c>
      <c r="I14" s="8">
        <v>2518586345000</v>
      </c>
      <c r="J14" s="8">
        <v>19525411684000</v>
      </c>
      <c r="K14" s="8">
        <v>1788053654000</v>
      </c>
      <c r="L14" s="8">
        <v>4061078369000</v>
      </c>
      <c r="M14" s="8">
        <v>15464333315000</v>
      </c>
      <c r="N14" s="8">
        <v>12567018000</v>
      </c>
      <c r="O14" s="8">
        <v>8959710884000</v>
      </c>
      <c r="P14" s="8">
        <v>6125120967000</v>
      </c>
      <c r="Q14" s="6"/>
      <c r="R14" s="6"/>
      <c r="S14" s="11"/>
      <c r="T14" s="9">
        <f>496501244000+2446991687000</f>
        <v>2943492931000</v>
      </c>
      <c r="U14" s="12">
        <v>-2305536736000</v>
      </c>
      <c r="V14" s="13">
        <f t="shared" si="0"/>
        <v>15464333315000</v>
      </c>
      <c r="W14" s="13">
        <f t="shared" si="1"/>
        <v>0.2079893850498338</v>
      </c>
      <c r="X14" s="13">
        <f t="shared" si="2"/>
        <v>0.26260934023330057</v>
      </c>
      <c r="Y14" s="8">
        <f t="shared" si="3"/>
        <v>-0.11807877720136679</v>
      </c>
      <c r="Z14" s="8">
        <f t="shared" si="4"/>
        <v>-0.14908736697777261</v>
      </c>
      <c r="AA14" s="8">
        <f t="shared" si="5"/>
        <v>0.31637069027103665</v>
      </c>
      <c r="AB14" s="8">
        <f t="shared" si="6"/>
        <v>-0.25732267099345391</v>
      </c>
      <c r="AC14" s="8">
        <f t="shared" si="7"/>
        <v>0.31637069027103665</v>
      </c>
      <c r="AD14" s="9">
        <v>1574090526000</v>
      </c>
      <c r="AE14" s="9">
        <v>116849247000</v>
      </c>
      <c r="AF14" s="9"/>
      <c r="AG14" s="9"/>
      <c r="AH14" s="9"/>
      <c r="AI14" s="10">
        <v>1684548534000</v>
      </c>
      <c r="AJ14" s="9"/>
      <c r="AK14" s="10">
        <v>28802899000</v>
      </c>
      <c r="AL14" s="9"/>
      <c r="AM14" s="10">
        <v>431375436000</v>
      </c>
    </row>
    <row r="15" spans="1:39" ht="14.5">
      <c r="A15" s="6">
        <v>170</v>
      </c>
      <c r="B15" s="6">
        <v>2019</v>
      </c>
      <c r="C15" s="6" t="s">
        <v>49</v>
      </c>
      <c r="D15" s="7" t="s">
        <v>50</v>
      </c>
      <c r="E15" s="6" t="s">
        <v>41</v>
      </c>
      <c r="F15" s="6" t="s">
        <v>51</v>
      </c>
      <c r="H15" s="9">
        <f>780818591000+1274019829000</f>
        <v>2054838420000</v>
      </c>
      <c r="I15" s="8">
        <v>3028963325000</v>
      </c>
      <c r="J15" s="8">
        <v>17540637852000</v>
      </c>
      <c r="K15" s="8">
        <v>2586055335000</v>
      </c>
      <c r="L15" s="8">
        <v>5275358414000</v>
      </c>
      <c r="M15" s="8">
        <v>12265279438000</v>
      </c>
      <c r="N15" s="8">
        <v>12567018000</v>
      </c>
      <c r="O15" s="8">
        <v>11030044792000</v>
      </c>
      <c r="P15" s="8">
        <v>8270027096000</v>
      </c>
      <c r="Q15" s="6"/>
      <c r="R15" s="6"/>
      <c r="S15" s="11"/>
      <c r="T15" s="9">
        <f>1745999135000+2607161189000</f>
        <v>4353160324000</v>
      </c>
      <c r="U15" s="12">
        <v>-2343106373000</v>
      </c>
      <c r="V15" s="13">
        <f t="shared" si="0"/>
        <v>12265279438000</v>
      </c>
      <c r="W15" s="13">
        <f t="shared" si="1"/>
        <v>0.30075066018186442</v>
      </c>
      <c r="X15" s="13">
        <f t="shared" si="2"/>
        <v>0.4301050327199239</v>
      </c>
      <c r="Y15" s="8">
        <f t="shared" si="3"/>
        <v>-0.13358159451042065</v>
      </c>
      <c r="Z15" s="8">
        <f t="shared" si="4"/>
        <v>-0.19103571058810476</v>
      </c>
      <c r="AA15" s="8">
        <f t="shared" si="5"/>
        <v>0.25022724277618691</v>
      </c>
      <c r="AB15" s="8">
        <f t="shared" si="6"/>
        <v>-0.21242945220852011</v>
      </c>
      <c r="AC15" s="8">
        <f t="shared" si="7"/>
        <v>0.25022724277618691</v>
      </c>
      <c r="AD15" s="9">
        <v>1497930720000</v>
      </c>
      <c r="AE15" s="9">
        <v>81273105000</v>
      </c>
      <c r="AF15" s="9"/>
      <c r="AG15" s="9"/>
      <c r="AH15" s="9"/>
      <c r="AI15" s="10">
        <v>-528157639000</v>
      </c>
      <c r="AJ15" s="9"/>
      <c r="AK15" s="14">
        <v>12280970000</v>
      </c>
      <c r="AL15" s="9"/>
      <c r="AM15" s="14">
        <v>56439826000</v>
      </c>
    </row>
    <row r="16" spans="1:39" ht="14.5">
      <c r="A16" s="6">
        <v>171</v>
      </c>
      <c r="B16" s="6">
        <v>2020</v>
      </c>
      <c r="C16" s="6" t="s">
        <v>49</v>
      </c>
      <c r="D16" s="7" t="s">
        <v>50</v>
      </c>
      <c r="E16" s="6" t="s">
        <v>41</v>
      </c>
      <c r="F16" s="6" t="s">
        <v>51</v>
      </c>
      <c r="G16" s="6"/>
      <c r="H16" s="9">
        <f>997476863000+1305584490000</f>
        <v>2303061353000</v>
      </c>
      <c r="I16" s="8">
        <v>4583995711000</v>
      </c>
      <c r="J16" s="8">
        <v>17884145634000</v>
      </c>
      <c r="K16" s="13">
        <v>2620257556000</v>
      </c>
      <c r="L16" s="8">
        <v>5485106483000</v>
      </c>
      <c r="M16" s="8">
        <v>12399039151000</v>
      </c>
      <c r="N16" s="8">
        <v>12567018000</v>
      </c>
      <c r="O16" s="13">
        <v>11936381982000</v>
      </c>
      <c r="P16" s="8">
        <v>9043072852000</v>
      </c>
      <c r="Q16" s="6"/>
      <c r="R16" s="6"/>
      <c r="S16" s="11"/>
      <c r="T16" s="9">
        <f>88249012000+1579745270000</f>
        <v>1667994282000</v>
      </c>
      <c r="U16" s="12">
        <v>-1717376472000</v>
      </c>
      <c r="V16" s="13">
        <f t="shared" si="0"/>
        <v>12399039151000</v>
      </c>
      <c r="W16" s="13">
        <f t="shared" si="1"/>
        <v>0.30670218165592017</v>
      </c>
      <c r="X16" s="13">
        <f t="shared" si="2"/>
        <v>0.44238157620121865</v>
      </c>
      <c r="Y16" s="8">
        <f t="shared" si="3"/>
        <v>-9.6027873354769172E-2</v>
      </c>
      <c r="Z16" s="8">
        <f t="shared" si="4"/>
        <v>-0.13850883532870295</v>
      </c>
      <c r="AA16" s="8">
        <f t="shared" si="5"/>
        <v>0.24239414710111445</v>
      </c>
      <c r="AB16" s="8">
        <f t="shared" si="6"/>
        <v>-0.14387747263700126</v>
      </c>
      <c r="AC16" s="8">
        <f t="shared" si="7"/>
        <v>0.24239414710111445</v>
      </c>
      <c r="AD16" s="9">
        <v>1521248746000</v>
      </c>
      <c r="AE16" s="9">
        <v>81267689000</v>
      </c>
      <c r="AF16" s="9"/>
      <c r="AG16" s="9"/>
      <c r="AH16" s="9"/>
      <c r="AI16" s="9">
        <v>0</v>
      </c>
      <c r="AJ16" s="9"/>
      <c r="AK16" s="9">
        <v>9361613000</v>
      </c>
      <c r="AL16" s="9"/>
      <c r="AM16" s="10">
        <v>41008261000</v>
      </c>
    </row>
    <row r="17" spans="1:39" ht="14.5">
      <c r="A17" s="6">
        <v>259</v>
      </c>
      <c r="B17" s="6">
        <v>2018</v>
      </c>
      <c r="C17" s="6" t="s">
        <v>52</v>
      </c>
      <c r="D17" s="7" t="s">
        <v>53</v>
      </c>
      <c r="E17" s="6" t="s">
        <v>41</v>
      </c>
      <c r="F17" s="6" t="s">
        <v>51</v>
      </c>
      <c r="G17" s="8"/>
      <c r="H17" s="15">
        <v>8944733876</v>
      </c>
      <c r="I17" s="8">
        <v>437901244110</v>
      </c>
      <c r="J17" s="8">
        <v>1087169297635</v>
      </c>
      <c r="K17" s="8">
        <v>42310284440</v>
      </c>
      <c r="L17" s="8">
        <v>439743355312</v>
      </c>
      <c r="M17" s="8">
        <v>647425942323</v>
      </c>
      <c r="N17" s="8">
        <v>6850000000</v>
      </c>
      <c r="O17" s="8">
        <v>1269759234189</v>
      </c>
      <c r="P17" s="8">
        <v>991874760024</v>
      </c>
      <c r="Q17" s="6"/>
      <c r="R17" s="6"/>
      <c r="S17" s="11"/>
      <c r="T17" s="10">
        <f>40386642833+70097895345</f>
        <v>110484538178</v>
      </c>
      <c r="U17" s="12">
        <v>120550064804</v>
      </c>
      <c r="V17" s="13">
        <f t="shared" si="0"/>
        <v>647425942323</v>
      </c>
      <c r="W17" s="13">
        <f t="shared" si="1"/>
        <v>0.40448470745872456</v>
      </c>
      <c r="X17" s="13">
        <f t="shared" si="2"/>
        <v>0.67921800250106845</v>
      </c>
      <c r="Y17" s="8">
        <f t="shared" si="3"/>
        <v>0.11088435358342209</v>
      </c>
      <c r="Z17" s="8">
        <f t="shared" si="4"/>
        <v>0.18619900273297624</v>
      </c>
      <c r="AA17" s="8">
        <f t="shared" si="5"/>
        <v>0.21884816166939386</v>
      </c>
      <c r="AB17" s="8">
        <f t="shared" si="6"/>
        <v>9.4939309404586281E-2</v>
      </c>
      <c r="AC17" s="8">
        <f t="shared" si="7"/>
        <v>0.21884816166939386</v>
      </c>
      <c r="AD17" s="9"/>
      <c r="AE17" s="9"/>
      <c r="AF17" s="9"/>
      <c r="AG17" s="9"/>
      <c r="AH17" s="9"/>
      <c r="AI17" s="9"/>
      <c r="AJ17" s="9"/>
      <c r="AK17" s="9"/>
      <c r="AL17" s="9"/>
      <c r="AM17" s="10"/>
    </row>
    <row r="18" spans="1:39" ht="14.5">
      <c r="A18" s="6">
        <v>260</v>
      </c>
      <c r="B18" s="6">
        <v>2019</v>
      </c>
      <c r="C18" s="6" t="s">
        <v>52</v>
      </c>
      <c r="D18" s="7" t="s">
        <v>53</v>
      </c>
      <c r="E18" s="6" t="s">
        <v>41</v>
      </c>
      <c r="F18" s="6" t="s">
        <v>51</v>
      </c>
      <c r="G18" s="8"/>
      <c r="H18" s="15">
        <v>9967624124</v>
      </c>
      <c r="I18" s="8">
        <v>501238262227</v>
      </c>
      <c r="J18" s="8">
        <v>1152696526641</v>
      </c>
      <c r="K18" s="8">
        <v>29176627515</v>
      </c>
      <c r="L18" s="8">
        <v>406866280932</v>
      </c>
      <c r="M18" s="8">
        <v>745830245709</v>
      </c>
      <c r="N18" s="8">
        <v>6850000000</v>
      </c>
      <c r="O18" s="8">
        <v>1438183885309</v>
      </c>
      <c r="P18" s="8">
        <v>1058393016361</v>
      </c>
      <c r="Q18" s="6"/>
      <c r="R18" s="6"/>
      <c r="S18" s="11"/>
      <c r="T18" s="10">
        <f>41198223065+82378805407</f>
        <v>123577028472</v>
      </c>
      <c r="U18" s="12">
        <v>182442649410</v>
      </c>
      <c r="V18" s="13">
        <f t="shared" si="0"/>
        <v>745830245709</v>
      </c>
      <c r="W18" s="13">
        <f t="shared" si="1"/>
        <v>0.35296912199225872</v>
      </c>
      <c r="X18" s="13">
        <f t="shared" si="2"/>
        <v>0.54552129425272289</v>
      </c>
      <c r="Y18" s="8">
        <f t="shared" si="3"/>
        <v>0.15827465876178579</v>
      </c>
      <c r="Z18" s="8">
        <f t="shared" si="4"/>
        <v>0.24461685545692324</v>
      </c>
      <c r="AA18" s="8">
        <f t="shared" si="5"/>
        <v>0.26407671009774963</v>
      </c>
      <c r="AB18" s="8">
        <f t="shared" si="6"/>
        <v>0.12685627427316182</v>
      </c>
      <c r="AC18" s="8">
        <f t="shared" si="7"/>
        <v>0.26407671009774963</v>
      </c>
      <c r="AD18" s="9"/>
      <c r="AE18" s="9"/>
      <c r="AF18" s="9"/>
      <c r="AG18" s="9"/>
      <c r="AH18" s="9"/>
      <c r="AI18" s="9"/>
      <c r="AJ18" s="9"/>
      <c r="AK18" s="9"/>
      <c r="AL18" s="9"/>
      <c r="AM18" s="10"/>
    </row>
    <row r="19" spans="1:39" ht="14.5">
      <c r="A19" s="6">
        <v>261</v>
      </c>
      <c r="B19" s="6">
        <v>2020</v>
      </c>
      <c r="C19" s="6" t="s">
        <v>52</v>
      </c>
      <c r="D19" s="7" t="s">
        <v>53</v>
      </c>
      <c r="E19" s="6" t="s">
        <v>41</v>
      </c>
      <c r="F19" s="6" t="s">
        <v>51</v>
      </c>
      <c r="G19" s="8"/>
      <c r="H19" s="15">
        <v>1637359473</v>
      </c>
      <c r="I19" s="9">
        <v>510514957020</v>
      </c>
      <c r="J19" s="8">
        <v>1038097010616</v>
      </c>
      <c r="K19" s="8">
        <v>23715199115</v>
      </c>
      <c r="L19" s="8">
        <v>267681176266</v>
      </c>
      <c r="M19" s="8">
        <v>770415834350</v>
      </c>
      <c r="N19" s="8">
        <v>6850000000</v>
      </c>
      <c r="O19" s="8">
        <v>978625887145</v>
      </c>
      <c r="P19" s="8">
        <v>758926697868</v>
      </c>
      <c r="Q19" s="6"/>
      <c r="R19" s="6"/>
      <c r="S19" s="11"/>
      <c r="T19" s="10">
        <f>27076217248+79701637171</f>
        <v>106777854419</v>
      </c>
      <c r="U19" s="12">
        <v>74172914384</v>
      </c>
      <c r="V19" s="13">
        <f t="shared" si="0"/>
        <v>770415834350</v>
      </c>
      <c r="W19" s="13">
        <f t="shared" si="1"/>
        <v>0.25785757354908451</v>
      </c>
      <c r="X19" s="13">
        <f t="shared" si="2"/>
        <v>0.34745025261824047</v>
      </c>
      <c r="Y19" s="8">
        <f t="shared" si="3"/>
        <v>7.145085057126431E-2</v>
      </c>
      <c r="Z19" s="8">
        <f t="shared" si="4"/>
        <v>9.6276466652038248E-2</v>
      </c>
      <c r="AA19" s="8">
        <f t="shared" si="5"/>
        <v>0.22449762688982275</v>
      </c>
      <c r="AB19" s="8">
        <f t="shared" si="6"/>
        <v>7.5792920827374377E-2</v>
      </c>
      <c r="AC19" s="8">
        <f t="shared" si="7"/>
        <v>0.22449762688982275</v>
      </c>
      <c r="AD19" s="9"/>
      <c r="AE19" s="9"/>
      <c r="AF19" s="9"/>
      <c r="AG19" s="9"/>
      <c r="AH19" s="9"/>
      <c r="AI19" s="9"/>
      <c r="AJ19" s="9"/>
      <c r="AK19" s="9"/>
      <c r="AL19" s="9"/>
      <c r="AM19" s="10"/>
    </row>
    <row r="20" spans="1:39" ht="14.5">
      <c r="A20" s="6">
        <v>31</v>
      </c>
      <c r="B20" s="6">
        <v>2018</v>
      </c>
      <c r="C20" s="6" t="s">
        <v>54</v>
      </c>
      <c r="D20" s="7" t="s">
        <v>55</v>
      </c>
      <c r="E20" s="6" t="s">
        <v>56</v>
      </c>
      <c r="F20" s="6" t="s">
        <v>57</v>
      </c>
      <c r="G20" s="8"/>
      <c r="H20" s="16">
        <f>x!C12</f>
        <v>290476830</v>
      </c>
      <c r="I20" s="16">
        <v>123308301000</v>
      </c>
      <c r="J20" s="16">
        <v>874472888000</v>
      </c>
      <c r="K20" s="16"/>
      <c r="L20" s="16">
        <v>593110979000</v>
      </c>
      <c r="M20" s="16">
        <v>281361909000</v>
      </c>
      <c r="N20" s="8">
        <v>640000000</v>
      </c>
      <c r="O20" s="16">
        <v>264899142000</v>
      </c>
      <c r="P20" s="16">
        <v>124758053000</v>
      </c>
      <c r="Q20" s="6"/>
      <c r="R20" s="6"/>
      <c r="S20" s="11"/>
      <c r="T20" s="9">
        <v>3501669000</v>
      </c>
      <c r="U20" s="12">
        <v>3274307000</v>
      </c>
      <c r="V20" s="17">
        <f t="shared" si="0"/>
        <v>281361909000</v>
      </c>
      <c r="W20" s="13">
        <f t="shared" si="1"/>
        <v>0.67824970578161592</v>
      </c>
      <c r="X20" s="13">
        <f t="shared" si="2"/>
        <v>2.1080002659492902</v>
      </c>
      <c r="Y20" s="8">
        <f t="shared" si="3"/>
        <v>3.7443207730415077E-3</v>
      </c>
      <c r="Z20" s="8">
        <f t="shared" si="4"/>
        <v>1.1637349958412459E-2</v>
      </c>
      <c r="AA20" s="8">
        <f t="shared" si="5"/>
        <v>0.52903564708412687</v>
      </c>
      <c r="AB20" s="8">
        <f t="shared" si="6"/>
        <v>1.2360579861749798E-2</v>
      </c>
      <c r="AC20" s="8">
        <f t="shared" si="7"/>
        <v>0.52903564708412687</v>
      </c>
      <c r="AD20" s="9"/>
      <c r="AE20" s="9">
        <v>1914136000</v>
      </c>
      <c r="AF20" s="9"/>
      <c r="AG20" s="9"/>
      <c r="AH20" s="9"/>
      <c r="AI20" s="9">
        <v>4929704000</v>
      </c>
      <c r="AJ20" s="9"/>
      <c r="AK20" s="9"/>
      <c r="AL20" s="10">
        <v>365466000</v>
      </c>
      <c r="AM20" s="10">
        <v>37472681000</v>
      </c>
    </row>
    <row r="21" spans="1:39" ht="15.75" customHeight="1">
      <c r="A21" s="6">
        <v>32</v>
      </c>
      <c r="B21" s="6">
        <v>2019</v>
      </c>
      <c r="C21" s="6" t="s">
        <v>54</v>
      </c>
      <c r="D21" s="7" t="s">
        <v>55</v>
      </c>
      <c r="E21" s="6" t="s">
        <v>56</v>
      </c>
      <c r="F21" s="6" t="s">
        <v>57</v>
      </c>
      <c r="G21" s="8"/>
      <c r="H21" s="16">
        <f>x!B12</f>
        <v>272057904</v>
      </c>
      <c r="I21" s="16">
        <v>127895603000</v>
      </c>
      <c r="J21" s="16">
        <v>857520585000</v>
      </c>
      <c r="K21" s="16"/>
      <c r="L21" s="16">
        <v>566035087000</v>
      </c>
      <c r="M21" s="16">
        <v>291351494000</v>
      </c>
      <c r="N21" s="8">
        <v>640000000</v>
      </c>
      <c r="O21" s="16">
        <v>250804486000</v>
      </c>
      <c r="P21" s="16">
        <v>134257087000</v>
      </c>
      <c r="Q21" s="6"/>
      <c r="R21" s="6"/>
      <c r="S21" s="11"/>
      <c r="T21" s="9">
        <v>1102516000</v>
      </c>
      <c r="U21" s="12">
        <v>3581215000</v>
      </c>
      <c r="V21" s="17">
        <f t="shared" si="0"/>
        <v>291351494000</v>
      </c>
      <c r="W21" s="13">
        <f t="shared" si="1"/>
        <v>0.66008338097213137</v>
      </c>
      <c r="X21" s="13">
        <f t="shared" si="2"/>
        <v>1.9427910913681465</v>
      </c>
      <c r="Y21" s="8">
        <f t="shared" si="3"/>
        <v>4.1762437691218804E-3</v>
      </c>
      <c r="Z21" s="8">
        <f t="shared" si="4"/>
        <v>1.2291733777757803E-2</v>
      </c>
      <c r="AA21" s="8">
        <f t="shared" si="5"/>
        <v>0.46469423597152087</v>
      </c>
      <c r="AB21" s="8">
        <f t="shared" si="6"/>
        <v>1.4278911263174137E-2</v>
      </c>
      <c r="AC21" s="8">
        <f t="shared" si="7"/>
        <v>0.46469423597152087</v>
      </c>
      <c r="AD21" s="9"/>
      <c r="AE21" s="9">
        <v>891342000</v>
      </c>
      <c r="AF21" s="9"/>
      <c r="AG21" s="9"/>
      <c r="AH21" s="9"/>
      <c r="AI21" s="9">
        <v>4929704000</v>
      </c>
      <c r="AJ21" s="9"/>
      <c r="AK21" s="9"/>
      <c r="AL21" s="10">
        <v>259575000</v>
      </c>
      <c r="AM21" s="10">
        <v>24208733000</v>
      </c>
    </row>
    <row r="22" spans="1:39" ht="15.75" customHeight="1">
      <c r="A22" s="6">
        <v>33</v>
      </c>
      <c r="B22" s="6">
        <v>2020</v>
      </c>
      <c r="C22" s="6" t="s">
        <v>54</v>
      </c>
      <c r="D22" s="7" t="s">
        <v>55</v>
      </c>
      <c r="E22" s="6" t="s">
        <v>56</v>
      </c>
      <c r="F22" s="6" t="s">
        <v>57</v>
      </c>
      <c r="G22" s="6"/>
      <c r="H22" s="16">
        <f>x!A12</f>
        <v>304792271</v>
      </c>
      <c r="I22" s="16">
        <v>125064327000</v>
      </c>
      <c r="J22" s="16">
        <v>871769183000</v>
      </c>
      <c r="K22" s="16"/>
      <c r="L22" s="16">
        <v>557997452000</v>
      </c>
      <c r="M22" s="16">
        <v>313771731000</v>
      </c>
      <c r="N22" s="8">
        <v>640000000</v>
      </c>
      <c r="O22" s="16">
        <v>231470118000</v>
      </c>
      <c r="P22" s="16">
        <v>109895092000</v>
      </c>
      <c r="Q22" s="6"/>
      <c r="R22" s="6"/>
      <c r="S22" s="11"/>
      <c r="T22" s="9">
        <f>780141000+425091000</f>
        <v>1205232000</v>
      </c>
      <c r="U22" s="12">
        <v>10456654000</v>
      </c>
      <c r="V22" s="17">
        <f t="shared" si="0"/>
        <v>313771731000</v>
      </c>
      <c r="W22" s="13">
        <f t="shared" si="1"/>
        <v>0.64007476162414423</v>
      </c>
      <c r="X22" s="13">
        <f t="shared" si="2"/>
        <v>1.778354761984597</v>
      </c>
      <c r="Y22" s="8">
        <f t="shared" si="3"/>
        <v>1.1994750679320583E-2</v>
      </c>
      <c r="Z22" s="8">
        <f t="shared" si="4"/>
        <v>3.3325672668708325E-2</v>
      </c>
      <c r="AA22" s="8">
        <f t="shared" si="5"/>
        <v>0.52522989598164893</v>
      </c>
      <c r="AB22" s="8">
        <f t="shared" si="6"/>
        <v>4.5174962929772217E-2</v>
      </c>
      <c r="AC22" s="8">
        <f t="shared" si="7"/>
        <v>0.52522989598164893</v>
      </c>
      <c r="AD22" s="9"/>
      <c r="AE22" s="9">
        <v>207838000</v>
      </c>
      <c r="AF22" s="9"/>
      <c r="AG22" s="9"/>
      <c r="AH22" s="9"/>
      <c r="AI22" s="9">
        <v>4929704000</v>
      </c>
      <c r="AJ22" s="9"/>
      <c r="AK22" s="9"/>
      <c r="AL22" s="9">
        <v>418733000</v>
      </c>
      <c r="AM22" s="9">
        <v>46947329000</v>
      </c>
    </row>
    <row r="23" spans="1:39" ht="15.75" customHeight="1">
      <c r="A23" s="6">
        <v>37</v>
      </c>
      <c r="B23" s="6">
        <v>2018</v>
      </c>
      <c r="C23" s="6" t="s">
        <v>58</v>
      </c>
      <c r="D23" s="7" t="s">
        <v>59</v>
      </c>
      <c r="E23" s="6" t="s">
        <v>56</v>
      </c>
      <c r="F23" s="6" t="s">
        <v>57</v>
      </c>
      <c r="G23" s="8"/>
      <c r="H23" s="9">
        <v>229934584995</v>
      </c>
      <c r="I23" s="9">
        <v>21609167523</v>
      </c>
      <c r="J23" s="9">
        <v>969866560976</v>
      </c>
      <c r="K23" s="6"/>
      <c r="L23" s="9">
        <v>450272263738</v>
      </c>
      <c r="M23" s="9">
        <v>519594297238</v>
      </c>
      <c r="N23" s="13">
        <v>25000000000</v>
      </c>
      <c r="O23" s="9">
        <v>135633770098</v>
      </c>
      <c r="P23" s="9">
        <v>68591523905</v>
      </c>
      <c r="Q23" s="6"/>
      <c r="R23" s="6"/>
      <c r="S23" s="11"/>
      <c r="T23" s="9">
        <v>76025853817</v>
      </c>
      <c r="U23" s="10">
        <v>71761034881</v>
      </c>
      <c r="V23" s="9">
        <f t="shared" si="0"/>
        <v>519594297238</v>
      </c>
      <c r="W23" s="13">
        <f t="shared" si="1"/>
        <v>0.46426207671793551</v>
      </c>
      <c r="X23" s="13">
        <f t="shared" si="2"/>
        <v>0.8665843065089549</v>
      </c>
      <c r="Y23" s="8">
        <f t="shared" si="3"/>
        <v>7.3990626925816622E-2</v>
      </c>
      <c r="Z23" s="8">
        <f t="shared" si="4"/>
        <v>0.13810974304848825</v>
      </c>
      <c r="AA23" s="8">
        <f t="shared" si="5"/>
        <v>0.49428874641293025</v>
      </c>
      <c r="AB23" s="8">
        <f t="shared" si="6"/>
        <v>0.52907940868376824</v>
      </c>
      <c r="AC23" s="8">
        <f t="shared" si="7"/>
        <v>0.49428874641293025</v>
      </c>
      <c r="AD23" s="9"/>
      <c r="AE23" s="9">
        <v>1284135515</v>
      </c>
      <c r="AF23" s="9"/>
      <c r="AG23" s="9"/>
      <c r="AH23" s="9"/>
      <c r="AI23" s="9"/>
      <c r="AJ23" s="9"/>
      <c r="AK23" s="9">
        <v>1378488571</v>
      </c>
      <c r="AL23" s="10"/>
      <c r="AM23" s="10">
        <v>19174178788</v>
      </c>
    </row>
    <row r="24" spans="1:39" ht="15.75" customHeight="1">
      <c r="A24" s="6">
        <v>38</v>
      </c>
      <c r="B24" s="6">
        <v>2019</v>
      </c>
      <c r="C24" s="6" t="s">
        <v>58</v>
      </c>
      <c r="D24" s="7" t="s">
        <v>59</v>
      </c>
      <c r="E24" s="6" t="s">
        <v>56</v>
      </c>
      <c r="F24" s="6" t="s">
        <v>57</v>
      </c>
      <c r="G24" s="8"/>
      <c r="H24" s="9">
        <v>351654846593</v>
      </c>
      <c r="I24" s="9">
        <v>24621076327</v>
      </c>
      <c r="J24" s="9">
        <v>975687462693</v>
      </c>
      <c r="K24" s="6"/>
      <c r="L24" s="9">
        <v>445392630259</v>
      </c>
      <c r="M24" s="9">
        <v>530294832434</v>
      </c>
      <c r="N24" s="13">
        <v>25000000000</v>
      </c>
      <c r="O24" s="9">
        <v>175174507884</v>
      </c>
      <c r="P24" s="9">
        <v>101954815930</v>
      </c>
      <c r="Q24" s="6"/>
      <c r="R24" s="6"/>
      <c r="S24" s="11"/>
      <c r="T24" s="9">
        <v>72793612247</v>
      </c>
      <c r="U24" s="10">
        <v>8260755476</v>
      </c>
      <c r="V24" s="9">
        <f t="shared" si="0"/>
        <v>530294832434</v>
      </c>
      <c r="W24" s="13">
        <f t="shared" si="1"/>
        <v>0.45649108683806339</v>
      </c>
      <c r="X24" s="13">
        <f t="shared" si="2"/>
        <v>0.83989622945162901</v>
      </c>
      <c r="Y24" s="8">
        <f t="shared" si="3"/>
        <v>8.4666000044721756E-3</v>
      </c>
      <c r="Z24" s="8">
        <f t="shared" si="4"/>
        <v>1.5577665424503501E-2</v>
      </c>
      <c r="AA24" s="8">
        <f t="shared" si="5"/>
        <v>0.41798143370544444</v>
      </c>
      <c r="AB24" s="8">
        <f t="shared" si="6"/>
        <v>4.7157292324007817E-2</v>
      </c>
      <c r="AC24" s="8">
        <f t="shared" si="7"/>
        <v>0.41798143370544444</v>
      </c>
      <c r="AD24" s="9"/>
      <c r="AE24" s="9">
        <v>1219335058</v>
      </c>
      <c r="AF24" s="9"/>
      <c r="AG24" s="9"/>
      <c r="AH24" s="9"/>
      <c r="AI24" s="9"/>
      <c r="AJ24" s="9"/>
      <c r="AK24" s="9">
        <v>1891162306</v>
      </c>
      <c r="AL24" s="9"/>
      <c r="AM24" s="9">
        <v>9580544598</v>
      </c>
    </row>
    <row r="25" spans="1:39" ht="15.75" customHeight="1">
      <c r="A25" s="6">
        <v>39</v>
      </c>
      <c r="B25" s="6">
        <v>2020</v>
      </c>
      <c r="C25" s="6" t="s">
        <v>58</v>
      </c>
      <c r="D25" s="7" t="s">
        <v>59</v>
      </c>
      <c r="E25" s="6" t="s">
        <v>56</v>
      </c>
      <c r="F25" s="6" t="s">
        <v>57</v>
      </c>
      <c r="G25" s="8"/>
      <c r="H25" s="9">
        <v>299816222397</v>
      </c>
      <c r="I25" s="9">
        <v>23989286699</v>
      </c>
      <c r="J25" s="9">
        <v>990991744064</v>
      </c>
      <c r="K25" s="6"/>
      <c r="L25" s="9">
        <v>547541424689</v>
      </c>
      <c r="M25" s="9">
        <v>443450319375</v>
      </c>
      <c r="N25" s="13">
        <v>25000000000</v>
      </c>
      <c r="O25" s="9">
        <v>185567699856</v>
      </c>
      <c r="P25" s="9">
        <v>179184782942</v>
      </c>
      <c r="Q25" s="6"/>
      <c r="R25" s="6"/>
      <c r="S25" s="11"/>
      <c r="T25" s="9">
        <v>91760615438</v>
      </c>
      <c r="U25" s="12">
        <v>-88526593736</v>
      </c>
      <c r="V25" s="9">
        <f t="shared" si="0"/>
        <v>443450319375</v>
      </c>
      <c r="W25" s="13">
        <f t="shared" si="1"/>
        <v>0.55251865413486112</v>
      </c>
      <c r="X25" s="13">
        <f t="shared" si="2"/>
        <v>1.2347300267157464</v>
      </c>
      <c r="Y25" s="8">
        <f t="shared" si="3"/>
        <v>-8.9331313067208359E-2</v>
      </c>
      <c r="Z25" s="8">
        <f t="shared" si="4"/>
        <v>-0.19963136763723521</v>
      </c>
      <c r="AA25" s="8">
        <f t="shared" si="5"/>
        <v>3.4396702222170804E-2</v>
      </c>
      <c r="AB25" s="8">
        <f t="shared" si="6"/>
        <v>-0.47705820465898097</v>
      </c>
      <c r="AC25" s="8">
        <f t="shared" si="7"/>
        <v>3.4396702222170804E-2</v>
      </c>
      <c r="AD25" s="9"/>
      <c r="AE25" s="9">
        <v>1078815684</v>
      </c>
      <c r="AF25" s="9"/>
      <c r="AG25" s="9"/>
      <c r="AH25" s="9"/>
      <c r="AI25" s="9"/>
      <c r="AJ25" s="9"/>
      <c r="AK25" s="9">
        <v>1285504951</v>
      </c>
      <c r="AL25" s="9"/>
      <c r="AM25" s="10">
        <v>10945430380</v>
      </c>
    </row>
    <row r="26" spans="1:39" ht="15.75" customHeight="1">
      <c r="A26" s="6">
        <v>40</v>
      </c>
      <c r="B26" s="6">
        <v>2018</v>
      </c>
      <c r="C26" s="6" t="s">
        <v>60</v>
      </c>
      <c r="D26" s="7" t="s">
        <v>61</v>
      </c>
      <c r="E26" s="6" t="s">
        <v>56</v>
      </c>
      <c r="F26" s="6" t="s">
        <v>57</v>
      </c>
      <c r="G26" s="6"/>
      <c r="H26" s="16">
        <v>405170089601</v>
      </c>
      <c r="I26" s="16">
        <v>59951428986</v>
      </c>
      <c r="J26" s="16">
        <v>1478007061719</v>
      </c>
      <c r="K26" s="16"/>
      <c r="L26" s="16">
        <v>1072221723281</v>
      </c>
      <c r="M26" s="16">
        <v>405785338438</v>
      </c>
      <c r="N26" s="8">
        <v>420000000</v>
      </c>
      <c r="O26" s="16">
        <v>902165344517</v>
      </c>
      <c r="P26" s="16">
        <v>590399043504</v>
      </c>
      <c r="Q26" s="6"/>
      <c r="R26" s="6"/>
      <c r="S26" s="11"/>
      <c r="T26" s="9">
        <v>31849926816</v>
      </c>
      <c r="U26" s="12">
        <v>3573526494</v>
      </c>
      <c r="V26" s="17">
        <f t="shared" si="0"/>
        <v>405785338438</v>
      </c>
      <c r="W26" s="13">
        <f t="shared" si="1"/>
        <v>0.72545101512163934</v>
      </c>
      <c r="X26" s="13">
        <f t="shared" si="2"/>
        <v>2.6423372697700978</v>
      </c>
      <c r="Y26" s="8">
        <f t="shared" si="3"/>
        <v>2.4178006902374339E-3</v>
      </c>
      <c r="Z26" s="8">
        <f t="shared" si="4"/>
        <v>8.8064455649276736E-3</v>
      </c>
      <c r="AA26" s="8">
        <f t="shared" si="5"/>
        <v>0.34557556761384245</v>
      </c>
      <c r="AB26" s="8">
        <f t="shared" si="6"/>
        <v>3.9610549393395171E-3</v>
      </c>
      <c r="AC26" s="8">
        <f t="shared" si="7"/>
        <v>0.34557556761384245</v>
      </c>
      <c r="AD26" s="9"/>
      <c r="AE26" s="9"/>
      <c r="AF26" s="9"/>
      <c r="AG26" s="9"/>
      <c r="AH26" s="9"/>
      <c r="AI26" s="9"/>
      <c r="AJ26" s="9"/>
      <c r="AK26" s="10"/>
      <c r="AL26" s="9">
        <v>98816860220</v>
      </c>
      <c r="AM26" s="10">
        <v>32885830555</v>
      </c>
    </row>
    <row r="27" spans="1:39" ht="15.75" customHeight="1">
      <c r="A27" s="6">
        <v>41</v>
      </c>
      <c r="B27" s="6">
        <v>2019</v>
      </c>
      <c r="C27" s="6" t="s">
        <v>60</v>
      </c>
      <c r="D27" s="7" t="s">
        <v>61</v>
      </c>
      <c r="E27" s="6" t="s">
        <v>56</v>
      </c>
      <c r="F27" s="6" t="s">
        <v>57</v>
      </c>
      <c r="G27" s="6"/>
      <c r="H27" s="16">
        <v>386940712793</v>
      </c>
      <c r="I27" s="16">
        <v>67512713635</v>
      </c>
      <c r="J27" s="16">
        <v>1548001829554</v>
      </c>
      <c r="K27" s="16"/>
      <c r="L27" s="16">
        <v>1104712550189</v>
      </c>
      <c r="M27" s="16">
        <v>443289279365</v>
      </c>
      <c r="N27" s="8">
        <v>420000000</v>
      </c>
      <c r="O27" s="16">
        <v>1177500392010</v>
      </c>
      <c r="P27" s="16">
        <v>842624761795</v>
      </c>
      <c r="Q27" s="6"/>
      <c r="R27" s="6"/>
      <c r="S27" s="11"/>
      <c r="T27" s="9">
        <v>40486294000</v>
      </c>
      <c r="U27" s="12">
        <v>2089220151</v>
      </c>
      <c r="V27" s="17">
        <f t="shared" si="0"/>
        <v>443289279365</v>
      </c>
      <c r="W27" s="13">
        <f t="shared" si="1"/>
        <v>0.71363775487738434</v>
      </c>
      <c r="X27" s="13">
        <f t="shared" si="2"/>
        <v>2.4920804576448838</v>
      </c>
      <c r="Y27" s="8">
        <f t="shared" si="3"/>
        <v>1.3496238254459506E-3</v>
      </c>
      <c r="Z27" s="8">
        <f t="shared" si="4"/>
        <v>4.7129949860117348E-3</v>
      </c>
      <c r="AA27" s="8">
        <f t="shared" si="5"/>
        <v>0.2843953449929349</v>
      </c>
      <c r="AB27" s="8">
        <f t="shared" si="6"/>
        <v>1.7742840386096935E-3</v>
      </c>
      <c r="AC27" s="8">
        <f t="shared" si="7"/>
        <v>0.2843953449929349</v>
      </c>
      <c r="AD27" s="9"/>
      <c r="AE27" s="10"/>
      <c r="AF27" s="9"/>
      <c r="AG27" s="9"/>
      <c r="AH27" s="9"/>
      <c r="AI27" s="9"/>
      <c r="AJ27" s="9"/>
      <c r="AK27" s="10"/>
      <c r="AL27" s="9">
        <v>40172672851</v>
      </c>
      <c r="AM27" s="10">
        <v>58790710807</v>
      </c>
    </row>
    <row r="28" spans="1:39" ht="15.75" customHeight="1">
      <c r="A28" s="6">
        <v>42</v>
      </c>
      <c r="B28" s="6">
        <v>2020</v>
      </c>
      <c r="C28" s="6" t="s">
        <v>60</v>
      </c>
      <c r="D28" s="7" t="s">
        <v>61</v>
      </c>
      <c r="E28" s="6" t="s">
        <v>56</v>
      </c>
      <c r="F28" s="6" t="s">
        <v>57</v>
      </c>
      <c r="G28" s="6"/>
      <c r="H28" s="16">
        <v>381002504552</v>
      </c>
      <c r="I28" s="16">
        <v>65757265183</v>
      </c>
      <c r="J28" s="16">
        <v>1516562973028</v>
      </c>
      <c r="K28" s="16"/>
      <c r="L28" s="16">
        <v>1013381758085</v>
      </c>
      <c r="M28" s="16">
        <v>503181214943</v>
      </c>
      <c r="N28" s="8">
        <v>420000000</v>
      </c>
      <c r="O28" s="16">
        <v>1323139975825</v>
      </c>
      <c r="P28" s="16">
        <v>1014017867183</v>
      </c>
      <c r="Q28" s="6"/>
      <c r="R28" s="6"/>
      <c r="S28" s="11"/>
      <c r="T28" s="9">
        <v>25818453029</v>
      </c>
      <c r="U28" s="12">
        <v>16434884891</v>
      </c>
      <c r="V28" s="17">
        <f t="shared" si="0"/>
        <v>503181214943</v>
      </c>
      <c r="W28" s="13">
        <f t="shared" si="1"/>
        <v>0.66820948164233607</v>
      </c>
      <c r="X28" s="13">
        <f t="shared" si="2"/>
        <v>2.0139499011301427</v>
      </c>
      <c r="Y28" s="8">
        <f t="shared" si="3"/>
        <v>1.083692875488433E-2</v>
      </c>
      <c r="Z28" s="8">
        <f t="shared" si="4"/>
        <v>3.2661960349338028E-2</v>
      </c>
      <c r="AA28" s="8">
        <f t="shared" si="5"/>
        <v>0.2336276692488693</v>
      </c>
      <c r="AB28" s="8">
        <f t="shared" si="6"/>
        <v>1.2421123381713695E-2</v>
      </c>
      <c r="AC28" s="8">
        <f t="shared" si="7"/>
        <v>0.2336276692488693</v>
      </c>
      <c r="AD28" s="9"/>
      <c r="AE28" s="9"/>
      <c r="AF28" s="9"/>
      <c r="AG28" s="9"/>
      <c r="AH28" s="9"/>
      <c r="AI28" s="9"/>
      <c r="AJ28" s="9"/>
      <c r="AK28" s="9"/>
      <c r="AL28" s="9">
        <v>30381432048</v>
      </c>
      <c r="AM28" s="9">
        <v>63158641619</v>
      </c>
    </row>
    <row r="29" spans="1:39" ht="15.75" customHeight="1">
      <c r="A29" s="6">
        <v>286</v>
      </c>
      <c r="B29" s="6">
        <v>2018</v>
      </c>
      <c r="C29" s="6" t="s">
        <v>62</v>
      </c>
      <c r="D29" s="7" t="s">
        <v>63</v>
      </c>
      <c r="E29" s="6" t="s">
        <v>56</v>
      </c>
      <c r="F29" s="6" t="s">
        <v>57</v>
      </c>
      <c r="G29" s="6"/>
      <c r="H29" s="9">
        <v>1244581717689</v>
      </c>
      <c r="I29" s="10">
        <v>41712464138</v>
      </c>
      <c r="J29" s="10">
        <v>2485186649117</v>
      </c>
      <c r="K29" s="10"/>
      <c r="L29" s="10">
        <v>1605367155250</v>
      </c>
      <c r="M29" s="10">
        <v>879819493867</v>
      </c>
      <c r="N29" s="8">
        <v>350000</v>
      </c>
      <c r="O29" s="10">
        <v>1132421357486</v>
      </c>
      <c r="P29" s="10">
        <v>1054327720740</v>
      </c>
      <c r="Q29" s="6"/>
      <c r="R29" s="6"/>
      <c r="S29" s="11"/>
      <c r="T29" s="18">
        <v>140384182320</v>
      </c>
      <c r="U29" s="19">
        <v>68687123783</v>
      </c>
      <c r="V29" s="9">
        <f t="shared" si="0"/>
        <v>879819493867</v>
      </c>
      <c r="W29" s="13">
        <f t="shared" si="1"/>
        <v>0.64597448075797259</v>
      </c>
      <c r="X29" s="13">
        <f t="shared" si="2"/>
        <v>1.8246551326045966</v>
      </c>
      <c r="Y29" s="8">
        <f t="shared" si="3"/>
        <v>2.7638617730143086E-2</v>
      </c>
      <c r="Z29" s="8">
        <f t="shared" si="4"/>
        <v>7.8069563429545075E-2</v>
      </c>
      <c r="AA29" s="8">
        <f t="shared" si="5"/>
        <v>6.8961642439674189E-2</v>
      </c>
      <c r="AB29" s="8">
        <f t="shared" si="6"/>
        <v>6.0655093909114277E-2</v>
      </c>
      <c r="AC29" s="8">
        <f t="shared" si="7"/>
        <v>6.8961642439674189E-2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 ht="15.75" customHeight="1">
      <c r="A30" s="6">
        <v>287</v>
      </c>
      <c r="B30" s="6">
        <v>2019</v>
      </c>
      <c r="C30" s="6" t="s">
        <v>62</v>
      </c>
      <c r="D30" s="7" t="s">
        <v>63</v>
      </c>
      <c r="E30" s="6" t="s">
        <v>56</v>
      </c>
      <c r="F30" s="6" t="s">
        <v>57</v>
      </c>
      <c r="G30" s="6"/>
      <c r="H30" s="9">
        <v>1185399911397</v>
      </c>
      <c r="I30" s="10">
        <v>59931111698</v>
      </c>
      <c r="J30" s="10">
        <v>2425843273596</v>
      </c>
      <c r="K30" s="10"/>
      <c r="L30" s="10">
        <v>1575194310012</v>
      </c>
      <c r="M30" s="10">
        <v>848511733189</v>
      </c>
      <c r="N30" s="8">
        <v>350000</v>
      </c>
      <c r="O30" s="10">
        <v>1167490752228</v>
      </c>
      <c r="P30" s="10">
        <v>1079716721795</v>
      </c>
      <c r="Q30" s="6"/>
      <c r="R30" s="6"/>
      <c r="S30" s="11"/>
      <c r="T30" s="10">
        <v>190106898267</v>
      </c>
      <c r="U30" s="19">
        <v>80002543527</v>
      </c>
      <c r="V30" s="9">
        <f t="shared" si="0"/>
        <v>848511733189</v>
      </c>
      <c r="W30" s="13">
        <f t="shared" si="1"/>
        <v>0.64933886172991606</v>
      </c>
      <c r="X30" s="13">
        <f t="shared" si="2"/>
        <v>1.8564201865445937</v>
      </c>
      <c r="Y30" s="8">
        <f t="shared" si="3"/>
        <v>3.2979271331245792E-2</v>
      </c>
      <c r="Z30" s="8">
        <f t="shared" si="4"/>
        <v>9.4285724519474617E-2</v>
      </c>
      <c r="AA30" s="8">
        <f t="shared" si="5"/>
        <v>7.5181777898878421E-2</v>
      </c>
      <c r="AB30" s="8">
        <f t="shared" si="6"/>
        <v>6.852520533830854E-2</v>
      </c>
      <c r="AC30" s="8">
        <f t="shared" si="7"/>
        <v>7.5181777898878421E-2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 ht="15.75" customHeight="1">
      <c r="A31" s="6">
        <v>288</v>
      </c>
      <c r="B31" s="6">
        <v>2020</v>
      </c>
      <c r="C31" s="6" t="s">
        <v>62</v>
      </c>
      <c r="D31" s="7" t="s">
        <v>63</v>
      </c>
      <c r="E31" s="6" t="s">
        <v>56</v>
      </c>
      <c r="F31" s="6" t="s">
        <v>57</v>
      </c>
      <c r="G31" s="6"/>
      <c r="H31" s="9">
        <v>1339253561392</v>
      </c>
      <c r="I31" s="10">
        <v>61211166120</v>
      </c>
      <c r="J31" s="10">
        <v>2815578393095</v>
      </c>
      <c r="K31" s="10"/>
      <c r="L31" s="10">
        <v>1954498917680</v>
      </c>
      <c r="M31" s="10">
        <v>861079475415</v>
      </c>
      <c r="N31" s="8">
        <v>350000</v>
      </c>
      <c r="O31" s="10">
        <v>1220142637207</v>
      </c>
      <c r="P31" s="10">
        <v>1108228300836</v>
      </c>
      <c r="Q31" s="6"/>
      <c r="R31" s="6"/>
      <c r="S31" s="11"/>
      <c r="T31" s="18">
        <v>206201182748</v>
      </c>
      <c r="U31" s="19">
        <v>92908485040</v>
      </c>
      <c r="V31" s="9">
        <f t="shared" si="0"/>
        <v>861079475415</v>
      </c>
      <c r="W31" s="13">
        <f t="shared" si="1"/>
        <v>0.6941731483922684</v>
      </c>
      <c r="X31" s="13">
        <f t="shared" si="2"/>
        <v>2.2698240679096702</v>
      </c>
      <c r="Y31" s="8">
        <f t="shared" si="3"/>
        <v>3.2998010379626179E-2</v>
      </c>
      <c r="Z31" s="8">
        <f t="shared" si="4"/>
        <v>0.10789768853243478</v>
      </c>
      <c r="AA31" s="8">
        <f t="shared" si="5"/>
        <v>9.1722338813747625E-2</v>
      </c>
      <c r="AB31" s="8">
        <f t="shared" si="6"/>
        <v>7.6145593315773835E-2</v>
      </c>
      <c r="AC31" s="8">
        <f t="shared" si="7"/>
        <v>9.1722338813747625E-2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39" ht="15.75" customHeight="1">
      <c r="A32" s="6">
        <v>334</v>
      </c>
      <c r="B32" s="6">
        <v>2018</v>
      </c>
      <c r="C32" s="6" t="s">
        <v>64</v>
      </c>
      <c r="D32" s="7" t="s">
        <v>65</v>
      </c>
      <c r="E32" s="6" t="s">
        <v>56</v>
      </c>
      <c r="F32" s="6" t="s">
        <v>57</v>
      </c>
      <c r="G32" s="6"/>
      <c r="H32" s="9">
        <f>54966990708+829157926820+79259786000+3530551000+50555776200+147129560810+450308063</f>
        <v>1165050899601</v>
      </c>
      <c r="I32" s="10">
        <v>56864203151</v>
      </c>
      <c r="J32" s="10">
        <v>3426618296227</v>
      </c>
      <c r="K32" s="10"/>
      <c r="L32" s="10">
        <v>2016141327384</v>
      </c>
      <c r="M32" s="10">
        <v>1410476968843</v>
      </c>
      <c r="N32" s="8">
        <v>1500000000</v>
      </c>
      <c r="O32" s="10">
        <v>1216973600364</v>
      </c>
      <c r="P32" s="10">
        <v>1045948505140</v>
      </c>
      <c r="Q32" s="6"/>
      <c r="R32" s="6"/>
      <c r="S32" s="11"/>
      <c r="T32" s="9">
        <f>94173689178</f>
        <v>94173689178</v>
      </c>
      <c r="U32" s="12">
        <v>140867155045</v>
      </c>
      <c r="V32" s="9">
        <f t="shared" si="0"/>
        <v>1410476968843</v>
      </c>
      <c r="W32" s="13">
        <f t="shared" si="1"/>
        <v>0.58837639710379885</v>
      </c>
      <c r="X32" s="13">
        <f t="shared" si="2"/>
        <v>1.429403933506139</v>
      </c>
      <c r="Y32" s="8">
        <f t="shared" si="3"/>
        <v>4.1109672238692822E-2</v>
      </c>
      <c r="Z32" s="8">
        <f t="shared" si="4"/>
        <v>9.9871999441828466E-2</v>
      </c>
      <c r="AA32" s="8">
        <f t="shared" si="5"/>
        <v>0.14053311852684885</v>
      </c>
      <c r="AB32" s="8">
        <f t="shared" si="6"/>
        <v>0.11575202206758328</v>
      </c>
      <c r="AC32" s="8">
        <f t="shared" si="7"/>
        <v>0.14053311852684885</v>
      </c>
      <c r="AD32" s="9"/>
      <c r="AE32" s="10"/>
      <c r="AF32" s="9"/>
      <c r="AG32" s="9"/>
      <c r="AH32" s="9"/>
      <c r="AI32" s="9"/>
      <c r="AJ32" s="9"/>
      <c r="AK32" s="10"/>
      <c r="AL32" s="9"/>
      <c r="AM32" s="9"/>
    </row>
    <row r="33" spans="1:39" ht="15.75" customHeight="1">
      <c r="A33" s="6">
        <v>335</v>
      </c>
      <c r="B33" s="6">
        <v>2019</v>
      </c>
      <c r="C33" s="6" t="s">
        <v>64</v>
      </c>
      <c r="D33" s="7" t="s">
        <v>65</v>
      </c>
      <c r="E33" s="6" t="s">
        <v>56</v>
      </c>
      <c r="F33" s="6" t="s">
        <v>57</v>
      </c>
      <c r="G33" s="6"/>
      <c r="H33" s="9">
        <f>58470685750+824245247516+84426565660+116356935277+48742088000+51970033000+226867191437+85000000000+450308063</f>
        <v>1496529054703</v>
      </c>
      <c r="I33" s="10">
        <v>51455786161</v>
      </c>
      <c r="J33" s="10">
        <v>3915599148016</v>
      </c>
      <c r="K33" s="10"/>
      <c r="L33" s="10">
        <v>2320512877462</v>
      </c>
      <c r="M33" s="10">
        <v>1595086270554</v>
      </c>
      <c r="N33" s="8">
        <v>1500000000</v>
      </c>
      <c r="O33" s="10">
        <v>1470949804896</v>
      </c>
      <c r="P33" s="10">
        <v>1309841112268</v>
      </c>
      <c r="Q33" s="6"/>
      <c r="R33" s="6"/>
      <c r="S33" s="11"/>
      <c r="T33" s="10">
        <f>95698788167+1430389202</f>
        <v>97129177369</v>
      </c>
      <c r="U33" s="12">
        <v>179282076899</v>
      </c>
      <c r="V33" s="9">
        <f t="shared" si="0"/>
        <v>1595086270554</v>
      </c>
      <c r="W33" s="13">
        <f t="shared" si="1"/>
        <v>0.59263289977927991</v>
      </c>
      <c r="X33" s="13">
        <f t="shared" si="2"/>
        <v>1.4547883210455115</v>
      </c>
      <c r="Y33" s="8">
        <f t="shared" si="3"/>
        <v>4.578662680265437E-2</v>
      </c>
      <c r="Z33" s="8">
        <f t="shared" si="4"/>
        <v>0.11239647673522533</v>
      </c>
      <c r="AA33" s="8">
        <f t="shared" si="5"/>
        <v>0.10952698188052094</v>
      </c>
      <c r="AB33" s="8">
        <f t="shared" si="6"/>
        <v>0.12188184552747244</v>
      </c>
      <c r="AC33" s="8">
        <f t="shared" si="7"/>
        <v>0.10952698188052094</v>
      </c>
      <c r="AD33" s="9"/>
      <c r="AE33" s="10"/>
      <c r="AF33" s="9"/>
      <c r="AG33" s="9"/>
      <c r="AH33" s="9"/>
      <c r="AI33" s="9"/>
      <c r="AJ33" s="9"/>
      <c r="AK33" s="10"/>
      <c r="AL33" s="9"/>
      <c r="AM33" s="10"/>
    </row>
    <row r="34" spans="1:39" ht="15.75" customHeight="1">
      <c r="A34" s="6">
        <v>336</v>
      </c>
      <c r="B34" s="6">
        <v>2020</v>
      </c>
      <c r="C34" s="6" t="s">
        <v>64</v>
      </c>
      <c r="D34" s="7" t="s">
        <v>65</v>
      </c>
      <c r="E34" s="6" t="s">
        <v>56</v>
      </c>
      <c r="F34" s="6" t="s">
        <v>57</v>
      </c>
      <c r="G34" s="6"/>
      <c r="H34" s="9">
        <f>62473445788+1346932585980+93783097120+101776975900+90999836000+53002907000+69729500572+85000000000+450308063</f>
        <v>1904148656423</v>
      </c>
      <c r="I34" s="10">
        <v>47281288654</v>
      </c>
      <c r="J34" s="10">
        <v>4203345266072</v>
      </c>
      <c r="K34" s="10"/>
      <c r="L34" s="10">
        <v>2447545581054</v>
      </c>
      <c r="M34" s="10">
        <v>1755799685018</v>
      </c>
      <c r="N34" s="8">
        <v>1500000000</v>
      </c>
      <c r="O34" s="10">
        <v>1526256873467</v>
      </c>
      <c r="P34" s="10">
        <v>1437653868089</v>
      </c>
      <c r="Q34" s="6"/>
      <c r="R34" s="6"/>
      <c r="S34" s="11"/>
      <c r="T34" s="10">
        <f>87332688115+4793732040</f>
        <v>92126420155</v>
      </c>
      <c r="U34" s="12">
        <v>105182858790</v>
      </c>
      <c r="V34" s="9">
        <f t="shared" si="0"/>
        <v>1755799685018</v>
      </c>
      <c r="W34" s="13">
        <f t="shared" si="1"/>
        <v>0.58228516244187001</v>
      </c>
      <c r="X34" s="13">
        <f t="shared" si="2"/>
        <v>1.39397768546069</v>
      </c>
      <c r="Y34" s="8">
        <f t="shared" si="3"/>
        <v>2.5023606706544174E-2</v>
      </c>
      <c r="Z34" s="8">
        <f t="shared" si="4"/>
        <v>5.9905956065211215E-2</v>
      </c>
      <c r="AA34" s="8">
        <f t="shared" si="5"/>
        <v>5.8052485737038508E-2</v>
      </c>
      <c r="AB34" s="8">
        <f t="shared" si="6"/>
        <v>6.8915567633821506E-2</v>
      </c>
      <c r="AC34" s="8">
        <f t="shared" si="7"/>
        <v>5.8052485737038508E-2</v>
      </c>
      <c r="AD34" s="9"/>
      <c r="AE34" s="10"/>
      <c r="AF34" s="9"/>
      <c r="AG34" s="9"/>
      <c r="AH34" s="9"/>
      <c r="AI34" s="9"/>
      <c r="AJ34" s="9"/>
      <c r="AK34" s="10"/>
      <c r="AL34" s="9"/>
      <c r="AM34" s="10"/>
    </row>
    <row r="35" spans="1:39" ht="15.75" customHeight="1">
      <c r="A35" s="6">
        <v>469</v>
      </c>
      <c r="B35" s="6">
        <v>2018</v>
      </c>
      <c r="C35" s="6" t="s">
        <v>66</v>
      </c>
      <c r="D35" s="7" t="s">
        <v>67</v>
      </c>
      <c r="E35" s="6" t="s">
        <v>56</v>
      </c>
      <c r="F35" s="6" t="s">
        <v>57</v>
      </c>
      <c r="G35" s="6"/>
      <c r="H35" s="9">
        <f>8300000000+44396200000+17861250000+60822300000+16959102000+26178600000+3206244457+7374811915+90000000+3000751970</f>
        <v>188189260342</v>
      </c>
      <c r="I35" s="10">
        <v>1162886570</v>
      </c>
      <c r="J35" s="10">
        <v>262118630829</v>
      </c>
      <c r="K35" s="9"/>
      <c r="L35" s="10">
        <v>82390315351</v>
      </c>
      <c r="M35" s="10">
        <v>179728315478</v>
      </c>
      <c r="N35" s="13">
        <v>4250000000</v>
      </c>
      <c r="O35" s="10">
        <v>25396161153</v>
      </c>
      <c r="P35" s="10">
        <v>13254779808</v>
      </c>
      <c r="Q35" s="6"/>
      <c r="R35" s="6"/>
      <c r="S35" s="11"/>
      <c r="T35" s="18">
        <v>13406900449</v>
      </c>
      <c r="U35" s="18">
        <v>3947657923</v>
      </c>
      <c r="V35" s="9">
        <f>W29:W38</f>
        <v>0.31432452966210361</v>
      </c>
      <c r="W35" s="13">
        <f t="shared" si="1"/>
        <v>0.31432452966210361</v>
      </c>
      <c r="X35" s="13">
        <f t="shared" si="2"/>
        <v>0.45841588806904021</v>
      </c>
      <c r="Y35" s="8">
        <f>U34/J35</f>
        <v>0.40127959793372647</v>
      </c>
      <c r="Z35" s="8">
        <f>U34/M35</f>
        <v>0.58523254118450307</v>
      </c>
      <c r="AA35" s="8">
        <f t="shared" si="5"/>
        <v>0.47807939443500347</v>
      </c>
      <c r="AB35" s="8">
        <f>U34/O35</f>
        <v>4.1416833889312024</v>
      </c>
      <c r="AC35" s="8">
        <f t="shared" si="7"/>
        <v>0.47807939443500347</v>
      </c>
      <c r="AD35" s="10"/>
      <c r="AE35" s="10"/>
      <c r="AF35" s="9"/>
      <c r="AG35" s="9"/>
      <c r="AH35" s="9"/>
      <c r="AI35" s="9"/>
      <c r="AJ35" s="10"/>
      <c r="AK35" s="10"/>
      <c r="AL35" s="9"/>
      <c r="AM35" s="10"/>
    </row>
    <row r="36" spans="1:39" ht="15.75" customHeight="1">
      <c r="A36" s="6">
        <v>470</v>
      </c>
      <c r="B36" s="6">
        <v>2019</v>
      </c>
      <c r="C36" s="6" t="s">
        <v>66</v>
      </c>
      <c r="D36" s="7" t="s">
        <v>67</v>
      </c>
      <c r="E36" s="6" t="s">
        <v>56</v>
      </c>
      <c r="F36" s="6" t="s">
        <v>57</v>
      </c>
      <c r="G36" s="6"/>
      <c r="H36" s="9">
        <f>38195050500+48523500000+66692600000+31599625000+951541661+3116108000</f>
        <v>189078425161</v>
      </c>
      <c r="I36" s="10">
        <v>2050262917</v>
      </c>
      <c r="J36" s="10">
        <v>284170955431</v>
      </c>
      <c r="K36" s="9"/>
      <c r="L36" s="10">
        <v>97838690688</v>
      </c>
      <c r="M36" s="10">
        <v>186332264743</v>
      </c>
      <c r="N36" s="13">
        <v>4250000000</v>
      </c>
      <c r="O36" s="10">
        <v>26117484368</v>
      </c>
      <c r="P36" s="10">
        <v>11356539881</v>
      </c>
      <c r="Q36" s="6"/>
      <c r="R36" s="6"/>
      <c r="S36" s="11"/>
      <c r="T36" s="10">
        <v>15315108957</v>
      </c>
      <c r="U36" s="12">
        <v>21806030031</v>
      </c>
      <c r="V36" s="9">
        <f t="shared" ref="V36:V290" si="10">M36</f>
        <v>186332264743</v>
      </c>
      <c r="W36" s="13">
        <f t="shared" si="1"/>
        <v>0.34429518153820038</v>
      </c>
      <c r="X36" s="13">
        <f t="shared" si="2"/>
        <v>0.52507648540066132</v>
      </c>
      <c r="Y36" s="8">
        <f t="shared" ref="Y36:Y119" si="11">U36/J36</f>
        <v>7.6735604446017208E-2</v>
      </c>
      <c r="Z36" s="8">
        <f t="shared" ref="Z36:Z119" si="12">U36/M36</f>
        <v>0.11702766593362728</v>
      </c>
      <c r="AA36" s="8">
        <f t="shared" si="5"/>
        <v>0.56517481848617834</v>
      </c>
      <c r="AB36" s="8">
        <f t="shared" ref="AB36:AB119" si="13">U36/O36</f>
        <v>0.83492076509931656</v>
      </c>
      <c r="AC36" s="8">
        <f t="shared" si="7"/>
        <v>0.56517481848617834</v>
      </c>
      <c r="AD36" s="10"/>
      <c r="AE36" s="9"/>
      <c r="AF36" s="9"/>
      <c r="AG36" s="9"/>
      <c r="AH36" s="9"/>
      <c r="AI36" s="9"/>
      <c r="AJ36" s="10"/>
      <c r="AK36" s="10"/>
      <c r="AL36" s="9"/>
      <c r="AM36" s="10"/>
    </row>
    <row r="37" spans="1:39" ht="15.75" customHeight="1">
      <c r="A37" s="6">
        <v>471</v>
      </c>
      <c r="B37" s="6">
        <v>2020</v>
      </c>
      <c r="C37" s="6" t="s">
        <v>66</v>
      </c>
      <c r="D37" s="7" t="s">
        <v>67</v>
      </c>
      <c r="E37" s="6" t="s">
        <v>56</v>
      </c>
      <c r="F37" s="6" t="s">
        <v>57</v>
      </c>
      <c r="G37" s="6"/>
      <c r="H37" s="9">
        <f>27200000000+21361500000+81571880000+25341290000+20639947746+1995234258</f>
        <v>178109852004</v>
      </c>
      <c r="I37" s="10">
        <v>3518827068</v>
      </c>
      <c r="J37" s="10">
        <v>322342387320</v>
      </c>
      <c r="K37" s="9"/>
      <c r="L37" s="10">
        <v>138095296876</v>
      </c>
      <c r="M37" s="10">
        <v>184247090444</v>
      </c>
      <c r="N37" s="13">
        <v>4250000000</v>
      </c>
      <c r="O37" s="10">
        <v>26509968632</v>
      </c>
      <c r="P37" s="10">
        <v>17239784399</v>
      </c>
      <c r="Q37" s="6"/>
      <c r="R37" s="6"/>
      <c r="S37" s="11"/>
      <c r="T37" s="10">
        <v>13577579905</v>
      </c>
      <c r="U37" s="12">
        <v>6211645756</v>
      </c>
      <c r="V37" s="9">
        <f t="shared" si="10"/>
        <v>184247090444</v>
      </c>
      <c r="W37" s="13">
        <f t="shared" si="1"/>
        <v>0.42841184500786184</v>
      </c>
      <c r="X37" s="13">
        <f t="shared" si="2"/>
        <v>0.74951141178521152</v>
      </c>
      <c r="Y37" s="8">
        <f t="shared" si="11"/>
        <v>1.927033489962179E-2</v>
      </c>
      <c r="Z37" s="8">
        <f t="shared" si="12"/>
        <v>3.3713670815811149E-2</v>
      </c>
      <c r="AA37" s="8">
        <f t="shared" si="5"/>
        <v>0.34968672961046149</v>
      </c>
      <c r="AB37" s="8">
        <f t="shared" si="13"/>
        <v>0.23431358377776296</v>
      </c>
      <c r="AC37" s="8">
        <f t="shared" si="7"/>
        <v>0.34968672961046149</v>
      </c>
      <c r="AD37" s="10"/>
      <c r="AE37" s="10"/>
      <c r="AF37" s="9"/>
      <c r="AG37" s="9"/>
      <c r="AH37" s="9"/>
      <c r="AI37" s="9"/>
      <c r="AJ37" s="10"/>
      <c r="AK37" s="10"/>
      <c r="AL37" s="9"/>
      <c r="AM37" s="10"/>
    </row>
    <row r="38" spans="1:39" ht="15.75" customHeight="1">
      <c r="A38" s="6">
        <v>13</v>
      </c>
      <c r="B38" s="6">
        <v>2018</v>
      </c>
      <c r="C38" s="6" t="s">
        <v>68</v>
      </c>
      <c r="D38" s="7" t="s">
        <v>69</v>
      </c>
      <c r="E38" s="6" t="s">
        <v>70</v>
      </c>
      <c r="F38" s="6" t="s">
        <v>71</v>
      </c>
      <c r="G38" s="6"/>
      <c r="H38" s="16">
        <v>1931292672000</v>
      </c>
      <c r="I38" s="16">
        <v>259140701000</v>
      </c>
      <c r="J38" s="16">
        <v>23313671252000</v>
      </c>
      <c r="K38" s="16"/>
      <c r="L38" s="16">
        <v>18889385436000</v>
      </c>
      <c r="M38" s="16">
        <v>4424285816000</v>
      </c>
      <c r="N38" s="8">
        <v>60000000000</v>
      </c>
      <c r="O38" s="16">
        <v>1663667161000</v>
      </c>
      <c r="P38" s="16">
        <v>987737580000</v>
      </c>
      <c r="Q38" s="6"/>
      <c r="R38" s="6"/>
      <c r="S38" s="11"/>
      <c r="T38" s="18">
        <v>281302960000</v>
      </c>
      <c r="U38" s="12">
        <v>142660203000</v>
      </c>
      <c r="V38" s="17">
        <f t="shared" si="10"/>
        <v>4424285816000</v>
      </c>
      <c r="W38" s="13">
        <f t="shared" si="1"/>
        <v>0.81022783721287761</v>
      </c>
      <c r="X38" s="13">
        <f t="shared" si="2"/>
        <v>4.2694767520869403</v>
      </c>
      <c r="Y38" s="8">
        <f t="shared" si="11"/>
        <v>6.1191650794922168E-3</v>
      </c>
      <c r="Z38" s="8">
        <f t="shared" si="12"/>
        <v>3.2244798128566475E-2</v>
      </c>
      <c r="AA38" s="8">
        <f t="shared" si="5"/>
        <v>0.40628894820146061</v>
      </c>
      <c r="AB38" s="8">
        <f t="shared" si="13"/>
        <v>8.5750447171325753E-2</v>
      </c>
      <c r="AC38" s="8">
        <f t="shared" si="7"/>
        <v>0.40628894820146061</v>
      </c>
      <c r="AD38" s="9"/>
      <c r="AE38" s="10"/>
      <c r="AF38" s="9"/>
      <c r="AG38" s="9"/>
      <c r="AH38" s="9"/>
      <c r="AI38" s="9"/>
      <c r="AJ38" s="9"/>
      <c r="AK38" s="10">
        <v>1988951000</v>
      </c>
      <c r="AL38" s="9">
        <v>611028000</v>
      </c>
      <c r="AM38" s="9">
        <v>12416420000</v>
      </c>
    </row>
    <row r="39" spans="1:39" ht="15.75" customHeight="1">
      <c r="A39" s="6">
        <v>14</v>
      </c>
      <c r="B39" s="6">
        <v>2019</v>
      </c>
      <c r="C39" s="6" t="s">
        <v>68</v>
      </c>
      <c r="D39" s="7" t="s">
        <v>69</v>
      </c>
      <c r="E39" s="6" t="s">
        <v>70</v>
      </c>
      <c r="F39" s="6" t="s">
        <v>71</v>
      </c>
      <c r="G39" s="6"/>
      <c r="H39" s="16">
        <v>3520204181000</v>
      </c>
      <c r="I39" s="16">
        <v>262120871000</v>
      </c>
      <c r="J39" s="16">
        <v>27067922912000</v>
      </c>
      <c r="K39" s="16"/>
      <c r="L39" s="16">
        <v>22586218693000</v>
      </c>
      <c r="M39" s="16">
        <v>4481704219000</v>
      </c>
      <c r="N39" s="8">
        <v>60000000000</v>
      </c>
      <c r="O39" s="16">
        <v>2054837678000</v>
      </c>
      <c r="P39" s="16">
        <v>1361627112000</v>
      </c>
      <c r="Q39" s="6"/>
      <c r="R39" s="6"/>
      <c r="S39" s="11"/>
      <c r="T39" s="9">
        <v>312040493000</v>
      </c>
      <c r="U39" s="12">
        <v>86365196000</v>
      </c>
      <c r="V39" s="17">
        <f t="shared" si="10"/>
        <v>4481704219000</v>
      </c>
      <c r="W39" s="13">
        <f t="shared" si="1"/>
        <v>0.83442747958273777</v>
      </c>
      <c r="X39" s="13">
        <f t="shared" si="2"/>
        <v>5.0396495594793294</v>
      </c>
      <c r="Y39" s="8">
        <f t="shared" si="11"/>
        <v>3.1906842752870332E-3</v>
      </c>
      <c r="Z39" s="8">
        <f t="shared" si="12"/>
        <v>1.9270614877674952E-2</v>
      </c>
      <c r="AA39" s="8">
        <f t="shared" si="5"/>
        <v>0.33735538987912211</v>
      </c>
      <c r="AB39" s="8">
        <f t="shared" si="13"/>
        <v>4.2030179281149035E-2</v>
      </c>
      <c r="AC39" s="8">
        <f t="shared" si="7"/>
        <v>0.33735538987912211</v>
      </c>
      <c r="AD39" s="9"/>
      <c r="AE39" s="10"/>
      <c r="AF39" s="9"/>
      <c r="AG39" s="9"/>
      <c r="AH39" s="9"/>
      <c r="AI39" s="9"/>
      <c r="AJ39" s="9"/>
      <c r="AK39" s="10">
        <v>2133421000</v>
      </c>
      <c r="AL39" s="9">
        <v>811819000</v>
      </c>
      <c r="AM39" s="9">
        <v>14460082000</v>
      </c>
    </row>
    <row r="40" spans="1:39" ht="15.75" customHeight="1">
      <c r="A40" s="6">
        <v>15</v>
      </c>
      <c r="B40" s="6">
        <v>2020</v>
      </c>
      <c r="C40" s="6" t="s">
        <v>68</v>
      </c>
      <c r="D40" s="7" t="s">
        <v>69</v>
      </c>
      <c r="E40" s="6" t="s">
        <v>70</v>
      </c>
      <c r="F40" s="6" t="s">
        <v>71</v>
      </c>
      <c r="G40" s="6"/>
      <c r="H40" s="16">
        <v>3360741177000</v>
      </c>
      <c r="I40" s="16">
        <v>277438069000</v>
      </c>
      <c r="J40" s="16">
        <v>28015492262000</v>
      </c>
      <c r="K40" s="16"/>
      <c r="L40" s="16">
        <v>23727802051000</v>
      </c>
      <c r="M40" s="16">
        <v>4287690211000</v>
      </c>
      <c r="N40" s="8">
        <v>60000000000</v>
      </c>
      <c r="O40" s="16">
        <v>1931524786000</v>
      </c>
      <c r="P40" s="16">
        <v>1306889194000</v>
      </c>
      <c r="Q40" s="6"/>
      <c r="R40" s="6"/>
      <c r="S40" s="11"/>
      <c r="T40" s="9">
        <f>115346440000+200473577000</f>
        <v>315820017000</v>
      </c>
      <c r="U40" s="12">
        <v>117206028000</v>
      </c>
      <c r="V40" s="17">
        <f t="shared" si="10"/>
        <v>4287690211000</v>
      </c>
      <c r="W40" s="13">
        <f t="shared" si="1"/>
        <v>0.84695288696333959</v>
      </c>
      <c r="X40" s="13">
        <f t="shared" si="2"/>
        <v>5.5339357284084345</v>
      </c>
      <c r="Y40" s="8">
        <f t="shared" si="11"/>
        <v>4.183614797980093E-3</v>
      </c>
      <c r="Z40" s="8">
        <f t="shared" si="12"/>
        <v>2.7335470202420369E-2</v>
      </c>
      <c r="AA40" s="8">
        <f t="shared" si="5"/>
        <v>0.32338989203113438</v>
      </c>
      <c r="AB40" s="8">
        <f t="shared" si="13"/>
        <v>6.0680571561663614E-2</v>
      </c>
      <c r="AC40" s="8">
        <f t="shared" si="7"/>
        <v>0.32338989203113438</v>
      </c>
      <c r="AD40" s="9"/>
      <c r="AE40" s="10"/>
      <c r="AF40" s="9"/>
      <c r="AG40" s="9"/>
      <c r="AH40" s="9"/>
      <c r="AI40" s="9"/>
      <c r="AJ40" s="9"/>
      <c r="AK40" s="10">
        <v>1879511000</v>
      </c>
      <c r="AL40" s="9">
        <v>1043656000</v>
      </c>
      <c r="AM40" s="9">
        <v>10813540000</v>
      </c>
    </row>
    <row r="41" spans="1:39" ht="15.75" customHeight="1">
      <c r="A41" s="6">
        <v>16</v>
      </c>
      <c r="B41" s="6">
        <v>2018</v>
      </c>
      <c r="C41" s="6" t="s">
        <v>72</v>
      </c>
      <c r="D41" s="20" t="s">
        <v>73</v>
      </c>
      <c r="E41" s="6" t="s">
        <v>70</v>
      </c>
      <c r="F41" s="6" t="s">
        <v>71</v>
      </c>
      <c r="G41" s="6"/>
      <c r="H41" s="16">
        <v>412475000000</v>
      </c>
      <c r="I41" s="16">
        <v>15792000000</v>
      </c>
      <c r="J41" s="16">
        <v>4151151000000</v>
      </c>
      <c r="K41" s="16"/>
      <c r="L41" s="16">
        <v>3618348000000</v>
      </c>
      <c r="M41" s="16">
        <v>532803000000</v>
      </c>
      <c r="N41" s="8">
        <v>11800000000</v>
      </c>
      <c r="O41" s="16">
        <v>133934000000</v>
      </c>
      <c r="P41" s="16">
        <v>171078000000</v>
      </c>
      <c r="Q41" s="6"/>
      <c r="R41" s="6"/>
      <c r="S41" s="11"/>
      <c r="T41" s="9">
        <v>171078000000</v>
      </c>
      <c r="U41" s="12">
        <v>-31122000000</v>
      </c>
      <c r="V41" s="17">
        <f t="shared" si="10"/>
        <v>532803000000</v>
      </c>
      <c r="W41" s="13">
        <f t="shared" si="1"/>
        <v>0.87164933291995406</v>
      </c>
      <c r="X41" s="13">
        <f t="shared" si="2"/>
        <v>6.7911554552057698</v>
      </c>
      <c r="Y41" s="8">
        <f t="shared" si="11"/>
        <v>-7.4971977651499544E-3</v>
      </c>
      <c r="Z41" s="8">
        <f t="shared" si="12"/>
        <v>-5.8411833266704578E-2</v>
      </c>
      <c r="AA41" s="8">
        <f t="shared" si="5"/>
        <v>-0.27733062553197846</v>
      </c>
      <c r="AB41" s="8">
        <f t="shared" si="13"/>
        <v>-0.23236818134304957</v>
      </c>
      <c r="AC41" s="8">
        <f t="shared" si="7"/>
        <v>-0.27733062553197846</v>
      </c>
      <c r="AD41" s="9"/>
      <c r="AE41" s="10">
        <v>4239000000</v>
      </c>
      <c r="AF41" s="9"/>
      <c r="AG41" s="9"/>
      <c r="AH41" s="9"/>
      <c r="AI41" s="9"/>
      <c r="AJ41" s="9"/>
      <c r="AK41" s="10">
        <v>6565000000</v>
      </c>
      <c r="AL41" s="9"/>
      <c r="AM41" s="9">
        <v>1237000000</v>
      </c>
    </row>
    <row r="42" spans="1:39" ht="15.75" customHeight="1">
      <c r="A42" s="6">
        <v>17</v>
      </c>
      <c r="B42" s="6">
        <v>2019</v>
      </c>
      <c r="C42" s="6" t="s">
        <v>72</v>
      </c>
      <c r="D42" s="20" t="s">
        <v>73</v>
      </c>
      <c r="E42" s="6" t="s">
        <v>70</v>
      </c>
      <c r="F42" s="6" t="s">
        <v>71</v>
      </c>
      <c r="G42" s="6"/>
      <c r="H42" s="16">
        <v>1348990000000</v>
      </c>
      <c r="I42" s="16">
        <v>134776000000</v>
      </c>
      <c r="J42" s="16">
        <v>6421844000000</v>
      </c>
      <c r="K42" s="16"/>
      <c r="L42" s="16">
        <v>5219244000000</v>
      </c>
      <c r="M42" s="16">
        <v>1202600000000</v>
      </c>
      <c r="N42" s="8">
        <v>11800000000</v>
      </c>
      <c r="O42" s="16">
        <v>166231000000</v>
      </c>
      <c r="P42" s="16">
        <v>223544000000</v>
      </c>
      <c r="Q42" s="6"/>
      <c r="R42" s="6"/>
      <c r="S42" s="11"/>
      <c r="T42" s="9">
        <v>212614000000</v>
      </c>
      <c r="U42" s="12">
        <v>-259525000000</v>
      </c>
      <c r="V42" s="17">
        <f t="shared" si="10"/>
        <v>1202600000000</v>
      </c>
      <c r="W42" s="13">
        <f t="shared" si="1"/>
        <v>0.8127329159661929</v>
      </c>
      <c r="X42" s="13">
        <f t="shared" si="2"/>
        <v>4.3399667387327456</v>
      </c>
      <c r="Y42" s="8">
        <f t="shared" si="11"/>
        <v>-4.0412847151067514E-2</v>
      </c>
      <c r="Z42" s="8">
        <f t="shared" si="12"/>
        <v>-0.21580325960419092</v>
      </c>
      <c r="AA42" s="8">
        <f t="shared" si="5"/>
        <v>-0.34477925296725642</v>
      </c>
      <c r="AB42" s="8">
        <f t="shared" si="13"/>
        <v>-1.5612310579855744</v>
      </c>
      <c r="AC42" s="8">
        <f t="shared" si="7"/>
        <v>-0.34477925296725642</v>
      </c>
      <c r="AD42" s="9"/>
      <c r="AE42" s="10">
        <v>55933000000</v>
      </c>
      <c r="AF42" s="9"/>
      <c r="AG42" s="9"/>
      <c r="AH42" s="9"/>
      <c r="AI42" s="9"/>
      <c r="AJ42" s="9"/>
      <c r="AK42" s="10">
        <v>12466000000</v>
      </c>
      <c r="AL42" s="9"/>
      <c r="AM42" s="9">
        <v>3285000000</v>
      </c>
    </row>
    <row r="43" spans="1:39" ht="15.75" customHeight="1">
      <c r="A43" s="6">
        <v>18</v>
      </c>
      <c r="B43" s="6">
        <v>2020</v>
      </c>
      <c r="C43" s="6" t="s">
        <v>72</v>
      </c>
      <c r="D43" s="20" t="s">
        <v>73</v>
      </c>
      <c r="E43" s="6" t="s">
        <v>70</v>
      </c>
      <c r="F43" s="6" t="s">
        <v>71</v>
      </c>
      <c r="G43" s="8"/>
      <c r="H43" s="16">
        <v>750146000000</v>
      </c>
      <c r="I43" s="16">
        <v>171496000000</v>
      </c>
      <c r="J43" s="16">
        <v>9854035000000</v>
      </c>
      <c r="K43" s="16"/>
      <c r="L43" s="16">
        <v>7954197000000</v>
      </c>
      <c r="M43" s="16">
        <v>1899838000000</v>
      </c>
      <c r="N43" s="8">
        <v>11800000000</v>
      </c>
      <c r="O43" s="16">
        <v>169710000000</v>
      </c>
      <c r="P43" s="16">
        <v>336070000000</v>
      </c>
      <c r="Q43" s="6"/>
      <c r="R43" s="6"/>
      <c r="S43" s="11"/>
      <c r="T43" s="9">
        <v>336070000000</v>
      </c>
      <c r="U43" s="12">
        <v>-176863000000</v>
      </c>
      <c r="V43" s="17">
        <f t="shared" si="10"/>
        <v>1899838000000</v>
      </c>
      <c r="W43" s="13">
        <f t="shared" si="1"/>
        <v>0.80720202434840149</v>
      </c>
      <c r="X43" s="13">
        <f t="shared" si="2"/>
        <v>4.1867764514658621</v>
      </c>
      <c r="Y43" s="8">
        <f t="shared" si="11"/>
        <v>-1.7948282099667801E-2</v>
      </c>
      <c r="Z43" s="8">
        <f t="shared" si="12"/>
        <v>-9.3093726938823201E-2</v>
      </c>
      <c r="AA43" s="8">
        <f t="shared" si="5"/>
        <v>-0.98026044428731363</v>
      </c>
      <c r="AB43" s="8">
        <f t="shared" si="13"/>
        <v>-1.0421483707501031</v>
      </c>
      <c r="AC43" s="8">
        <f t="shared" si="7"/>
        <v>-0.98026044428731363</v>
      </c>
      <c r="AD43" s="9"/>
      <c r="AE43" s="10">
        <v>52044000000</v>
      </c>
      <c r="AF43" s="9"/>
      <c r="AG43" s="9"/>
      <c r="AH43" s="9"/>
      <c r="AI43" s="9"/>
      <c r="AJ43" s="9"/>
      <c r="AK43" s="10">
        <v>7075000000</v>
      </c>
      <c r="AL43" s="9"/>
      <c r="AM43" s="10">
        <v>4390000000</v>
      </c>
    </row>
    <row r="44" spans="1:39" ht="15.75" customHeight="1">
      <c r="A44" s="6">
        <v>49</v>
      </c>
      <c r="B44" s="6">
        <v>2018</v>
      </c>
      <c r="C44" s="6" t="s">
        <v>74</v>
      </c>
      <c r="D44" s="7" t="s">
        <v>75</v>
      </c>
      <c r="E44" s="6" t="s">
        <v>70</v>
      </c>
      <c r="F44" s="6" t="s">
        <v>71</v>
      </c>
      <c r="G44" s="8"/>
      <c r="H44" s="16">
        <v>927423000000</v>
      </c>
      <c r="I44" s="16">
        <v>48137000000</v>
      </c>
      <c r="J44" s="16">
        <v>10854855000000</v>
      </c>
      <c r="K44" s="16"/>
      <c r="L44" s="16">
        <v>9424865000000</v>
      </c>
      <c r="M44" s="16">
        <v>1429990000000</v>
      </c>
      <c r="N44" s="8">
        <v>60000000000</v>
      </c>
      <c r="O44" s="16">
        <v>960256000000</v>
      </c>
      <c r="P44" s="16">
        <v>572785000000</v>
      </c>
      <c r="Q44" s="6"/>
      <c r="R44" s="6"/>
      <c r="S44" s="11"/>
      <c r="T44" s="9">
        <v>307274000000</v>
      </c>
      <c r="U44" s="12">
        <v>57021000000</v>
      </c>
      <c r="V44" s="17">
        <f t="shared" si="10"/>
        <v>1429990000000</v>
      </c>
      <c r="W44" s="13">
        <f t="shared" si="1"/>
        <v>0.86826263455384711</v>
      </c>
      <c r="X44" s="13">
        <f t="shared" si="2"/>
        <v>6.5908607752501762</v>
      </c>
      <c r="Y44" s="8">
        <f t="shared" si="11"/>
        <v>5.2530411507109029E-3</v>
      </c>
      <c r="Z44" s="8">
        <f t="shared" si="12"/>
        <v>3.9875104021706444E-2</v>
      </c>
      <c r="AA44" s="8">
        <f t="shared" si="5"/>
        <v>0.40350802286057053</v>
      </c>
      <c r="AB44" s="8">
        <f t="shared" si="13"/>
        <v>5.9381040055985074E-2</v>
      </c>
      <c r="AC44" s="8">
        <f t="shared" si="7"/>
        <v>0.40350802286057053</v>
      </c>
      <c r="AD44" s="9"/>
      <c r="AE44" s="9"/>
      <c r="AF44" s="9"/>
      <c r="AG44" s="9"/>
      <c r="AH44" s="9"/>
      <c r="AI44" s="9"/>
      <c r="AJ44" s="9"/>
      <c r="AK44" s="9">
        <v>49152000000</v>
      </c>
      <c r="AL44" s="9"/>
      <c r="AM44" s="9">
        <v>5817000000</v>
      </c>
    </row>
    <row r="45" spans="1:39" ht="15.75" customHeight="1">
      <c r="A45" s="6">
        <v>50</v>
      </c>
      <c r="B45" s="6">
        <v>2019</v>
      </c>
      <c r="C45" s="6" t="s">
        <v>74</v>
      </c>
      <c r="D45" s="7" t="s">
        <v>75</v>
      </c>
      <c r="E45" s="6" t="s">
        <v>70</v>
      </c>
      <c r="F45" s="6" t="s">
        <v>71</v>
      </c>
      <c r="G45" s="8"/>
      <c r="H45" s="16">
        <v>969245000000</v>
      </c>
      <c r="I45" s="16">
        <v>48316000000</v>
      </c>
      <c r="J45" s="16">
        <v>10607879000000</v>
      </c>
      <c r="K45" s="16"/>
      <c r="L45" s="16">
        <v>9048429000000</v>
      </c>
      <c r="M45" s="16">
        <v>1559450000000</v>
      </c>
      <c r="N45" s="8">
        <v>60000000000</v>
      </c>
      <c r="O45" s="16">
        <v>1071032000000</v>
      </c>
      <c r="P45" s="16">
        <v>667529000000</v>
      </c>
      <c r="Q45" s="6"/>
      <c r="R45" s="6"/>
      <c r="S45" s="11"/>
      <c r="T45" s="9">
        <v>339722000000</v>
      </c>
      <c r="U45" s="12">
        <v>20433000000</v>
      </c>
      <c r="V45" s="17">
        <f t="shared" si="10"/>
        <v>1559450000000</v>
      </c>
      <c r="W45" s="13">
        <f t="shared" si="1"/>
        <v>0.85299134728063919</v>
      </c>
      <c r="X45" s="13">
        <f t="shared" si="2"/>
        <v>5.8023206899868542</v>
      </c>
      <c r="Y45" s="8">
        <f t="shared" si="11"/>
        <v>1.9262097540893896E-3</v>
      </c>
      <c r="Z45" s="8">
        <f t="shared" si="12"/>
        <v>1.3102696463496745E-2</v>
      </c>
      <c r="AA45" s="8">
        <f t="shared" si="5"/>
        <v>0.37674224486289859</v>
      </c>
      <c r="AB45" s="8">
        <f t="shared" si="13"/>
        <v>1.9077861352415241E-2</v>
      </c>
      <c r="AC45" s="8">
        <f t="shared" si="7"/>
        <v>0.37674224486289859</v>
      </c>
      <c r="AD45" s="9"/>
      <c r="AF45" s="9"/>
      <c r="AG45" s="9"/>
      <c r="AH45" s="9"/>
      <c r="AI45" s="9"/>
      <c r="AJ45" s="9"/>
      <c r="AK45" s="10">
        <v>49496000000</v>
      </c>
      <c r="AL45" s="9"/>
      <c r="AM45" s="9">
        <v>6474000000</v>
      </c>
    </row>
    <row r="46" spans="1:39" ht="15.75" customHeight="1">
      <c r="A46" s="6">
        <v>51</v>
      </c>
      <c r="B46" s="6">
        <v>2020</v>
      </c>
      <c r="C46" s="6" t="s">
        <v>74</v>
      </c>
      <c r="D46" s="7" t="s">
        <v>75</v>
      </c>
      <c r="E46" s="6" t="s">
        <v>70</v>
      </c>
      <c r="F46" s="6" t="s">
        <v>71</v>
      </c>
      <c r="G46" s="8"/>
      <c r="H46" s="16">
        <v>1620855000000</v>
      </c>
      <c r="I46" s="16">
        <v>40914000000</v>
      </c>
      <c r="J46" s="16">
        <v>11652904000000</v>
      </c>
      <c r="K46" s="16"/>
      <c r="L46" s="16">
        <v>10101667000000</v>
      </c>
      <c r="M46" s="16">
        <v>11652904000000</v>
      </c>
      <c r="N46" s="8">
        <v>60000000000</v>
      </c>
      <c r="O46" s="16">
        <v>969784000000</v>
      </c>
      <c r="P46" s="16">
        <v>368535000000</v>
      </c>
      <c r="Q46" s="6"/>
      <c r="R46" s="6"/>
      <c r="S46" s="11"/>
      <c r="T46" s="9">
        <v>345839000000</v>
      </c>
      <c r="U46" s="12">
        <v>10414000000</v>
      </c>
      <c r="V46" s="17">
        <f t="shared" si="10"/>
        <v>11652904000000</v>
      </c>
      <c r="W46" s="13">
        <f t="shared" si="1"/>
        <v>0.86687979236763646</v>
      </c>
      <c r="X46" s="13">
        <f t="shared" si="2"/>
        <v>0.86687979236763646</v>
      </c>
      <c r="Y46" s="8">
        <f t="shared" si="11"/>
        <v>8.9368281073970923E-4</v>
      </c>
      <c r="Z46" s="8">
        <f t="shared" si="12"/>
        <v>8.9368281073970923E-4</v>
      </c>
      <c r="AA46" s="8">
        <f t="shared" si="5"/>
        <v>0.61998238783069215</v>
      </c>
      <c r="AB46" s="8">
        <f t="shared" si="13"/>
        <v>1.0738473721983452E-2</v>
      </c>
      <c r="AC46" s="8">
        <f t="shared" si="7"/>
        <v>0.61998238783069215</v>
      </c>
      <c r="AD46" s="9"/>
      <c r="AF46" s="9"/>
      <c r="AG46" s="9"/>
      <c r="AH46" s="9"/>
      <c r="AI46" s="9"/>
      <c r="AJ46" s="9"/>
      <c r="AK46" s="9">
        <v>50635000000</v>
      </c>
      <c r="AL46" s="9"/>
      <c r="AM46" s="9">
        <v>8740000000</v>
      </c>
    </row>
    <row r="47" spans="1:39" ht="15.75" customHeight="1">
      <c r="A47" s="6">
        <v>52</v>
      </c>
      <c r="B47" s="6">
        <v>2018</v>
      </c>
      <c r="C47" s="6" t="s">
        <v>76</v>
      </c>
      <c r="D47" s="7" t="s">
        <v>77</v>
      </c>
      <c r="E47" s="6" t="s">
        <v>70</v>
      </c>
      <c r="F47" s="6" t="s">
        <v>71</v>
      </c>
      <c r="G47" s="6"/>
      <c r="H47" s="16">
        <v>109080663000000</v>
      </c>
      <c r="I47" s="16">
        <v>19336901000000</v>
      </c>
      <c r="J47" s="16">
        <v>824787944000000</v>
      </c>
      <c r="K47" s="16"/>
      <c r="L47" s="16">
        <v>668438779000000</v>
      </c>
      <c r="M47" s="16">
        <v>151753427000000</v>
      </c>
      <c r="N47" s="8">
        <v>88000000000</v>
      </c>
      <c r="O47" s="16">
        <v>56766800000000</v>
      </c>
      <c r="P47" s="16">
        <v>11476255000000</v>
      </c>
      <c r="Q47" s="6"/>
      <c r="R47" s="6"/>
      <c r="S47" s="11"/>
      <c r="T47" s="9">
        <v>27651554000000</v>
      </c>
      <c r="U47" s="12">
        <v>25851660000000</v>
      </c>
      <c r="V47" s="17">
        <f t="shared" si="10"/>
        <v>151753427000000</v>
      </c>
      <c r="W47" s="13">
        <f t="shared" si="1"/>
        <v>0.81043713582699994</v>
      </c>
      <c r="X47" s="13">
        <f t="shared" si="2"/>
        <v>4.4047689216270554</v>
      </c>
      <c r="Y47" s="8">
        <f t="shared" si="11"/>
        <v>3.1343401886582377E-2</v>
      </c>
      <c r="Z47" s="8">
        <f t="shared" si="12"/>
        <v>0.17035305568420542</v>
      </c>
      <c r="AA47" s="8">
        <f t="shared" si="5"/>
        <v>0.79783509022879573</v>
      </c>
      <c r="AB47" s="8">
        <f t="shared" si="13"/>
        <v>0.45540104427235639</v>
      </c>
      <c r="AC47" s="8">
        <f t="shared" si="7"/>
        <v>0.79783509022879573</v>
      </c>
      <c r="AD47" s="9"/>
      <c r="AE47" s="9"/>
      <c r="AF47" s="9"/>
      <c r="AG47" s="9"/>
      <c r="AH47" s="9"/>
      <c r="AI47" s="9"/>
      <c r="AJ47" s="9"/>
      <c r="AK47" s="9">
        <v>102877000000</v>
      </c>
      <c r="AL47" s="9">
        <v>36150000000</v>
      </c>
      <c r="AM47" s="9">
        <v>1108898000000</v>
      </c>
    </row>
    <row r="48" spans="1:39" ht="15.75" customHeight="1">
      <c r="A48" s="6">
        <v>53</v>
      </c>
      <c r="B48" s="6">
        <v>2019</v>
      </c>
      <c r="C48" s="6" t="s">
        <v>76</v>
      </c>
      <c r="D48" s="7" t="s">
        <v>77</v>
      </c>
      <c r="E48" s="6" t="s">
        <v>70</v>
      </c>
      <c r="F48" s="6" t="s">
        <v>71</v>
      </c>
      <c r="G48" s="6"/>
      <c r="H48" s="16">
        <v>142982705000000</v>
      </c>
      <c r="I48" s="16">
        <v>20852301000000</v>
      </c>
      <c r="J48" s="16">
        <v>918989312000000</v>
      </c>
      <c r="K48" s="16"/>
      <c r="L48" s="16">
        <v>740067127000000</v>
      </c>
      <c r="M48" s="16">
        <v>174143156000000</v>
      </c>
      <c r="N48" s="8">
        <v>88000000000</v>
      </c>
      <c r="O48" s="16">
        <v>63837795000000</v>
      </c>
      <c r="P48" s="16">
        <v>13360347000000</v>
      </c>
      <c r="Q48" s="6"/>
      <c r="R48" s="6"/>
      <c r="S48" s="11"/>
      <c r="T48" s="9">
        <v>30742208000000</v>
      </c>
      <c r="U48" s="12">
        <v>28569974000000</v>
      </c>
      <c r="V48" s="17">
        <f t="shared" si="10"/>
        <v>174143156000000</v>
      </c>
      <c r="W48" s="13">
        <f t="shared" si="1"/>
        <v>0.80530547780734152</v>
      </c>
      <c r="X48" s="13">
        <f t="shared" si="2"/>
        <v>4.2497629191927588</v>
      </c>
      <c r="Y48" s="8">
        <f t="shared" si="11"/>
        <v>3.1088472550157363E-2</v>
      </c>
      <c r="Z48" s="8">
        <f t="shared" si="12"/>
        <v>0.16406027463979117</v>
      </c>
      <c r="AA48" s="8">
        <f t="shared" si="5"/>
        <v>0.79071415295594094</v>
      </c>
      <c r="AB48" s="8">
        <f t="shared" si="13"/>
        <v>0.44754011318843329</v>
      </c>
      <c r="AC48" s="8">
        <f t="shared" si="7"/>
        <v>0.79071415295594094</v>
      </c>
      <c r="AD48" s="9"/>
      <c r="AE48" s="10">
        <v>1945951000000</v>
      </c>
      <c r="AF48" s="9"/>
      <c r="AG48" s="9"/>
      <c r="AH48" s="9"/>
      <c r="AI48" s="9"/>
      <c r="AJ48" s="9"/>
      <c r="AK48" s="9">
        <v>203919000000</v>
      </c>
      <c r="AL48" s="9">
        <v>32889000000</v>
      </c>
      <c r="AM48" s="10">
        <v>1118345000000</v>
      </c>
    </row>
    <row r="49" spans="1:39" ht="15.75" customHeight="1">
      <c r="A49" s="6">
        <v>54</v>
      </c>
      <c r="B49" s="6">
        <v>2020</v>
      </c>
      <c r="C49" s="6" t="s">
        <v>76</v>
      </c>
      <c r="D49" s="7" t="s">
        <v>77</v>
      </c>
      <c r="E49" s="6" t="s">
        <v>70</v>
      </c>
      <c r="F49" s="6" t="s">
        <v>71</v>
      </c>
      <c r="G49" s="6"/>
      <c r="H49" s="16">
        <v>192553101000000</v>
      </c>
      <c r="I49" s="16">
        <v>21915054000000</v>
      </c>
      <c r="J49" s="16">
        <v>1075570256000000</v>
      </c>
      <c r="K49" s="16"/>
      <c r="L49" s="16">
        <v>885537919000000</v>
      </c>
      <c r="M49" s="16">
        <v>184714709000000</v>
      </c>
      <c r="N49" s="8">
        <v>88000000000</v>
      </c>
      <c r="O49" s="16">
        <v>65403161000000</v>
      </c>
      <c r="P49" s="16">
        <v>11241891000000</v>
      </c>
      <c r="Q49" s="6"/>
      <c r="R49" s="6"/>
      <c r="S49" s="11"/>
      <c r="T49" s="9">
        <v>29968715000000</v>
      </c>
      <c r="U49" s="12">
        <v>27147109000000</v>
      </c>
      <c r="V49" s="17">
        <f t="shared" si="10"/>
        <v>184714709000000</v>
      </c>
      <c r="W49" s="13">
        <f t="shared" si="1"/>
        <v>0.82331945687423325</v>
      </c>
      <c r="X49" s="13">
        <f t="shared" si="2"/>
        <v>4.7940844765102062</v>
      </c>
      <c r="Y49" s="8">
        <f t="shared" si="11"/>
        <v>2.5239735710951085E-2</v>
      </c>
      <c r="Z49" s="8">
        <f t="shared" si="12"/>
        <v>0.14696777071500028</v>
      </c>
      <c r="AA49" s="8">
        <f t="shared" si="5"/>
        <v>0.82811395002758348</v>
      </c>
      <c r="AB49" s="8">
        <f t="shared" si="13"/>
        <v>0.41507334790745054</v>
      </c>
      <c r="AC49" s="8">
        <f t="shared" si="7"/>
        <v>0.82811395002758348</v>
      </c>
      <c r="AD49" s="9"/>
      <c r="AE49" s="9">
        <v>2197454000000</v>
      </c>
      <c r="AF49" s="9"/>
      <c r="AG49" s="9"/>
      <c r="AH49" s="9"/>
      <c r="AI49" s="9"/>
      <c r="AJ49" s="9"/>
      <c r="AK49" s="9">
        <v>92751000000</v>
      </c>
      <c r="AL49" s="9">
        <v>25429000000</v>
      </c>
      <c r="AM49" s="10">
        <v>870086000000</v>
      </c>
    </row>
    <row r="50" spans="1:39" ht="15.75" customHeight="1">
      <c r="A50" s="6">
        <v>55</v>
      </c>
      <c r="B50" s="6">
        <v>2018</v>
      </c>
      <c r="C50" s="6" t="s">
        <v>78</v>
      </c>
      <c r="D50" s="7" t="s">
        <v>79</v>
      </c>
      <c r="E50" s="6" t="s">
        <v>70</v>
      </c>
      <c r="F50" s="6" t="s">
        <v>71</v>
      </c>
      <c r="G50" s="6"/>
      <c r="H50" s="16">
        <v>91337427315</v>
      </c>
      <c r="I50" s="16">
        <v>34368921424</v>
      </c>
      <c r="J50" s="16">
        <v>2264172563518</v>
      </c>
      <c r="K50" s="16"/>
      <c r="L50" s="16">
        <v>1927690426617</v>
      </c>
      <c r="M50" s="16">
        <v>336482136901</v>
      </c>
      <c r="N50" s="8">
        <v>10000000000</v>
      </c>
      <c r="O50" s="16">
        <v>222339040371</v>
      </c>
      <c r="P50" s="16">
        <v>120624113372</v>
      </c>
      <c r="Q50" s="6"/>
      <c r="R50" s="6"/>
      <c r="S50" s="11"/>
      <c r="T50" s="9">
        <v>58187078926</v>
      </c>
      <c r="U50" s="12">
        <v>-123143307728</v>
      </c>
      <c r="V50" s="17">
        <f t="shared" si="10"/>
        <v>336482136901</v>
      </c>
      <c r="W50" s="13">
        <f t="shared" si="1"/>
        <v>0.85138847527673212</v>
      </c>
      <c r="X50" s="13">
        <f t="shared" si="2"/>
        <v>5.728953234697765</v>
      </c>
      <c r="Y50" s="8">
        <f t="shared" si="11"/>
        <v>-5.4387774903810249E-2</v>
      </c>
      <c r="Z50" s="8">
        <f t="shared" si="12"/>
        <v>-0.36597279386700787</v>
      </c>
      <c r="AA50" s="8">
        <f t="shared" si="5"/>
        <v>0.45747668438829342</v>
      </c>
      <c r="AB50" s="8">
        <f t="shared" si="13"/>
        <v>-0.55385373402044136</v>
      </c>
      <c r="AC50" s="8">
        <f t="shared" si="7"/>
        <v>0.45747668438829342</v>
      </c>
      <c r="AD50" s="9"/>
      <c r="AE50" s="9">
        <v>4611355795</v>
      </c>
      <c r="AF50" s="9"/>
      <c r="AG50" s="9"/>
      <c r="AH50" s="9"/>
      <c r="AI50" s="9"/>
      <c r="AJ50" s="9"/>
      <c r="AK50" s="9"/>
      <c r="AL50" s="9"/>
      <c r="AM50" s="10"/>
    </row>
    <row r="51" spans="1:39" ht="15.75" customHeight="1">
      <c r="A51" s="6">
        <v>56</v>
      </c>
      <c r="B51" s="6">
        <v>2019</v>
      </c>
      <c r="C51" s="6" t="s">
        <v>78</v>
      </c>
      <c r="D51" s="7" t="s">
        <v>79</v>
      </c>
      <c r="E51" s="6" t="s">
        <v>70</v>
      </c>
      <c r="F51" s="6" t="s">
        <v>71</v>
      </c>
      <c r="G51" s="6"/>
      <c r="H51" s="16">
        <v>115565191969</v>
      </c>
      <c r="I51" s="16">
        <v>32804430650</v>
      </c>
      <c r="J51" s="16">
        <v>2527173168770</v>
      </c>
      <c r="K51" s="16"/>
      <c r="L51" s="16">
        <v>2227407291122</v>
      </c>
      <c r="M51" s="16">
        <v>299765877648</v>
      </c>
      <c r="N51" s="8">
        <v>10000000000</v>
      </c>
      <c r="O51" s="16">
        <v>222323923791</v>
      </c>
      <c r="P51" s="16">
        <v>135940003048</v>
      </c>
      <c r="Q51" s="6"/>
      <c r="R51" s="6"/>
      <c r="S51" s="11"/>
      <c r="T51" s="9">
        <v>60987155987</v>
      </c>
      <c r="U51" s="12">
        <v>-36549663189</v>
      </c>
      <c r="V51" s="17">
        <f t="shared" si="10"/>
        <v>299765877648</v>
      </c>
      <c r="W51" s="13">
        <f t="shared" si="1"/>
        <v>0.8813829296098854</v>
      </c>
      <c r="X51" s="13">
        <f t="shared" si="2"/>
        <v>7.430489782888273</v>
      </c>
      <c r="Y51" s="8">
        <f t="shared" si="11"/>
        <v>-1.4462666682548343E-2</v>
      </c>
      <c r="Z51" s="8">
        <f t="shared" si="12"/>
        <v>-0.12192736370054244</v>
      </c>
      <c r="AA51" s="8">
        <f t="shared" si="5"/>
        <v>0.38854982077505484</v>
      </c>
      <c r="AB51" s="8">
        <f t="shared" si="13"/>
        <v>-0.1643982463324965</v>
      </c>
      <c r="AC51" s="8">
        <f t="shared" si="7"/>
        <v>0.38854982077505484</v>
      </c>
      <c r="AD51" s="9"/>
      <c r="AE51" s="9">
        <v>3466004250</v>
      </c>
      <c r="AF51" s="9"/>
      <c r="AG51" s="9"/>
      <c r="AH51" s="9"/>
      <c r="AI51" s="9"/>
      <c r="AJ51" s="9"/>
      <c r="AK51" s="9"/>
      <c r="AL51" s="9"/>
      <c r="AM51" s="10"/>
    </row>
    <row r="52" spans="1:39" ht="15.75" customHeight="1">
      <c r="A52" s="6">
        <v>57</v>
      </c>
      <c r="B52" s="6">
        <v>2020</v>
      </c>
      <c r="C52" s="6" t="s">
        <v>78</v>
      </c>
      <c r="D52" s="7" t="s">
        <v>79</v>
      </c>
      <c r="E52" s="6" t="s">
        <v>70</v>
      </c>
      <c r="F52" s="6" t="s">
        <v>71</v>
      </c>
      <c r="G52" s="8"/>
      <c r="H52" s="16">
        <v>934116390134</v>
      </c>
      <c r="I52" s="16">
        <v>30376640192</v>
      </c>
      <c r="J52" s="16">
        <v>2586663487991</v>
      </c>
      <c r="K52" s="16"/>
      <c r="L52" s="16">
        <v>2239597029811</v>
      </c>
      <c r="M52" s="16">
        <v>347066458180</v>
      </c>
      <c r="N52" s="8">
        <v>10000000000</v>
      </c>
      <c r="O52" s="16">
        <v>162125871157</v>
      </c>
      <c r="P52" s="16">
        <v>114535488869</v>
      </c>
      <c r="Q52" s="6"/>
      <c r="R52" s="6"/>
      <c r="S52" s="11"/>
      <c r="T52" s="9">
        <v>41188991154</v>
      </c>
      <c r="U52" s="12">
        <v>37011391337</v>
      </c>
      <c r="V52" s="17">
        <f t="shared" si="10"/>
        <v>347066458180</v>
      </c>
      <c r="W52" s="13">
        <f t="shared" si="1"/>
        <v>0.86582465798457675</v>
      </c>
      <c r="X52" s="13">
        <f t="shared" si="2"/>
        <v>6.4529342350031182</v>
      </c>
      <c r="Y52" s="8">
        <f t="shared" si="11"/>
        <v>1.4308545162071262E-2</v>
      </c>
      <c r="Z52" s="8">
        <f t="shared" si="12"/>
        <v>0.10664064609148916</v>
      </c>
      <c r="AA52" s="8">
        <f t="shared" si="5"/>
        <v>0.2935397166928051</v>
      </c>
      <c r="AB52" s="8">
        <f t="shared" si="13"/>
        <v>0.22828800285155465</v>
      </c>
      <c r="AC52" s="8">
        <f t="shared" si="7"/>
        <v>0.2935397166928051</v>
      </c>
      <c r="AD52" s="9"/>
      <c r="AE52" s="9">
        <v>4598452704</v>
      </c>
      <c r="AF52" s="9"/>
      <c r="AG52" s="9"/>
      <c r="AH52" s="9"/>
      <c r="AI52" s="9"/>
      <c r="AJ52" s="9"/>
      <c r="AK52" s="9"/>
      <c r="AL52" s="9"/>
      <c r="AM52" s="9"/>
    </row>
    <row r="53" spans="1:39" ht="15.75" customHeight="1">
      <c r="A53" s="6">
        <v>58</v>
      </c>
      <c r="B53" s="6">
        <v>2018</v>
      </c>
      <c r="C53" s="6" t="s">
        <v>80</v>
      </c>
      <c r="D53" s="7" t="s">
        <v>81</v>
      </c>
      <c r="E53" s="6" t="s">
        <v>70</v>
      </c>
      <c r="F53" s="6" t="s">
        <v>71</v>
      </c>
      <c r="G53" s="8"/>
      <c r="H53" s="16">
        <v>7842551000000</v>
      </c>
      <c r="I53" s="16">
        <v>3075041000000</v>
      </c>
      <c r="J53" s="16">
        <v>95643923000000</v>
      </c>
      <c r="K53" s="16"/>
      <c r="L53" s="16">
        <v>87049486000000</v>
      </c>
      <c r="M53" s="16">
        <v>8594437000000</v>
      </c>
      <c r="N53" s="8">
        <v>22887540178</v>
      </c>
      <c r="O53" s="16">
        <v>7980892000000</v>
      </c>
      <c r="P53" s="16">
        <v>5387749000000</v>
      </c>
      <c r="Q53" s="6"/>
      <c r="R53" s="6"/>
      <c r="S53" s="11"/>
      <c r="T53" s="9">
        <v>2759809000000</v>
      </c>
      <c r="U53" s="12">
        <v>189970000000</v>
      </c>
      <c r="V53" s="17">
        <f t="shared" si="10"/>
        <v>8594437000000</v>
      </c>
      <c r="W53" s="13">
        <f t="shared" si="1"/>
        <v>0.91014131655808383</v>
      </c>
      <c r="X53" s="13">
        <f t="shared" si="2"/>
        <v>10.128585037041985</v>
      </c>
      <c r="Y53" s="8">
        <f t="shared" si="11"/>
        <v>1.9862213305491452E-3</v>
      </c>
      <c r="Z53" s="8">
        <f t="shared" si="12"/>
        <v>2.210383297940284E-2</v>
      </c>
      <c r="AA53" s="8">
        <f t="shared" si="5"/>
        <v>0.3249189438974992</v>
      </c>
      <c r="AB53" s="8">
        <f t="shared" si="13"/>
        <v>2.3803103713219025E-2</v>
      </c>
      <c r="AC53" s="8">
        <f t="shared" si="7"/>
        <v>0.3249189438974992</v>
      </c>
      <c r="AD53" s="9"/>
      <c r="AE53" s="9">
        <v>36856000000</v>
      </c>
      <c r="AF53" s="9"/>
      <c r="AG53" s="9"/>
      <c r="AH53" s="9"/>
      <c r="AI53" s="9"/>
      <c r="AJ53" s="9"/>
      <c r="AK53" s="9"/>
      <c r="AL53" s="9"/>
      <c r="AM53" s="9">
        <v>47404000000</v>
      </c>
    </row>
    <row r="54" spans="1:39" ht="15.75" customHeight="1">
      <c r="A54" s="6">
        <v>59</v>
      </c>
      <c r="B54" s="6">
        <v>2019</v>
      </c>
      <c r="C54" s="6" t="s">
        <v>80</v>
      </c>
      <c r="D54" s="7" t="s">
        <v>81</v>
      </c>
      <c r="E54" s="6" t="s">
        <v>70</v>
      </c>
      <c r="F54" s="6" t="s">
        <v>71</v>
      </c>
      <c r="G54" s="8"/>
      <c r="H54" s="16">
        <v>9069393000000</v>
      </c>
      <c r="I54" s="16">
        <v>3012215000000</v>
      </c>
      <c r="J54" s="16">
        <v>100264248000000</v>
      </c>
      <c r="K54" s="16"/>
      <c r="L54" s="16">
        <v>91358763000000</v>
      </c>
      <c r="M54" s="16">
        <v>8905485000000</v>
      </c>
      <c r="N54" s="8">
        <v>22887540178</v>
      </c>
      <c r="O54" s="16">
        <v>7764858000000</v>
      </c>
      <c r="P54" s="16">
        <v>5750319000000</v>
      </c>
      <c r="Q54" s="6"/>
      <c r="R54" s="6"/>
      <c r="S54" s="11"/>
      <c r="T54" s="9">
        <v>2801776000000</v>
      </c>
      <c r="U54" s="12">
        <v>216749000000</v>
      </c>
      <c r="V54" s="17">
        <f t="shared" si="10"/>
        <v>8905485000000</v>
      </c>
      <c r="W54" s="13">
        <f t="shared" si="1"/>
        <v>0.9111798554555558</v>
      </c>
      <c r="X54" s="13">
        <f t="shared" si="2"/>
        <v>10.258707190007058</v>
      </c>
      <c r="Y54" s="8">
        <f t="shared" si="11"/>
        <v>2.1617775460700608E-3</v>
      </c>
      <c r="Z54" s="8">
        <f t="shared" si="12"/>
        <v>2.4338820401134807E-2</v>
      </c>
      <c r="AA54" s="8">
        <f t="shared" si="5"/>
        <v>0.25944312181884072</v>
      </c>
      <c r="AB54" s="8">
        <f t="shared" si="13"/>
        <v>2.7914097076855753E-2</v>
      </c>
      <c r="AC54" s="8">
        <f t="shared" si="7"/>
        <v>0.25944312181884072</v>
      </c>
      <c r="AD54" s="9"/>
      <c r="AE54" s="9">
        <v>58409000000</v>
      </c>
      <c r="AF54" s="9"/>
      <c r="AG54" s="9"/>
      <c r="AH54" s="9"/>
      <c r="AI54" s="9"/>
      <c r="AJ54" s="9"/>
      <c r="AK54" s="9"/>
      <c r="AL54" s="9"/>
      <c r="AM54" s="9">
        <v>73707000000</v>
      </c>
    </row>
    <row r="55" spans="1:39" ht="15.75" customHeight="1">
      <c r="A55" s="6">
        <v>60</v>
      </c>
      <c r="B55" s="6">
        <v>2020</v>
      </c>
      <c r="C55" s="6" t="s">
        <v>80</v>
      </c>
      <c r="D55" s="7" t="s">
        <v>81</v>
      </c>
      <c r="E55" s="6" t="s">
        <v>70</v>
      </c>
      <c r="F55" s="6" t="s">
        <v>71</v>
      </c>
      <c r="G55" s="8"/>
      <c r="H55" s="16">
        <v>6026015000000</v>
      </c>
      <c r="I55" s="16">
        <v>3504403000000</v>
      </c>
      <c r="J55" s="16">
        <v>79938578000000</v>
      </c>
      <c r="K55" s="16"/>
      <c r="L55" s="16">
        <v>71472136000000</v>
      </c>
      <c r="M55" s="16">
        <v>8466442000000</v>
      </c>
      <c r="N55" s="8">
        <v>22887540178</v>
      </c>
      <c r="O55" s="16">
        <v>5308366000000</v>
      </c>
      <c r="P55" s="16">
        <v>4756310000000</v>
      </c>
      <c r="Q55" s="6"/>
      <c r="R55" s="6"/>
      <c r="S55" s="11"/>
      <c r="T55" s="9">
        <v>2758323000000</v>
      </c>
      <c r="U55" s="12">
        <v>-3258109000000</v>
      </c>
      <c r="V55" s="17">
        <f t="shared" si="10"/>
        <v>8466442000000</v>
      </c>
      <c r="W55" s="13">
        <f t="shared" si="1"/>
        <v>0.89408815853591994</v>
      </c>
      <c r="X55" s="13">
        <f t="shared" si="2"/>
        <v>8.4418148733553</v>
      </c>
      <c r="Y55" s="8">
        <f t="shared" si="11"/>
        <v>-4.0757655208727879E-2</v>
      </c>
      <c r="Z55" s="8">
        <f t="shared" si="12"/>
        <v>-0.38482623515285408</v>
      </c>
      <c r="AA55" s="8">
        <f t="shared" si="5"/>
        <v>0.10399735059715175</v>
      </c>
      <c r="AB55" s="8">
        <f t="shared" si="13"/>
        <v>-0.61376871903708219</v>
      </c>
      <c r="AC55" s="8">
        <f t="shared" si="7"/>
        <v>0.10399735059715175</v>
      </c>
      <c r="AD55" s="9"/>
      <c r="AE55" s="9">
        <v>14229000000</v>
      </c>
      <c r="AF55" s="9"/>
      <c r="AG55" s="9"/>
      <c r="AH55" s="9"/>
      <c r="AI55" s="9"/>
      <c r="AJ55" s="9"/>
      <c r="AK55" s="9"/>
      <c r="AL55" s="9"/>
      <c r="AM55" s="10">
        <v>64447000000</v>
      </c>
    </row>
    <row r="56" spans="1:39" ht="15.75" customHeight="1">
      <c r="A56" s="6">
        <v>64</v>
      </c>
      <c r="B56" s="6">
        <v>2018</v>
      </c>
      <c r="C56" s="6" t="s">
        <v>82</v>
      </c>
      <c r="D56" s="7" t="s">
        <v>83</v>
      </c>
      <c r="E56" s="6" t="s">
        <v>70</v>
      </c>
      <c r="F56" s="6" t="s">
        <v>71</v>
      </c>
      <c r="G56" s="8"/>
      <c r="H56" s="16">
        <v>2565738955362</v>
      </c>
      <c r="I56" s="16">
        <v>470415776572</v>
      </c>
      <c r="J56" s="16">
        <v>12093079368934</v>
      </c>
      <c r="K56" s="16"/>
      <c r="L56" s="16">
        <v>9005066283473</v>
      </c>
      <c r="M56" s="16">
        <v>3088013085461</v>
      </c>
      <c r="N56" s="8">
        <v>10000000000</v>
      </c>
      <c r="O56" s="16">
        <v>1026137099056</v>
      </c>
      <c r="P56" s="16">
        <v>339167553637</v>
      </c>
      <c r="Q56" s="6"/>
      <c r="R56" s="6"/>
      <c r="S56" s="11"/>
      <c r="T56" s="9">
        <v>428776741954</v>
      </c>
      <c r="U56" s="12">
        <v>265862564725</v>
      </c>
      <c r="V56" s="17">
        <f t="shared" si="10"/>
        <v>3088013085461</v>
      </c>
      <c r="W56" s="13">
        <f t="shared" si="1"/>
        <v>0.74464625665206341</v>
      </c>
      <c r="X56" s="13">
        <f t="shared" si="2"/>
        <v>2.9161360506763079</v>
      </c>
      <c r="Y56" s="8">
        <f t="shared" si="11"/>
        <v>2.198468699444546E-2</v>
      </c>
      <c r="Z56" s="8">
        <f t="shared" si="12"/>
        <v>8.6095025301782424E-2</v>
      </c>
      <c r="AA56" s="8">
        <f t="shared" si="5"/>
        <v>0.66947150244444054</v>
      </c>
      <c r="AB56" s="8">
        <f t="shared" si="13"/>
        <v>0.25909068580561173</v>
      </c>
      <c r="AC56" s="8">
        <f t="shared" si="7"/>
        <v>0.66947150244444054</v>
      </c>
      <c r="AD56" s="9"/>
      <c r="AE56" s="9">
        <v>5400572519</v>
      </c>
      <c r="AF56" s="9"/>
      <c r="AG56" s="9"/>
      <c r="AH56" s="9"/>
      <c r="AI56" s="9"/>
      <c r="AJ56" s="9"/>
      <c r="AK56" s="9"/>
      <c r="AL56" s="9"/>
      <c r="AM56" s="10">
        <v>16118815407</v>
      </c>
    </row>
    <row r="57" spans="1:39" ht="15.75" customHeight="1">
      <c r="A57" s="6">
        <v>65</v>
      </c>
      <c r="B57" s="6">
        <v>2019</v>
      </c>
      <c r="C57" s="6" t="s">
        <v>82</v>
      </c>
      <c r="D57" s="7" t="s">
        <v>83</v>
      </c>
      <c r="E57" s="6" t="s">
        <v>70</v>
      </c>
      <c r="F57" s="6" t="s">
        <v>71</v>
      </c>
      <c r="G57" s="6"/>
      <c r="H57" s="16">
        <v>3212723394393</v>
      </c>
      <c r="I57" s="16">
        <v>492662820097</v>
      </c>
      <c r="J57" s="16">
        <v>12900218775263</v>
      </c>
      <c r="K57" s="16"/>
      <c r="L57" s="16">
        <v>9419749653807</v>
      </c>
      <c r="M57" s="16">
        <v>3480469121456</v>
      </c>
      <c r="N57" s="8">
        <v>10000000000</v>
      </c>
      <c r="O57" s="16">
        <v>1058536635511</v>
      </c>
      <c r="P57" s="16">
        <v>358086464478</v>
      </c>
      <c r="Q57" s="6"/>
      <c r="R57" s="6"/>
      <c r="S57" s="11"/>
      <c r="T57" s="9">
        <v>473384503657</v>
      </c>
      <c r="U57" s="12">
        <v>247573726183</v>
      </c>
      <c r="V57" s="17">
        <f t="shared" si="10"/>
        <v>3480469121456</v>
      </c>
      <c r="W57" s="13">
        <f t="shared" si="1"/>
        <v>0.73020076774744136</v>
      </c>
      <c r="X57" s="13">
        <f t="shared" si="2"/>
        <v>2.7064597688102445</v>
      </c>
      <c r="Y57" s="8">
        <f t="shared" si="11"/>
        <v>1.9191436245851779E-2</v>
      </c>
      <c r="Z57" s="8">
        <f t="shared" si="12"/>
        <v>7.1132286350936338E-2</v>
      </c>
      <c r="AA57" s="8">
        <f t="shared" si="5"/>
        <v>0.66171556801608789</v>
      </c>
      <c r="AB57" s="8">
        <f t="shared" si="13"/>
        <v>0.23388300213481586</v>
      </c>
      <c r="AC57" s="8">
        <f t="shared" si="7"/>
        <v>0.66171556801608789</v>
      </c>
      <c r="AD57" s="9"/>
      <c r="AE57" s="10">
        <v>9774888856</v>
      </c>
      <c r="AF57" s="9"/>
      <c r="AG57" s="9"/>
      <c r="AH57" s="9"/>
      <c r="AI57" s="9"/>
      <c r="AJ57" s="9"/>
      <c r="AK57" s="10"/>
      <c r="AL57" s="9"/>
      <c r="AM57" s="10">
        <v>16870246688</v>
      </c>
    </row>
    <row r="58" spans="1:39" ht="15.75" customHeight="1">
      <c r="A58" s="6">
        <v>66</v>
      </c>
      <c r="B58" s="6">
        <v>2020</v>
      </c>
      <c r="C58" s="6" t="s">
        <v>82</v>
      </c>
      <c r="D58" s="7" t="s">
        <v>83</v>
      </c>
      <c r="E58" s="6" t="s">
        <v>70</v>
      </c>
      <c r="F58" s="6" t="s">
        <v>71</v>
      </c>
      <c r="G58" s="6"/>
      <c r="H58" s="16">
        <v>5804656337068</v>
      </c>
      <c r="I58" s="16">
        <v>479822488029</v>
      </c>
      <c r="J58" s="16">
        <v>14159755232533</v>
      </c>
      <c r="K58" s="16"/>
      <c r="L58" s="16">
        <v>10150492606994</v>
      </c>
      <c r="M58" s="16">
        <v>4009262625539</v>
      </c>
      <c r="N58" s="8">
        <v>10000000000</v>
      </c>
      <c r="O58" s="16">
        <v>1122202992204</v>
      </c>
      <c r="P58" s="16">
        <v>326616871157</v>
      </c>
      <c r="Q58" s="6"/>
      <c r="R58" s="6"/>
      <c r="S58" s="11"/>
      <c r="T58" s="9">
        <v>534878138389</v>
      </c>
      <c r="U58" s="12">
        <v>325932118524</v>
      </c>
      <c r="V58" s="17">
        <f t="shared" si="10"/>
        <v>4009262625539</v>
      </c>
      <c r="W58" s="13">
        <f t="shared" si="1"/>
        <v>0.71685508967503575</v>
      </c>
      <c r="X58" s="13">
        <f t="shared" si="2"/>
        <v>2.5317604644643055</v>
      </c>
      <c r="Y58" s="8">
        <f t="shared" si="11"/>
        <v>2.3018202869435823E-2</v>
      </c>
      <c r="Z58" s="8">
        <f t="shared" si="12"/>
        <v>8.1294778857292277E-2</v>
      </c>
      <c r="AA58" s="8">
        <f t="shared" si="5"/>
        <v>0.7089502759963896</v>
      </c>
      <c r="AB58" s="8">
        <f t="shared" si="13"/>
        <v>0.29043953793410521</v>
      </c>
      <c r="AC58" s="8">
        <f t="shared" si="7"/>
        <v>0.7089502759963896</v>
      </c>
      <c r="AD58" s="9"/>
      <c r="AE58" s="10">
        <v>7292696769</v>
      </c>
      <c r="AF58" s="9"/>
      <c r="AG58" s="9"/>
      <c r="AH58" s="9"/>
      <c r="AI58" s="9"/>
      <c r="AJ58" s="9"/>
      <c r="AK58" s="10"/>
      <c r="AL58" s="9"/>
      <c r="AM58" s="10">
        <v>15957619609</v>
      </c>
    </row>
    <row r="59" spans="1:39" ht="15.75" customHeight="1">
      <c r="A59" s="6">
        <v>67</v>
      </c>
      <c r="B59" s="6">
        <v>2018</v>
      </c>
      <c r="C59" s="6" t="s">
        <v>84</v>
      </c>
      <c r="D59" s="7" t="s">
        <v>85</v>
      </c>
      <c r="E59" s="6" t="s">
        <v>70</v>
      </c>
      <c r="F59" s="6" t="s">
        <v>71</v>
      </c>
      <c r="G59" s="6"/>
      <c r="H59" s="16"/>
      <c r="I59" s="16"/>
      <c r="J59" s="16"/>
      <c r="K59" s="16"/>
      <c r="L59" s="16"/>
      <c r="M59" s="16"/>
      <c r="N59" s="8"/>
      <c r="O59" s="16"/>
      <c r="P59" s="16"/>
      <c r="Q59" s="6"/>
      <c r="R59" s="6"/>
      <c r="S59" s="11"/>
      <c r="T59" s="9"/>
      <c r="U59" s="12"/>
      <c r="V59" s="17">
        <f t="shared" si="10"/>
        <v>0</v>
      </c>
      <c r="W59" s="13" t="e">
        <f t="shared" si="1"/>
        <v>#DIV/0!</v>
      </c>
      <c r="X59" s="13" t="e">
        <f t="shared" si="2"/>
        <v>#DIV/0!</v>
      </c>
      <c r="Y59" s="8" t="e">
        <f t="shared" si="11"/>
        <v>#DIV/0!</v>
      </c>
      <c r="Z59" s="8" t="e">
        <f t="shared" si="12"/>
        <v>#DIV/0!</v>
      </c>
      <c r="AA59" s="8" t="e">
        <f t="shared" si="5"/>
        <v>#DIV/0!</v>
      </c>
      <c r="AB59" s="8" t="e">
        <f t="shared" si="13"/>
        <v>#DIV/0!</v>
      </c>
      <c r="AC59" s="8" t="e">
        <f t="shared" si="7"/>
        <v>#DIV/0!</v>
      </c>
      <c r="AD59" s="9"/>
      <c r="AE59" s="10"/>
      <c r="AF59" s="9"/>
      <c r="AG59" s="9"/>
      <c r="AH59" s="9"/>
      <c r="AI59" s="9"/>
      <c r="AJ59" s="9"/>
      <c r="AK59" s="10"/>
      <c r="AL59" s="9"/>
      <c r="AM59" s="9"/>
    </row>
    <row r="60" spans="1:39" ht="15.75" customHeight="1">
      <c r="A60" s="6">
        <v>68</v>
      </c>
      <c r="B60" s="6">
        <v>2019</v>
      </c>
      <c r="C60" s="6" t="s">
        <v>84</v>
      </c>
      <c r="D60" s="7" t="s">
        <v>85</v>
      </c>
      <c r="E60" s="6" t="s">
        <v>70</v>
      </c>
      <c r="F60" s="6" t="s">
        <v>71</v>
      </c>
      <c r="G60" s="6"/>
      <c r="H60" s="16"/>
      <c r="I60" s="16"/>
      <c r="J60" s="16"/>
      <c r="K60" s="16"/>
      <c r="L60" s="16"/>
      <c r="M60" s="16"/>
      <c r="N60" s="8"/>
      <c r="O60" s="16"/>
      <c r="P60" s="16"/>
      <c r="Q60" s="6"/>
      <c r="R60" s="6"/>
      <c r="S60" s="11"/>
      <c r="T60" s="9"/>
      <c r="U60" s="12"/>
      <c r="V60" s="17">
        <f t="shared" si="10"/>
        <v>0</v>
      </c>
      <c r="W60" s="13" t="e">
        <f t="shared" si="1"/>
        <v>#DIV/0!</v>
      </c>
      <c r="X60" s="13" t="e">
        <f t="shared" si="2"/>
        <v>#DIV/0!</v>
      </c>
      <c r="Y60" s="8" t="e">
        <f t="shared" si="11"/>
        <v>#DIV/0!</v>
      </c>
      <c r="Z60" s="8" t="e">
        <f t="shared" si="12"/>
        <v>#DIV/0!</v>
      </c>
      <c r="AA60" s="8" t="e">
        <f t="shared" si="5"/>
        <v>#DIV/0!</v>
      </c>
      <c r="AB60" s="8" t="e">
        <f t="shared" si="13"/>
        <v>#DIV/0!</v>
      </c>
      <c r="AC60" s="8" t="e">
        <f t="shared" si="7"/>
        <v>#DIV/0!</v>
      </c>
      <c r="AD60" s="9"/>
      <c r="AE60" s="10"/>
      <c r="AF60" s="9"/>
      <c r="AG60" s="9"/>
      <c r="AH60" s="9"/>
      <c r="AI60" s="9"/>
      <c r="AJ60" s="9"/>
      <c r="AK60" s="10"/>
      <c r="AL60" s="9"/>
      <c r="AM60" s="9"/>
    </row>
    <row r="61" spans="1:39" ht="15.75" customHeight="1">
      <c r="A61" s="6">
        <v>69</v>
      </c>
      <c r="B61" s="6">
        <v>2020</v>
      </c>
      <c r="C61" s="6" t="s">
        <v>84</v>
      </c>
      <c r="D61" s="7" t="s">
        <v>85</v>
      </c>
      <c r="E61" s="6" t="s">
        <v>70</v>
      </c>
      <c r="F61" s="6" t="s">
        <v>71</v>
      </c>
      <c r="G61" s="6"/>
      <c r="H61" s="16"/>
      <c r="I61" s="16"/>
      <c r="J61" s="16"/>
      <c r="K61" s="16"/>
      <c r="L61" s="16"/>
      <c r="M61" s="16"/>
      <c r="N61" s="8"/>
      <c r="O61" s="16"/>
      <c r="P61" s="16"/>
      <c r="Q61" s="6"/>
      <c r="R61" s="6"/>
      <c r="S61" s="11"/>
      <c r="T61" s="9"/>
      <c r="U61" s="12"/>
      <c r="V61" s="17">
        <f t="shared" si="10"/>
        <v>0</v>
      </c>
      <c r="W61" s="13" t="e">
        <f t="shared" si="1"/>
        <v>#DIV/0!</v>
      </c>
      <c r="X61" s="13" t="e">
        <f t="shared" si="2"/>
        <v>#DIV/0!</v>
      </c>
      <c r="Y61" s="8" t="e">
        <f t="shared" si="11"/>
        <v>#DIV/0!</v>
      </c>
      <c r="Z61" s="8" t="e">
        <f t="shared" si="12"/>
        <v>#DIV/0!</v>
      </c>
      <c r="AA61" s="8" t="e">
        <f t="shared" si="5"/>
        <v>#DIV/0!</v>
      </c>
      <c r="AB61" s="8" t="e">
        <f t="shared" si="13"/>
        <v>#DIV/0!</v>
      </c>
      <c r="AC61" s="8" t="e">
        <f t="shared" si="7"/>
        <v>#DIV/0!</v>
      </c>
      <c r="AD61" s="9"/>
      <c r="AE61" s="10"/>
      <c r="AF61" s="9"/>
      <c r="AG61" s="9"/>
      <c r="AH61" s="9"/>
      <c r="AI61" s="9"/>
      <c r="AJ61" s="9"/>
      <c r="AK61" s="10"/>
      <c r="AL61" s="9"/>
      <c r="AM61" s="10"/>
    </row>
    <row r="62" spans="1:39" ht="15.75" customHeight="1">
      <c r="A62" s="6">
        <v>70</v>
      </c>
      <c r="B62" s="6">
        <v>2018</v>
      </c>
      <c r="C62" s="6" t="s">
        <v>86</v>
      </c>
      <c r="D62" s="7" t="s">
        <v>87</v>
      </c>
      <c r="E62" s="6" t="s">
        <v>70</v>
      </c>
      <c r="F62" s="6" t="s">
        <v>71</v>
      </c>
      <c r="G62" s="6"/>
      <c r="H62" s="16">
        <v>184284052000000</v>
      </c>
      <c r="I62" s="16">
        <v>26914859000000</v>
      </c>
      <c r="J62" s="16">
        <v>1296898292000000</v>
      </c>
      <c r="K62" s="16"/>
      <c r="L62" s="16">
        <v>109066408400000</v>
      </c>
      <c r="M62" s="16">
        <v>185275331000000</v>
      </c>
      <c r="N62" s="8">
        <v>300000000000</v>
      </c>
      <c r="O62" s="16">
        <v>111582804000000</v>
      </c>
      <c r="P62" s="16">
        <v>33917032000000</v>
      </c>
      <c r="Q62" s="6"/>
      <c r="R62" s="6"/>
      <c r="S62" s="11"/>
      <c r="T62" s="9">
        <v>41990284000000</v>
      </c>
      <c r="U62" s="12">
        <v>32418486000000</v>
      </c>
      <c r="V62" s="17">
        <f t="shared" si="10"/>
        <v>185275331000000</v>
      </c>
      <c r="W62" s="13">
        <f t="shared" si="1"/>
        <v>8.4097888842003352E-2</v>
      </c>
      <c r="X62" s="13">
        <f t="shared" si="2"/>
        <v>0.58867204722467881</v>
      </c>
      <c r="Y62" s="8">
        <f t="shared" si="11"/>
        <v>2.4996937847767634E-2</v>
      </c>
      <c r="Z62" s="8">
        <f t="shared" si="12"/>
        <v>0.17497464894557388</v>
      </c>
      <c r="AA62" s="8">
        <f t="shared" si="5"/>
        <v>0.69603710621934178</v>
      </c>
      <c r="AB62" s="8">
        <f t="shared" si="13"/>
        <v>0.29053299287944045</v>
      </c>
      <c r="AC62" s="8">
        <f t="shared" si="7"/>
        <v>0.69603710621934178</v>
      </c>
      <c r="AD62" s="9"/>
      <c r="AE62" s="10"/>
      <c r="AF62" s="9"/>
      <c r="AG62" s="9"/>
      <c r="AH62" s="9"/>
      <c r="AI62" s="9"/>
      <c r="AJ62" s="9">
        <v>54453000000</v>
      </c>
      <c r="AK62" s="10"/>
      <c r="AL62" s="9">
        <v>24105000000</v>
      </c>
      <c r="AM62" s="10"/>
    </row>
    <row r="63" spans="1:39" ht="15.75" customHeight="1">
      <c r="A63" s="6">
        <v>71</v>
      </c>
      <c r="B63" s="6">
        <v>2019</v>
      </c>
      <c r="C63" s="6" t="s">
        <v>86</v>
      </c>
      <c r="D63" s="7" t="s">
        <v>87</v>
      </c>
      <c r="E63" s="6" t="s">
        <v>70</v>
      </c>
      <c r="F63" s="6" t="s">
        <v>71</v>
      </c>
      <c r="G63" s="6"/>
      <c r="H63" s="16">
        <v>195840173000000</v>
      </c>
      <c r="I63" s="16">
        <v>31432629000000</v>
      </c>
      <c r="J63" s="16">
        <v>1416758840000000</v>
      </c>
      <c r="K63" s="16"/>
      <c r="L63" s="16">
        <v>1183155670000000</v>
      </c>
      <c r="M63" s="16">
        <v>208784336000000</v>
      </c>
      <c r="N63" s="8">
        <v>300000000000</v>
      </c>
      <c r="O63" s="16">
        <v>121756276000000</v>
      </c>
      <c r="P63" s="16">
        <v>38671838000000</v>
      </c>
      <c r="Q63" s="6"/>
      <c r="R63" s="6"/>
      <c r="S63" s="11"/>
      <c r="T63" s="9">
        <f>44965625000000+67880000000</f>
        <v>45033505000000</v>
      </c>
      <c r="U63" s="12">
        <v>34413825000000</v>
      </c>
      <c r="V63" s="17">
        <f t="shared" si="10"/>
        <v>208784336000000</v>
      </c>
      <c r="W63" s="13">
        <f t="shared" si="1"/>
        <v>0.83511437274674072</v>
      </c>
      <c r="X63" s="13">
        <f t="shared" si="2"/>
        <v>5.6668794827596649</v>
      </c>
      <c r="Y63" s="8">
        <f t="shared" si="11"/>
        <v>2.4290531337005809E-2</v>
      </c>
      <c r="Z63" s="8">
        <f t="shared" si="12"/>
        <v>0.16482953491300228</v>
      </c>
      <c r="AA63" s="8">
        <f t="shared" si="5"/>
        <v>0.68238320626691962</v>
      </c>
      <c r="AB63" s="8">
        <f t="shared" si="13"/>
        <v>0.28264518372753122</v>
      </c>
      <c r="AC63" s="8">
        <f t="shared" si="7"/>
        <v>0.68238320626691962</v>
      </c>
      <c r="AD63" s="9"/>
      <c r="AE63" s="10"/>
      <c r="AF63" s="9"/>
      <c r="AG63" s="9"/>
      <c r="AH63" s="9"/>
      <c r="AI63" s="9"/>
      <c r="AJ63" s="9">
        <v>41042000000</v>
      </c>
      <c r="AK63" s="10"/>
      <c r="AL63" s="9">
        <v>29715000000</v>
      </c>
      <c r="AM63" s="10"/>
    </row>
    <row r="64" spans="1:39" ht="15.75" customHeight="1">
      <c r="A64" s="6">
        <v>72</v>
      </c>
      <c r="B64" s="6">
        <v>2020</v>
      </c>
      <c r="C64" s="6" t="s">
        <v>86</v>
      </c>
      <c r="D64" s="7" t="s">
        <v>87</v>
      </c>
      <c r="E64" s="6" t="s">
        <v>70</v>
      </c>
      <c r="F64" s="6" t="s">
        <v>71</v>
      </c>
      <c r="G64" s="6"/>
      <c r="H64" s="16">
        <v>327266714000000</v>
      </c>
      <c r="I64" s="16">
        <v>32185160000000</v>
      </c>
      <c r="J64" s="16">
        <v>1511804628000000</v>
      </c>
      <c r="K64" s="16"/>
      <c r="L64" s="16">
        <v>1278346276000000</v>
      </c>
      <c r="M64" s="16">
        <v>199911376000000</v>
      </c>
      <c r="N64" s="8">
        <v>300000000000</v>
      </c>
      <c r="O64" s="16">
        <v>116932512000000</v>
      </c>
      <c r="P64" s="16">
        <v>37722595000000</v>
      </c>
      <c r="Q64" s="6"/>
      <c r="R64" s="6"/>
      <c r="S64" s="11"/>
      <c r="T64" s="9">
        <f>34413825000000+34413825000000</f>
        <v>68827650000000</v>
      </c>
      <c r="U64" s="12">
        <v>34413825000000</v>
      </c>
      <c r="V64" s="17">
        <f t="shared" si="10"/>
        <v>199911376000000</v>
      </c>
      <c r="W64" s="13">
        <f t="shared" si="1"/>
        <v>0.84557637430383625</v>
      </c>
      <c r="X64" s="13">
        <f t="shared" si="2"/>
        <v>6.3945649396160427</v>
      </c>
      <c r="Y64" s="8">
        <f t="shared" si="11"/>
        <v>2.2763407627298254E-2</v>
      </c>
      <c r="Z64" s="8">
        <f t="shared" si="12"/>
        <v>0.17214540607233877</v>
      </c>
      <c r="AA64" s="8">
        <f t="shared" si="5"/>
        <v>0.67739857500025313</v>
      </c>
      <c r="AB64" s="8">
        <f t="shared" si="13"/>
        <v>0.29430501758142336</v>
      </c>
      <c r="AC64" s="8">
        <f t="shared" si="7"/>
        <v>0.67739857500025313</v>
      </c>
      <c r="AD64" s="9"/>
      <c r="AE64" s="9"/>
      <c r="AF64" s="9"/>
      <c r="AG64" s="9"/>
      <c r="AH64" s="9"/>
      <c r="AI64" s="9"/>
      <c r="AJ64" s="9">
        <v>74721000000</v>
      </c>
      <c r="AK64" s="9"/>
      <c r="AL64" s="9">
        <v>23670000000</v>
      </c>
      <c r="AM64" s="9"/>
    </row>
    <row r="65" spans="1:39" ht="15.75" customHeight="1">
      <c r="A65" s="6">
        <v>73</v>
      </c>
      <c r="B65" s="6">
        <v>2018</v>
      </c>
      <c r="C65" s="6" t="s">
        <v>88</v>
      </c>
      <c r="D65" s="7" t="s">
        <v>89</v>
      </c>
      <c r="E65" s="6" t="s">
        <v>70</v>
      </c>
      <c r="F65" s="6" t="s">
        <v>71</v>
      </c>
      <c r="G65" s="6"/>
      <c r="H65" s="16">
        <v>164023512477</v>
      </c>
      <c r="I65" s="16">
        <v>83206069558</v>
      </c>
      <c r="J65" s="16">
        <v>4533729146622</v>
      </c>
      <c r="K65" s="16"/>
      <c r="L65" s="16">
        <v>3933343821678</v>
      </c>
      <c r="M65" s="16">
        <v>600385324944</v>
      </c>
      <c r="N65" s="8">
        <v>15000000000</v>
      </c>
      <c r="O65" s="16">
        <v>589663115314</v>
      </c>
      <c r="P65" s="16">
        <v>303322028671</v>
      </c>
      <c r="Q65" s="6"/>
      <c r="R65" s="6"/>
      <c r="S65" s="11"/>
      <c r="T65" s="9">
        <f>438306955535+1877841614</f>
        <v>440184797149</v>
      </c>
      <c r="U65" s="12">
        <v>-136988450929</v>
      </c>
      <c r="V65" s="17">
        <f t="shared" si="10"/>
        <v>600385324944</v>
      </c>
      <c r="W65" s="13">
        <f t="shared" si="1"/>
        <v>0.86757362305347763</v>
      </c>
      <c r="X65" s="13">
        <f t="shared" si="2"/>
        <v>6.5513656950973553</v>
      </c>
      <c r="Y65" s="8">
        <f t="shared" si="11"/>
        <v>-3.0215402486288276E-2</v>
      </c>
      <c r="Z65" s="8">
        <f t="shared" si="12"/>
        <v>-0.22816755379851661</v>
      </c>
      <c r="AA65" s="8">
        <f t="shared" si="5"/>
        <v>0.48560114954879152</v>
      </c>
      <c r="AB65" s="8">
        <f t="shared" si="13"/>
        <v>-0.23231646574341458</v>
      </c>
      <c r="AC65" s="8">
        <f t="shared" si="7"/>
        <v>0.48560114954879152</v>
      </c>
      <c r="AD65" s="9"/>
      <c r="AE65" s="18">
        <v>1596094962</v>
      </c>
      <c r="AF65" s="9"/>
      <c r="AG65" s="9"/>
      <c r="AH65" s="9"/>
      <c r="AI65" s="9">
        <v>3466686768</v>
      </c>
      <c r="AJ65" s="9"/>
      <c r="AK65" s="9"/>
      <c r="AL65" s="9"/>
      <c r="AM65" s="18">
        <v>8818286340</v>
      </c>
    </row>
    <row r="66" spans="1:39" ht="15.75" customHeight="1">
      <c r="A66" s="6">
        <v>74</v>
      </c>
      <c r="B66" s="6">
        <v>2019</v>
      </c>
      <c r="C66" s="6" t="s">
        <v>88</v>
      </c>
      <c r="D66" s="7" t="s">
        <v>89</v>
      </c>
      <c r="E66" s="6" t="s">
        <v>70</v>
      </c>
      <c r="F66" s="6" t="s">
        <v>71</v>
      </c>
      <c r="G66" s="6"/>
      <c r="H66" s="16">
        <v>188000346790</v>
      </c>
      <c r="I66" s="16">
        <v>87885955385</v>
      </c>
      <c r="J66" s="16">
        <v>5123734649117</v>
      </c>
      <c r="K66" s="16"/>
      <c r="L66" s="16">
        <v>4177951053821</v>
      </c>
      <c r="M66" s="16">
        <v>945783595296</v>
      </c>
      <c r="N66" s="8">
        <v>15000000000</v>
      </c>
      <c r="O66" s="16">
        <v>532495206620</v>
      </c>
      <c r="P66" s="16">
        <v>316396580171</v>
      </c>
      <c r="Q66" s="6"/>
      <c r="R66" s="6"/>
      <c r="S66" s="11"/>
      <c r="T66" s="9">
        <f>378992065915+24798132920</f>
        <v>403790198835</v>
      </c>
      <c r="U66" s="12">
        <v>16002797471</v>
      </c>
      <c r="V66" s="17">
        <f t="shared" si="10"/>
        <v>945783595296</v>
      </c>
      <c r="W66" s="13">
        <f t="shared" si="1"/>
        <v>0.81541128491909864</v>
      </c>
      <c r="X66" s="13">
        <f t="shared" si="2"/>
        <v>4.4174492712716535</v>
      </c>
      <c r="Y66" s="8">
        <f t="shared" si="11"/>
        <v>3.1232681953500159E-3</v>
      </c>
      <c r="Z66" s="8">
        <f t="shared" si="12"/>
        <v>1.6920147008884879E-2</v>
      </c>
      <c r="AA66" s="8">
        <f t="shared" si="5"/>
        <v>0.40582266988031801</v>
      </c>
      <c r="AB66" s="8">
        <f t="shared" si="13"/>
        <v>3.0052472345389467E-2</v>
      </c>
      <c r="AC66" s="8">
        <f t="shared" si="7"/>
        <v>0.40582266988031801</v>
      </c>
      <c r="AD66" s="9"/>
      <c r="AE66" s="18">
        <v>1992512078</v>
      </c>
      <c r="AF66" s="9"/>
      <c r="AG66" s="9"/>
      <c r="AH66" s="9"/>
      <c r="AI66" s="9">
        <v>3466686768</v>
      </c>
      <c r="AJ66" s="9"/>
      <c r="AK66" s="9"/>
      <c r="AL66" s="9"/>
      <c r="AM66" s="9">
        <v>11608898381</v>
      </c>
    </row>
    <row r="67" spans="1:39" ht="15.75" customHeight="1">
      <c r="A67" s="6">
        <v>75</v>
      </c>
      <c r="B67" s="6">
        <v>2020</v>
      </c>
      <c r="C67" s="6" t="s">
        <v>88</v>
      </c>
      <c r="D67" s="7" t="s">
        <v>89</v>
      </c>
      <c r="E67" s="6" t="s">
        <v>70</v>
      </c>
      <c r="F67" s="6" t="s">
        <v>71</v>
      </c>
      <c r="G67" s="6"/>
      <c r="H67" s="16">
        <v>253230368200</v>
      </c>
      <c r="I67" s="16">
        <v>108803796324</v>
      </c>
      <c r="J67" s="16">
        <v>5421324398438</v>
      </c>
      <c r="K67" s="16"/>
      <c r="L67" s="16">
        <v>4300705118122</v>
      </c>
      <c r="M67" s="16">
        <v>1120619280316</v>
      </c>
      <c r="N67" s="8">
        <v>15000000000</v>
      </c>
      <c r="O67" s="16">
        <v>435200503846</v>
      </c>
      <c r="P67" s="16">
        <v>276969580433</v>
      </c>
      <c r="Q67" s="6"/>
      <c r="R67" s="6"/>
      <c r="S67" s="11"/>
      <c r="T67" s="9">
        <v>229554559339</v>
      </c>
      <c r="U67" s="12">
        <v>15871502695</v>
      </c>
      <c r="V67" s="17">
        <f t="shared" si="10"/>
        <v>1120619280316</v>
      </c>
      <c r="W67" s="13">
        <f t="shared" si="1"/>
        <v>0.7932941846020366</v>
      </c>
      <c r="X67" s="13">
        <f t="shared" si="2"/>
        <v>3.8377932574114353</v>
      </c>
      <c r="Y67" s="8">
        <f t="shared" si="11"/>
        <v>2.9276061582983156E-3</v>
      </c>
      <c r="Z67" s="8">
        <f t="shared" si="12"/>
        <v>1.4163153332971787E-2</v>
      </c>
      <c r="AA67" s="8">
        <f t="shared" si="5"/>
        <v>0.363581664117263</v>
      </c>
      <c r="AB67" s="8">
        <f t="shared" si="13"/>
        <v>3.6469403308908598E-2</v>
      </c>
      <c r="AC67" s="8">
        <f t="shared" si="7"/>
        <v>0.363581664117263</v>
      </c>
      <c r="AD67" s="9"/>
      <c r="AE67" s="18">
        <v>1185683187</v>
      </c>
      <c r="AF67" s="9"/>
      <c r="AG67" s="9"/>
      <c r="AH67" s="9"/>
      <c r="AI67" s="9">
        <v>3466686768</v>
      </c>
      <c r="AJ67" s="9"/>
      <c r="AK67" s="9"/>
      <c r="AL67" s="9"/>
      <c r="AM67" s="18">
        <v>9703855947</v>
      </c>
    </row>
    <row r="68" spans="1:39" ht="15.75" customHeight="1">
      <c r="A68" s="6">
        <v>76</v>
      </c>
      <c r="B68" s="6">
        <v>2018</v>
      </c>
      <c r="C68" s="6" t="s">
        <v>90</v>
      </c>
      <c r="D68" s="7" t="s">
        <v>91</v>
      </c>
      <c r="E68" s="6" t="s">
        <v>70</v>
      </c>
      <c r="F68" s="6" t="s">
        <v>71</v>
      </c>
      <c r="G68" s="6"/>
      <c r="H68" s="16">
        <v>3562738000000</v>
      </c>
      <c r="I68" s="16">
        <v>194079000000</v>
      </c>
      <c r="J68" s="16">
        <v>17823669000000</v>
      </c>
      <c r="K68" s="16"/>
      <c r="L68" s="16">
        <v>16508766000000</v>
      </c>
      <c r="M68" s="16">
        <v>1314903000000</v>
      </c>
      <c r="N68" s="8">
        <v>12384618000</v>
      </c>
      <c r="O68" s="16">
        <v>1426813000000</v>
      </c>
      <c r="P68" s="16">
        <v>1035272000000</v>
      </c>
      <c r="Q68" s="6"/>
      <c r="R68" s="6"/>
      <c r="S68" s="11"/>
      <c r="T68" s="9">
        <f>617930000000+116594000000</f>
        <v>734524000000</v>
      </c>
      <c r="U68" s="12">
        <v>-401101000000</v>
      </c>
      <c r="V68" s="17">
        <f t="shared" si="10"/>
        <v>1314903000000</v>
      </c>
      <c r="W68" s="13">
        <f t="shared" si="1"/>
        <v>0.92622714212208501</v>
      </c>
      <c r="X68" s="13">
        <f t="shared" si="2"/>
        <v>12.555120795982669</v>
      </c>
      <c r="Y68" s="8">
        <f t="shared" si="11"/>
        <v>-2.2503840258703188E-2</v>
      </c>
      <c r="Z68" s="8">
        <f t="shared" si="12"/>
        <v>-0.30504227308021958</v>
      </c>
      <c r="AA68" s="8">
        <f t="shared" si="5"/>
        <v>0.27441647924430179</v>
      </c>
      <c r="AB68" s="8">
        <f t="shared" si="13"/>
        <v>-0.28111672657874576</v>
      </c>
      <c r="AC68" s="8">
        <f t="shared" si="7"/>
        <v>0.27441647924430179</v>
      </c>
      <c r="AD68" s="9"/>
      <c r="AE68" s="9">
        <f>141049000000-81819000000</f>
        <v>59230000000</v>
      </c>
      <c r="AF68" s="9"/>
      <c r="AG68" s="9"/>
      <c r="AH68" s="9"/>
      <c r="AI68" s="9">
        <v>53952000000</v>
      </c>
      <c r="AJ68" s="9">
        <v>6957000000</v>
      </c>
      <c r="AK68" s="9"/>
      <c r="AL68" s="18">
        <v>8206000000</v>
      </c>
      <c r="AM68" s="9">
        <f>53527000000+ 13678000000</f>
        <v>67205000000</v>
      </c>
    </row>
    <row r="69" spans="1:39" ht="15.75" customHeight="1">
      <c r="A69" s="6">
        <v>77</v>
      </c>
      <c r="B69" s="6">
        <v>2019</v>
      </c>
      <c r="C69" s="6" t="s">
        <v>90</v>
      </c>
      <c r="D69" s="7" t="s">
        <v>91</v>
      </c>
      <c r="E69" s="6" t="s">
        <v>70</v>
      </c>
      <c r="F69" s="6" t="s">
        <v>71</v>
      </c>
      <c r="G69" s="6"/>
      <c r="H69" s="16">
        <v>4219862000000</v>
      </c>
      <c r="I69" s="16">
        <v>199165000000</v>
      </c>
      <c r="J69" s="16">
        <v>17311597000000</v>
      </c>
      <c r="K69" s="16"/>
      <c r="L69" s="16">
        <v>15637771000000</v>
      </c>
      <c r="M69" s="16">
        <v>1673826000000</v>
      </c>
      <c r="N69" s="8">
        <v>12384618000</v>
      </c>
      <c r="O69" s="16">
        <v>1132243000000</v>
      </c>
      <c r="P69" s="16">
        <v>1081987000000</v>
      </c>
      <c r="Q69" s="6"/>
      <c r="R69" s="6"/>
      <c r="S69" s="11"/>
      <c r="T69" s="9">
        <f>565244000000+178401000000</f>
        <v>743645000000</v>
      </c>
      <c r="U69" s="12">
        <v>49495000000</v>
      </c>
      <c r="V69" s="17">
        <f t="shared" si="10"/>
        <v>1673826000000</v>
      </c>
      <c r="W69" s="13">
        <f t="shared" si="1"/>
        <v>0.90331186660595209</v>
      </c>
      <c r="X69" s="13">
        <f t="shared" si="2"/>
        <v>9.3425308245898915</v>
      </c>
      <c r="Y69" s="8">
        <f t="shared" si="11"/>
        <v>2.8590660930935489E-3</v>
      </c>
      <c r="Z69" s="8">
        <f t="shared" si="12"/>
        <v>2.9569979197359823E-2</v>
      </c>
      <c r="AA69" s="8">
        <f t="shared" si="5"/>
        <v>4.4386231577497055E-2</v>
      </c>
      <c r="AB69" s="8">
        <f t="shared" si="13"/>
        <v>4.3714114372974705E-2</v>
      </c>
      <c r="AC69" s="8">
        <f t="shared" si="7"/>
        <v>4.4386231577497055E-2</v>
      </c>
      <c r="AD69" s="9"/>
      <c r="AE69" s="9">
        <f>154689000000- 90046000000</f>
        <v>64643000000</v>
      </c>
      <c r="AF69" s="9"/>
      <c r="AG69" s="9"/>
      <c r="AH69" s="9"/>
      <c r="AI69" s="9">
        <f>60158000000-35942000000</f>
        <v>24216000000</v>
      </c>
      <c r="AJ69" s="9">
        <v>9610000000</v>
      </c>
      <c r="AK69" s="9"/>
      <c r="AL69" s="10">
        <v>2415000000</v>
      </c>
      <c r="AM69" s="9">
        <f>1272000000+ 9081000000</f>
        <v>10353000000</v>
      </c>
    </row>
    <row r="70" spans="1:39" ht="15.75" customHeight="1">
      <c r="A70" s="6">
        <v>78</v>
      </c>
      <c r="B70" s="6">
        <v>2020</v>
      </c>
      <c r="C70" s="6" t="s">
        <v>90</v>
      </c>
      <c r="D70" s="7" t="s">
        <v>91</v>
      </c>
      <c r="E70" s="6" t="s">
        <v>70</v>
      </c>
      <c r="F70" s="6" t="s">
        <v>71</v>
      </c>
      <c r="G70" s="6"/>
      <c r="H70" s="16">
        <v>1915516000000</v>
      </c>
      <c r="I70" s="16">
        <v>194214000000</v>
      </c>
      <c r="J70" s="16">
        <v>16204908000000</v>
      </c>
      <c r="K70" s="16"/>
      <c r="L70" s="16">
        <v>14761678000000</v>
      </c>
      <c r="M70" s="16">
        <v>1443230000000</v>
      </c>
      <c r="N70" s="8">
        <v>12384618000</v>
      </c>
      <c r="O70" s="16">
        <v>978794000000</v>
      </c>
      <c r="P70" s="16">
        <v>952657000000</v>
      </c>
      <c r="Q70" s="6"/>
      <c r="R70" s="6"/>
      <c r="S70" s="11"/>
      <c r="T70" s="9">
        <f>633588000000+29272000000</f>
        <v>662860000000</v>
      </c>
      <c r="U70" s="12">
        <v>-484441000000</v>
      </c>
      <c r="V70" s="17">
        <f t="shared" si="10"/>
        <v>1443230000000</v>
      </c>
      <c r="W70" s="13">
        <f t="shared" si="1"/>
        <v>0.91093871066716325</v>
      </c>
      <c r="X70" s="13">
        <f t="shared" si="2"/>
        <v>10.228222805789791</v>
      </c>
      <c r="Y70" s="8">
        <f t="shared" si="11"/>
        <v>-2.9894708442652067E-2</v>
      </c>
      <c r="Z70" s="8">
        <f t="shared" si="12"/>
        <v>-0.33566444710822252</v>
      </c>
      <c r="AA70" s="8">
        <f t="shared" si="5"/>
        <v>2.6703269533732327E-2</v>
      </c>
      <c r="AB70" s="8">
        <f t="shared" si="13"/>
        <v>-0.4949366260929266</v>
      </c>
      <c r="AC70" s="8">
        <f t="shared" si="7"/>
        <v>2.6703269533732327E-2</v>
      </c>
      <c r="AD70" s="9"/>
      <c r="AE70" s="18">
        <f>177324000000-101058000000</f>
        <v>76266000000</v>
      </c>
      <c r="AF70" s="9"/>
      <c r="AG70" s="9"/>
      <c r="AH70" s="9"/>
      <c r="AI70" s="9">
        <f>64558000000-41492000000</f>
        <v>23066000000</v>
      </c>
      <c r="AJ70" s="9">
        <v>6454000000</v>
      </c>
      <c r="AK70" s="9"/>
      <c r="AL70" s="10">
        <v>1271000000</v>
      </c>
      <c r="AM70" s="9">
        <f>5503000000+ 16402000000</f>
        <v>21905000000</v>
      </c>
    </row>
    <row r="71" spans="1:39" ht="15.75" customHeight="1">
      <c r="A71" s="6">
        <v>82</v>
      </c>
      <c r="B71" s="6">
        <v>2018</v>
      </c>
      <c r="C71" s="6" t="s">
        <v>92</v>
      </c>
      <c r="D71" s="7" t="s">
        <v>93</v>
      </c>
      <c r="E71" s="6" t="s">
        <v>70</v>
      </c>
      <c r="F71" s="6" t="s">
        <v>71</v>
      </c>
      <c r="G71" s="6"/>
      <c r="H71" s="16">
        <v>9148760000000</v>
      </c>
      <c r="I71" s="16">
        <v>1902608000000</v>
      </c>
      <c r="J71" s="16">
        <v>186762189000000</v>
      </c>
      <c r="K71" s="16"/>
      <c r="L71" s="16">
        <v>144822368000000</v>
      </c>
      <c r="M71" s="16">
        <v>41939821000000</v>
      </c>
      <c r="N71" s="8">
        <v>17782400000</v>
      </c>
      <c r="O71" s="16">
        <v>20172187000000</v>
      </c>
      <c r="P71" s="16">
        <v>5931103000000</v>
      </c>
      <c r="Q71" s="6"/>
      <c r="R71" s="6"/>
      <c r="S71" s="11"/>
      <c r="T71" s="9">
        <f>12779304000000+350113000000</f>
        <v>13129417000000</v>
      </c>
      <c r="U71" s="12">
        <v>4107068000000</v>
      </c>
      <c r="V71" s="17">
        <f t="shared" si="10"/>
        <v>41939821000000</v>
      </c>
      <c r="W71" s="13">
        <f t="shared" si="1"/>
        <v>0.77543730224751217</v>
      </c>
      <c r="X71" s="13">
        <f t="shared" si="2"/>
        <v>3.4530993348779435</v>
      </c>
      <c r="Y71" s="8">
        <f t="shared" si="11"/>
        <v>2.199089666913253E-2</v>
      </c>
      <c r="Z71" s="8">
        <f t="shared" si="12"/>
        <v>9.7927647330683654E-2</v>
      </c>
      <c r="AA71" s="8">
        <f t="shared" si="5"/>
        <v>0.70597620377007209</v>
      </c>
      <c r="AB71" s="8">
        <f t="shared" si="13"/>
        <v>0.2036005317618759</v>
      </c>
      <c r="AC71" s="8">
        <f t="shared" si="7"/>
        <v>0.70597620377007209</v>
      </c>
      <c r="AD71" s="9"/>
      <c r="AE71" s="9">
        <f>1832927000000-1319539000000</f>
        <v>513388000000</v>
      </c>
      <c r="AF71" s="9"/>
      <c r="AG71" s="9"/>
      <c r="AH71" s="9"/>
      <c r="AI71" s="9"/>
      <c r="AJ71" s="9"/>
      <c r="AK71" s="9"/>
      <c r="AL71" s="9"/>
      <c r="AM71" s="9">
        <v>144766000000</v>
      </c>
    </row>
    <row r="72" spans="1:39" ht="15.75" customHeight="1">
      <c r="A72" s="6">
        <v>83</v>
      </c>
      <c r="B72" s="6">
        <v>2019</v>
      </c>
      <c r="C72" s="6" t="s">
        <v>92</v>
      </c>
      <c r="D72" s="7" t="s">
        <v>93</v>
      </c>
      <c r="E72" s="6" t="s">
        <v>70</v>
      </c>
      <c r="F72" s="6" t="s">
        <v>71</v>
      </c>
      <c r="G72" s="6"/>
      <c r="H72" s="16">
        <v>9405926000000</v>
      </c>
      <c r="I72" s="16">
        <v>1785994000000</v>
      </c>
      <c r="J72" s="16">
        <v>193533970000000</v>
      </c>
      <c r="K72" s="16"/>
      <c r="L72" s="16">
        <v>148116943000000</v>
      </c>
      <c r="M72" s="16">
        <v>45417027000000</v>
      </c>
      <c r="N72" s="8">
        <v>17782400000</v>
      </c>
      <c r="O72" s="16">
        <v>21970144000000</v>
      </c>
      <c r="P72" s="16">
        <v>7390746000000</v>
      </c>
      <c r="Q72" s="6"/>
      <c r="R72" s="6"/>
      <c r="S72" s="11"/>
      <c r="T72" s="9">
        <f>15092762000000+445759000000</f>
        <v>15538521000000</v>
      </c>
      <c r="U72" s="12">
        <v>4240671000000</v>
      </c>
      <c r="V72" s="17">
        <f t="shared" si="10"/>
        <v>45417027000000</v>
      </c>
      <c r="W72" s="13">
        <f t="shared" si="1"/>
        <v>0.76532788016491371</v>
      </c>
      <c r="X72" s="13">
        <f t="shared" si="2"/>
        <v>3.2612646133794709</v>
      </c>
      <c r="Y72" s="8">
        <f t="shared" si="11"/>
        <v>2.1911765670905217E-2</v>
      </c>
      <c r="Z72" s="8">
        <f t="shared" si="12"/>
        <v>9.3371831670091485E-2</v>
      </c>
      <c r="AA72" s="8">
        <f t="shared" si="5"/>
        <v>0.66360047526315713</v>
      </c>
      <c r="AB72" s="8">
        <f t="shared" si="13"/>
        <v>0.19301971803188908</v>
      </c>
      <c r="AC72" s="8">
        <f t="shared" si="7"/>
        <v>0.66360047526315713</v>
      </c>
      <c r="AD72" s="9"/>
      <c r="AE72" s="9">
        <f>2029724000000-1495961000000</f>
        <v>533763000000</v>
      </c>
      <c r="AF72" s="9"/>
      <c r="AG72" s="9"/>
      <c r="AH72" s="9"/>
      <c r="AI72" s="9"/>
      <c r="AJ72" s="9"/>
      <c r="AK72" s="9"/>
      <c r="AL72" s="9"/>
      <c r="AM72" s="9">
        <v>112501000000</v>
      </c>
    </row>
    <row r="73" spans="1:39" ht="15.75" customHeight="1">
      <c r="A73" s="6">
        <v>84</v>
      </c>
      <c r="B73" s="6">
        <v>2020</v>
      </c>
      <c r="C73" s="6" t="s">
        <v>92</v>
      </c>
      <c r="D73" s="7" t="s">
        <v>93</v>
      </c>
      <c r="E73" s="6" t="s">
        <v>70</v>
      </c>
      <c r="F73" s="6" t="s">
        <v>71</v>
      </c>
      <c r="G73" s="6"/>
      <c r="H73" s="16">
        <v>4689271000000</v>
      </c>
      <c r="I73" s="16">
        <v>2105691000000</v>
      </c>
      <c r="J73" s="16">
        <v>200890068000000</v>
      </c>
      <c r="K73" s="16"/>
      <c r="L73" s="16">
        <v>157314590000000</v>
      </c>
      <c r="M73" s="16">
        <v>43575499000000</v>
      </c>
      <c r="N73" s="8">
        <v>17782400000</v>
      </c>
      <c r="O73" s="16">
        <v>20087555000000</v>
      </c>
      <c r="P73" s="16">
        <v>6363892000000</v>
      </c>
      <c r="Q73" s="6"/>
      <c r="R73" s="6"/>
      <c r="S73" s="11"/>
      <c r="T73" s="9">
        <f>15644897000000+313611000000</f>
        <v>15958508000000</v>
      </c>
      <c r="U73" s="12">
        <v>1088942000000</v>
      </c>
      <c r="V73" s="17">
        <f t="shared" si="10"/>
        <v>43575499000000</v>
      </c>
      <c r="W73" s="13">
        <f t="shared" si="1"/>
        <v>0.78308794240639112</v>
      </c>
      <c r="X73" s="13">
        <f t="shared" si="2"/>
        <v>3.6101615267790739</v>
      </c>
      <c r="Y73" s="8">
        <f t="shared" si="11"/>
        <v>5.4205865468670159E-3</v>
      </c>
      <c r="Z73" s="8">
        <f t="shared" si="12"/>
        <v>2.4989776938641597E-2</v>
      </c>
      <c r="AA73" s="8">
        <f t="shared" si="5"/>
        <v>0.68319230488727967</v>
      </c>
      <c r="AB73" s="8">
        <f t="shared" si="13"/>
        <v>5.4209783121937936E-2</v>
      </c>
      <c r="AC73" s="8">
        <f t="shared" si="7"/>
        <v>0.68319230488727967</v>
      </c>
      <c r="AD73" s="9"/>
      <c r="AE73" s="10">
        <f>2203093000000-1690956000000</f>
        <v>512137000000</v>
      </c>
      <c r="AF73" s="9"/>
      <c r="AG73" s="9"/>
      <c r="AH73" s="9"/>
      <c r="AI73" s="9"/>
      <c r="AJ73" s="9"/>
      <c r="AK73" s="10"/>
      <c r="AL73" s="9"/>
      <c r="AM73" s="9">
        <v>106938000000</v>
      </c>
    </row>
    <row r="74" spans="1:39" ht="15.75" customHeight="1">
      <c r="A74" s="6">
        <v>85</v>
      </c>
      <c r="B74" s="6">
        <v>2018</v>
      </c>
      <c r="C74" s="6" t="s">
        <v>94</v>
      </c>
      <c r="D74" s="7" t="s">
        <v>95</v>
      </c>
      <c r="E74" s="6" t="s">
        <v>70</v>
      </c>
      <c r="F74" s="6" t="s">
        <v>71</v>
      </c>
      <c r="G74" s="6"/>
      <c r="H74" s="16">
        <v>961960000000</v>
      </c>
      <c r="I74" s="16">
        <v>77068000000</v>
      </c>
      <c r="J74" s="16">
        <v>9482130000000</v>
      </c>
      <c r="K74" s="16"/>
      <c r="L74" s="16">
        <v>8788732000000</v>
      </c>
      <c r="M74" s="16">
        <v>693398000000</v>
      </c>
      <c r="N74" s="8">
        <v>125693155976</v>
      </c>
      <c r="O74" s="16">
        <v>571662000000</v>
      </c>
      <c r="P74" s="16">
        <v>436252000000</v>
      </c>
      <c r="Q74" s="6"/>
      <c r="R74" s="6"/>
      <c r="S74" s="11"/>
      <c r="T74" s="9">
        <v>296067000000</v>
      </c>
      <c r="U74" s="12">
        <v>-100131000000</v>
      </c>
      <c r="V74" s="17">
        <f t="shared" si="10"/>
        <v>693398000000</v>
      </c>
      <c r="W74" s="13">
        <f t="shared" si="1"/>
        <v>0.92687318144762831</v>
      </c>
      <c r="X74" s="13">
        <f t="shared" si="2"/>
        <v>12.674873593520605</v>
      </c>
      <c r="Y74" s="8">
        <f t="shared" si="11"/>
        <v>-1.0559969120862085E-2</v>
      </c>
      <c r="Z74" s="8">
        <f t="shared" si="12"/>
        <v>-0.14440624287926992</v>
      </c>
      <c r="AA74" s="8">
        <f t="shared" si="5"/>
        <v>0.23687073830340305</v>
      </c>
      <c r="AB74" s="8">
        <f t="shared" si="13"/>
        <v>-0.17515769808033418</v>
      </c>
      <c r="AC74" s="8">
        <f t="shared" si="7"/>
        <v>0.23687073830340305</v>
      </c>
      <c r="AD74" s="9"/>
      <c r="AE74" s="18">
        <v>20311000000</v>
      </c>
      <c r="AF74" s="9"/>
      <c r="AG74" s="9"/>
      <c r="AH74" s="9"/>
      <c r="AI74" s="9">
        <v>649000000</v>
      </c>
      <c r="AJ74" s="9"/>
      <c r="AK74" s="10"/>
      <c r="AL74" s="9"/>
      <c r="AM74" s="9">
        <v>9447000000</v>
      </c>
    </row>
    <row r="75" spans="1:39" ht="15.75" customHeight="1">
      <c r="A75" s="6">
        <v>86</v>
      </c>
      <c r="B75" s="6">
        <v>2019</v>
      </c>
      <c r="C75" s="6" t="s">
        <v>94</v>
      </c>
      <c r="D75" s="7" t="s">
        <v>95</v>
      </c>
      <c r="E75" s="6" t="s">
        <v>70</v>
      </c>
      <c r="F75" s="6" t="s">
        <v>71</v>
      </c>
      <c r="G75" s="6"/>
      <c r="H75" s="16">
        <v>943031000000</v>
      </c>
      <c r="I75" s="16">
        <v>65551000000</v>
      </c>
      <c r="J75" s="16">
        <v>8097328000000</v>
      </c>
      <c r="K75" s="16"/>
      <c r="L75" s="16">
        <v>7547795000000</v>
      </c>
      <c r="M75" s="16">
        <v>549533000000</v>
      </c>
      <c r="N75" s="8">
        <v>125693155976</v>
      </c>
      <c r="O75" s="16">
        <v>553871000000</v>
      </c>
      <c r="P75" s="16">
        <v>481024000000</v>
      </c>
      <c r="Q75" s="6"/>
      <c r="R75" s="6"/>
      <c r="S75" s="11"/>
      <c r="T75" s="9">
        <v>308662000000</v>
      </c>
      <c r="U75" s="12">
        <v>-137559000000</v>
      </c>
      <c r="V75" s="17">
        <f t="shared" si="10"/>
        <v>549533000000</v>
      </c>
      <c r="W75" s="13">
        <f t="shared" si="1"/>
        <v>0.93213403236228054</v>
      </c>
      <c r="X75" s="13">
        <f t="shared" si="2"/>
        <v>13.734925837028895</v>
      </c>
      <c r="Y75" s="8">
        <f t="shared" si="11"/>
        <v>-1.6988196600162424E-2</v>
      </c>
      <c r="Z75" s="8">
        <f t="shared" si="12"/>
        <v>-0.25031981700825973</v>
      </c>
      <c r="AA75" s="8">
        <f t="shared" si="5"/>
        <v>0.13152340526945805</v>
      </c>
      <c r="AB75" s="8">
        <f t="shared" si="13"/>
        <v>-0.24835927499363569</v>
      </c>
      <c r="AC75" s="8">
        <f t="shared" si="7"/>
        <v>0.13152340526945805</v>
      </c>
      <c r="AD75" s="9"/>
      <c r="AE75" s="9">
        <v>16215000000</v>
      </c>
      <c r="AF75" s="9"/>
      <c r="AG75" s="9"/>
      <c r="AH75" s="9"/>
      <c r="AI75" s="9">
        <v>983000000</v>
      </c>
      <c r="AJ75" s="9"/>
      <c r="AK75" s="9"/>
      <c r="AL75" s="9"/>
      <c r="AM75" s="9">
        <v>6504000000</v>
      </c>
    </row>
    <row r="76" spans="1:39" ht="15.75" customHeight="1">
      <c r="A76" s="6">
        <v>87</v>
      </c>
      <c r="B76" s="6">
        <v>2020</v>
      </c>
      <c r="C76" s="6" t="s">
        <v>94</v>
      </c>
      <c r="D76" s="7" t="s">
        <v>95</v>
      </c>
      <c r="E76" s="6" t="s">
        <v>70</v>
      </c>
      <c r="F76" s="6" t="s">
        <v>71</v>
      </c>
      <c r="G76" s="8"/>
      <c r="H76" s="16">
        <v>617099000000</v>
      </c>
      <c r="I76" s="16">
        <v>65323000000</v>
      </c>
      <c r="J76" s="16">
        <v>5337281000000</v>
      </c>
      <c r="K76" s="16"/>
      <c r="L76" s="16">
        <v>3975700000000</v>
      </c>
      <c r="M76" s="16">
        <v>1361581000000</v>
      </c>
      <c r="N76" s="8">
        <v>125693155976</v>
      </c>
      <c r="O76" s="16">
        <v>372209000000</v>
      </c>
      <c r="P76" s="16">
        <v>338465000000</v>
      </c>
      <c r="Q76" s="6"/>
      <c r="R76" s="6"/>
      <c r="S76" s="11"/>
      <c r="T76" s="9">
        <v>294640000000</v>
      </c>
      <c r="U76" s="12">
        <v>308158000000</v>
      </c>
      <c r="V76" s="17">
        <f t="shared" si="10"/>
        <v>1361581000000</v>
      </c>
      <c r="W76" s="13">
        <f t="shared" si="1"/>
        <v>0.74489238996410345</v>
      </c>
      <c r="X76" s="13">
        <f t="shared" si="2"/>
        <v>2.9199144230126595</v>
      </c>
      <c r="Y76" s="8">
        <f t="shared" si="11"/>
        <v>5.7736888876564675E-2</v>
      </c>
      <c r="Z76" s="8">
        <f t="shared" si="12"/>
        <v>0.22632366344712507</v>
      </c>
      <c r="AA76" s="8">
        <f t="shared" si="5"/>
        <v>9.0658742803102557E-2</v>
      </c>
      <c r="AB76" s="8">
        <f t="shared" si="13"/>
        <v>0.82791657375291838</v>
      </c>
      <c r="AC76" s="8">
        <f t="shared" si="7"/>
        <v>9.0658742803102557E-2</v>
      </c>
      <c r="AD76" s="9"/>
      <c r="AE76" s="9">
        <v>16668000000</v>
      </c>
      <c r="AF76" s="9"/>
      <c r="AG76" s="9"/>
      <c r="AH76" s="9"/>
      <c r="AI76" s="9">
        <v>412000000</v>
      </c>
      <c r="AJ76" s="9"/>
      <c r="AK76" s="9"/>
      <c r="AL76" s="9"/>
      <c r="AM76" s="9">
        <v>4173000000</v>
      </c>
    </row>
    <row r="77" spans="1:39" ht="15.75" customHeight="1">
      <c r="A77" s="6">
        <v>94</v>
      </c>
      <c r="B77" s="6">
        <v>2018</v>
      </c>
      <c r="C77" s="6" t="s">
        <v>96</v>
      </c>
      <c r="D77" s="7" t="s">
        <v>97</v>
      </c>
      <c r="E77" s="6" t="s">
        <v>70</v>
      </c>
      <c r="F77" s="6" t="s">
        <v>71</v>
      </c>
      <c r="G77" s="6"/>
      <c r="H77" s="17">
        <f>x!A28</f>
        <v>6759275000000</v>
      </c>
      <c r="I77" s="8">
        <v>119656000000</v>
      </c>
      <c r="J77" s="8">
        <v>20486926000000</v>
      </c>
      <c r="K77" s="8"/>
      <c r="L77" s="8">
        <v>15814866000000</v>
      </c>
      <c r="M77" s="8">
        <v>4672060000000</v>
      </c>
      <c r="N77" s="8">
        <v>32000000000</v>
      </c>
      <c r="O77" s="8">
        <v>1353059000000</v>
      </c>
      <c r="P77" s="8">
        <v>1050216000000</v>
      </c>
      <c r="Q77" s="6"/>
      <c r="R77" s="6"/>
      <c r="S77" s="11"/>
      <c r="T77" s="9">
        <v>2149585000000</v>
      </c>
      <c r="U77" s="12">
        <v>14568000000</v>
      </c>
      <c r="V77" s="13">
        <f t="shared" si="10"/>
        <v>4672060000000</v>
      </c>
      <c r="W77" s="13">
        <f t="shared" si="1"/>
        <v>0.77194919335384915</v>
      </c>
      <c r="X77" s="13">
        <f t="shared" si="2"/>
        <v>3.3849877784103799</v>
      </c>
      <c r="Y77" s="8">
        <f t="shared" si="11"/>
        <v>7.1108764682412584E-4</v>
      </c>
      <c r="Z77" s="8">
        <f t="shared" si="12"/>
        <v>3.1181106407023882E-3</v>
      </c>
      <c r="AA77" s="8">
        <f t="shared" si="5"/>
        <v>0.2238209863723607</v>
      </c>
      <c r="AB77" s="8">
        <f t="shared" si="13"/>
        <v>1.0766714533512581E-2</v>
      </c>
      <c r="AC77" s="8">
        <f t="shared" si="7"/>
        <v>0.2238209863723607</v>
      </c>
      <c r="AD77" s="9"/>
      <c r="AE77" s="9">
        <f>51005000000-31823000000</f>
        <v>19182000000</v>
      </c>
      <c r="AF77" s="9"/>
      <c r="AG77" s="9"/>
      <c r="AH77" s="9"/>
      <c r="AI77" s="9">
        <f>34767000000-19835000000</f>
        <v>14932000000</v>
      </c>
      <c r="AJ77" s="9"/>
      <c r="AK77" s="9"/>
      <c r="AL77" s="9"/>
      <c r="AM77" s="10">
        <v>5393000000</v>
      </c>
    </row>
    <row r="78" spans="1:39" ht="15.75" customHeight="1">
      <c r="A78" s="6">
        <v>95</v>
      </c>
      <c r="B78" s="6">
        <v>2019</v>
      </c>
      <c r="C78" s="6" t="s">
        <v>96</v>
      </c>
      <c r="D78" s="7" t="s">
        <v>97</v>
      </c>
      <c r="E78" s="6" t="s">
        <v>70</v>
      </c>
      <c r="F78" s="6" t="s">
        <v>71</v>
      </c>
      <c r="G78" s="6"/>
      <c r="H78" s="17">
        <f>x!B28</f>
        <v>3642725000000</v>
      </c>
      <c r="I78" s="10">
        <v>138903000000</v>
      </c>
      <c r="J78" s="8">
        <v>23021785000000</v>
      </c>
      <c r="K78" s="8"/>
      <c r="L78" s="8">
        <v>18332221000000</v>
      </c>
      <c r="M78" s="8">
        <v>4689564000000</v>
      </c>
      <c r="N78" s="8">
        <v>32000000000</v>
      </c>
      <c r="O78" s="8">
        <v>1401513000000</v>
      </c>
      <c r="P78" s="8">
        <v>979937000000</v>
      </c>
      <c r="Q78" s="6"/>
      <c r="R78" s="6"/>
      <c r="S78" s="11"/>
      <c r="T78" s="9">
        <v>594032000000</v>
      </c>
      <c r="U78" s="12">
        <v>5277000000</v>
      </c>
      <c r="V78" s="13">
        <f t="shared" si="10"/>
        <v>4689564000000</v>
      </c>
      <c r="W78" s="13">
        <f t="shared" si="1"/>
        <v>0.79629885345554219</v>
      </c>
      <c r="X78" s="13">
        <f t="shared" si="2"/>
        <v>3.9091525352889951</v>
      </c>
      <c r="Y78" s="8">
        <f t="shared" si="11"/>
        <v>2.2921767360784578E-4</v>
      </c>
      <c r="Z78" s="8">
        <f t="shared" si="12"/>
        <v>1.1252645235250015E-3</v>
      </c>
      <c r="AA78" s="8">
        <f t="shared" si="5"/>
        <v>0.30080063474259605</v>
      </c>
      <c r="AB78" s="8">
        <f t="shared" si="13"/>
        <v>3.7652165909270907E-3</v>
      </c>
      <c r="AC78" s="8">
        <f t="shared" si="7"/>
        <v>0.30080063474259605</v>
      </c>
      <c r="AD78" s="9"/>
      <c r="AE78" s="9">
        <f>55534000000-37692000000</f>
        <v>17842000000</v>
      </c>
      <c r="AF78" s="9"/>
      <c r="AG78" s="9"/>
      <c r="AH78" s="9"/>
      <c r="AI78" s="9">
        <f>36350000000-24182000000</f>
        <v>12168000000</v>
      </c>
      <c r="AJ78" s="9"/>
      <c r="AK78" s="9"/>
      <c r="AL78" s="9"/>
      <c r="AM78" s="10">
        <v>2457000000</v>
      </c>
    </row>
    <row r="79" spans="1:39" ht="15.75" customHeight="1">
      <c r="A79" s="6">
        <v>96</v>
      </c>
      <c r="B79" s="6">
        <v>2020</v>
      </c>
      <c r="C79" s="6" t="s">
        <v>96</v>
      </c>
      <c r="D79" s="7" t="s">
        <v>97</v>
      </c>
      <c r="E79" s="6" t="s">
        <v>70</v>
      </c>
      <c r="F79" s="6" t="s">
        <v>71</v>
      </c>
      <c r="G79" s="6"/>
      <c r="H79" s="9">
        <v>1286995000000</v>
      </c>
      <c r="I79" s="9">
        <v>365906000000</v>
      </c>
      <c r="J79" s="8">
        <v>18297700000000</v>
      </c>
      <c r="K79" s="8"/>
      <c r="L79" s="8">
        <v>14185258000000</v>
      </c>
      <c r="M79" s="8">
        <v>4112442000000</v>
      </c>
      <c r="N79" s="8">
        <v>32000000000</v>
      </c>
      <c r="O79" s="8">
        <v>1233605000000</v>
      </c>
      <c r="P79" s="8">
        <v>971493000000</v>
      </c>
      <c r="Q79" s="6"/>
      <c r="R79" s="6"/>
      <c r="S79" s="11"/>
      <c r="T79" s="9">
        <v>663981000000</v>
      </c>
      <c r="U79" s="12">
        <v>-422168000000</v>
      </c>
      <c r="V79" s="13">
        <f t="shared" si="10"/>
        <v>4112442000000</v>
      </c>
      <c r="W79" s="13">
        <f t="shared" si="1"/>
        <v>0.77524814594183966</v>
      </c>
      <c r="X79" s="13">
        <f t="shared" si="2"/>
        <v>3.4493515045318572</v>
      </c>
      <c r="Y79" s="8">
        <f t="shared" si="11"/>
        <v>-2.3072189400853659E-2</v>
      </c>
      <c r="Z79" s="8">
        <f t="shared" si="12"/>
        <v>-0.1026562806235322</v>
      </c>
      <c r="AA79" s="8">
        <f t="shared" si="5"/>
        <v>0.21247644100015808</v>
      </c>
      <c r="AB79" s="8">
        <f t="shared" si="13"/>
        <v>-0.34222299682637475</v>
      </c>
      <c r="AC79" s="8">
        <f t="shared" si="7"/>
        <v>0.21247644100015808</v>
      </c>
      <c r="AD79" s="9"/>
      <c r="AE79" s="9">
        <f>69870000000-43956000000</f>
        <v>25914000000</v>
      </c>
      <c r="AF79" s="9"/>
      <c r="AG79" s="9"/>
      <c r="AH79" s="9"/>
      <c r="AI79" s="9">
        <f>37106000000-28496000000</f>
        <v>8610000000</v>
      </c>
      <c r="AJ79" s="9"/>
      <c r="AK79" s="9"/>
      <c r="AL79" s="9"/>
      <c r="AM79" s="10">
        <v>1704000000</v>
      </c>
    </row>
    <row r="80" spans="1:39" ht="15.75" customHeight="1">
      <c r="A80" s="6">
        <v>97</v>
      </c>
      <c r="B80" s="6">
        <v>2018</v>
      </c>
      <c r="C80" s="6" t="s">
        <v>98</v>
      </c>
      <c r="D80" s="7" t="s">
        <v>99</v>
      </c>
      <c r="E80" s="6" t="s">
        <v>70</v>
      </c>
      <c r="F80" s="6" t="s">
        <v>71</v>
      </c>
      <c r="G80" s="6"/>
      <c r="H80" s="6"/>
      <c r="I80" s="10">
        <v>439337143000</v>
      </c>
      <c r="J80" s="8">
        <v>6694023677000</v>
      </c>
      <c r="K80" s="6"/>
      <c r="L80" s="8">
        <v>5493283082000</v>
      </c>
      <c r="M80" s="8">
        <v>1200740595000</v>
      </c>
      <c r="N80" s="8">
        <v>12000000000</v>
      </c>
      <c r="O80" s="8">
        <v>511186044000</v>
      </c>
      <c r="P80" s="8">
        <v>276263254000</v>
      </c>
      <c r="Q80" s="6"/>
      <c r="R80" s="6"/>
      <c r="S80" s="11"/>
      <c r="T80" s="9">
        <v>196095958000</v>
      </c>
      <c r="U80" s="12">
        <v>71013866000</v>
      </c>
      <c r="V80" s="13">
        <f t="shared" si="10"/>
        <v>1200740595000</v>
      </c>
      <c r="W80" s="13">
        <f t="shared" si="1"/>
        <v>0.82062498536931905</v>
      </c>
      <c r="X80" s="13">
        <f t="shared" si="2"/>
        <v>4.5749124372696004</v>
      </c>
      <c r="Y80" s="8">
        <f t="shared" si="11"/>
        <v>1.0608547179777177E-2</v>
      </c>
      <c r="Z80" s="8">
        <f t="shared" si="12"/>
        <v>5.9141721613901126E-2</v>
      </c>
      <c r="AA80" s="8">
        <f t="shared" si="5"/>
        <v>0.45956416994827032</v>
      </c>
      <c r="AB80" s="8">
        <f t="shared" si="13"/>
        <v>0.13891980587795547</v>
      </c>
      <c r="AC80" s="8">
        <f t="shared" si="7"/>
        <v>0.45956416994827032</v>
      </c>
      <c r="AD80" s="9"/>
      <c r="AE80" s="18">
        <v>3506116000</v>
      </c>
      <c r="AF80" s="9"/>
      <c r="AG80" s="9"/>
      <c r="AH80" s="9"/>
      <c r="AI80" s="9"/>
      <c r="AJ80" s="9"/>
      <c r="AK80" s="9">
        <v>1391686000</v>
      </c>
      <c r="AL80" s="9"/>
      <c r="AM80" s="10">
        <v>1790198000</v>
      </c>
    </row>
    <row r="81" spans="1:39" ht="15.75" customHeight="1">
      <c r="A81" s="6">
        <v>98</v>
      </c>
      <c r="B81" s="6">
        <v>2019</v>
      </c>
      <c r="C81" s="6" t="s">
        <v>98</v>
      </c>
      <c r="D81" s="7" t="s">
        <v>99</v>
      </c>
      <c r="E81" s="6" t="s">
        <v>70</v>
      </c>
      <c r="F81" s="6" t="s">
        <v>71</v>
      </c>
      <c r="G81" s="6"/>
      <c r="H81" s="9">
        <v>187893655000</v>
      </c>
      <c r="I81" s="10">
        <v>438379326000</v>
      </c>
      <c r="J81" s="8">
        <v>7569580138000</v>
      </c>
      <c r="K81" s="8"/>
      <c r="L81" s="8">
        <v>6340648554000</v>
      </c>
      <c r="M81" s="8">
        <v>1228931584000</v>
      </c>
      <c r="N81" s="8">
        <v>12000000000</v>
      </c>
      <c r="O81" s="8">
        <v>595200789000</v>
      </c>
      <c r="P81" s="8">
        <v>354239522000</v>
      </c>
      <c r="Q81" s="6"/>
      <c r="R81" s="6"/>
      <c r="S81" s="11"/>
      <c r="T81" s="18">
        <f>195369022000+1826745000</f>
        <v>197195767000</v>
      </c>
      <c r="U81" s="12">
        <v>59746814000</v>
      </c>
      <c r="V81" s="13">
        <f t="shared" si="10"/>
        <v>1228931584000</v>
      </c>
      <c r="W81" s="13">
        <f t="shared" si="1"/>
        <v>0.83764864608135281</v>
      </c>
      <c r="X81" s="13">
        <f t="shared" si="2"/>
        <v>5.1594805085585627</v>
      </c>
      <c r="Y81" s="8">
        <f t="shared" si="11"/>
        <v>7.8930155848493371E-3</v>
      </c>
      <c r="Z81" s="8">
        <f t="shared" si="12"/>
        <v>4.861687564862846E-2</v>
      </c>
      <c r="AA81" s="8">
        <f t="shared" si="5"/>
        <v>0.40484030171539304</v>
      </c>
      <c r="AB81" s="8">
        <f t="shared" si="13"/>
        <v>0.1003809388431439</v>
      </c>
      <c r="AC81" s="8">
        <f t="shared" si="7"/>
        <v>0.40484030171539304</v>
      </c>
      <c r="AD81" s="9"/>
      <c r="AE81" s="9">
        <v>3133254000</v>
      </c>
      <c r="AF81" s="9"/>
      <c r="AG81" s="9"/>
      <c r="AH81" s="9"/>
      <c r="AI81" s="9"/>
      <c r="AJ81" s="9"/>
      <c r="AK81" s="9">
        <v>2464524000</v>
      </c>
      <c r="AL81" s="9"/>
      <c r="AM81" s="10">
        <v>2448358000</v>
      </c>
    </row>
    <row r="82" spans="1:39" ht="15.75" customHeight="1">
      <c r="A82" s="6">
        <v>99</v>
      </c>
      <c r="B82" s="6">
        <v>2020</v>
      </c>
      <c r="C82" s="6" t="s">
        <v>98</v>
      </c>
      <c r="D82" s="7" t="s">
        <v>99</v>
      </c>
      <c r="E82" s="6" t="s">
        <v>70</v>
      </c>
      <c r="F82" s="6" t="s">
        <v>71</v>
      </c>
      <c r="G82" s="6"/>
      <c r="H82" s="9">
        <v>715192869000</v>
      </c>
      <c r="I82" s="10">
        <v>433371108000</v>
      </c>
      <c r="J82" s="8">
        <v>10110519691000</v>
      </c>
      <c r="K82" s="8"/>
      <c r="L82" s="8">
        <v>8826257598000</v>
      </c>
      <c r="M82" s="8">
        <v>1284262093000</v>
      </c>
      <c r="N82" s="8">
        <v>12000000000</v>
      </c>
      <c r="O82" s="8">
        <v>630419914000</v>
      </c>
      <c r="P82" s="8">
        <v>401285815000</v>
      </c>
      <c r="Q82" s="6"/>
      <c r="R82" s="6"/>
      <c r="S82" s="11"/>
      <c r="T82" s="18">
        <v>209895189000</v>
      </c>
      <c r="U82" s="12">
        <v>66986471000</v>
      </c>
      <c r="V82" s="13">
        <f t="shared" si="10"/>
        <v>1284262093000</v>
      </c>
      <c r="W82" s="13">
        <f t="shared" si="1"/>
        <v>0.87297763792070937</v>
      </c>
      <c r="X82" s="13">
        <f t="shared" si="2"/>
        <v>6.8726295404251259</v>
      </c>
      <c r="Y82" s="8">
        <f t="shared" si="11"/>
        <v>6.6254231283114761E-3</v>
      </c>
      <c r="Z82" s="8">
        <f t="shared" si="12"/>
        <v>5.2159501837760774E-2</v>
      </c>
      <c r="AA82" s="8">
        <f t="shared" si="5"/>
        <v>0.3634626602230081</v>
      </c>
      <c r="AB82" s="8">
        <f t="shared" si="13"/>
        <v>0.10625690831206833</v>
      </c>
      <c r="AC82" s="8">
        <f t="shared" si="7"/>
        <v>0.3634626602230081</v>
      </c>
      <c r="AD82" s="9"/>
      <c r="AE82" s="9">
        <v>4271415000</v>
      </c>
      <c r="AF82" s="9"/>
      <c r="AG82" s="9"/>
      <c r="AH82" s="9"/>
      <c r="AI82" s="9"/>
      <c r="AJ82" s="9"/>
      <c r="AK82" s="9">
        <v>2645095000</v>
      </c>
      <c r="AL82" s="9"/>
      <c r="AM82" s="9">
        <v>2315867000</v>
      </c>
    </row>
    <row r="83" spans="1:39" ht="15.75" customHeight="1">
      <c r="A83" s="6">
        <v>100</v>
      </c>
      <c r="B83" s="6">
        <v>2018</v>
      </c>
      <c r="C83" s="6" t="s">
        <v>100</v>
      </c>
      <c r="D83" s="7" t="s">
        <v>101</v>
      </c>
      <c r="E83" s="6" t="s">
        <v>70</v>
      </c>
      <c r="F83" s="6" t="s">
        <v>71</v>
      </c>
      <c r="G83" s="6"/>
      <c r="H83" s="9">
        <v>63835900000000</v>
      </c>
      <c r="I83" s="10">
        <v>38442696000000</v>
      </c>
      <c r="J83" s="13">
        <v>1202252094000000</v>
      </c>
      <c r="K83" s="8"/>
      <c r="L83" s="8">
        <v>941953100000000</v>
      </c>
      <c r="M83" s="8">
        <v>184960305000000</v>
      </c>
      <c r="N83" s="8">
        <f>31999999999+1</f>
        <v>32000000000</v>
      </c>
      <c r="O83" s="8">
        <f>x!A35</f>
        <v>91335057000000</v>
      </c>
      <c r="P83" s="8">
        <f>x!B35</f>
        <v>34005292000000</v>
      </c>
      <c r="Q83" s="6"/>
      <c r="R83" s="6"/>
      <c r="S83" s="11"/>
      <c r="T83" s="9">
        <v>37566139000000</v>
      </c>
      <c r="U83" s="12">
        <v>25851937000000</v>
      </c>
      <c r="V83" s="13">
        <f t="shared" si="10"/>
        <v>184960305000000</v>
      </c>
      <c r="W83" s="13">
        <f t="shared" si="1"/>
        <v>0.78349050477927473</v>
      </c>
      <c r="X83" s="13">
        <f t="shared" si="2"/>
        <v>5.0927311133056357</v>
      </c>
      <c r="Y83" s="8">
        <f t="shared" si="11"/>
        <v>2.1502925325742873E-2</v>
      </c>
      <c r="Z83" s="8">
        <f t="shared" si="12"/>
        <v>0.13977019014971889</v>
      </c>
      <c r="AA83" s="8">
        <f t="shared" si="5"/>
        <v>0.62768631107330453</v>
      </c>
      <c r="AB83" s="8">
        <f t="shared" si="13"/>
        <v>0.28304506340867558</v>
      </c>
      <c r="AC83" s="8">
        <f t="shared" si="7"/>
        <v>0.62768631107330453</v>
      </c>
      <c r="AD83" s="9"/>
      <c r="AE83" s="18">
        <v>2341611000000</v>
      </c>
      <c r="AF83" s="9"/>
      <c r="AG83" s="9"/>
      <c r="AH83" s="9"/>
      <c r="AI83" s="9"/>
      <c r="AJ83" s="9"/>
      <c r="AK83" s="9"/>
      <c r="AL83" s="9"/>
      <c r="AM83" s="9">
        <v>1055052000000</v>
      </c>
    </row>
    <row r="84" spans="1:39" ht="15.75" customHeight="1">
      <c r="A84" s="6">
        <v>101</v>
      </c>
      <c r="B84" s="6">
        <v>2019</v>
      </c>
      <c r="C84" s="6" t="s">
        <v>100</v>
      </c>
      <c r="D84" s="7" t="s">
        <v>101</v>
      </c>
      <c r="E84" s="6" t="s">
        <v>70</v>
      </c>
      <c r="F84" s="6" t="s">
        <v>71</v>
      </c>
      <c r="G84" s="6"/>
      <c r="H84" s="9">
        <v>71263368000000</v>
      </c>
      <c r="I84" s="10">
        <v>44612199000000</v>
      </c>
      <c r="J84" s="8">
        <v>1318246335000000</v>
      </c>
      <c r="K84" s="8"/>
      <c r="L84" s="8">
        <v>1025749580000000</v>
      </c>
      <c r="M84" s="8">
        <v>209034525000000</v>
      </c>
      <c r="N84" s="8">
        <f t="shared" ref="N84:N85" si="14">63999999999+1</f>
        <v>64000000000</v>
      </c>
      <c r="O84" s="8">
        <f>x!A40</f>
        <v>102638740000000</v>
      </c>
      <c r="P84" s="8">
        <f>x!B40</f>
        <v>41391049000000</v>
      </c>
      <c r="Q84" s="6"/>
      <c r="R84" s="6"/>
      <c r="S84" s="11"/>
      <c r="T84" s="9">
        <f>40076167000000+10074000000</f>
        <v>40086241000000</v>
      </c>
      <c r="U84" s="12">
        <v>28455592000000</v>
      </c>
      <c r="V84" s="13">
        <f t="shared" si="10"/>
        <v>209034525000000</v>
      </c>
      <c r="W84" s="13">
        <f t="shared" si="1"/>
        <v>0.77811676980691169</v>
      </c>
      <c r="X84" s="13">
        <f t="shared" si="2"/>
        <v>4.9070821195685257</v>
      </c>
      <c r="Y84" s="8">
        <f t="shared" si="11"/>
        <v>2.1585944329592998E-2</v>
      </c>
      <c r="Z84" s="8">
        <f t="shared" si="12"/>
        <v>0.13612867061075198</v>
      </c>
      <c r="AA84" s="8">
        <f t="shared" si="5"/>
        <v>0.59673073734147553</v>
      </c>
      <c r="AB84" s="8">
        <f t="shared" si="13"/>
        <v>0.27724027009684649</v>
      </c>
      <c r="AC84" s="8">
        <f t="shared" si="7"/>
        <v>0.59673073734147553</v>
      </c>
      <c r="AD84" s="9"/>
      <c r="AE84" s="10">
        <v>2898169000000</v>
      </c>
      <c r="AF84" s="9"/>
      <c r="AG84" s="9"/>
      <c r="AH84" s="9"/>
      <c r="AI84" s="9"/>
      <c r="AJ84" s="9"/>
      <c r="AK84" s="10"/>
      <c r="AL84" s="9"/>
      <c r="AM84" s="10">
        <v>1135295000000</v>
      </c>
    </row>
    <row r="85" spans="1:39" ht="15.75" customHeight="1">
      <c r="A85" s="6">
        <v>102</v>
      </c>
      <c r="B85" s="6">
        <v>2020</v>
      </c>
      <c r="C85" s="6" t="s">
        <v>100</v>
      </c>
      <c r="D85" s="7" t="s">
        <v>101</v>
      </c>
      <c r="E85" s="6" t="s">
        <v>70</v>
      </c>
      <c r="F85" s="6" t="s">
        <v>71</v>
      </c>
      <c r="G85" s="6"/>
      <c r="H85" s="9">
        <v>79900770000000</v>
      </c>
      <c r="I85" s="9">
        <v>46728153000000</v>
      </c>
      <c r="J85" s="13">
        <v>1429334484000000</v>
      </c>
      <c r="K85" s="8"/>
      <c r="L85" s="13">
        <v>1151267847000000</v>
      </c>
      <c r="M85" s="8">
        <v>193796083000000</v>
      </c>
      <c r="N85" s="8">
        <f t="shared" si="14"/>
        <v>64000000000</v>
      </c>
      <c r="O85" s="8">
        <f>x!A45</f>
        <v>100211477000000</v>
      </c>
      <c r="P85" s="8">
        <f>x!B45</f>
        <v>42189633000000</v>
      </c>
      <c r="Q85" s="6"/>
      <c r="R85" s="6"/>
      <c r="S85" s="11"/>
      <c r="T85" s="9">
        <v>40646791000000</v>
      </c>
      <c r="U85" s="12">
        <v>17645624000000</v>
      </c>
      <c r="V85" s="13">
        <f t="shared" si="10"/>
        <v>193796083000000</v>
      </c>
      <c r="W85" s="13">
        <f t="shared" si="1"/>
        <v>0.80545726692199504</v>
      </c>
      <c r="X85" s="13">
        <f t="shared" si="2"/>
        <v>5.9406146356425582</v>
      </c>
      <c r="Y85" s="8">
        <f t="shared" si="11"/>
        <v>1.2345342673478799E-2</v>
      </c>
      <c r="Z85" s="8">
        <f t="shared" si="12"/>
        <v>9.1052531748022997E-2</v>
      </c>
      <c r="AA85" s="8">
        <f t="shared" si="5"/>
        <v>0.57899400085680808</v>
      </c>
      <c r="AB85" s="8">
        <f t="shared" si="13"/>
        <v>0.17608386312877117</v>
      </c>
      <c r="AC85" s="8">
        <f t="shared" si="7"/>
        <v>0.57899400085680808</v>
      </c>
      <c r="AD85" s="9"/>
      <c r="AE85" s="18">
        <v>3673819000000</v>
      </c>
      <c r="AF85" s="9"/>
      <c r="AG85" s="9"/>
      <c r="AH85" s="9"/>
      <c r="AI85" s="9"/>
      <c r="AJ85" s="9"/>
      <c r="AK85" s="10"/>
      <c r="AL85" s="9"/>
      <c r="AM85" s="10">
        <v>1302175000000</v>
      </c>
    </row>
    <row r="86" spans="1:39" ht="15.75" customHeight="1">
      <c r="A86" s="6">
        <v>103</v>
      </c>
      <c r="B86" s="6">
        <v>2018</v>
      </c>
      <c r="C86" s="6" t="s">
        <v>102</v>
      </c>
      <c r="D86" s="7" t="s">
        <v>103</v>
      </c>
      <c r="E86" s="6" t="s">
        <v>70</v>
      </c>
      <c r="F86" s="6" t="s">
        <v>71</v>
      </c>
      <c r="G86" s="8"/>
      <c r="H86" s="9">
        <v>386881958251</v>
      </c>
      <c r="I86" s="10">
        <v>788081883230</v>
      </c>
      <c r="J86" s="8">
        <v>7297273467260</v>
      </c>
      <c r="K86" s="8"/>
      <c r="L86" s="8">
        <v>5802518829966</v>
      </c>
      <c r="M86" s="8">
        <v>1494754637294</v>
      </c>
      <c r="N86" s="8">
        <v>8000000000</v>
      </c>
      <c r="O86" s="8">
        <v>645259846041</v>
      </c>
      <c r="P86" s="8">
        <v>311140279900</v>
      </c>
      <c r="Q86" s="6"/>
      <c r="R86" s="6"/>
      <c r="S86" s="11"/>
      <c r="T86" s="9">
        <v>244105811984</v>
      </c>
      <c r="U86" s="12">
        <v>92897864488</v>
      </c>
      <c r="V86" s="13">
        <f t="shared" si="10"/>
        <v>1494754637294</v>
      </c>
      <c r="W86" s="13">
        <f t="shared" si="1"/>
        <v>0.79516258449126553</v>
      </c>
      <c r="X86" s="13">
        <f t="shared" si="2"/>
        <v>3.8819206076995201</v>
      </c>
      <c r="Y86" s="8">
        <f t="shared" si="11"/>
        <v>1.2730489669161535E-2</v>
      </c>
      <c r="Z86" s="8">
        <f t="shared" si="12"/>
        <v>6.214923986198554E-2</v>
      </c>
      <c r="AA86" s="8">
        <f t="shared" si="5"/>
        <v>0.51780622673329957</v>
      </c>
      <c r="AB86" s="8">
        <f t="shared" si="13"/>
        <v>0.14396969694918416</v>
      </c>
      <c r="AC86" s="8">
        <f t="shared" si="7"/>
        <v>0.51780622673329957</v>
      </c>
      <c r="AD86" s="9"/>
      <c r="AE86" s="9">
        <v>2346057885</v>
      </c>
      <c r="AF86" s="9"/>
      <c r="AG86" s="9"/>
      <c r="AH86" s="9"/>
      <c r="AI86" s="9"/>
      <c r="AJ86" s="9"/>
      <c r="AK86" s="9"/>
      <c r="AL86" s="9"/>
      <c r="AM86" s="10"/>
    </row>
    <row r="87" spans="1:39" ht="15.75" customHeight="1">
      <c r="A87" s="6">
        <v>104</v>
      </c>
      <c r="B87" s="6">
        <v>2019</v>
      </c>
      <c r="C87" s="6" t="s">
        <v>102</v>
      </c>
      <c r="D87" s="7" t="s">
        <v>103</v>
      </c>
      <c r="E87" s="6" t="s">
        <v>70</v>
      </c>
      <c r="F87" s="6" t="s">
        <v>71</v>
      </c>
      <c r="G87" s="8"/>
      <c r="H87" s="9">
        <v>246243822177</v>
      </c>
      <c r="I87" s="8">
        <v>790755582369</v>
      </c>
      <c r="J87" s="8">
        <v>7607653715376</v>
      </c>
      <c r="K87" s="8"/>
      <c r="L87" s="8">
        <v>6083998151873</v>
      </c>
      <c r="M87" s="8">
        <v>1523655563503</v>
      </c>
      <c r="N87" s="8">
        <v>8000000000</v>
      </c>
      <c r="O87" s="8">
        <v>653036862635</v>
      </c>
      <c r="P87" s="8">
        <v>345037801425</v>
      </c>
      <c r="Q87" s="6"/>
      <c r="R87" s="6"/>
      <c r="S87" s="11"/>
      <c r="T87" s="9">
        <v>253248805324</v>
      </c>
      <c r="U87" s="12">
        <v>51167901115</v>
      </c>
      <c r="V87" s="13">
        <f t="shared" si="10"/>
        <v>1523655563503</v>
      </c>
      <c r="W87" s="13">
        <f t="shared" si="1"/>
        <v>0.79972069963916659</v>
      </c>
      <c r="X87" s="13">
        <f t="shared" si="2"/>
        <v>3.993027228467191</v>
      </c>
      <c r="Y87" s="8">
        <f t="shared" si="11"/>
        <v>6.7258451855640332E-3</v>
      </c>
      <c r="Z87" s="8">
        <f t="shared" si="12"/>
        <v>3.3582328145976184E-2</v>
      </c>
      <c r="AA87" s="8">
        <f t="shared" si="5"/>
        <v>0.47164115662204054</v>
      </c>
      <c r="AB87" s="8">
        <f t="shared" si="13"/>
        <v>7.8353771498499813E-2</v>
      </c>
      <c r="AC87" s="8">
        <f t="shared" si="7"/>
        <v>0.47164115662204054</v>
      </c>
      <c r="AD87" s="9"/>
      <c r="AE87" s="9">
        <v>4574210831</v>
      </c>
      <c r="AF87" s="9"/>
      <c r="AG87" s="9"/>
      <c r="AH87" s="9"/>
      <c r="AI87" s="9"/>
      <c r="AJ87" s="10"/>
      <c r="AK87" s="10"/>
      <c r="AL87" s="9"/>
      <c r="AM87" s="10"/>
    </row>
    <row r="88" spans="1:39" ht="15.75" customHeight="1">
      <c r="A88" s="6">
        <v>105</v>
      </c>
      <c r="B88" s="6">
        <v>2020</v>
      </c>
      <c r="C88" s="6" t="s">
        <v>102</v>
      </c>
      <c r="D88" s="7" t="s">
        <v>103</v>
      </c>
      <c r="E88" s="6" t="s">
        <v>70</v>
      </c>
      <c r="F88" s="6" t="s">
        <v>71</v>
      </c>
      <c r="G88" s="8"/>
      <c r="H88" s="9">
        <v>122215074540</v>
      </c>
      <c r="I88" s="8">
        <v>815641804959</v>
      </c>
      <c r="J88" s="8">
        <v>7637524325854</v>
      </c>
      <c r="K88" s="8"/>
      <c r="L88" s="8">
        <v>6128138202911</v>
      </c>
      <c r="M88" s="8">
        <v>1509386122943</v>
      </c>
      <c r="N88" s="8">
        <v>8000000000</v>
      </c>
      <c r="O88" s="8">
        <v>633832905528</v>
      </c>
      <c r="P88" s="8">
        <v>346829023353</v>
      </c>
      <c r="Q88" s="6"/>
      <c r="R88" s="6"/>
      <c r="S88" s="11"/>
      <c r="T88" s="9">
        <v>247615102198</v>
      </c>
      <c r="U88" s="12">
        <v>35053333152</v>
      </c>
      <c r="V88" s="13">
        <f t="shared" si="10"/>
        <v>1509386122943</v>
      </c>
      <c r="W88" s="13">
        <f t="shared" si="1"/>
        <v>0.80237233185188894</v>
      </c>
      <c r="X88" s="13">
        <f t="shared" si="2"/>
        <v>4.0600202358839503</v>
      </c>
      <c r="Y88" s="8">
        <f t="shared" si="11"/>
        <v>4.5896198370642136E-3</v>
      </c>
      <c r="Z88" s="8">
        <f t="shared" si="12"/>
        <v>2.3223569250559316E-2</v>
      </c>
      <c r="AA88" s="8">
        <f t="shared" si="5"/>
        <v>0.45280685125666992</v>
      </c>
      <c r="AB88" s="8">
        <f t="shared" si="13"/>
        <v>5.5303744640394809E-2</v>
      </c>
      <c r="AC88" s="8">
        <f t="shared" si="7"/>
        <v>0.45280685125666992</v>
      </c>
      <c r="AD88" s="9"/>
      <c r="AE88" s="9">
        <v>6652236482</v>
      </c>
      <c r="AF88" s="9" t="s">
        <v>104</v>
      </c>
      <c r="AG88" s="9"/>
      <c r="AH88" s="9"/>
      <c r="AI88" s="9"/>
      <c r="AJ88" s="10"/>
      <c r="AK88" s="10"/>
      <c r="AL88" s="9"/>
      <c r="AM88" s="10"/>
    </row>
    <row r="89" spans="1:39" ht="15.75" customHeight="1">
      <c r="A89" s="6">
        <v>109</v>
      </c>
      <c r="B89" s="6">
        <v>2018</v>
      </c>
      <c r="C89" s="6" t="s">
        <v>105</v>
      </c>
      <c r="D89" s="7" t="s">
        <v>106</v>
      </c>
      <c r="E89" s="6" t="s">
        <v>70</v>
      </c>
      <c r="F89" s="6" t="s">
        <v>71</v>
      </c>
      <c r="G89" s="6"/>
      <c r="H89" s="9">
        <v>3659000000</v>
      </c>
      <c r="I89" s="8">
        <v>5453282000000</v>
      </c>
      <c r="J89" s="8">
        <v>266781498000000</v>
      </c>
      <c r="K89" s="6"/>
      <c r="L89" s="8">
        <v>227200919000000</v>
      </c>
      <c r="M89" s="8">
        <v>39580579000000</v>
      </c>
      <c r="N89" s="8">
        <f t="shared" ref="N89:N91" si="15">71853936+50814606400</f>
        <v>50886460336</v>
      </c>
      <c r="O89" s="8">
        <f>18346593000000+1946654000000</f>
        <v>20293247000000</v>
      </c>
      <c r="P89" s="8">
        <f>7256236000000+1025280000000</f>
        <v>8281516000000</v>
      </c>
      <c r="Q89" s="6"/>
      <c r="R89" s="6"/>
      <c r="S89" s="11"/>
      <c r="T89" s="9">
        <v>8004128000000</v>
      </c>
      <c r="U89" s="12">
        <v>3482428000000</v>
      </c>
      <c r="V89" s="13">
        <f t="shared" si="10"/>
        <v>39580579000000</v>
      </c>
      <c r="W89" s="13">
        <f t="shared" si="1"/>
        <v>0.85163671657619977</v>
      </c>
      <c r="X89" s="13">
        <f t="shared" si="2"/>
        <v>5.7402121126120971</v>
      </c>
      <c r="Y89" s="8">
        <f t="shared" si="11"/>
        <v>1.3053483941378874E-2</v>
      </c>
      <c r="Z89" s="8">
        <f t="shared" si="12"/>
        <v>8.7983250573469382E-2</v>
      </c>
      <c r="AA89" s="8">
        <f t="shared" si="5"/>
        <v>0.59190779080351208</v>
      </c>
      <c r="AB89" s="8">
        <f t="shared" si="13"/>
        <v>0.17160526356378553</v>
      </c>
      <c r="AC89" s="8">
        <f t="shared" si="7"/>
        <v>0.59190779080351208</v>
      </c>
      <c r="AD89" s="9"/>
      <c r="AE89" s="10">
        <v>1596278000000</v>
      </c>
      <c r="AF89" s="9"/>
      <c r="AG89" s="9"/>
      <c r="AH89" s="9"/>
      <c r="AI89" s="9"/>
      <c r="AJ89" s="10"/>
      <c r="AK89" s="10">
        <v>37470000000</v>
      </c>
      <c r="AL89" s="9"/>
      <c r="AM89" s="10">
        <v>292391000000</v>
      </c>
    </row>
    <row r="90" spans="1:39" ht="15.75" customHeight="1">
      <c r="A90" s="6">
        <v>110</v>
      </c>
      <c r="B90" s="6">
        <v>2019</v>
      </c>
      <c r="C90" s="6" t="s">
        <v>105</v>
      </c>
      <c r="D90" s="7" t="s">
        <v>106</v>
      </c>
      <c r="E90" s="6" t="s">
        <v>70</v>
      </c>
      <c r="F90" s="6" t="s">
        <v>71</v>
      </c>
      <c r="G90" s="6"/>
      <c r="H90" s="9">
        <v>3659000000</v>
      </c>
      <c r="I90" s="13">
        <v>6248281000000</v>
      </c>
      <c r="J90" s="8">
        <v>274467227000000</v>
      </c>
      <c r="K90" s="6"/>
      <c r="L90" s="8">
        <v>231173061000000</v>
      </c>
      <c r="M90" s="8">
        <v>43294166000000</v>
      </c>
      <c r="N90" s="8">
        <f t="shared" si="15"/>
        <v>50886460336</v>
      </c>
      <c r="O90" s="8">
        <f>18396236000000+3293250000000</f>
        <v>21689486000000</v>
      </c>
      <c r="P90" s="8">
        <f>7050137000000+2071331000000</f>
        <v>9121468000000</v>
      </c>
      <c r="Q90" s="6"/>
      <c r="R90" s="6"/>
      <c r="S90" s="11"/>
      <c r="T90" s="9">
        <v>8634364000000</v>
      </c>
      <c r="U90" s="12">
        <v>3642935000000</v>
      </c>
      <c r="V90" s="13">
        <f t="shared" si="10"/>
        <v>43294166000000</v>
      </c>
      <c r="W90" s="13">
        <f t="shared" si="1"/>
        <v>0.84226107257607119</v>
      </c>
      <c r="X90" s="13">
        <f t="shared" si="2"/>
        <v>5.3395891954588057</v>
      </c>
      <c r="Y90" s="8">
        <f t="shared" si="11"/>
        <v>1.3272750411108281E-2</v>
      </c>
      <c r="Z90" s="8">
        <f t="shared" si="12"/>
        <v>8.4143785100283489E-2</v>
      </c>
      <c r="AA90" s="8">
        <f t="shared" si="5"/>
        <v>0.57945209028927658</v>
      </c>
      <c r="AB90" s="8">
        <f t="shared" si="13"/>
        <v>0.16795856757509145</v>
      </c>
      <c r="AC90" s="8">
        <f t="shared" si="7"/>
        <v>0.57945209028927658</v>
      </c>
      <c r="AD90" s="9"/>
      <c r="AE90" s="10">
        <v>1704049000000</v>
      </c>
      <c r="AF90" s="9"/>
      <c r="AG90" s="9"/>
      <c r="AH90" s="9"/>
      <c r="AI90" s="9"/>
      <c r="AJ90" s="10"/>
      <c r="AK90" s="10">
        <v>277702000000</v>
      </c>
      <c r="AL90" s="9"/>
      <c r="AM90" s="10">
        <v>313837000000</v>
      </c>
    </row>
    <row r="91" spans="1:39" ht="15.75" customHeight="1">
      <c r="A91" s="6">
        <v>111</v>
      </c>
      <c r="B91" s="6">
        <v>2020</v>
      </c>
      <c r="C91" s="6" t="s">
        <v>105</v>
      </c>
      <c r="D91" s="7" t="s">
        <v>106</v>
      </c>
      <c r="E91" s="6" t="s">
        <v>70</v>
      </c>
      <c r="F91" s="6" t="s">
        <v>71</v>
      </c>
      <c r="G91" s="8"/>
      <c r="H91" s="9">
        <v>3659000000</v>
      </c>
      <c r="I91" s="8">
        <v>6989721000000</v>
      </c>
      <c r="J91" s="8">
        <v>280943605000000</v>
      </c>
      <c r="K91" s="6"/>
      <c r="L91" s="8">
        <v>239890554000000</v>
      </c>
      <c r="M91" s="8">
        <v>41053051000000</v>
      </c>
      <c r="N91" s="8">
        <f t="shared" si="15"/>
        <v>50886460336</v>
      </c>
      <c r="O91" s="8">
        <f>17248452000000+3454647000000</f>
        <v>20703099000000</v>
      </c>
      <c r="P91" s="8">
        <f>6212158000000+2020423000000</f>
        <v>8232581000000</v>
      </c>
      <c r="Q91" s="6"/>
      <c r="R91" s="6"/>
      <c r="S91" s="11"/>
      <c r="T91" s="9">
        <v>8100784000000</v>
      </c>
      <c r="U91" s="12">
        <v>2011254000000</v>
      </c>
      <c r="V91" s="13">
        <f t="shared" si="10"/>
        <v>41053051000000</v>
      </c>
      <c r="W91" s="13">
        <f t="shared" si="1"/>
        <v>0.85387440657351854</v>
      </c>
      <c r="X91" s="13">
        <f t="shared" si="2"/>
        <v>5.8434281534885191</v>
      </c>
      <c r="Y91" s="8">
        <f t="shared" si="11"/>
        <v>7.1589242972802314E-3</v>
      </c>
      <c r="Z91" s="8">
        <f t="shared" si="12"/>
        <v>4.899158408470055E-2</v>
      </c>
      <c r="AA91" s="8">
        <f t="shared" si="5"/>
        <v>0.60235030514030774</v>
      </c>
      <c r="AB91" s="8">
        <f t="shared" si="13"/>
        <v>9.7147485021445337E-2</v>
      </c>
      <c r="AC91" s="8">
        <f t="shared" si="7"/>
        <v>0.60235030514030774</v>
      </c>
      <c r="AD91" s="9"/>
      <c r="AE91" s="10">
        <v>1765210000000</v>
      </c>
      <c r="AF91" s="9"/>
      <c r="AG91" s="9"/>
      <c r="AH91" s="9"/>
      <c r="AI91" s="9"/>
      <c r="AJ91" s="10"/>
      <c r="AK91" s="10">
        <v>163362000000</v>
      </c>
      <c r="AL91" s="9"/>
      <c r="AM91" s="10">
        <v>234239000000</v>
      </c>
    </row>
    <row r="92" spans="1:39" ht="15.75" customHeight="1">
      <c r="A92" s="6">
        <v>112</v>
      </c>
      <c r="B92" s="6">
        <v>2018</v>
      </c>
      <c r="C92" s="6" t="s">
        <v>107</v>
      </c>
      <c r="D92" s="7" t="s">
        <v>108</v>
      </c>
      <c r="E92" s="6" t="s">
        <v>70</v>
      </c>
      <c r="F92" s="6" t="s">
        <v>71</v>
      </c>
      <c r="G92" s="8"/>
      <c r="H92" s="15">
        <v>16539984000000</v>
      </c>
      <c r="I92" s="8">
        <v>2926594000000</v>
      </c>
      <c r="J92" s="8">
        <v>177532858000000</v>
      </c>
      <c r="K92" s="8"/>
      <c r="L92" s="8">
        <v>152442167000000</v>
      </c>
      <c r="M92" s="8">
        <v>25090691000000</v>
      </c>
      <c r="N92" s="8">
        <v>476608857231</v>
      </c>
      <c r="O92" s="8">
        <v>14790035000000</v>
      </c>
      <c r="P92" s="8">
        <v>6690157000000</v>
      </c>
      <c r="Q92" s="6"/>
      <c r="R92" s="6"/>
      <c r="S92" s="11"/>
      <c r="T92" s="9">
        <v>7333658000000</v>
      </c>
      <c r="U92" s="12">
        <v>2262245000000</v>
      </c>
      <c r="V92" s="13">
        <f t="shared" si="10"/>
        <v>25090691000000</v>
      </c>
      <c r="W92" s="13">
        <f t="shared" si="1"/>
        <v>0.85867015670980751</v>
      </c>
      <c r="X92" s="13">
        <f t="shared" si="2"/>
        <v>6.0756464220136461</v>
      </c>
      <c r="Y92" s="8">
        <f t="shared" si="11"/>
        <v>1.2742683385404633E-2</v>
      </c>
      <c r="Z92" s="8">
        <f t="shared" si="12"/>
        <v>9.0162722102791026E-2</v>
      </c>
      <c r="AA92" s="8">
        <f t="shared" si="5"/>
        <v>0.5476577979700521</v>
      </c>
      <c r="AB92" s="8">
        <f t="shared" si="13"/>
        <v>0.15295737974927037</v>
      </c>
      <c r="AC92" s="8">
        <f t="shared" si="7"/>
        <v>0.5476577979700521</v>
      </c>
      <c r="AD92" s="9"/>
      <c r="AE92" s="10">
        <v>179213000000</v>
      </c>
      <c r="AF92" s="9"/>
      <c r="AG92" s="9"/>
      <c r="AH92" s="9"/>
      <c r="AI92" s="9"/>
      <c r="AJ92" s="9"/>
      <c r="AK92" s="10"/>
      <c r="AL92" s="9">
        <v>89552000000</v>
      </c>
      <c r="AM92" s="10">
        <v>150251000000</v>
      </c>
    </row>
    <row r="93" spans="1:39" ht="15.75" customHeight="1">
      <c r="A93" s="6">
        <v>113</v>
      </c>
      <c r="B93" s="6">
        <v>2019</v>
      </c>
      <c r="C93" s="6" t="s">
        <v>107</v>
      </c>
      <c r="D93" s="7" t="s">
        <v>108</v>
      </c>
      <c r="E93" s="6" t="s">
        <v>70</v>
      </c>
      <c r="F93" s="6" t="s">
        <v>71</v>
      </c>
      <c r="G93" s="8"/>
      <c r="H93" s="9">
        <v>16509217000000</v>
      </c>
      <c r="I93" s="8">
        <v>2927444000000</v>
      </c>
      <c r="J93" s="8">
        <v>169082830000000</v>
      </c>
      <c r="K93" s="8"/>
      <c r="L93" s="8">
        <v>142397914000000</v>
      </c>
      <c r="M93" s="8">
        <v>26684916000000</v>
      </c>
      <c r="N93" s="8">
        <v>476608857231</v>
      </c>
      <c r="O93" s="8">
        <v>15479869000000</v>
      </c>
      <c r="P93" s="8">
        <v>7311894000000</v>
      </c>
      <c r="Q93" s="6"/>
      <c r="R93" s="6"/>
      <c r="S93" s="11"/>
      <c r="T93" s="9">
        <v>8178275000000</v>
      </c>
      <c r="U93" s="12">
        <v>1924180000000</v>
      </c>
      <c r="V93" s="13">
        <f t="shared" si="10"/>
        <v>26684916000000</v>
      </c>
      <c r="W93" s="13">
        <f t="shared" si="1"/>
        <v>0.84217843999890463</v>
      </c>
      <c r="X93" s="13">
        <f t="shared" si="2"/>
        <v>5.3362698986948285</v>
      </c>
      <c r="Y93" s="8">
        <f t="shared" si="11"/>
        <v>1.1380102876205703E-2</v>
      </c>
      <c r="Z93" s="8">
        <f t="shared" si="12"/>
        <v>7.2107403298552641E-2</v>
      </c>
      <c r="AA93" s="8">
        <f t="shared" si="5"/>
        <v>0.52765142909155105</v>
      </c>
      <c r="AB93" s="8">
        <f t="shared" si="13"/>
        <v>0.12430208550214475</v>
      </c>
      <c r="AC93" s="8">
        <f t="shared" si="7"/>
        <v>0.52765142909155105</v>
      </c>
      <c r="AD93" s="9"/>
      <c r="AE93" s="10">
        <v>221972000000</v>
      </c>
      <c r="AF93" s="9"/>
      <c r="AG93" s="9"/>
      <c r="AH93" s="9"/>
      <c r="AI93" s="9"/>
      <c r="AJ93" s="9"/>
      <c r="AK93" s="10"/>
      <c r="AL93" s="9">
        <v>101182000000</v>
      </c>
      <c r="AM93" s="9">
        <v>101998000000</v>
      </c>
    </row>
    <row r="94" spans="1:39" ht="15.75" customHeight="1">
      <c r="A94" s="6">
        <v>114</v>
      </c>
      <c r="B94" s="6">
        <v>2020</v>
      </c>
      <c r="C94" s="6" t="s">
        <v>107</v>
      </c>
      <c r="D94" s="7" t="s">
        <v>108</v>
      </c>
      <c r="E94" s="6" t="s">
        <v>70</v>
      </c>
      <c r="F94" s="6" t="s">
        <v>71</v>
      </c>
      <c r="G94" s="8"/>
      <c r="H94" s="9">
        <v>24266764000000</v>
      </c>
      <c r="I94" s="8">
        <v>3479263000000</v>
      </c>
      <c r="J94" s="8">
        <v>173224412000000</v>
      </c>
      <c r="K94" s="8"/>
      <c r="L94" s="8">
        <v>146000782000000</v>
      </c>
      <c r="M94" s="8">
        <v>27223630000000</v>
      </c>
      <c r="N94" s="8">
        <v>476608857231</v>
      </c>
      <c r="O94" s="8">
        <v>12826683000000</v>
      </c>
      <c r="P94" s="8">
        <v>5566873000000</v>
      </c>
      <c r="Q94" s="6"/>
      <c r="R94" s="6"/>
      <c r="S94" s="11"/>
      <c r="T94" s="9">
        <v>7793430000000</v>
      </c>
      <c r="U94" s="12">
        <v>1254392000000</v>
      </c>
      <c r="V94" s="13">
        <f t="shared" si="10"/>
        <v>27223630000000</v>
      </c>
      <c r="W94" s="13">
        <f t="shared" si="1"/>
        <v>0.84284183917449229</v>
      </c>
      <c r="X94" s="13">
        <f t="shared" si="2"/>
        <v>5.3630166880757635</v>
      </c>
      <c r="Y94" s="8">
        <f t="shared" si="11"/>
        <v>7.2414273803394404E-3</v>
      </c>
      <c r="Z94" s="8">
        <f t="shared" si="12"/>
        <v>4.6077323266588623E-2</v>
      </c>
      <c r="AA94" s="8">
        <f t="shared" si="5"/>
        <v>0.56599278238964823</v>
      </c>
      <c r="AB94" s="8">
        <f t="shared" si="13"/>
        <v>9.7795509563930128E-2</v>
      </c>
      <c r="AC94" s="8">
        <f t="shared" si="7"/>
        <v>0.56599278238964823</v>
      </c>
      <c r="AD94" s="9"/>
      <c r="AE94" s="10">
        <v>205574000000</v>
      </c>
      <c r="AF94" s="9"/>
      <c r="AG94" s="9"/>
      <c r="AH94" s="9"/>
      <c r="AI94" s="9"/>
      <c r="AJ94" s="9"/>
      <c r="AK94" s="10"/>
      <c r="AL94" s="9">
        <v>45675000000</v>
      </c>
      <c r="AM94" s="9">
        <v>71913000000</v>
      </c>
    </row>
    <row r="95" spans="1:39" ht="15.75" customHeight="1">
      <c r="A95" s="6">
        <v>115</v>
      </c>
      <c r="B95" s="6">
        <v>2018</v>
      </c>
      <c r="C95" s="6" t="s">
        <v>109</v>
      </c>
      <c r="D95" s="7" t="s">
        <v>110</v>
      </c>
      <c r="E95" s="6" t="s">
        <v>70</v>
      </c>
      <c r="F95" s="6" t="s">
        <v>71</v>
      </c>
      <c r="G95" s="8"/>
      <c r="H95" s="9">
        <v>14989712000000</v>
      </c>
      <c r="I95" s="8">
        <v>2552305000000</v>
      </c>
      <c r="J95" s="8">
        <v>152892866000000</v>
      </c>
      <c r="K95" s="8"/>
      <c r="L95" s="8">
        <v>130440930000000</v>
      </c>
      <c r="M95" s="8">
        <v>22451936000000</v>
      </c>
      <c r="N95" s="8">
        <f t="shared" ref="N95:N96" si="16">26880234+97311976600</f>
        <v>97338856834</v>
      </c>
      <c r="O95" s="8">
        <f>9419839000000+1661113000000</f>
        <v>11080952000000</v>
      </c>
      <c r="P95" s="8">
        <f>5026890000000+653877000000</f>
        <v>5680767000000</v>
      </c>
      <c r="Q95" s="6"/>
      <c r="R95" s="6"/>
      <c r="S95" s="11"/>
      <c r="T95" s="9">
        <v>4465833000000</v>
      </c>
      <c r="U95" s="12">
        <v>901252000000</v>
      </c>
      <c r="V95" s="13">
        <f t="shared" si="10"/>
        <v>22451936000000</v>
      </c>
      <c r="W95" s="13">
        <f t="shared" si="1"/>
        <v>0.85315249437472118</v>
      </c>
      <c r="X95" s="13">
        <f t="shared" si="2"/>
        <v>5.8097854011342269</v>
      </c>
      <c r="Y95" s="8">
        <f t="shared" si="11"/>
        <v>5.8946635221031173E-3</v>
      </c>
      <c r="Z95" s="8">
        <f t="shared" si="12"/>
        <v>4.0141393597416274E-2</v>
      </c>
      <c r="AA95" s="8">
        <f t="shared" si="5"/>
        <v>0.48733944520290312</v>
      </c>
      <c r="AB95" s="8">
        <f t="shared" si="13"/>
        <v>8.1333444996422685E-2</v>
      </c>
      <c r="AC95" s="8">
        <f t="shared" si="7"/>
        <v>0.48733944520290312</v>
      </c>
      <c r="AD95" s="9"/>
      <c r="AE95" s="18">
        <f>434246000000-270338000000</f>
        <v>163908000000</v>
      </c>
      <c r="AF95" s="9"/>
      <c r="AG95" s="9"/>
      <c r="AH95" s="9"/>
      <c r="AI95" s="9"/>
      <c r="AJ95" s="9"/>
      <c r="AK95" s="9">
        <v>193473000000</v>
      </c>
      <c r="AL95" s="9"/>
      <c r="AM95" s="9">
        <v>181236000000</v>
      </c>
    </row>
    <row r="96" spans="1:39" ht="15.75" customHeight="1">
      <c r="A96" s="6">
        <v>116</v>
      </c>
      <c r="B96" s="6">
        <v>2019</v>
      </c>
      <c r="C96" s="6" t="s">
        <v>109</v>
      </c>
      <c r="D96" s="7" t="s">
        <v>110</v>
      </c>
      <c r="E96" s="6" t="s">
        <v>70</v>
      </c>
      <c r="F96" s="6" t="s">
        <v>71</v>
      </c>
      <c r="G96" s="8"/>
      <c r="H96" s="9">
        <v>16229868000000</v>
      </c>
      <c r="I96" s="8">
        <v>2451459000000</v>
      </c>
      <c r="J96" s="8">
        <v>161451259000000</v>
      </c>
      <c r="K96" s="8"/>
      <c r="L96" s="8">
        <v>137413908000000</v>
      </c>
      <c r="M96" s="8">
        <v>24037351000000</v>
      </c>
      <c r="N96" s="8">
        <f t="shared" si="16"/>
        <v>97338856834</v>
      </c>
      <c r="O96" s="8">
        <f>10114747000000+1627316000000</f>
        <v>11742063000000</v>
      </c>
      <c r="P96" s="8">
        <f>5372123000000+648972000000</f>
        <v>6021095000000</v>
      </c>
      <c r="Q96" s="6"/>
      <c r="R96" s="6"/>
      <c r="S96" s="11"/>
      <c r="T96" s="9">
        <v>4737632000000</v>
      </c>
      <c r="U96" s="12">
        <v>1500420000000</v>
      </c>
      <c r="V96" s="13">
        <f t="shared" si="10"/>
        <v>24037351000000</v>
      </c>
      <c r="W96" s="13">
        <f t="shared" si="1"/>
        <v>0.85111698014073711</v>
      </c>
      <c r="X96" s="13">
        <f t="shared" si="2"/>
        <v>5.7166826743928647</v>
      </c>
      <c r="Y96" s="8">
        <f t="shared" si="11"/>
        <v>9.2933310603666459E-3</v>
      </c>
      <c r="Z96" s="8">
        <f t="shared" si="12"/>
        <v>6.2420355720561718E-2</v>
      </c>
      <c r="AA96" s="8">
        <f t="shared" si="5"/>
        <v>0.48722000554757711</v>
      </c>
      <c r="AB96" s="8">
        <f t="shared" si="13"/>
        <v>0.1277816342835156</v>
      </c>
      <c r="AC96" s="8">
        <f t="shared" si="7"/>
        <v>0.48722000554757711</v>
      </c>
      <c r="AD96" s="9"/>
      <c r="AE96" s="9">
        <f>450908000000-236552000000</f>
        <v>214356000000</v>
      </c>
      <c r="AF96" s="9"/>
      <c r="AG96" s="9"/>
      <c r="AH96" s="9"/>
      <c r="AI96" s="9"/>
      <c r="AJ96" s="9"/>
      <c r="AK96" s="9">
        <v>226768000000</v>
      </c>
      <c r="AM96" s="9">
        <v>187094000000</v>
      </c>
    </row>
    <row r="97" spans="1:39" ht="15.75" customHeight="1">
      <c r="A97" s="6">
        <v>117</v>
      </c>
      <c r="B97" s="6">
        <v>2020</v>
      </c>
      <c r="C97" s="6" t="s">
        <v>109</v>
      </c>
      <c r="D97" s="7" t="s">
        <v>110</v>
      </c>
      <c r="E97" s="6" t="s">
        <v>70</v>
      </c>
      <c r="F97" s="6" t="s">
        <v>71</v>
      </c>
      <c r="G97" s="8"/>
      <c r="H97" s="9">
        <v>23256980000000</v>
      </c>
      <c r="I97" s="8">
        <v>3073596000000</v>
      </c>
      <c r="J97" s="8">
        <v>197726097000000</v>
      </c>
      <c r="K97" s="8"/>
      <c r="L97" s="8">
        <v>162654644000000</v>
      </c>
      <c r="M97" s="8">
        <v>35071453000000</v>
      </c>
      <c r="N97" s="8">
        <f>117311976600+26880234</f>
        <v>117338856834</v>
      </c>
      <c r="O97" s="8">
        <f>10450915000000+1472863000000</f>
        <v>11923778000000</v>
      </c>
      <c r="P97" s="8">
        <f>4678378000000+613610000000</f>
        <v>5291988000000</v>
      </c>
      <c r="Q97" s="6"/>
      <c r="R97" s="6"/>
      <c r="S97" s="11"/>
      <c r="T97" s="9">
        <v>5076563000000</v>
      </c>
      <c r="U97" s="12">
        <v>721587000000</v>
      </c>
      <c r="V97" s="13">
        <f t="shared" si="10"/>
        <v>35071453000000</v>
      </c>
      <c r="W97" s="13">
        <f t="shared" si="1"/>
        <v>0.82262607955084455</v>
      </c>
      <c r="X97" s="13">
        <f t="shared" si="2"/>
        <v>4.6378073928103296</v>
      </c>
      <c r="Y97" s="8">
        <f t="shared" si="11"/>
        <v>3.6494272174906685E-3</v>
      </c>
      <c r="Z97" s="8">
        <f t="shared" si="12"/>
        <v>2.0574767746292119E-2</v>
      </c>
      <c r="AA97" s="8">
        <f t="shared" si="5"/>
        <v>0.55618194166312052</v>
      </c>
      <c r="AB97" s="8">
        <f t="shared" si="13"/>
        <v>6.0516641621472654E-2</v>
      </c>
      <c r="AC97" s="8">
        <f t="shared" si="7"/>
        <v>0.55618194166312052</v>
      </c>
      <c r="AD97" s="9"/>
      <c r="AE97" s="10">
        <f>415497000000-191249000000</f>
        <v>224248000000</v>
      </c>
      <c r="AF97" s="9"/>
      <c r="AG97" s="9"/>
      <c r="AH97" s="9"/>
      <c r="AI97" s="9"/>
      <c r="AJ97" s="9"/>
      <c r="AK97" s="10">
        <v>203936000000</v>
      </c>
      <c r="AL97" s="9"/>
      <c r="AM97" s="9">
        <v>120228000000</v>
      </c>
    </row>
    <row r="98" spans="1:39" ht="15.75" customHeight="1">
      <c r="A98" s="6">
        <v>124</v>
      </c>
      <c r="B98" s="6">
        <v>2018</v>
      </c>
      <c r="C98" s="6" t="s">
        <v>111</v>
      </c>
      <c r="D98" s="7" t="s">
        <v>112</v>
      </c>
      <c r="E98" s="6" t="s">
        <v>70</v>
      </c>
      <c r="F98" s="6" t="s">
        <v>71</v>
      </c>
      <c r="G98" s="8"/>
      <c r="H98" s="9">
        <v>2882064000000</v>
      </c>
      <c r="I98" s="8">
        <v>1211744000000</v>
      </c>
      <c r="J98" s="8">
        <v>30748742000000</v>
      </c>
      <c r="K98" s="8"/>
      <c r="L98" s="8">
        <v>23532846000000</v>
      </c>
      <c r="M98" s="8">
        <v>4856420000000</v>
      </c>
      <c r="N98" s="8">
        <v>60000000000</v>
      </c>
      <c r="O98" s="8">
        <f>2604754000000+480765000000</f>
        <v>3085519000000</v>
      </c>
      <c r="P98" s="8">
        <f>763373000000+156204000000</f>
        <v>919577000000</v>
      </c>
      <c r="Q98" s="6"/>
      <c r="R98" s="6"/>
      <c r="S98" s="11"/>
      <c r="T98" s="9">
        <v>781734000000</v>
      </c>
      <c r="U98" s="12">
        <v>50472000000</v>
      </c>
      <c r="V98" s="13">
        <f t="shared" si="10"/>
        <v>4856420000000</v>
      </c>
      <c r="W98" s="13">
        <f t="shared" si="1"/>
        <v>0.76532711484586913</v>
      </c>
      <c r="X98" s="13">
        <f t="shared" si="2"/>
        <v>4.8457188628660619</v>
      </c>
      <c r="Y98" s="8">
        <f t="shared" si="11"/>
        <v>1.6414330056169451E-3</v>
      </c>
      <c r="Z98" s="8">
        <f t="shared" si="12"/>
        <v>1.0392840816898044E-2</v>
      </c>
      <c r="AA98" s="8">
        <f t="shared" si="5"/>
        <v>0.70197007375420473</v>
      </c>
      <c r="AB98" s="8">
        <f t="shared" si="13"/>
        <v>1.6357701897152473E-2</v>
      </c>
      <c r="AC98" s="8">
        <f t="shared" si="7"/>
        <v>0.70197007375420473</v>
      </c>
      <c r="AD98" s="9"/>
      <c r="AE98" s="9"/>
      <c r="AF98" s="9"/>
      <c r="AG98" s="9"/>
      <c r="AH98" s="9"/>
      <c r="AI98" s="9"/>
      <c r="AJ98" s="10"/>
      <c r="AK98" s="10"/>
      <c r="AL98" s="9">
        <v>13140000000</v>
      </c>
      <c r="AM98" s="18">
        <v>40893000000</v>
      </c>
    </row>
    <row r="99" spans="1:39" ht="15.75" customHeight="1">
      <c r="A99" s="6">
        <v>125</v>
      </c>
      <c r="B99" s="6">
        <v>2019</v>
      </c>
      <c r="C99" s="6" t="s">
        <v>111</v>
      </c>
      <c r="D99" s="7" t="s">
        <v>112</v>
      </c>
      <c r="E99" s="6" t="s">
        <v>70</v>
      </c>
      <c r="F99" s="6" t="s">
        <v>71</v>
      </c>
      <c r="G99" s="8"/>
      <c r="H99" s="9">
        <v>5584294000000</v>
      </c>
      <c r="I99" s="8">
        <v>1399242000000</v>
      </c>
      <c r="J99" s="8">
        <v>36559556000000</v>
      </c>
      <c r="K99" s="8"/>
      <c r="L99" s="8">
        <v>26385919000000</v>
      </c>
      <c r="M99" s="8">
        <v>6074463000000</v>
      </c>
      <c r="N99" s="8">
        <v>60000000000</v>
      </c>
      <c r="O99" s="8">
        <f>2781204000000+579656000000</f>
        <v>3360860000000</v>
      </c>
      <c r="P99" s="8">
        <f>967014000000+183343000000</f>
        <v>1150357000000</v>
      </c>
      <c r="Q99" s="6"/>
      <c r="R99" s="6"/>
      <c r="S99" s="11"/>
      <c r="T99" s="9">
        <v>987162000000</v>
      </c>
      <c r="U99" s="12">
        <v>6752000000</v>
      </c>
      <c r="V99" s="13">
        <f t="shared" si="10"/>
        <v>6074463000000</v>
      </c>
      <c r="W99" s="13">
        <f t="shared" si="1"/>
        <v>0.72172427367553371</v>
      </c>
      <c r="X99" s="13">
        <f t="shared" si="2"/>
        <v>4.3437451178812019</v>
      </c>
      <c r="Y99" s="8">
        <f t="shared" si="11"/>
        <v>1.8468495623962173E-4</v>
      </c>
      <c r="Z99" s="8">
        <f t="shared" si="12"/>
        <v>1.1115385837398302E-3</v>
      </c>
      <c r="AA99" s="8">
        <f t="shared" si="5"/>
        <v>0.65771945275911525</v>
      </c>
      <c r="AB99" s="8">
        <f t="shared" si="13"/>
        <v>2.0090095987336577E-3</v>
      </c>
      <c r="AC99" s="8">
        <f t="shared" si="7"/>
        <v>0.65771945275911525</v>
      </c>
      <c r="AD99" s="9"/>
      <c r="AE99" s="9"/>
      <c r="AF99" s="9"/>
      <c r="AG99" s="9"/>
      <c r="AH99" s="9"/>
      <c r="AI99" s="9"/>
      <c r="AJ99" s="9"/>
      <c r="AK99" s="9"/>
      <c r="AL99" s="9"/>
      <c r="AM99" s="9">
        <v>38942000000</v>
      </c>
    </row>
    <row r="100" spans="1:39" ht="15.75" customHeight="1">
      <c r="A100" s="6">
        <v>126</v>
      </c>
      <c r="B100" s="6">
        <v>2020</v>
      </c>
      <c r="C100" s="6" t="s">
        <v>111</v>
      </c>
      <c r="D100" s="7" t="s">
        <v>112</v>
      </c>
      <c r="E100" s="6" t="s">
        <v>70</v>
      </c>
      <c r="F100" s="6" t="s">
        <v>71</v>
      </c>
      <c r="G100" s="8"/>
      <c r="H100" s="9">
        <v>9183303000000</v>
      </c>
      <c r="I100" s="8">
        <v>1584298000000</v>
      </c>
      <c r="J100" s="8">
        <v>44612045000000</v>
      </c>
      <c r="K100" s="8"/>
      <c r="L100" s="8">
        <v>32557921000000</v>
      </c>
      <c r="M100" s="8">
        <v>6056844000000</v>
      </c>
      <c r="N100" s="8">
        <v>60000000000</v>
      </c>
      <c r="O100" s="8">
        <f>2632465000000+667796000000</f>
        <v>3300261000000</v>
      </c>
      <c r="P100" s="8">
        <f>905187000000+206870000000</f>
        <v>1112057000000</v>
      </c>
      <c r="Q100" s="6"/>
      <c r="R100" s="6"/>
      <c r="S100" s="11"/>
      <c r="T100" s="9">
        <v>1201125000000</v>
      </c>
      <c r="U100" s="12">
        <v>118522000000</v>
      </c>
      <c r="V100" s="13">
        <f t="shared" si="10"/>
        <v>6056844000000</v>
      </c>
      <c r="W100" s="13">
        <f t="shared" si="1"/>
        <v>0.72980113330379726</v>
      </c>
      <c r="X100" s="13">
        <f t="shared" si="2"/>
        <v>5.3753936868771923</v>
      </c>
      <c r="Y100" s="8">
        <f t="shared" si="11"/>
        <v>2.6567264513429052E-3</v>
      </c>
      <c r="Z100" s="8">
        <f t="shared" si="12"/>
        <v>1.9568276812148372E-2</v>
      </c>
      <c r="AA100" s="8">
        <f t="shared" si="5"/>
        <v>0.66303968080100328</v>
      </c>
      <c r="AB100" s="8">
        <f t="shared" si="13"/>
        <v>3.591291719048887E-2</v>
      </c>
      <c r="AC100" s="8">
        <f t="shared" si="7"/>
        <v>0.66303968080100328</v>
      </c>
      <c r="AD100" s="10"/>
      <c r="AE100" s="10"/>
      <c r="AF100" s="9"/>
      <c r="AG100" s="9"/>
      <c r="AH100" s="9"/>
      <c r="AI100" s="9"/>
      <c r="AJ100" s="9"/>
      <c r="AK100" s="10"/>
      <c r="AL100" s="9"/>
      <c r="AM100" s="10">
        <v>46351000000</v>
      </c>
    </row>
    <row r="101" spans="1:39" ht="15.75" customHeight="1">
      <c r="A101" s="6">
        <v>127</v>
      </c>
      <c r="B101" s="6">
        <v>2018</v>
      </c>
      <c r="C101" s="6" t="s">
        <v>113</v>
      </c>
      <c r="D101" s="7" t="s">
        <v>114</v>
      </c>
      <c r="E101" s="6" t="s">
        <v>70</v>
      </c>
      <c r="F101" s="6" t="s">
        <v>71</v>
      </c>
      <c r="G101" s="8"/>
      <c r="H101" s="9">
        <v>700819783443</v>
      </c>
      <c r="I101" s="8">
        <v>125754140019</v>
      </c>
      <c r="J101" s="8">
        <v>3896760492444</v>
      </c>
      <c r="K101" s="8"/>
      <c r="L101" s="13">
        <v>2766528043722</v>
      </c>
      <c r="M101" s="8">
        <v>1130232448722</v>
      </c>
      <c r="N101" s="8">
        <v>3450000000</v>
      </c>
      <c r="O101" s="8">
        <v>314850371256</v>
      </c>
      <c r="P101" s="8">
        <v>176462730317</v>
      </c>
      <c r="Q101" s="6"/>
      <c r="R101" s="6"/>
      <c r="S101" s="11"/>
      <c r="T101" s="9">
        <v>10669420520</v>
      </c>
      <c r="U101" s="12">
        <v>9879658315</v>
      </c>
      <c r="V101" s="13">
        <f t="shared" si="10"/>
        <v>1130232448722</v>
      </c>
      <c r="W101" s="13">
        <f t="shared" si="1"/>
        <v>0.70995588491682426</v>
      </c>
      <c r="X101" s="13">
        <f t="shared" si="2"/>
        <v>2.4477513867613925</v>
      </c>
      <c r="Y101" s="8">
        <f t="shared" si="11"/>
        <v>2.5353516938382836E-3</v>
      </c>
      <c r="Z101" s="8">
        <f t="shared" si="12"/>
        <v>8.7412623183587886E-3</v>
      </c>
      <c r="AA101" s="8">
        <f t="shared" si="5"/>
        <v>0.43953462842347779</v>
      </c>
      <c r="AB101" s="8">
        <f t="shared" si="13"/>
        <v>3.1378900001254886E-2</v>
      </c>
      <c r="AC101" s="8">
        <f t="shared" si="7"/>
        <v>0.43953462842347779</v>
      </c>
      <c r="AD101" s="10"/>
      <c r="AE101" s="10">
        <f>10957007101-8106858242</f>
        <v>2850148859</v>
      </c>
      <c r="AF101" s="9"/>
      <c r="AG101" s="9"/>
      <c r="AH101" s="9"/>
      <c r="AI101" s="9"/>
      <c r="AJ101" s="9"/>
      <c r="AK101" s="10"/>
      <c r="AL101" s="9"/>
      <c r="AM101" s="9">
        <v>176234988</v>
      </c>
    </row>
    <row r="102" spans="1:39" ht="15.75" customHeight="1">
      <c r="A102" s="6">
        <v>128</v>
      </c>
      <c r="B102" s="6">
        <v>2019</v>
      </c>
      <c r="C102" s="6" t="s">
        <v>113</v>
      </c>
      <c r="D102" s="7" t="s">
        <v>114</v>
      </c>
      <c r="E102" s="6" t="s">
        <v>70</v>
      </c>
      <c r="F102" s="6" t="s">
        <v>71</v>
      </c>
      <c r="G102" s="8"/>
      <c r="H102" s="9">
        <v>507699494387</v>
      </c>
      <c r="I102" s="8">
        <v>123155112941</v>
      </c>
      <c r="J102" s="8">
        <v>4007412556573</v>
      </c>
      <c r="K102" s="8"/>
      <c r="L102" s="8">
        <v>2846135386095</v>
      </c>
      <c r="M102" s="8">
        <v>1161277170478</v>
      </c>
      <c r="N102" s="8">
        <v>3450000000</v>
      </c>
      <c r="O102" s="8">
        <v>287717146129</v>
      </c>
      <c r="P102" s="8">
        <v>145535047285</v>
      </c>
      <c r="Q102" s="6"/>
      <c r="R102" s="6"/>
      <c r="S102" s="11"/>
      <c r="T102" s="9">
        <v>1675418516</v>
      </c>
      <c r="U102" s="12">
        <v>30952161285</v>
      </c>
      <c r="V102" s="13">
        <f t="shared" si="10"/>
        <v>1161277170478</v>
      </c>
      <c r="W102" s="13">
        <f t="shared" si="1"/>
        <v>0.71021771427719338</v>
      </c>
      <c r="X102" s="13">
        <f t="shared" si="2"/>
        <v>2.4508665617903138</v>
      </c>
      <c r="Y102" s="8">
        <f t="shared" si="11"/>
        <v>7.7237271800808084E-3</v>
      </c>
      <c r="Z102" s="8">
        <f t="shared" si="12"/>
        <v>2.6653551858131855E-2</v>
      </c>
      <c r="AA102" s="8">
        <f t="shared" si="5"/>
        <v>0.49417318625929807</v>
      </c>
      <c r="AB102" s="8">
        <f t="shared" si="13"/>
        <v>0.10757843841229532</v>
      </c>
      <c r="AC102" s="8">
        <f t="shared" si="7"/>
        <v>0.49417318625929807</v>
      </c>
      <c r="AD102" s="10"/>
      <c r="AE102" s="9">
        <f>12290053101-9777136808</f>
        <v>2512916293</v>
      </c>
      <c r="AF102" s="9"/>
      <c r="AG102" s="9"/>
      <c r="AH102" s="9"/>
      <c r="AI102" s="9"/>
      <c r="AJ102" s="9"/>
      <c r="AK102" s="10"/>
      <c r="AL102" s="9"/>
      <c r="AM102" s="9">
        <v>154870948</v>
      </c>
    </row>
    <row r="103" spans="1:39" ht="15.75" customHeight="1">
      <c r="A103" s="6">
        <v>129</v>
      </c>
      <c r="B103" s="6">
        <v>2020</v>
      </c>
      <c r="C103" s="6" t="s">
        <v>113</v>
      </c>
      <c r="D103" s="7" t="s">
        <v>114</v>
      </c>
      <c r="E103" s="6" t="s">
        <v>70</v>
      </c>
      <c r="F103" s="6" t="s">
        <v>71</v>
      </c>
      <c r="G103" s="6"/>
      <c r="H103" s="9">
        <v>391538822115</v>
      </c>
      <c r="I103" s="8">
        <v>122716526336</v>
      </c>
      <c r="J103" s="8">
        <v>3721363459751</v>
      </c>
      <c r="K103" s="8"/>
      <c r="L103" s="8">
        <v>2663693880300</v>
      </c>
      <c r="M103" s="8">
        <v>1057669579451</v>
      </c>
      <c r="N103" s="8">
        <v>3450000000</v>
      </c>
      <c r="O103" s="8">
        <v>230453382943</v>
      </c>
      <c r="P103" s="13">
        <v>142465319309</v>
      </c>
      <c r="Q103" s="6"/>
      <c r="R103" s="6"/>
      <c r="S103" s="11"/>
      <c r="T103" s="9">
        <v>2848631236</v>
      </c>
      <c r="U103" s="12">
        <v>70581531876</v>
      </c>
      <c r="V103" s="13">
        <f t="shared" si="10"/>
        <v>1057669579451</v>
      </c>
      <c r="W103" s="13">
        <f t="shared" si="1"/>
        <v>0.71578439169127284</v>
      </c>
      <c r="X103" s="13">
        <f t="shared" si="2"/>
        <v>2.5184556047103408</v>
      </c>
      <c r="Y103" s="8">
        <f t="shared" si="11"/>
        <v>1.896657841659E-2</v>
      </c>
      <c r="Z103" s="8">
        <f t="shared" si="12"/>
        <v>6.6733064132029257E-2</v>
      </c>
      <c r="AA103" s="8">
        <f t="shared" si="5"/>
        <v>0.38180417449442622</v>
      </c>
      <c r="AB103" s="8">
        <f t="shared" si="13"/>
        <v>0.30627249196622786</v>
      </c>
      <c r="AC103" s="8">
        <f t="shared" si="7"/>
        <v>0.38180417449442622</v>
      </c>
      <c r="AD103" s="9"/>
      <c r="AE103" s="9">
        <f>12290053101-11033594946</f>
        <v>1256458155</v>
      </c>
      <c r="AF103" s="9"/>
      <c r="AG103" s="9"/>
      <c r="AH103" s="9"/>
      <c r="AI103" s="9"/>
      <c r="AJ103" s="9"/>
      <c r="AK103" s="9"/>
      <c r="AL103" s="9"/>
      <c r="AM103" s="10">
        <v>157705226</v>
      </c>
    </row>
    <row r="104" spans="1:39" ht="15.75" customHeight="1">
      <c r="A104" s="6">
        <v>133</v>
      </c>
      <c r="B104" s="6">
        <v>2018</v>
      </c>
      <c r="C104" s="6" t="s">
        <v>115</v>
      </c>
      <c r="D104" s="7" t="s">
        <v>116</v>
      </c>
      <c r="E104" s="6" t="s">
        <v>70</v>
      </c>
      <c r="F104" s="6" t="s">
        <v>71</v>
      </c>
      <c r="G104" s="6"/>
      <c r="H104" s="9">
        <v>6866506000000</v>
      </c>
      <c r="I104" s="8">
        <v>1786727000000</v>
      </c>
      <c r="J104" s="8">
        <v>101919301000000</v>
      </c>
      <c r="K104" s="8"/>
      <c r="L104" s="8">
        <v>76544999000000</v>
      </c>
      <c r="M104" s="8">
        <v>19364407000000</v>
      </c>
      <c r="N104" s="8">
        <v>15000000000</v>
      </c>
      <c r="O104" s="8">
        <v>14126651000000</v>
      </c>
      <c r="P104" s="8">
        <v>4526243000000</v>
      </c>
      <c r="Q104" s="6"/>
      <c r="R104" s="6"/>
      <c r="S104" s="11"/>
      <c r="T104" s="9">
        <f>7252791000000+33450000000</f>
        <v>7286241000000</v>
      </c>
      <c r="U104" s="12">
        <v>2128064000000</v>
      </c>
      <c r="V104" s="13">
        <f t="shared" si="10"/>
        <v>19364407000000</v>
      </c>
      <c r="W104" s="13">
        <f t="shared" si="1"/>
        <v>0.75103536080962718</v>
      </c>
      <c r="X104" s="13">
        <f t="shared" si="2"/>
        <v>3.9528708005362621</v>
      </c>
      <c r="Y104" s="8">
        <f t="shared" si="11"/>
        <v>2.0879892023592275E-2</v>
      </c>
      <c r="Z104" s="8">
        <f t="shared" si="12"/>
        <v>0.10989564513904299</v>
      </c>
      <c r="AA104" s="8">
        <f t="shared" si="5"/>
        <v>0.67959546816864091</v>
      </c>
      <c r="AB104" s="8">
        <f t="shared" si="13"/>
        <v>0.15064179047107484</v>
      </c>
      <c r="AC104" s="8">
        <f t="shared" si="7"/>
        <v>0.67959546816864091</v>
      </c>
      <c r="AD104" s="9"/>
      <c r="AE104" s="9">
        <f>1236783000000-722855000000</f>
        <v>513928000000</v>
      </c>
      <c r="AF104" s="9"/>
      <c r="AG104" s="9"/>
      <c r="AH104" s="9"/>
      <c r="AI104" s="9"/>
      <c r="AJ104" s="10">
        <v>365786000000</v>
      </c>
      <c r="AK104" s="10"/>
      <c r="AL104" s="9">
        <v>16024000000</v>
      </c>
      <c r="AM104" s="10">
        <v>154620000000</v>
      </c>
    </row>
    <row r="105" spans="1:39" ht="15.75" customHeight="1">
      <c r="A105" s="6">
        <v>134</v>
      </c>
      <c r="B105" s="6">
        <v>2019</v>
      </c>
      <c r="C105" s="6" t="s">
        <v>115</v>
      </c>
      <c r="D105" s="7" t="s">
        <v>116</v>
      </c>
      <c r="E105" s="6" t="s">
        <v>70</v>
      </c>
      <c r="F105" s="6" t="s">
        <v>71</v>
      </c>
      <c r="G105" s="6"/>
      <c r="H105" s="9">
        <v>10702851000000</v>
      </c>
      <c r="I105" s="8">
        <v>1893746000000</v>
      </c>
      <c r="J105" s="8">
        <v>181631385000000</v>
      </c>
      <c r="K105" s="8"/>
      <c r="L105" s="8">
        <v>142608793000000</v>
      </c>
      <c r="M105" s="8">
        <v>31471928000000</v>
      </c>
      <c r="N105" s="8">
        <v>15000000000</v>
      </c>
      <c r="O105" s="8">
        <v>18680979000000</v>
      </c>
      <c r="P105" s="8">
        <v>7689284000000</v>
      </c>
      <c r="Q105" s="6"/>
      <c r="R105" s="6"/>
      <c r="S105" s="11"/>
      <c r="T105" s="9">
        <f>8575754000000+18665000000</f>
        <v>8594419000000</v>
      </c>
      <c r="U105" s="12">
        <v>2992418000000</v>
      </c>
      <c r="V105" s="13">
        <f t="shared" si="10"/>
        <v>31471928000000</v>
      </c>
      <c r="W105" s="13">
        <f t="shared" si="1"/>
        <v>0.78515501602324955</v>
      </c>
      <c r="X105" s="13">
        <f t="shared" si="2"/>
        <v>4.5313014506133849</v>
      </c>
      <c r="Y105" s="8">
        <f t="shared" si="11"/>
        <v>1.6475225358216588E-2</v>
      </c>
      <c r="Z105" s="8">
        <f t="shared" si="12"/>
        <v>9.5082131606300066E-2</v>
      </c>
      <c r="AA105" s="8">
        <f t="shared" si="5"/>
        <v>0.58838966630175005</v>
      </c>
      <c r="AB105" s="8">
        <f t="shared" si="13"/>
        <v>0.16018528793378548</v>
      </c>
      <c r="AC105" s="8">
        <f t="shared" si="7"/>
        <v>0.58838966630175005</v>
      </c>
      <c r="AD105" s="9"/>
      <c r="AE105" s="9">
        <f>1892162000000-1128855000000</f>
        <v>763307000000</v>
      </c>
      <c r="AF105" s="9"/>
      <c r="AG105" s="9"/>
      <c r="AH105" s="9"/>
      <c r="AI105" s="9"/>
      <c r="AJ105" s="10">
        <v>244119000000</v>
      </c>
      <c r="AK105" s="10"/>
      <c r="AL105" s="9">
        <v>43982000000</v>
      </c>
      <c r="AM105" s="10">
        <v>216201000000</v>
      </c>
    </row>
    <row r="106" spans="1:39" ht="15.75" customHeight="1">
      <c r="A106" s="6">
        <v>135</v>
      </c>
      <c r="B106" s="6">
        <v>2020</v>
      </c>
      <c r="C106" s="6" t="s">
        <v>115</v>
      </c>
      <c r="D106" s="7" t="s">
        <v>116</v>
      </c>
      <c r="E106" s="6" t="s">
        <v>70</v>
      </c>
      <c r="F106" s="6" t="s">
        <v>71</v>
      </c>
      <c r="G106" s="6"/>
      <c r="H106" s="9">
        <v>15020263000000</v>
      </c>
      <c r="I106" s="8">
        <v>2357987000000</v>
      </c>
      <c r="J106" s="8">
        <v>183165978000000</v>
      </c>
      <c r="K106" s="8"/>
      <c r="L106" s="8">
        <v>142277859000000</v>
      </c>
      <c r="M106" s="8">
        <v>32964753000000</v>
      </c>
      <c r="N106" s="8">
        <v>15000000000</v>
      </c>
      <c r="O106" s="8">
        <v>16403483000000</v>
      </c>
      <c r="P106" s="8">
        <v>5779055000000</v>
      </c>
      <c r="Q106" s="6"/>
      <c r="R106" s="6"/>
      <c r="S106" s="11"/>
      <c r="T106" s="9">
        <f>9682751000000+8188000000</f>
        <v>9690939000000</v>
      </c>
      <c r="U106" s="12">
        <v>2005677000000</v>
      </c>
      <c r="V106" s="13">
        <f t="shared" si="10"/>
        <v>32964753000000</v>
      </c>
      <c r="W106" s="13">
        <f t="shared" si="1"/>
        <v>0.77677012157792757</v>
      </c>
      <c r="X106" s="13">
        <f t="shared" si="2"/>
        <v>4.3160602174085758</v>
      </c>
      <c r="Y106" s="8">
        <f t="shared" si="11"/>
        <v>1.0950052088821867E-2</v>
      </c>
      <c r="Z106" s="8">
        <f t="shared" si="12"/>
        <v>6.0843076846351617E-2</v>
      </c>
      <c r="AA106" s="8">
        <f t="shared" si="5"/>
        <v>0.64769341974506267</v>
      </c>
      <c r="AB106" s="8">
        <f t="shared" si="13"/>
        <v>0.12227141028524247</v>
      </c>
      <c r="AC106" s="8">
        <f t="shared" si="7"/>
        <v>0.64769341974506267</v>
      </c>
      <c r="AD106" s="9"/>
      <c r="AE106" s="9">
        <f>2203122000000-1487828000000</f>
        <v>715294000000</v>
      </c>
      <c r="AF106" s="9"/>
      <c r="AG106" s="9"/>
      <c r="AH106" s="9"/>
      <c r="AI106" s="9"/>
      <c r="AJ106" s="10">
        <v>264189000000</v>
      </c>
      <c r="AK106" s="10"/>
      <c r="AL106" s="9">
        <v>6603000000</v>
      </c>
      <c r="AM106" s="10">
        <v>157063000000</v>
      </c>
    </row>
    <row r="107" spans="1:39" ht="15.75" customHeight="1">
      <c r="A107" s="6">
        <v>136</v>
      </c>
      <c r="B107" s="6">
        <v>2018</v>
      </c>
      <c r="C107" s="6" t="s">
        <v>117</v>
      </c>
      <c r="D107" s="7" t="s">
        <v>118</v>
      </c>
      <c r="E107" s="6" t="s">
        <v>70</v>
      </c>
      <c r="F107" s="6" t="s">
        <v>71</v>
      </c>
      <c r="G107" s="8"/>
      <c r="H107" s="9">
        <v>6724520646000</v>
      </c>
      <c r="I107" s="8">
        <v>541283738000</v>
      </c>
      <c r="J107" s="8">
        <v>30172315337000</v>
      </c>
      <c r="K107" s="8"/>
      <c r="L107" s="13">
        <v>25808570240000</v>
      </c>
      <c r="M107" s="8">
        <v>2806025405000</v>
      </c>
      <c r="N107" s="8">
        <v>14000000000</v>
      </c>
      <c r="O107" s="8">
        <v>2280212771000</v>
      </c>
      <c r="P107" s="8">
        <v>1820882197000</v>
      </c>
      <c r="Q107" s="6"/>
      <c r="R107" s="6"/>
      <c r="S107" s="11"/>
      <c r="T107" s="9">
        <v>741051703000</v>
      </c>
      <c r="U107" s="12">
        <v>79081921000</v>
      </c>
      <c r="V107" s="13">
        <f t="shared" si="10"/>
        <v>2806025405000</v>
      </c>
      <c r="W107" s="13">
        <f t="shared" si="1"/>
        <v>0.85537254770604942</v>
      </c>
      <c r="X107" s="13">
        <f t="shared" si="2"/>
        <v>9.197554018581668</v>
      </c>
      <c r="Y107" s="8">
        <f t="shared" si="11"/>
        <v>2.6210093629448002E-3</v>
      </c>
      <c r="Z107" s="8">
        <f t="shared" si="12"/>
        <v>2.8182895585722609E-2</v>
      </c>
      <c r="AA107" s="8">
        <f t="shared" si="5"/>
        <v>0.20144197938096717</v>
      </c>
      <c r="AB107" s="8">
        <f t="shared" si="13"/>
        <v>3.4681816541759912E-2</v>
      </c>
      <c r="AC107" s="8">
        <f t="shared" si="7"/>
        <v>0.20144197938096717</v>
      </c>
      <c r="AD107" s="9"/>
      <c r="AE107" s="9">
        <v>8653753000</v>
      </c>
      <c r="AF107" s="9"/>
      <c r="AG107" s="9"/>
      <c r="AH107" s="9"/>
      <c r="AI107" s="9"/>
      <c r="AJ107" s="9"/>
      <c r="AK107" s="9">
        <v>4368946000</v>
      </c>
      <c r="AL107" s="9">
        <v>5357597000</v>
      </c>
      <c r="AM107" s="9">
        <f>1992152000+411241000</f>
        <v>2403393000</v>
      </c>
    </row>
    <row r="108" spans="1:39" ht="15.75" customHeight="1">
      <c r="A108" s="6">
        <v>137</v>
      </c>
      <c r="B108" s="6">
        <v>2019</v>
      </c>
      <c r="C108" s="6" t="s">
        <v>117</v>
      </c>
      <c r="D108" s="7" t="s">
        <v>118</v>
      </c>
      <c r="E108" s="6" t="s">
        <v>70</v>
      </c>
      <c r="F108" s="6" t="s">
        <v>71</v>
      </c>
      <c r="G108" s="6"/>
      <c r="H108" s="9">
        <v>7900239715000</v>
      </c>
      <c r="I108" s="13">
        <v>521735784000</v>
      </c>
      <c r="J108" s="8">
        <v>30456458802000</v>
      </c>
      <c r="K108" s="8"/>
      <c r="L108" s="8">
        <v>25782313852000</v>
      </c>
      <c r="M108" s="8">
        <v>2986454603000</v>
      </c>
      <c r="N108" s="8">
        <v>14000000000</v>
      </c>
      <c r="O108" s="8">
        <v>2223204722000</v>
      </c>
      <c r="P108" s="8">
        <v>1954056503000</v>
      </c>
      <c r="Q108" s="6"/>
      <c r="R108" s="6"/>
      <c r="S108" s="11"/>
      <c r="T108" s="9">
        <v>648356649000</v>
      </c>
      <c r="U108" s="12">
        <v>-13764500000</v>
      </c>
      <c r="V108" s="13">
        <f t="shared" si="10"/>
        <v>2986454603000</v>
      </c>
      <c r="W108" s="13">
        <f t="shared" si="1"/>
        <v>0.84653025552356531</v>
      </c>
      <c r="X108" s="13">
        <f t="shared" si="2"/>
        <v>8.6330841346460616</v>
      </c>
      <c r="Y108" s="8">
        <f t="shared" si="11"/>
        <v>-4.5194026296636034E-4</v>
      </c>
      <c r="Z108" s="8">
        <f t="shared" si="12"/>
        <v>-4.6089768068709527E-3</v>
      </c>
      <c r="AA108" s="8">
        <f t="shared" si="5"/>
        <v>0.12106317350651975</v>
      </c>
      <c r="AB108" s="8">
        <f t="shared" si="13"/>
        <v>-6.1912876775546896E-3</v>
      </c>
      <c r="AC108" s="8">
        <f t="shared" si="7"/>
        <v>0.12106317350651975</v>
      </c>
      <c r="AD108" s="9"/>
      <c r="AE108" s="9">
        <v>7546157000</v>
      </c>
      <c r="AF108" s="9"/>
      <c r="AG108" s="9"/>
      <c r="AH108" s="9"/>
      <c r="AI108" s="9"/>
      <c r="AJ108" s="9"/>
      <c r="AK108" s="9">
        <v>5225786000</v>
      </c>
      <c r="AL108" s="9">
        <v>5428384000</v>
      </c>
      <c r="AM108" s="9">
        <f>2246090000+409608000</f>
        <v>2655698000</v>
      </c>
    </row>
    <row r="109" spans="1:39" ht="15.75" customHeight="1">
      <c r="A109" s="6">
        <v>138</v>
      </c>
      <c r="B109" s="6">
        <v>2020</v>
      </c>
      <c r="C109" s="6" t="s">
        <v>117</v>
      </c>
      <c r="D109" s="7" t="s">
        <v>118</v>
      </c>
      <c r="E109" s="6" t="s">
        <v>70</v>
      </c>
      <c r="F109" s="6" t="s">
        <v>71</v>
      </c>
      <c r="G109" s="6"/>
      <c r="H109" s="9">
        <v>6406670842000</v>
      </c>
      <c r="I109" s="8">
        <v>559673354000</v>
      </c>
      <c r="J109" s="8">
        <v>26221407472000</v>
      </c>
      <c r="K109" s="8"/>
      <c r="L109" s="8">
        <v>22197849857000</v>
      </c>
      <c r="M109" s="8">
        <v>2644375254000</v>
      </c>
      <c r="N109" s="8">
        <v>14000000000</v>
      </c>
      <c r="O109" s="13">
        <v>1790640395000</v>
      </c>
      <c r="P109" s="8">
        <v>1600981946000</v>
      </c>
      <c r="Q109" s="6"/>
      <c r="R109" s="6"/>
      <c r="S109" s="11"/>
      <c r="T109" s="9">
        <v>928353052000</v>
      </c>
      <c r="U109" s="12">
        <v>-252193690000</v>
      </c>
      <c r="V109" s="13">
        <f t="shared" si="10"/>
        <v>2644375254000</v>
      </c>
      <c r="W109" s="13">
        <f t="shared" si="1"/>
        <v>0.84655447579248078</v>
      </c>
      <c r="X109" s="13">
        <f t="shared" si="2"/>
        <v>8.3943645378705387</v>
      </c>
      <c r="Y109" s="8">
        <f t="shared" si="11"/>
        <v>-9.6178548107800823E-3</v>
      </c>
      <c r="Z109" s="8">
        <f t="shared" si="12"/>
        <v>-9.5369857064923208E-2</v>
      </c>
      <c r="AA109" s="8">
        <f t="shared" si="5"/>
        <v>0.10591654780579213</v>
      </c>
      <c r="AB109" s="8">
        <f t="shared" si="13"/>
        <v>-0.14083994234922864</v>
      </c>
      <c r="AC109" s="8">
        <f t="shared" si="7"/>
        <v>0.10591654780579213</v>
      </c>
      <c r="AD109" s="9"/>
      <c r="AE109" s="9">
        <v>5071236000</v>
      </c>
      <c r="AF109" s="9"/>
      <c r="AG109" s="9"/>
      <c r="AH109" s="9"/>
      <c r="AI109" s="9"/>
      <c r="AJ109" s="9"/>
      <c r="AK109" s="9">
        <v>3717435000</v>
      </c>
      <c r="AL109" s="9">
        <v>3249846000</v>
      </c>
      <c r="AM109" s="9">
        <f>732755000+286140000</f>
        <v>1018895000</v>
      </c>
    </row>
    <row r="110" spans="1:39" ht="15.75" customHeight="1">
      <c r="A110" s="6">
        <v>235</v>
      </c>
      <c r="B110" s="6">
        <v>2018</v>
      </c>
      <c r="C110" s="6" t="s">
        <v>119</v>
      </c>
      <c r="D110" s="7" t="s">
        <v>120</v>
      </c>
      <c r="E110" s="6" t="s">
        <v>70</v>
      </c>
      <c r="F110" s="6" t="s">
        <v>71</v>
      </c>
      <c r="G110" s="8"/>
      <c r="H110" s="15">
        <v>1740427000000</v>
      </c>
      <c r="I110" s="8">
        <v>2053140000000</v>
      </c>
      <c r="J110" s="8">
        <v>26025188000000</v>
      </c>
      <c r="K110" s="8"/>
      <c r="L110" s="8">
        <v>21438077000000</v>
      </c>
      <c r="M110" s="8">
        <v>4587111000000</v>
      </c>
      <c r="N110" s="13">
        <v>52310000000</v>
      </c>
      <c r="O110" s="8">
        <v>2263784000000</v>
      </c>
      <c r="P110" s="8">
        <v>1065854000000</v>
      </c>
      <c r="Q110" s="6"/>
      <c r="R110" s="6"/>
      <c r="S110" s="11"/>
      <c r="T110" s="10">
        <f>1185646000000+11778000000</f>
        <v>1197424000000</v>
      </c>
      <c r="U110" s="12">
        <v>53621000000</v>
      </c>
      <c r="V110" s="13">
        <f t="shared" si="10"/>
        <v>4587111000000</v>
      </c>
      <c r="W110" s="13">
        <f t="shared" si="1"/>
        <v>0.82374340581132399</v>
      </c>
      <c r="X110" s="13">
        <f t="shared" si="2"/>
        <v>4.6735465961037352</v>
      </c>
      <c r="Y110" s="8">
        <f t="shared" si="11"/>
        <v>2.0603501500162072E-3</v>
      </c>
      <c r="Z110" s="8">
        <f t="shared" si="12"/>
        <v>1.1689492580406273E-2</v>
      </c>
      <c r="AA110" s="8">
        <f t="shared" si="5"/>
        <v>0.52917151106289295</v>
      </c>
      <c r="AB110" s="8">
        <f t="shared" si="13"/>
        <v>2.3686447116862741E-2</v>
      </c>
      <c r="AC110" s="8">
        <f t="shared" si="7"/>
        <v>0.52917151106289295</v>
      </c>
      <c r="AD110" s="9"/>
      <c r="AE110" s="9"/>
      <c r="AF110" s="9"/>
      <c r="AG110" s="9"/>
      <c r="AH110" s="9"/>
      <c r="AI110" s="9"/>
      <c r="AJ110" s="9"/>
      <c r="AK110" s="9"/>
      <c r="AL110" s="9"/>
      <c r="AM110" s="10"/>
    </row>
    <row r="111" spans="1:39" ht="15.75" customHeight="1">
      <c r="A111" s="6">
        <v>236</v>
      </c>
      <c r="B111" s="6">
        <v>2019</v>
      </c>
      <c r="C111" s="6" t="s">
        <v>119</v>
      </c>
      <c r="D111" s="7" t="s">
        <v>120</v>
      </c>
      <c r="E111" s="6" t="s">
        <v>70</v>
      </c>
      <c r="F111" s="6" t="s">
        <v>71</v>
      </c>
      <c r="G111" s="8"/>
      <c r="H111" s="15">
        <v>1825746000000</v>
      </c>
      <c r="I111" s="8">
        <v>2029527000000</v>
      </c>
      <c r="J111" s="8">
        <v>25532041000000</v>
      </c>
      <c r="K111" s="8"/>
      <c r="L111" s="8">
        <v>20995806000000</v>
      </c>
      <c r="M111" s="8">
        <v>4536235000000</v>
      </c>
      <c r="N111" s="13">
        <v>52310000000</v>
      </c>
      <c r="O111" s="8">
        <v>1976522000000</v>
      </c>
      <c r="P111" s="8">
        <v>1049601000000</v>
      </c>
      <c r="Q111" s="6"/>
      <c r="R111" s="6"/>
      <c r="S111" s="11"/>
      <c r="T111" s="10">
        <f>1105713000000+4324000000</f>
        <v>1110037000000</v>
      </c>
      <c r="U111" s="12">
        <v>-58345000000</v>
      </c>
      <c r="V111" s="13">
        <f t="shared" si="10"/>
        <v>4536235000000</v>
      </c>
      <c r="W111" s="13">
        <f t="shared" si="1"/>
        <v>0.82233167336681001</v>
      </c>
      <c r="X111" s="13">
        <f t="shared" si="2"/>
        <v>4.6284652360382568</v>
      </c>
      <c r="Y111" s="8">
        <f t="shared" si="11"/>
        <v>-2.2851678798416469E-3</v>
      </c>
      <c r="Z111" s="8">
        <f t="shared" si="12"/>
        <v>-1.2861987970199957E-2</v>
      </c>
      <c r="AA111" s="8">
        <f t="shared" si="5"/>
        <v>0.46896568821394347</v>
      </c>
      <c r="AB111" s="8">
        <f t="shared" si="13"/>
        <v>-2.9519023820630381E-2</v>
      </c>
      <c r="AC111" s="8">
        <f t="shared" si="7"/>
        <v>0.46896568821394347</v>
      </c>
      <c r="AD111" s="9"/>
      <c r="AE111" s="9"/>
      <c r="AF111" s="9"/>
      <c r="AG111" s="9"/>
      <c r="AH111" s="9"/>
      <c r="AI111" s="9"/>
      <c r="AJ111" s="9"/>
      <c r="AK111" s="9"/>
      <c r="AL111" s="9"/>
      <c r="AM111" s="10"/>
    </row>
    <row r="112" spans="1:39" ht="15.75" customHeight="1">
      <c r="A112" s="6">
        <v>237</v>
      </c>
      <c r="B112" s="6">
        <v>2020</v>
      </c>
      <c r="C112" s="6" t="s">
        <v>119</v>
      </c>
      <c r="D112" s="7" t="s">
        <v>120</v>
      </c>
      <c r="E112" s="6" t="s">
        <v>70</v>
      </c>
      <c r="F112" s="6" t="s">
        <v>71</v>
      </c>
      <c r="G112" s="8"/>
      <c r="H112" s="15">
        <v>1653004000000</v>
      </c>
      <c r="I112" s="8">
        <v>2065208000000</v>
      </c>
      <c r="J112" s="8">
        <v>30526965000000</v>
      </c>
      <c r="K112" s="8"/>
      <c r="L112" s="13">
        <v>26967430000000</v>
      </c>
      <c r="M112" s="8">
        <v>3559535000000</v>
      </c>
      <c r="N112" s="13">
        <v>52310000000</v>
      </c>
      <c r="O112" s="8">
        <v>1688028000000</v>
      </c>
      <c r="P112" s="8">
        <v>1056241000000</v>
      </c>
      <c r="Q112" s="6"/>
      <c r="R112" s="6"/>
      <c r="S112" s="11"/>
      <c r="T112" s="10">
        <f>704784000000+12454000000</f>
        <v>717238000000</v>
      </c>
      <c r="U112" s="12">
        <v>21371000000</v>
      </c>
      <c r="V112" s="13">
        <f t="shared" si="10"/>
        <v>3559535000000</v>
      </c>
      <c r="W112" s="13">
        <f t="shared" si="1"/>
        <v>0.8833970229271072</v>
      </c>
      <c r="X112" s="13">
        <f t="shared" si="2"/>
        <v>7.5761103627299633</v>
      </c>
      <c r="Y112" s="8">
        <f t="shared" si="11"/>
        <v>7.0006959420957835E-4</v>
      </c>
      <c r="Z112" s="8">
        <f t="shared" si="12"/>
        <v>6.0038741015329246E-3</v>
      </c>
      <c r="AA112" s="8">
        <f t="shared" si="5"/>
        <v>0.37427518974803736</v>
      </c>
      <c r="AB112" s="8">
        <f t="shared" si="13"/>
        <v>1.2660335018139509E-2</v>
      </c>
      <c r="AC112" s="8">
        <f t="shared" si="7"/>
        <v>0.37427518974803736</v>
      </c>
      <c r="AD112" s="9"/>
      <c r="AE112" s="10"/>
      <c r="AF112" s="9"/>
      <c r="AG112" s="9"/>
      <c r="AH112" s="9"/>
      <c r="AI112" s="9"/>
      <c r="AJ112" s="9"/>
      <c r="AK112" s="10"/>
      <c r="AL112" s="9"/>
      <c r="AM112" s="10"/>
    </row>
    <row r="113" spans="1:39" ht="15.75" customHeight="1">
      <c r="A113" s="6">
        <v>304</v>
      </c>
      <c r="B113" s="6">
        <v>2018</v>
      </c>
      <c r="C113" s="6" t="s">
        <v>121</v>
      </c>
      <c r="D113" s="7" t="s">
        <v>122</v>
      </c>
      <c r="E113" s="6" t="s">
        <v>70</v>
      </c>
      <c r="F113" s="6" t="s">
        <v>71</v>
      </c>
      <c r="G113" s="6"/>
      <c r="H113" s="9">
        <v>1444197000000</v>
      </c>
      <c r="I113" s="10">
        <v>683878000000</v>
      </c>
      <c r="J113" s="10">
        <v>15992475000000</v>
      </c>
      <c r="K113" s="10"/>
      <c r="L113" s="10">
        <v>13476317000000</v>
      </c>
      <c r="M113" s="10">
        <v>2516158000000</v>
      </c>
      <c r="N113" s="8">
        <v>26000000000</v>
      </c>
      <c r="O113" s="10">
        <v>1240762000000</v>
      </c>
      <c r="P113" s="10">
        <v>653396000000</v>
      </c>
      <c r="Q113" s="6"/>
      <c r="R113" s="6"/>
      <c r="S113" s="11"/>
      <c r="T113" s="10">
        <v>470404000000</v>
      </c>
      <c r="U113" s="12">
        <v>89860000000</v>
      </c>
      <c r="V113" s="9">
        <f t="shared" si="10"/>
        <v>2516158000000</v>
      </c>
      <c r="W113" s="13">
        <f t="shared" si="1"/>
        <v>0.8426661289137547</v>
      </c>
      <c r="X113" s="13">
        <f t="shared" si="2"/>
        <v>5.3559104793896095</v>
      </c>
      <c r="Y113" s="8">
        <f t="shared" si="11"/>
        <v>5.6188926354426069E-3</v>
      </c>
      <c r="Z113" s="8">
        <f t="shared" si="12"/>
        <v>3.5713178584174762E-2</v>
      </c>
      <c r="AA113" s="8">
        <f t="shared" si="5"/>
        <v>0.47339135144370958</v>
      </c>
      <c r="AB113" s="8">
        <f t="shared" si="13"/>
        <v>7.2423236688422113E-2</v>
      </c>
      <c r="AC113" s="8">
        <f t="shared" si="7"/>
        <v>0.47339135144370958</v>
      </c>
      <c r="AD113" s="9"/>
      <c r="AE113" s="9"/>
      <c r="AF113" s="9"/>
      <c r="AG113" s="9"/>
      <c r="AH113" s="9"/>
      <c r="AI113" s="9"/>
      <c r="AJ113" s="9"/>
      <c r="AK113" s="9"/>
      <c r="AL113" s="9"/>
      <c r="AM113" s="10"/>
    </row>
    <row r="114" spans="1:39" ht="15.75" customHeight="1">
      <c r="A114" s="6">
        <v>305</v>
      </c>
      <c r="B114" s="6">
        <v>2019</v>
      </c>
      <c r="C114" s="6" t="s">
        <v>121</v>
      </c>
      <c r="D114" s="7" t="s">
        <v>122</v>
      </c>
      <c r="E114" s="6" t="s">
        <v>70</v>
      </c>
      <c r="F114" s="6" t="s">
        <v>71</v>
      </c>
      <c r="G114" s="6"/>
      <c r="H114" s="9">
        <v>1699912000000</v>
      </c>
      <c r="I114" s="10">
        <v>828752000000</v>
      </c>
      <c r="J114" s="10">
        <v>18893684000000</v>
      </c>
      <c r="K114" s="10"/>
      <c r="L114" s="10">
        <v>16098826000000</v>
      </c>
      <c r="M114" s="10">
        <v>2794858000000</v>
      </c>
      <c r="N114" s="8">
        <v>26000000000</v>
      </c>
      <c r="O114" s="10">
        <v>1298866000000</v>
      </c>
      <c r="P114" s="10">
        <v>738975000000</v>
      </c>
      <c r="Q114" s="6"/>
      <c r="R114" s="6"/>
      <c r="S114" s="11"/>
      <c r="T114" s="10">
        <v>493623000000</v>
      </c>
      <c r="U114" s="12">
        <v>78967000000</v>
      </c>
      <c r="V114" s="9">
        <f t="shared" si="10"/>
        <v>2794858000000</v>
      </c>
      <c r="W114" s="13">
        <f t="shared" si="1"/>
        <v>0.85207448160983323</v>
      </c>
      <c r="X114" s="13">
        <f t="shared" si="2"/>
        <v>5.7601588345454404</v>
      </c>
      <c r="Y114" s="8">
        <f t="shared" si="11"/>
        <v>4.1795448680098596E-3</v>
      </c>
      <c r="Z114" s="8">
        <f t="shared" si="12"/>
        <v>2.825438716385591E-2</v>
      </c>
      <c r="AA114" s="8">
        <f t="shared" si="5"/>
        <v>0.43106140279289779</v>
      </c>
      <c r="AB114" s="8">
        <f t="shared" si="13"/>
        <v>6.0796879739711408E-2</v>
      </c>
      <c r="AC114" s="8">
        <f t="shared" si="7"/>
        <v>0.43106140279289779</v>
      </c>
      <c r="AD114" s="9"/>
      <c r="AE114" s="9"/>
      <c r="AF114" s="9"/>
      <c r="AG114" s="9"/>
      <c r="AH114" s="9"/>
      <c r="AI114" s="9"/>
      <c r="AJ114" s="9"/>
      <c r="AK114" s="9"/>
      <c r="AL114" s="9"/>
      <c r="AM114" s="10"/>
    </row>
    <row r="115" spans="1:39" ht="15.75" customHeight="1">
      <c r="A115" s="6">
        <v>306</v>
      </c>
      <c r="B115" s="6">
        <v>2020</v>
      </c>
      <c r="C115" s="6" t="s">
        <v>121</v>
      </c>
      <c r="D115" s="7" t="s">
        <v>122</v>
      </c>
      <c r="E115" s="6" t="s">
        <v>70</v>
      </c>
      <c r="F115" s="6" t="s">
        <v>71</v>
      </c>
      <c r="G115" s="6"/>
      <c r="H115" s="9">
        <v>1174538000000</v>
      </c>
      <c r="I115" s="10">
        <v>832249000000</v>
      </c>
      <c r="J115" s="10">
        <v>25235573000000</v>
      </c>
      <c r="K115" s="10"/>
      <c r="L115" s="10">
        <v>19218857000000</v>
      </c>
      <c r="M115" s="10">
        <v>6016716000000</v>
      </c>
      <c r="N115" s="8">
        <v>26000000000</v>
      </c>
      <c r="O115" s="10">
        <v>1282612000000</v>
      </c>
      <c r="P115" s="10">
        <v>720255000000</v>
      </c>
      <c r="Q115" s="6"/>
      <c r="R115" s="6"/>
      <c r="S115" s="11"/>
      <c r="T115" s="10">
        <v>514337000000</v>
      </c>
      <c r="U115" s="12">
        <v>49979000000</v>
      </c>
      <c r="V115" s="9">
        <f t="shared" si="10"/>
        <v>6016716000000</v>
      </c>
      <c r="W115" s="13">
        <f t="shared" si="1"/>
        <v>0.76157799151221972</v>
      </c>
      <c r="X115" s="13">
        <f t="shared" si="2"/>
        <v>3.1942436704674111</v>
      </c>
      <c r="Y115" s="8">
        <f t="shared" si="11"/>
        <v>1.9804979264786259E-3</v>
      </c>
      <c r="Z115" s="8">
        <f t="shared" si="12"/>
        <v>8.30669089250681E-3</v>
      </c>
      <c r="AA115" s="8">
        <f t="shared" si="5"/>
        <v>0.43844670095087213</v>
      </c>
      <c r="AB115" s="8">
        <f t="shared" si="13"/>
        <v>3.8966577577630647E-2</v>
      </c>
      <c r="AC115" s="8">
        <f t="shared" si="7"/>
        <v>0.43844670095087213</v>
      </c>
      <c r="AD115" s="9"/>
      <c r="AE115" s="9"/>
      <c r="AF115" s="9"/>
      <c r="AG115" s="9"/>
      <c r="AH115" s="9"/>
      <c r="AI115" s="9"/>
      <c r="AJ115" s="9"/>
      <c r="AK115" s="9"/>
      <c r="AL115" s="9"/>
      <c r="AM115" s="10"/>
    </row>
    <row r="116" spans="1:39" ht="15.75" customHeight="1">
      <c r="A116" s="6">
        <v>343</v>
      </c>
      <c r="B116" s="6">
        <v>2018</v>
      </c>
      <c r="C116" s="6" t="s">
        <v>123</v>
      </c>
      <c r="D116" s="7" t="s">
        <v>124</v>
      </c>
      <c r="E116" s="6" t="s">
        <v>70</v>
      </c>
      <c r="F116" s="6" t="s">
        <v>71</v>
      </c>
      <c r="G116" s="8"/>
      <c r="H116" s="9">
        <v>13298804000000</v>
      </c>
      <c r="I116" s="10">
        <v>2799661000000</v>
      </c>
      <c r="J116" s="10">
        <v>173582894000000</v>
      </c>
      <c r="K116" s="10"/>
      <c r="L116" s="10">
        <v>149154640000000</v>
      </c>
      <c r="M116" s="10">
        <v>24428254000000</v>
      </c>
      <c r="N116" s="8">
        <v>50000000000</v>
      </c>
      <c r="O116" s="10">
        <f>11969409000000+252062000000</f>
        <v>12221471000000</v>
      </c>
      <c r="P116" s="10">
        <f>5739540000000+103996000000</f>
        <v>5843536000000</v>
      </c>
      <c r="Q116" s="6"/>
      <c r="R116" s="6"/>
      <c r="S116" s="11"/>
      <c r="T116" s="8">
        <v>3512758000000</v>
      </c>
      <c r="U116" s="12">
        <v>2638064000000</v>
      </c>
      <c r="V116" s="9">
        <f t="shared" si="10"/>
        <v>24428254000000</v>
      </c>
      <c r="W116" s="13">
        <f t="shared" si="1"/>
        <v>0.85927038409671863</v>
      </c>
      <c r="X116" s="13">
        <f t="shared" si="2"/>
        <v>6.105824837092328</v>
      </c>
      <c r="Y116" s="8">
        <f t="shared" si="11"/>
        <v>1.5197718733736517E-2</v>
      </c>
      <c r="Z116" s="8">
        <f t="shared" si="12"/>
        <v>0.1079923272453283</v>
      </c>
      <c r="AA116" s="8">
        <f t="shared" si="5"/>
        <v>0.52186312105964983</v>
      </c>
      <c r="AB116" s="8">
        <f t="shared" si="13"/>
        <v>0.21585486722506644</v>
      </c>
      <c r="AC116" s="8">
        <f t="shared" si="7"/>
        <v>0.52186312105964983</v>
      </c>
      <c r="AD116" s="9"/>
      <c r="AE116" s="10"/>
      <c r="AF116" s="9"/>
      <c r="AG116" s="9"/>
      <c r="AH116" s="9"/>
      <c r="AI116" s="9"/>
      <c r="AJ116" s="9"/>
      <c r="AK116" s="10"/>
      <c r="AL116" s="9"/>
      <c r="AM116" s="10"/>
    </row>
    <row r="117" spans="1:39" ht="15.75" customHeight="1">
      <c r="A117" s="6">
        <v>344</v>
      </c>
      <c r="B117" s="6">
        <v>2019</v>
      </c>
      <c r="C117" s="6" t="s">
        <v>123</v>
      </c>
      <c r="D117" s="7" t="s">
        <v>124</v>
      </c>
      <c r="E117" s="6" t="s">
        <v>70</v>
      </c>
      <c r="F117" s="6" t="s">
        <v>71</v>
      </c>
      <c r="G117" s="8"/>
      <c r="H117" s="9">
        <v>11864535000000</v>
      </c>
      <c r="I117" s="10">
        <v>2784242000000</v>
      </c>
      <c r="J117" s="10">
        <v>180706987000000</v>
      </c>
      <c r="K117" s="10"/>
      <c r="L117" s="10">
        <v>153042184000000</v>
      </c>
      <c r="M117" s="10">
        <v>27664803000000</v>
      </c>
      <c r="N117" s="8">
        <v>50000000000</v>
      </c>
      <c r="O117" s="10">
        <f>13093859000000+402232000000</f>
        <v>13496091000000</v>
      </c>
      <c r="P117" s="10">
        <f>6781624000000+275535000000</f>
        <v>7057159000000</v>
      </c>
      <c r="Q117" s="6"/>
      <c r="R117" s="6"/>
      <c r="S117" s="11"/>
      <c r="T117" s="8">
        <v>3768918000000</v>
      </c>
      <c r="U117" s="12">
        <v>2939243000000</v>
      </c>
      <c r="V117" s="9">
        <f t="shared" si="10"/>
        <v>27664803000000</v>
      </c>
      <c r="W117" s="13">
        <f t="shared" si="1"/>
        <v>0.84690795049335865</v>
      </c>
      <c r="X117" s="13">
        <f t="shared" si="2"/>
        <v>5.5320178495397201</v>
      </c>
      <c r="Y117" s="8">
        <f t="shared" si="11"/>
        <v>1.6265242693687322E-2</v>
      </c>
      <c r="Z117" s="8">
        <f t="shared" si="12"/>
        <v>0.10624485560226112</v>
      </c>
      <c r="AA117" s="8">
        <f t="shared" si="5"/>
        <v>0.47709607174403312</v>
      </c>
      <c r="AB117" s="8">
        <f t="shared" si="13"/>
        <v>0.21778476449217776</v>
      </c>
      <c r="AC117" s="8">
        <f t="shared" si="7"/>
        <v>0.47709607174403312</v>
      </c>
      <c r="AD117" s="9"/>
      <c r="AE117" s="10"/>
      <c r="AF117" s="9"/>
      <c r="AG117" s="9"/>
      <c r="AH117" s="9"/>
      <c r="AI117" s="9"/>
      <c r="AJ117" s="9"/>
      <c r="AK117" s="10"/>
      <c r="AL117" s="9"/>
      <c r="AM117" s="10"/>
    </row>
    <row r="118" spans="1:39" ht="15.75" customHeight="1">
      <c r="A118" s="6">
        <v>345</v>
      </c>
      <c r="B118" s="6">
        <v>2020</v>
      </c>
      <c r="C118" s="6" t="s">
        <v>123</v>
      </c>
      <c r="D118" s="7" t="s">
        <v>124</v>
      </c>
      <c r="E118" s="6" t="s">
        <v>70</v>
      </c>
      <c r="F118" s="6" t="s">
        <v>71</v>
      </c>
      <c r="G118" s="8"/>
      <c r="H118" s="9">
        <v>16040385000000</v>
      </c>
      <c r="I118" s="10">
        <v>3001632000000</v>
      </c>
      <c r="J118" s="10">
        <v>206297200000000</v>
      </c>
      <c r="K118" s="10"/>
      <c r="L118" s="10">
        <v>176467884000000</v>
      </c>
      <c r="M118" s="10">
        <v>29829316000000</v>
      </c>
      <c r="N118" s="8">
        <v>50000000000</v>
      </c>
      <c r="O118" s="10">
        <f>12086931000000+397731000000</f>
        <v>12484662000000</v>
      </c>
      <c r="P118" s="10">
        <f>5451214000000+206892000000</f>
        <v>5658106000000</v>
      </c>
      <c r="Q118" s="6"/>
      <c r="R118" s="6"/>
      <c r="S118" s="11"/>
      <c r="T118" s="8">
        <v>3839552000000</v>
      </c>
      <c r="U118" s="19">
        <v>2101671000000</v>
      </c>
      <c r="V118" s="9">
        <f t="shared" si="10"/>
        <v>29829316000000</v>
      </c>
      <c r="W118" s="13">
        <f t="shared" si="1"/>
        <v>0.85540610342748225</v>
      </c>
      <c r="X118" s="13">
        <f t="shared" si="2"/>
        <v>5.9159212366787086</v>
      </c>
      <c r="Y118" s="8">
        <f t="shared" si="11"/>
        <v>1.0187588585787883E-2</v>
      </c>
      <c r="Z118" s="8">
        <f t="shared" si="12"/>
        <v>7.0456560250996031E-2</v>
      </c>
      <c r="AA118" s="8">
        <f t="shared" si="5"/>
        <v>0.54679541985197522</v>
      </c>
      <c r="AB118" s="8">
        <f t="shared" si="13"/>
        <v>0.16834024020834526</v>
      </c>
      <c r="AC118" s="8">
        <f t="shared" si="7"/>
        <v>0.54679541985197522</v>
      </c>
      <c r="AD118" s="9"/>
      <c r="AE118" s="10"/>
      <c r="AF118" s="9"/>
      <c r="AG118" s="9"/>
      <c r="AH118" s="9"/>
      <c r="AI118" s="9"/>
      <c r="AJ118" s="9"/>
      <c r="AK118" s="10"/>
      <c r="AL118" s="9"/>
      <c r="AM118" s="10"/>
    </row>
    <row r="119" spans="1:39" ht="15.75" customHeight="1">
      <c r="A119" s="6">
        <v>346</v>
      </c>
      <c r="B119" s="6">
        <v>2018</v>
      </c>
      <c r="C119" s="6" t="s">
        <v>125</v>
      </c>
      <c r="D119" s="7" t="s">
        <v>126</v>
      </c>
      <c r="E119" s="6" t="s">
        <v>70</v>
      </c>
      <c r="F119" s="6" t="s">
        <v>71</v>
      </c>
      <c r="G119" s="6"/>
      <c r="H119" s="9">
        <v>889399000000</v>
      </c>
      <c r="I119" s="10">
        <v>63494000000</v>
      </c>
      <c r="J119" s="10">
        <v>11793981000000</v>
      </c>
      <c r="K119" s="10"/>
      <c r="L119" s="10">
        <v>10379604000000</v>
      </c>
      <c r="M119" s="10">
        <v>1414377000000</v>
      </c>
      <c r="N119" s="8">
        <v>7950000000</v>
      </c>
      <c r="O119" s="10">
        <v>747203000000</v>
      </c>
      <c r="P119" s="10">
        <v>315463000000</v>
      </c>
      <c r="Q119" s="6"/>
      <c r="R119" s="6"/>
      <c r="S119" s="11"/>
      <c r="T119" s="8">
        <v>433657000000</v>
      </c>
      <c r="U119" s="10">
        <v>44748000000</v>
      </c>
      <c r="V119" s="9">
        <f t="shared" si="10"/>
        <v>1414377000000</v>
      </c>
      <c r="W119" s="13">
        <f t="shared" si="1"/>
        <v>0.88007637115915316</v>
      </c>
      <c r="X119" s="13">
        <f t="shared" si="2"/>
        <v>7.3386402635223851</v>
      </c>
      <c r="Y119" s="8">
        <f t="shared" si="11"/>
        <v>3.7941387221159676E-3</v>
      </c>
      <c r="Z119" s="8">
        <f t="shared" si="12"/>
        <v>3.1637957913625572E-2</v>
      </c>
      <c r="AA119" s="8">
        <f t="shared" si="5"/>
        <v>0.57780817261172668</v>
      </c>
      <c r="AB119" s="8">
        <f t="shared" si="13"/>
        <v>5.988733985275755E-2</v>
      </c>
      <c r="AC119" s="8">
        <f t="shared" si="7"/>
        <v>0.57780817261172668</v>
      </c>
      <c r="AD119" s="10"/>
      <c r="AE119" s="9"/>
      <c r="AF119" s="9"/>
      <c r="AG119" s="9"/>
      <c r="AH119" s="9"/>
      <c r="AI119" s="9"/>
      <c r="AJ119" s="9"/>
      <c r="AK119" s="10"/>
      <c r="AL119" s="9"/>
      <c r="AM119" s="10"/>
    </row>
    <row r="120" spans="1:39" ht="15.75" customHeight="1">
      <c r="A120" s="6">
        <v>347</v>
      </c>
      <c r="B120" s="6">
        <v>2019</v>
      </c>
      <c r="C120" s="6" t="s">
        <v>125</v>
      </c>
      <c r="D120" s="7" t="s">
        <v>126</v>
      </c>
      <c r="E120" s="6" t="s">
        <v>70</v>
      </c>
      <c r="F120" s="6" t="s">
        <v>71</v>
      </c>
      <c r="G120" s="6"/>
      <c r="H120" s="9">
        <v>345081000000</v>
      </c>
      <c r="I120" s="10">
        <v>60705000000</v>
      </c>
      <c r="J120" s="10">
        <v>13147503000000</v>
      </c>
      <c r="K120" s="10"/>
      <c r="L120" s="10">
        <v>11683086000000</v>
      </c>
      <c r="M120" s="10">
        <v>1464417000000</v>
      </c>
      <c r="N120" s="8">
        <v>7950000000</v>
      </c>
      <c r="O120" s="10">
        <v>821937000000</v>
      </c>
      <c r="P120" s="10">
        <v>385728000000</v>
      </c>
      <c r="Q120" s="6"/>
      <c r="R120" s="6"/>
      <c r="S120" s="11"/>
      <c r="T120" s="8">
        <v>466161000000</v>
      </c>
      <c r="U120" s="18">
        <v>45794000000</v>
      </c>
      <c r="V120" s="9">
        <f t="shared" si="10"/>
        <v>1464417000000</v>
      </c>
      <c r="W120" s="13">
        <f t="shared" si="1"/>
        <v>0.8886163403043148</v>
      </c>
      <c r="X120" s="13">
        <f t="shared" si="2"/>
        <v>7.9779775842536651</v>
      </c>
      <c r="Y120" s="8">
        <f>T121/J120</f>
        <v>3.5171393381693845E-2</v>
      </c>
      <c r="Z120" s="8">
        <f>T121/M120</f>
        <v>0.31576798138781509</v>
      </c>
      <c r="AA120" s="8">
        <f t="shared" si="5"/>
        <v>0.5307085579551718</v>
      </c>
      <c r="AB120" s="8">
        <f>T121/O120</f>
        <v>0.56259299678685837</v>
      </c>
      <c r="AC120" s="8">
        <f t="shared" si="7"/>
        <v>0.5307085579551718</v>
      </c>
      <c r="AD120" s="10"/>
      <c r="AE120" s="9"/>
      <c r="AF120" s="9"/>
      <c r="AG120" s="9"/>
      <c r="AH120" s="9"/>
      <c r="AI120" s="9"/>
      <c r="AJ120" s="9"/>
      <c r="AK120" s="10"/>
      <c r="AL120" s="9"/>
      <c r="AM120" s="10"/>
    </row>
    <row r="121" spans="1:39" ht="15.75" customHeight="1">
      <c r="A121" s="6">
        <v>348</v>
      </c>
      <c r="B121" s="6">
        <v>2020</v>
      </c>
      <c r="C121" s="6" t="s">
        <v>125</v>
      </c>
      <c r="D121" s="7" t="s">
        <v>126</v>
      </c>
      <c r="E121" s="6" t="s">
        <v>70</v>
      </c>
      <c r="F121" s="6" t="s">
        <v>71</v>
      </c>
      <c r="G121" s="6"/>
      <c r="H121" s="9">
        <v>264437000000</v>
      </c>
      <c r="I121" s="10">
        <v>92302000000</v>
      </c>
      <c r="J121" s="10">
        <v>13737934000000</v>
      </c>
      <c r="K121" s="10"/>
      <c r="L121" s="10">
        <v>12218080000000</v>
      </c>
      <c r="M121" s="10">
        <v>1519854000000</v>
      </c>
      <c r="N121" s="8">
        <v>7950000000</v>
      </c>
      <c r="O121" s="10">
        <v>792351000000</v>
      </c>
      <c r="P121" s="10">
        <v>360971000000</v>
      </c>
      <c r="Q121" s="6"/>
      <c r="R121" s="6"/>
      <c r="S121" s="11"/>
      <c r="T121" s="12">
        <v>462416000000</v>
      </c>
      <c r="U121" s="18">
        <v>53607000000</v>
      </c>
      <c r="V121" s="9">
        <f t="shared" si="10"/>
        <v>1519854000000</v>
      </c>
      <c r="W121" s="13">
        <f t="shared" si="1"/>
        <v>0.88936808111030374</v>
      </c>
      <c r="X121" s="13">
        <f t="shared" si="2"/>
        <v>8.0389826917585498</v>
      </c>
      <c r="Y121" s="8">
        <f t="shared" ref="Y121:Y178" si="17">U121/J121</f>
        <v>3.9021151215313742E-3</v>
      </c>
      <c r="Z121" s="8">
        <f t="shared" ref="Z121:Z178" si="18">U121/M121</f>
        <v>3.5271151044771402E-2</v>
      </c>
      <c r="AA121" s="8">
        <f t="shared" si="5"/>
        <v>0.5444304355014381</v>
      </c>
      <c r="AB121" s="8">
        <f t="shared" ref="AB121:AB127" si="19">U121/O121</f>
        <v>6.7655622318896547E-2</v>
      </c>
      <c r="AC121" s="8">
        <f t="shared" si="7"/>
        <v>0.5444304355014381</v>
      </c>
      <c r="AD121" s="10"/>
      <c r="AE121" s="9"/>
      <c r="AF121" s="9"/>
      <c r="AG121" s="9"/>
      <c r="AH121" s="9"/>
      <c r="AI121" s="9"/>
      <c r="AJ121" s="9"/>
      <c r="AK121" s="10"/>
      <c r="AL121" s="9"/>
      <c r="AM121" s="10"/>
    </row>
    <row r="122" spans="1:39" ht="15.75" customHeight="1">
      <c r="A122" s="6">
        <v>367</v>
      </c>
      <c r="B122" s="6">
        <v>2018</v>
      </c>
      <c r="C122" s="6" t="s">
        <v>127</v>
      </c>
      <c r="D122" s="7" t="s">
        <v>128</v>
      </c>
      <c r="E122" s="6" t="s">
        <v>70</v>
      </c>
      <c r="F122" s="6" t="s">
        <v>71</v>
      </c>
      <c r="G122" s="6"/>
      <c r="H122" s="9">
        <v>12287930000000</v>
      </c>
      <c r="I122" s="10">
        <v>10260918000000</v>
      </c>
      <c r="J122" s="10">
        <v>207204418000000</v>
      </c>
      <c r="K122" s="10"/>
      <c r="L122" s="10">
        <v>166457301000000</v>
      </c>
      <c r="M122" s="10">
        <v>40747117000000</v>
      </c>
      <c r="N122" s="8">
        <v>96000000000</v>
      </c>
      <c r="O122" s="10">
        <v>17212026000000</v>
      </c>
      <c r="P122" s="10">
        <v>8247532000000</v>
      </c>
      <c r="Q122" s="6"/>
      <c r="R122" s="6"/>
      <c r="S122" s="11"/>
      <c r="T122" s="15">
        <v>5048285000000</v>
      </c>
      <c r="U122" s="12">
        <v>3187157000000</v>
      </c>
      <c r="V122" s="9">
        <f t="shared" si="10"/>
        <v>40747117000000</v>
      </c>
      <c r="W122" s="13">
        <f t="shared" si="1"/>
        <v>0.80334822300941477</v>
      </c>
      <c r="X122" s="13">
        <f t="shared" si="2"/>
        <v>4.0851307590669546</v>
      </c>
      <c r="Y122" s="8">
        <f t="shared" si="17"/>
        <v>1.5381703878534096E-2</v>
      </c>
      <c r="Z122" s="8">
        <f t="shared" si="18"/>
        <v>7.8217975519593197E-2</v>
      </c>
      <c r="AA122" s="8">
        <f t="shared" si="5"/>
        <v>0.5208273564076652</v>
      </c>
      <c r="AB122" s="8">
        <f t="shared" si="19"/>
        <v>0.18517035705151735</v>
      </c>
      <c r="AC122" s="8">
        <f t="shared" si="7"/>
        <v>0.5208273564076652</v>
      </c>
      <c r="AD122" s="10"/>
      <c r="AE122" s="9"/>
      <c r="AF122" s="9"/>
      <c r="AG122" s="9"/>
      <c r="AH122" s="9"/>
      <c r="AI122" s="9"/>
      <c r="AJ122" s="9"/>
      <c r="AK122" s="10"/>
      <c r="AL122" s="9"/>
      <c r="AM122" s="10"/>
    </row>
    <row r="123" spans="1:39" ht="15.75" customHeight="1">
      <c r="A123" s="6">
        <v>368</v>
      </c>
      <c r="B123" s="6">
        <v>2019</v>
      </c>
      <c r="C123" s="6" t="s">
        <v>127</v>
      </c>
      <c r="D123" s="7" t="s">
        <v>128</v>
      </c>
      <c r="E123" s="6" t="s">
        <v>70</v>
      </c>
      <c r="F123" s="6" t="s">
        <v>71</v>
      </c>
      <c r="G123" s="6"/>
      <c r="H123" s="9">
        <v>17901920000000</v>
      </c>
      <c r="I123" s="10">
        <v>10312649000000</v>
      </c>
      <c r="J123" s="10">
        <v>211287370000000</v>
      </c>
      <c r="K123" s="10"/>
      <c r="L123" s="10">
        <v>166845656000000</v>
      </c>
      <c r="M123" s="10">
        <v>44441714000000</v>
      </c>
      <c r="N123" s="8">
        <v>96000000000</v>
      </c>
      <c r="O123" s="10">
        <v>17724694000000</v>
      </c>
      <c r="P123" s="10">
        <v>8755818000000</v>
      </c>
      <c r="Q123" s="6"/>
      <c r="R123" s="6"/>
      <c r="S123" s="11"/>
      <c r="T123" s="15">
        <v>4865928000000</v>
      </c>
      <c r="U123" s="12">
        <v>3498299000000</v>
      </c>
      <c r="V123" s="9">
        <f t="shared" si="10"/>
        <v>44441714000000</v>
      </c>
      <c r="W123" s="13">
        <f t="shared" si="1"/>
        <v>0.78966223111206313</v>
      </c>
      <c r="X123" s="13">
        <f t="shared" si="2"/>
        <v>3.7542579028342606</v>
      </c>
      <c r="Y123" s="8">
        <f t="shared" si="17"/>
        <v>1.6557066331035309E-2</v>
      </c>
      <c r="Z123" s="8">
        <f t="shared" si="18"/>
        <v>7.8716563452075672E-2</v>
      </c>
      <c r="AA123" s="8">
        <f t="shared" si="5"/>
        <v>0.50601020248925033</v>
      </c>
      <c r="AB123" s="8">
        <f t="shared" si="19"/>
        <v>0.19736865414996727</v>
      </c>
      <c r="AC123" s="8">
        <f t="shared" si="7"/>
        <v>0.50601020248925033</v>
      </c>
      <c r="AD123" s="10"/>
      <c r="AE123" s="9"/>
      <c r="AF123" s="9"/>
      <c r="AG123" s="9"/>
      <c r="AH123" s="9"/>
      <c r="AI123" s="9"/>
      <c r="AJ123" s="9"/>
      <c r="AK123" s="10"/>
      <c r="AL123" s="9"/>
      <c r="AM123" s="10"/>
    </row>
    <row r="124" spans="1:39" ht="15.75" customHeight="1">
      <c r="A124" s="6">
        <v>369</v>
      </c>
      <c r="B124" s="6">
        <v>2020</v>
      </c>
      <c r="C124" s="6" t="s">
        <v>127</v>
      </c>
      <c r="D124" s="7" t="s">
        <v>128</v>
      </c>
      <c r="E124" s="6" t="s">
        <v>70</v>
      </c>
      <c r="F124" s="6" t="s">
        <v>71</v>
      </c>
      <c r="G124" s="6"/>
      <c r="H124" s="9">
        <v>43062197000000</v>
      </c>
      <c r="I124" s="10">
        <v>10326085000000</v>
      </c>
      <c r="J124" s="10">
        <v>218067091000000</v>
      </c>
      <c r="K124" s="10"/>
      <c r="L124" s="10">
        <v>170606759000000</v>
      </c>
      <c r="M124" s="10">
        <v>47460332000000</v>
      </c>
      <c r="N124" s="8">
        <v>96000000000</v>
      </c>
      <c r="O124" s="10">
        <v>16185399000000</v>
      </c>
      <c r="P124" s="10">
        <v>7378410000000</v>
      </c>
      <c r="Q124" s="6"/>
      <c r="R124" s="6"/>
      <c r="S124" s="11"/>
      <c r="T124" s="15">
        <v>5475803000000</v>
      </c>
      <c r="U124" s="12">
        <v>3124205000000</v>
      </c>
      <c r="V124" s="9">
        <f t="shared" si="10"/>
        <v>47460332000000</v>
      </c>
      <c r="W124" s="13">
        <f t="shared" si="1"/>
        <v>0.78235903555021058</v>
      </c>
      <c r="X124" s="13">
        <f t="shared" si="2"/>
        <v>3.594723252252007</v>
      </c>
      <c r="Y124" s="8">
        <f t="shared" si="17"/>
        <v>1.432680642307463E-2</v>
      </c>
      <c r="Z124" s="8">
        <f t="shared" si="18"/>
        <v>6.5827710602614414E-2</v>
      </c>
      <c r="AA124" s="8">
        <f t="shared" si="5"/>
        <v>0.54413172020041023</v>
      </c>
      <c r="AB124" s="8">
        <f t="shared" si="19"/>
        <v>0.19302613423370038</v>
      </c>
      <c r="AC124" s="8">
        <f t="shared" si="7"/>
        <v>0.54413172020041023</v>
      </c>
      <c r="AD124" s="10"/>
      <c r="AE124" s="9"/>
      <c r="AF124" s="9"/>
      <c r="AG124" s="9"/>
      <c r="AH124" s="9"/>
      <c r="AI124" s="9"/>
      <c r="AJ124" s="9"/>
      <c r="AK124" s="10"/>
      <c r="AL124" s="9"/>
      <c r="AM124" s="10"/>
    </row>
    <row r="125" spans="1:39" ht="15.75" customHeight="1">
      <c r="A125" s="6">
        <v>370</v>
      </c>
      <c r="B125" s="6">
        <v>2018</v>
      </c>
      <c r="C125" s="6" t="s">
        <v>129</v>
      </c>
      <c r="D125" s="7" t="s">
        <v>130</v>
      </c>
      <c r="E125" s="6" t="s">
        <v>70</v>
      </c>
      <c r="F125" s="6" t="s">
        <v>71</v>
      </c>
      <c r="G125" s="6"/>
      <c r="H125" s="9">
        <v>663128925000</v>
      </c>
      <c r="I125" s="10">
        <v>89050545000</v>
      </c>
      <c r="J125" s="10">
        <v>8771057795000</v>
      </c>
      <c r="K125" s="10"/>
      <c r="L125" s="10">
        <v>854502894000</v>
      </c>
      <c r="M125" s="10">
        <v>1668466115000</v>
      </c>
      <c r="N125" s="8">
        <v>39000000000</v>
      </c>
      <c r="O125" s="10">
        <f>598862358000+393316662000+74879284000</f>
        <v>1067058304000</v>
      </c>
      <c r="P125" s="10">
        <f>3166444000+279508545000</f>
        <v>282674989000</v>
      </c>
      <c r="Q125" s="6"/>
      <c r="R125" s="6"/>
      <c r="S125" s="11"/>
      <c r="T125" s="9">
        <v>279508545000</v>
      </c>
      <c r="U125" s="12">
        <v>20788229000</v>
      </c>
      <c r="V125" s="9">
        <f t="shared" si="10"/>
        <v>1668466115000</v>
      </c>
      <c r="W125" s="13">
        <f t="shared" si="1"/>
        <v>9.7423014871377889E-2</v>
      </c>
      <c r="X125" s="13">
        <f t="shared" si="2"/>
        <v>0.51214878523319607</v>
      </c>
      <c r="Y125" s="8">
        <f t="shared" si="17"/>
        <v>2.3700937202637599E-3</v>
      </c>
      <c r="Z125" s="8">
        <f t="shared" si="18"/>
        <v>1.2459485279987241E-2</v>
      </c>
      <c r="AA125" s="8">
        <f t="shared" si="5"/>
        <v>0.73508946236549788</v>
      </c>
      <c r="AB125" s="8">
        <f t="shared" si="19"/>
        <v>1.9481811745499521E-2</v>
      </c>
      <c r="AC125" s="8">
        <f t="shared" si="7"/>
        <v>0.73508946236549788</v>
      </c>
      <c r="AD125" s="10"/>
      <c r="AE125" s="10"/>
      <c r="AF125" s="9"/>
      <c r="AG125" s="9"/>
      <c r="AH125" s="9"/>
      <c r="AI125" s="9"/>
      <c r="AJ125" s="9"/>
      <c r="AK125" s="10"/>
      <c r="AL125" s="9"/>
      <c r="AM125" s="10"/>
    </row>
    <row r="126" spans="1:39" ht="15.75" customHeight="1">
      <c r="A126" s="6">
        <v>371</v>
      </c>
      <c r="B126" s="6">
        <v>2019</v>
      </c>
      <c r="C126" s="6" t="s">
        <v>129</v>
      </c>
      <c r="D126" s="7" t="s">
        <v>130</v>
      </c>
      <c r="E126" s="6" t="s">
        <v>70</v>
      </c>
      <c r="F126" s="6" t="s">
        <v>71</v>
      </c>
      <c r="G126" s="6"/>
      <c r="H126" s="9">
        <v>434994969000</v>
      </c>
      <c r="I126" s="9">
        <v>98158654000</v>
      </c>
      <c r="J126" s="10">
        <v>11135824845000</v>
      </c>
      <c r="K126" s="10"/>
      <c r="L126" s="10">
        <v>583700944000</v>
      </c>
      <c r="M126" s="10">
        <v>1694565519000</v>
      </c>
      <c r="N126" s="8">
        <v>39000000000</v>
      </c>
      <c r="O126" s="8">
        <f>662560004000+522517916000+77069920000</f>
        <v>1262147840000</v>
      </c>
      <c r="P126" s="10">
        <f>10045836000+208607338000</f>
        <v>218653174000</v>
      </c>
      <c r="Q126" s="6"/>
      <c r="R126" s="6"/>
      <c r="S126" s="11"/>
      <c r="T126" s="9">
        <v>208607338000</v>
      </c>
      <c r="U126" s="12">
        <v>13237011000</v>
      </c>
      <c r="V126" s="9">
        <f t="shared" si="10"/>
        <v>1694565519000</v>
      </c>
      <c r="W126" s="13">
        <f t="shared" si="1"/>
        <v>5.2416498294877767E-2</v>
      </c>
      <c r="X126" s="13">
        <f t="shared" si="2"/>
        <v>0.34445463303446339</v>
      </c>
      <c r="Y126" s="8">
        <f t="shared" si="17"/>
        <v>1.1886870693681424E-3</v>
      </c>
      <c r="Z126" s="8">
        <f t="shared" si="18"/>
        <v>7.8114483338545971E-3</v>
      </c>
      <c r="AA126" s="8">
        <f t="shared" si="5"/>
        <v>0.82676104409448581</v>
      </c>
      <c r="AB126" s="8">
        <f t="shared" si="19"/>
        <v>1.0487686608884106E-2</v>
      </c>
      <c r="AC126" s="8">
        <f t="shared" si="7"/>
        <v>0.82676104409448581</v>
      </c>
      <c r="AD126" s="10"/>
      <c r="AE126" s="10"/>
      <c r="AF126" s="9"/>
      <c r="AG126" s="9"/>
      <c r="AH126" s="9"/>
      <c r="AI126" s="9"/>
      <c r="AJ126" s="9"/>
      <c r="AK126" s="10"/>
      <c r="AL126" s="9"/>
      <c r="AM126" s="10"/>
    </row>
    <row r="127" spans="1:39" ht="15.75" customHeight="1">
      <c r="A127" s="6">
        <v>372</v>
      </c>
      <c r="B127" s="6">
        <v>2020</v>
      </c>
      <c r="C127" s="6" t="s">
        <v>129</v>
      </c>
      <c r="D127" s="7" t="s">
        <v>130</v>
      </c>
      <c r="E127" s="6" t="s">
        <v>70</v>
      </c>
      <c r="F127" s="6" t="s">
        <v>71</v>
      </c>
      <c r="G127" s="6"/>
      <c r="H127" s="9">
        <v>560337860000</v>
      </c>
      <c r="I127" s="10">
        <v>198947537000</v>
      </c>
      <c r="J127" s="10">
        <v>11302082193000</v>
      </c>
      <c r="K127" s="10"/>
      <c r="L127" s="10">
        <v>600931510000</v>
      </c>
      <c r="M127" s="10">
        <v>3115653432000</v>
      </c>
      <c r="N127" s="8">
        <v>39000000000</v>
      </c>
      <c r="O127" s="8">
        <f>715082040000+591221428000+93597479000</f>
        <v>1399900947000</v>
      </c>
      <c r="P127" s="10">
        <f>3396751000+215546807000</f>
        <v>218943558000</v>
      </c>
      <c r="Q127" s="6"/>
      <c r="R127" s="6"/>
      <c r="S127" s="11"/>
      <c r="T127" s="9">
        <v>215546807000</v>
      </c>
      <c r="U127" s="12">
        <v>128116000</v>
      </c>
      <c r="V127" s="9">
        <f t="shared" si="10"/>
        <v>3115653432000</v>
      </c>
      <c r="W127" s="13">
        <f t="shared" si="1"/>
        <v>5.3169982286289677E-2</v>
      </c>
      <c r="X127" s="13">
        <f t="shared" si="2"/>
        <v>0.19287495323709675</v>
      </c>
      <c r="Y127" s="8">
        <f t="shared" si="17"/>
        <v>1.1335610360305933E-5</v>
      </c>
      <c r="Z127" s="8">
        <f t="shared" si="18"/>
        <v>4.1120106197998982E-5</v>
      </c>
      <c r="AA127" s="8">
        <f t="shared" si="5"/>
        <v>0.84360067869859079</v>
      </c>
      <c r="AB127" s="8">
        <f t="shared" si="19"/>
        <v>9.1517903659222251E-5</v>
      </c>
      <c r="AC127" s="8">
        <f t="shared" si="7"/>
        <v>0.84360067869859079</v>
      </c>
      <c r="AD127" s="10"/>
      <c r="AE127" s="10"/>
      <c r="AF127" s="9"/>
      <c r="AG127" s="9"/>
      <c r="AH127" s="9"/>
      <c r="AI127" s="9"/>
      <c r="AJ127" s="9"/>
      <c r="AK127" s="10"/>
      <c r="AL127" s="9"/>
      <c r="AM127" s="10"/>
    </row>
    <row r="128" spans="1:39" ht="15.75" customHeight="1">
      <c r="A128" s="6">
        <v>409</v>
      </c>
      <c r="B128" s="6">
        <v>2018</v>
      </c>
      <c r="C128" s="6" t="s">
        <v>131</v>
      </c>
      <c r="D128" s="7" t="s">
        <v>132</v>
      </c>
      <c r="E128" s="6" t="s">
        <v>70</v>
      </c>
      <c r="F128" s="6" t="s">
        <v>71</v>
      </c>
      <c r="G128" s="6"/>
      <c r="H128" s="9">
        <f>1311851000000+449000000</f>
        <v>1312300000000</v>
      </c>
      <c r="I128" s="9">
        <v>355058000000</v>
      </c>
      <c r="J128" s="10">
        <v>29631693000000</v>
      </c>
      <c r="K128" s="10"/>
      <c r="L128" s="10">
        <v>23081225000000</v>
      </c>
      <c r="M128" s="10">
        <v>6550468000000</v>
      </c>
      <c r="N128" s="8">
        <v>15000000000</v>
      </c>
      <c r="O128" s="10">
        <v>2214687000000</v>
      </c>
      <c r="P128" s="10">
        <v>924860000000</v>
      </c>
      <c r="Q128" s="6"/>
      <c r="R128" s="6"/>
      <c r="S128" s="11"/>
      <c r="T128" s="18">
        <v>817755000000</v>
      </c>
      <c r="U128" s="18">
        <v>537971000000</v>
      </c>
      <c r="V128" s="9">
        <f t="shared" si="10"/>
        <v>6550468000000</v>
      </c>
      <c r="W128" s="13">
        <f t="shared" si="1"/>
        <v>0.7789370995440591</v>
      </c>
      <c r="X128" s="13">
        <f t="shared" si="2"/>
        <v>3.5235993825174017</v>
      </c>
      <c r="Y128" s="8">
        <f t="shared" si="17"/>
        <v>1.8155256940600727E-2</v>
      </c>
      <c r="Z128" s="8">
        <f t="shared" si="18"/>
        <v>8.2127109085946226E-2</v>
      </c>
      <c r="AA128" s="8">
        <f t="shared" si="5"/>
        <v>0.58239697076832975</v>
      </c>
      <c r="AB128" s="8">
        <f t="shared" ref="AB128:AB129" si="20">U129/O128</f>
        <v>0.22567116707688264</v>
      </c>
      <c r="AC128" s="8">
        <f t="shared" si="7"/>
        <v>0.58239697076832975</v>
      </c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spans="1:39" ht="15.75" customHeight="1">
      <c r="A129" s="6">
        <v>410</v>
      </c>
      <c r="B129" s="6">
        <v>2019</v>
      </c>
      <c r="C129" s="6" t="s">
        <v>131</v>
      </c>
      <c r="D129" s="7" t="s">
        <v>132</v>
      </c>
      <c r="E129" s="6" t="s">
        <v>70</v>
      </c>
      <c r="F129" s="6" t="s">
        <v>71</v>
      </c>
      <c r="G129" s="6"/>
      <c r="H129" s="9">
        <f>449000000+1832381000000</f>
        <v>1832830000000</v>
      </c>
      <c r="I129" s="10">
        <v>370993000000</v>
      </c>
      <c r="J129" s="10">
        <v>36936262000000</v>
      </c>
      <c r="K129" s="10"/>
      <c r="L129" s="10">
        <v>30000672000000</v>
      </c>
      <c r="M129" s="10">
        <v>6935590000000</v>
      </c>
      <c r="N129" s="8">
        <v>15000000000</v>
      </c>
      <c r="O129" s="10">
        <v>2438993000000</v>
      </c>
      <c r="P129" s="10">
        <v>1325908000000</v>
      </c>
      <c r="Q129" s="6"/>
      <c r="R129" s="6"/>
      <c r="S129" s="11"/>
      <c r="T129" s="10">
        <v>772982000000</v>
      </c>
      <c r="U129" s="12">
        <v>499791000000</v>
      </c>
      <c r="V129" s="9">
        <f t="shared" si="10"/>
        <v>6935590000000</v>
      </c>
      <c r="W129" s="13">
        <f t="shared" si="1"/>
        <v>0.81222815670952297</v>
      </c>
      <c r="X129" s="13">
        <f t="shared" si="2"/>
        <v>4.325612096447454</v>
      </c>
      <c r="Y129" s="8">
        <f t="shared" si="17"/>
        <v>1.3531174324028783E-2</v>
      </c>
      <c r="Z129" s="8">
        <f t="shared" si="18"/>
        <v>7.2061785659186889E-2</v>
      </c>
      <c r="AA129" s="8">
        <f t="shared" si="5"/>
        <v>0.45637072349121133</v>
      </c>
      <c r="AB129" s="8">
        <f t="shared" si="20"/>
        <v>0.21976323835287759</v>
      </c>
      <c r="AC129" s="8">
        <f t="shared" si="7"/>
        <v>0.45637072349121133</v>
      </c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spans="1:39" ht="15.75" customHeight="1">
      <c r="A130" s="6">
        <v>411</v>
      </c>
      <c r="B130" s="6">
        <v>2020</v>
      </c>
      <c r="C130" s="6" t="s">
        <v>131</v>
      </c>
      <c r="D130" s="7" t="s">
        <v>132</v>
      </c>
      <c r="E130" s="6" t="s">
        <v>70</v>
      </c>
      <c r="F130" s="6" t="s">
        <v>71</v>
      </c>
      <c r="G130" s="6"/>
      <c r="H130" s="9">
        <f>1989822000000+449000000</f>
        <v>1990271000000</v>
      </c>
      <c r="I130" s="10">
        <v>448354000000</v>
      </c>
      <c r="J130" s="10">
        <v>38053939000000</v>
      </c>
      <c r="K130" s="10"/>
      <c r="L130" s="10">
        <v>30782968000000</v>
      </c>
      <c r="M130" s="10">
        <v>7270971000000</v>
      </c>
      <c r="N130" s="8">
        <v>15000000000</v>
      </c>
      <c r="O130" s="10">
        <v>2425276000000</v>
      </c>
      <c r="P130" s="10">
        <v>1178215000000</v>
      </c>
      <c r="Q130" s="6"/>
      <c r="R130" s="6"/>
      <c r="S130" s="11"/>
      <c r="T130" s="18">
        <v>812041000000</v>
      </c>
      <c r="U130" s="12">
        <v>536001000000</v>
      </c>
      <c r="V130" s="9">
        <f t="shared" si="10"/>
        <v>7270971000000</v>
      </c>
      <c r="W130" s="13">
        <f t="shared" si="1"/>
        <v>0.80892987188527321</v>
      </c>
      <c r="X130" s="13">
        <f t="shared" si="2"/>
        <v>4.2336804809151349</v>
      </c>
      <c r="Y130" s="8">
        <f t="shared" si="17"/>
        <v>1.4085296137148904E-2</v>
      </c>
      <c r="Z130" s="8">
        <f t="shared" si="18"/>
        <v>7.371793946090556E-2</v>
      </c>
      <c r="AA130" s="8">
        <f t="shared" si="5"/>
        <v>0.51419343612850665</v>
      </c>
      <c r="AB130" s="8" t="e">
        <f>#REF!/O130</f>
        <v>#REF!</v>
      </c>
      <c r="AC130" s="8">
        <f t="shared" si="7"/>
        <v>0.51419343612850665</v>
      </c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spans="1:39" ht="15.75" customHeight="1">
      <c r="A131" s="6">
        <v>361</v>
      </c>
      <c r="B131" s="6">
        <v>2018</v>
      </c>
      <c r="C131" s="6" t="s">
        <v>133</v>
      </c>
      <c r="D131" s="7" t="s">
        <v>134</v>
      </c>
      <c r="E131" s="6" t="s">
        <v>135</v>
      </c>
      <c r="F131" s="6" t="s">
        <v>136</v>
      </c>
      <c r="G131" s="8"/>
      <c r="H131" s="21">
        <v>63633805</v>
      </c>
      <c r="I131" s="22">
        <v>2861408876</v>
      </c>
      <c r="J131" s="22">
        <v>7939273167</v>
      </c>
      <c r="K131" s="22">
        <v>3132858090</v>
      </c>
      <c r="L131" s="22">
        <v>4737382456</v>
      </c>
      <c r="M131" s="22">
        <v>3201890711</v>
      </c>
      <c r="N131" s="8">
        <v>70000000000</v>
      </c>
      <c r="O131" s="22">
        <v>3870266738</v>
      </c>
      <c r="P131" s="22">
        <v>2560766539</v>
      </c>
      <c r="Q131" s="6"/>
      <c r="R131" s="6"/>
      <c r="S131" s="11"/>
      <c r="T131" s="21">
        <f>437777037+251687465+36672208</f>
        <v>726136710</v>
      </c>
      <c r="U131" s="22">
        <v>364638660</v>
      </c>
      <c r="V131" s="21">
        <f t="shared" si="10"/>
        <v>3201890711</v>
      </c>
      <c r="W131" s="13">
        <f t="shared" si="1"/>
        <v>0.59670228701679839</v>
      </c>
      <c r="X131" s="13">
        <f t="shared" si="2"/>
        <v>1.4795578249204022</v>
      </c>
      <c r="Y131" s="8">
        <f t="shared" si="17"/>
        <v>4.5928468806897771E-2</v>
      </c>
      <c r="Z131" s="8">
        <f t="shared" si="18"/>
        <v>0.11388229421675598</v>
      </c>
      <c r="AA131" s="8">
        <f t="shared" si="5"/>
        <v>0.3383488239047569</v>
      </c>
      <c r="AB131" s="8">
        <f t="shared" ref="AB131:AB178" si="21">U131/O131</f>
        <v>9.4215382216376833E-2</v>
      </c>
      <c r="AC131" s="8">
        <f t="shared" si="7"/>
        <v>0.3383488239047569</v>
      </c>
      <c r="AD131" s="10"/>
      <c r="AE131" s="10"/>
      <c r="AF131" s="9"/>
      <c r="AG131" s="10"/>
      <c r="AH131" s="9"/>
      <c r="AI131" s="10"/>
      <c r="AJ131" s="9"/>
      <c r="AK131" s="10"/>
      <c r="AL131" s="9"/>
      <c r="AM131" s="10"/>
    </row>
    <row r="132" spans="1:39" ht="15.75" customHeight="1">
      <c r="A132" s="6">
        <v>362</v>
      </c>
      <c r="B132" s="6">
        <v>2019</v>
      </c>
      <c r="C132" s="6" t="s">
        <v>133</v>
      </c>
      <c r="D132" s="7" t="s">
        <v>134</v>
      </c>
      <c r="E132" s="6" t="s">
        <v>135</v>
      </c>
      <c r="F132" s="6" t="s">
        <v>136</v>
      </c>
      <c r="G132" s="8"/>
      <c r="H132" s="21">
        <v>186360050</v>
      </c>
      <c r="I132" s="22">
        <v>2747699602</v>
      </c>
      <c r="J132" s="22">
        <v>7373713156</v>
      </c>
      <c r="K132" s="22">
        <v>3016050978</v>
      </c>
      <c r="L132" s="22">
        <v>4139412275</v>
      </c>
      <c r="M132" s="22">
        <v>3234300881</v>
      </c>
      <c r="N132" s="8">
        <v>70000000000</v>
      </c>
      <c r="O132" s="23">
        <v>3848717684</v>
      </c>
      <c r="P132" s="22">
        <v>2621348716</v>
      </c>
      <c r="Q132" s="6"/>
      <c r="R132" s="6"/>
      <c r="S132" s="11"/>
      <c r="T132" s="21">
        <f>439144207+269785012+34197787</f>
        <v>743127006</v>
      </c>
      <c r="U132" s="22">
        <v>364638660</v>
      </c>
      <c r="V132" s="21">
        <f t="shared" si="10"/>
        <v>3234300881</v>
      </c>
      <c r="W132" s="13">
        <f t="shared" si="1"/>
        <v>0.56137419335762406</v>
      </c>
      <c r="X132" s="13">
        <f t="shared" si="2"/>
        <v>1.2798476169354263</v>
      </c>
      <c r="Y132" s="8">
        <f t="shared" si="17"/>
        <v>4.9451158769756733E-2</v>
      </c>
      <c r="Z132" s="8">
        <f t="shared" si="18"/>
        <v>0.11274110647592529</v>
      </c>
      <c r="AA132" s="8">
        <f t="shared" si="5"/>
        <v>0.31890335139479148</v>
      </c>
      <c r="AB132" s="8">
        <f t="shared" si="21"/>
        <v>9.4742896190044376E-2</v>
      </c>
      <c r="AC132" s="8">
        <f t="shared" si="7"/>
        <v>0.31890335139479148</v>
      </c>
      <c r="AD132" s="10"/>
      <c r="AE132" s="10"/>
      <c r="AF132" s="9"/>
      <c r="AG132" s="10"/>
      <c r="AH132" s="9"/>
      <c r="AI132" s="9"/>
      <c r="AJ132" s="9"/>
      <c r="AK132" s="10"/>
      <c r="AL132" s="9"/>
      <c r="AM132" s="10"/>
    </row>
    <row r="133" spans="1:39" ht="15.75" customHeight="1">
      <c r="A133" s="6">
        <v>363</v>
      </c>
      <c r="B133" s="6">
        <v>2020</v>
      </c>
      <c r="C133" s="6" t="s">
        <v>133</v>
      </c>
      <c r="D133" s="7" t="s">
        <v>134</v>
      </c>
      <c r="E133" s="6" t="s">
        <v>135</v>
      </c>
      <c r="F133" s="6" t="s">
        <v>136</v>
      </c>
      <c r="G133" s="8"/>
      <c r="H133" s="21"/>
      <c r="I133" s="22">
        <v>2697687577</v>
      </c>
      <c r="J133" s="22">
        <v>7533986395</v>
      </c>
      <c r="K133" s="22">
        <v>3395392204</v>
      </c>
      <c r="L133" s="22">
        <v>4578547540</v>
      </c>
      <c r="M133" s="22">
        <v>2955438855</v>
      </c>
      <c r="N133" s="8">
        <v>70000000000</v>
      </c>
      <c r="O133" s="22">
        <v>2885536105</v>
      </c>
      <c r="P133" s="22">
        <v>2031118705</v>
      </c>
      <c r="Q133" s="6"/>
      <c r="R133" s="6"/>
      <c r="S133" s="11"/>
      <c r="T133" s="21">
        <f>351935301+176570782+64152453</f>
        <v>592658536</v>
      </c>
      <c r="U133" s="22">
        <v>364638660</v>
      </c>
      <c r="V133" s="21">
        <f t="shared" si="10"/>
        <v>2955438855</v>
      </c>
      <c r="W133" s="13">
        <f t="shared" si="1"/>
        <v>0.60771911441711601</v>
      </c>
      <c r="X133" s="13">
        <f t="shared" si="2"/>
        <v>1.5491937964658045</v>
      </c>
      <c r="Y133" s="8">
        <f t="shared" si="17"/>
        <v>4.8399166242455098E-2</v>
      </c>
      <c r="Z133" s="8">
        <f t="shared" si="18"/>
        <v>0.12337885433938373</v>
      </c>
      <c r="AA133" s="8">
        <f t="shared" si="5"/>
        <v>0.29610352077018975</v>
      </c>
      <c r="AB133" s="8">
        <f t="shared" si="21"/>
        <v>0.12636773435901957</v>
      </c>
      <c r="AC133" s="8">
        <f t="shared" si="7"/>
        <v>0.29610352077018975</v>
      </c>
      <c r="AD133" s="10"/>
      <c r="AE133" s="9"/>
      <c r="AF133" s="9"/>
      <c r="AG133" s="9"/>
      <c r="AH133" s="9"/>
      <c r="AI133" s="9"/>
      <c r="AJ133" s="9"/>
      <c r="AK133" s="10"/>
      <c r="AL133" s="9"/>
      <c r="AM133" s="10"/>
    </row>
    <row r="134" spans="1:39" ht="15.75" customHeight="1">
      <c r="A134" s="6">
        <v>388</v>
      </c>
      <c r="B134" s="6">
        <v>2018</v>
      </c>
      <c r="C134" s="6" t="s">
        <v>137</v>
      </c>
      <c r="D134" s="7" t="s">
        <v>138</v>
      </c>
      <c r="E134" s="6" t="s">
        <v>135</v>
      </c>
      <c r="F134" s="6" t="s">
        <v>136</v>
      </c>
      <c r="G134" s="8"/>
      <c r="H134" s="9" t="s">
        <v>139</v>
      </c>
      <c r="I134" s="10" t="s">
        <v>140</v>
      </c>
      <c r="J134" s="22">
        <v>191104140</v>
      </c>
      <c r="K134" s="22">
        <v>41515394</v>
      </c>
      <c r="L134" s="22">
        <v>59348916</v>
      </c>
      <c r="M134" s="22">
        <v>131755224</v>
      </c>
      <c r="N134" s="8">
        <v>4227082500</v>
      </c>
      <c r="O134" s="22">
        <v>118108044</v>
      </c>
      <c r="P134" s="22">
        <v>97600789</v>
      </c>
      <c r="Q134" s="6"/>
      <c r="R134" s="6"/>
      <c r="S134" s="11"/>
      <c r="T134" s="21">
        <f>14282428+846675+228753</f>
        <v>15357856</v>
      </c>
      <c r="U134" s="22">
        <v>364638660</v>
      </c>
      <c r="V134" s="21">
        <f t="shared" si="10"/>
        <v>131755224</v>
      </c>
      <c r="W134" s="13">
        <f t="shared" si="1"/>
        <v>0.31055798163242304</v>
      </c>
      <c r="X134" s="13">
        <f t="shared" si="2"/>
        <v>0.45044829493819538</v>
      </c>
      <c r="Y134" s="8">
        <f t="shared" si="17"/>
        <v>1.9080625882830169</v>
      </c>
      <c r="Z134" s="8">
        <f t="shared" si="18"/>
        <v>2.7675461278104616</v>
      </c>
      <c r="AA134" s="8">
        <f t="shared" si="5"/>
        <v>0.17363131506944607</v>
      </c>
      <c r="AB134" s="8">
        <f t="shared" si="21"/>
        <v>3.0873312913386322</v>
      </c>
      <c r="AC134" s="8">
        <f t="shared" si="7"/>
        <v>0.17363131506944607</v>
      </c>
      <c r="AD134" s="10"/>
      <c r="AE134" s="10"/>
      <c r="AF134" s="9"/>
      <c r="AG134" s="9"/>
      <c r="AH134" s="9"/>
      <c r="AI134" s="10"/>
      <c r="AJ134" s="9"/>
      <c r="AK134" s="10"/>
      <c r="AL134" s="9"/>
      <c r="AM134" s="10"/>
    </row>
    <row r="135" spans="1:39" ht="15.75" customHeight="1">
      <c r="A135" s="6">
        <v>389</v>
      </c>
      <c r="B135" s="6">
        <v>2019</v>
      </c>
      <c r="C135" s="6" t="s">
        <v>137</v>
      </c>
      <c r="D135" s="7" t="s">
        <v>138</v>
      </c>
      <c r="E135" s="6" t="s">
        <v>135</v>
      </c>
      <c r="F135" s="6" t="s">
        <v>136</v>
      </c>
      <c r="G135" s="8"/>
      <c r="H135" s="9" t="s">
        <v>141</v>
      </c>
      <c r="I135" s="10" t="s">
        <v>142</v>
      </c>
      <c r="J135" s="22">
        <v>180440085</v>
      </c>
      <c r="K135" s="22">
        <v>34222355</v>
      </c>
      <c r="L135" s="22">
        <v>57738790</v>
      </c>
      <c r="M135" s="22">
        <v>122701295</v>
      </c>
      <c r="N135" s="8">
        <v>4227082500</v>
      </c>
      <c r="O135" s="22">
        <v>122131956</v>
      </c>
      <c r="P135" s="22">
        <v>105032586</v>
      </c>
      <c r="Q135" s="6"/>
      <c r="R135" s="6"/>
      <c r="S135" s="11"/>
      <c r="T135" s="21">
        <f>14251151+883211+373610</f>
        <v>15507972</v>
      </c>
      <c r="U135" s="22">
        <v>364638660</v>
      </c>
      <c r="V135" s="21">
        <f t="shared" si="10"/>
        <v>122701295</v>
      </c>
      <c r="W135" s="13">
        <f t="shared" si="1"/>
        <v>0.31998870982575739</v>
      </c>
      <c r="X135" s="13">
        <f t="shared" si="2"/>
        <v>0.47056381923271468</v>
      </c>
      <c r="Y135" s="8">
        <f t="shared" si="17"/>
        <v>2.0208295734287645</v>
      </c>
      <c r="Z135" s="8">
        <f t="shared" si="18"/>
        <v>2.9717588555198216</v>
      </c>
      <c r="AA135" s="8">
        <f t="shared" si="5"/>
        <v>0.14000733763733383</v>
      </c>
      <c r="AB135" s="8">
        <f t="shared" si="21"/>
        <v>2.9856122176574327</v>
      </c>
      <c r="AC135" s="8">
        <f t="shared" si="7"/>
        <v>0.14000733763733383</v>
      </c>
      <c r="AD135" s="10"/>
      <c r="AE135" s="10"/>
      <c r="AF135" s="9"/>
      <c r="AG135" s="9"/>
      <c r="AH135" s="9"/>
      <c r="AI135" s="10"/>
      <c r="AJ135" s="9"/>
      <c r="AK135" s="10"/>
      <c r="AL135" s="9"/>
      <c r="AM135" s="10"/>
    </row>
    <row r="136" spans="1:39" ht="15.75" customHeight="1">
      <c r="A136" s="6">
        <v>390</v>
      </c>
      <c r="B136" s="6">
        <v>2020</v>
      </c>
      <c r="C136" s="6" t="s">
        <v>137</v>
      </c>
      <c r="D136" s="7" t="s">
        <v>138</v>
      </c>
      <c r="E136" s="6" t="s">
        <v>135</v>
      </c>
      <c r="F136" s="6" t="s">
        <v>136</v>
      </c>
      <c r="G136" s="8"/>
      <c r="H136" s="9" t="s">
        <v>143</v>
      </c>
      <c r="I136" s="10" t="s">
        <v>144</v>
      </c>
      <c r="J136" s="22">
        <v>166644038</v>
      </c>
      <c r="K136" s="22">
        <v>21589868</v>
      </c>
      <c r="L136" s="22">
        <v>43397454</v>
      </c>
      <c r="M136" s="22">
        <v>123246585</v>
      </c>
      <c r="N136" s="8">
        <v>4227082500</v>
      </c>
      <c r="O136" s="22">
        <v>98764724</v>
      </c>
      <c r="P136" s="22">
        <v>82671897</v>
      </c>
      <c r="Q136" s="6"/>
      <c r="R136" s="6"/>
      <c r="S136" s="11"/>
      <c r="T136" s="21">
        <f>8765+3168464</f>
        <v>3177229</v>
      </c>
      <c r="U136" s="22">
        <v>364638660</v>
      </c>
      <c r="V136" s="21">
        <f t="shared" si="10"/>
        <v>123246585</v>
      </c>
      <c r="W136" s="13">
        <f t="shared" si="1"/>
        <v>0.26042008175534009</v>
      </c>
      <c r="X136" s="13">
        <f t="shared" si="2"/>
        <v>0.35211891672292583</v>
      </c>
      <c r="Y136" s="8">
        <f t="shared" si="17"/>
        <v>2.1881290466569228</v>
      </c>
      <c r="Z136" s="8">
        <f t="shared" si="18"/>
        <v>2.9586106584616525</v>
      </c>
      <c r="AA136" s="8">
        <f t="shared" si="5"/>
        <v>0.16294104158079761</v>
      </c>
      <c r="AB136" s="8">
        <f t="shared" si="21"/>
        <v>3.6919929022431126</v>
      </c>
      <c r="AC136" s="8">
        <f t="shared" si="7"/>
        <v>0.16294104158079761</v>
      </c>
      <c r="AD136" s="10"/>
      <c r="AE136" s="10"/>
      <c r="AF136" s="9"/>
      <c r="AG136" s="9"/>
      <c r="AH136" s="9"/>
      <c r="AI136" s="10"/>
      <c r="AJ136" s="9"/>
      <c r="AK136" s="10"/>
      <c r="AL136" s="9"/>
      <c r="AM136" s="10"/>
    </row>
    <row r="137" spans="1:39" ht="15.75" customHeight="1">
      <c r="A137" s="6">
        <v>157</v>
      </c>
      <c r="B137" s="6">
        <v>2018</v>
      </c>
      <c r="C137" s="6" t="s">
        <v>145</v>
      </c>
      <c r="D137" s="7" t="s">
        <v>146</v>
      </c>
      <c r="E137" s="6" t="s">
        <v>147</v>
      </c>
      <c r="F137" s="6" t="s">
        <v>148</v>
      </c>
      <c r="G137" s="8"/>
      <c r="H137" s="6"/>
      <c r="I137" s="8">
        <v>394751573000</v>
      </c>
      <c r="J137" s="8">
        <v>1682821739000</v>
      </c>
      <c r="K137" s="8">
        <v>66022510000</v>
      </c>
      <c r="L137" s="8">
        <v>482559876000</v>
      </c>
      <c r="M137" s="8">
        <v>1200261863000</v>
      </c>
      <c r="N137" s="8">
        <v>4480000000</v>
      </c>
      <c r="O137" s="8">
        <v>1699657296000</v>
      </c>
      <c r="P137" s="8">
        <v>774247594000</v>
      </c>
      <c r="Q137" s="6"/>
      <c r="R137" s="6"/>
      <c r="S137" s="11"/>
      <c r="T137" s="9">
        <f>533559771000+143901017000+1573773000</f>
        <v>679034561000</v>
      </c>
      <c r="U137" s="12">
        <v>200651968000</v>
      </c>
      <c r="V137" s="13">
        <f t="shared" si="10"/>
        <v>1200261863000</v>
      </c>
      <c r="W137" s="13">
        <f t="shared" si="1"/>
        <v>0.28675638352922417</v>
      </c>
      <c r="X137" s="13">
        <f t="shared" si="2"/>
        <v>0.40204549596690803</v>
      </c>
      <c r="Y137" s="8">
        <f t="shared" si="17"/>
        <v>0.11923542663481126</v>
      </c>
      <c r="Z137" s="8">
        <f t="shared" si="18"/>
        <v>0.16717349287302982</v>
      </c>
      <c r="AA137" s="8">
        <f t="shared" si="5"/>
        <v>0.54446840794192664</v>
      </c>
      <c r="AB137" s="8">
        <f t="shared" si="21"/>
        <v>0.11805436806126592</v>
      </c>
      <c r="AC137" s="8">
        <f t="shared" si="7"/>
        <v>0.54446840794192664</v>
      </c>
      <c r="AD137" s="9"/>
      <c r="AE137" s="9"/>
      <c r="AF137" s="9"/>
      <c r="AG137" s="9"/>
      <c r="AH137" s="9"/>
      <c r="AI137" s="9"/>
      <c r="AJ137" s="9"/>
      <c r="AK137" s="9"/>
      <c r="AL137" s="9">
        <f>23172448000+6674555000</f>
        <v>29847003000</v>
      </c>
      <c r="AM137" s="10">
        <f>256728673000+7443761000</f>
        <v>264172434000</v>
      </c>
    </row>
    <row r="138" spans="1:39" ht="15.75" customHeight="1">
      <c r="A138" s="6">
        <v>158</v>
      </c>
      <c r="B138" s="6">
        <v>2019</v>
      </c>
      <c r="C138" s="6" t="s">
        <v>145</v>
      </c>
      <c r="D138" s="7" t="s">
        <v>146</v>
      </c>
      <c r="E138" s="6" t="s">
        <v>147</v>
      </c>
      <c r="F138" s="6" t="s">
        <v>148</v>
      </c>
      <c r="G138" s="8"/>
      <c r="H138" s="6"/>
      <c r="I138" s="8">
        <v>392923654000</v>
      </c>
      <c r="J138" s="8">
        <v>1829960714000</v>
      </c>
      <c r="K138" s="8">
        <v>84437689000</v>
      </c>
      <c r="L138" s="8">
        <v>523881726000</v>
      </c>
      <c r="M138" s="8">
        <v>1306078988000</v>
      </c>
      <c r="N138" s="8">
        <v>4480000000</v>
      </c>
      <c r="O138" s="8">
        <v>1813020278000</v>
      </c>
      <c r="P138" s="8">
        <v>839538301000</v>
      </c>
      <c r="Q138" s="6"/>
      <c r="R138" s="6"/>
      <c r="S138" s="11"/>
      <c r="T138" s="9">
        <f>528370142000+151683716000+9850622000</f>
        <v>689904480000</v>
      </c>
      <c r="U138" s="12">
        <v>221783249000</v>
      </c>
      <c r="V138" s="13">
        <f t="shared" si="10"/>
        <v>1306078988000</v>
      </c>
      <c r="W138" s="13">
        <f t="shared" si="1"/>
        <v>0.28628031301004203</v>
      </c>
      <c r="X138" s="13">
        <f t="shared" si="2"/>
        <v>0.40111029333855264</v>
      </c>
      <c r="Y138" s="8">
        <f t="shared" si="17"/>
        <v>0.12119563403916878</v>
      </c>
      <c r="Z138" s="8">
        <f t="shared" si="18"/>
        <v>0.16980845035997164</v>
      </c>
      <c r="AA138" s="8">
        <f t="shared" si="5"/>
        <v>0.5369393761408332</v>
      </c>
      <c r="AB138" s="8">
        <f t="shared" si="21"/>
        <v>0.12232805760157085</v>
      </c>
      <c r="AC138" s="8">
        <f t="shared" si="7"/>
        <v>0.5369393761408332</v>
      </c>
      <c r="AD138" s="9"/>
      <c r="AE138" s="9"/>
      <c r="AF138" s="9"/>
      <c r="AG138" s="9"/>
      <c r="AH138" s="9"/>
      <c r="AI138" s="10"/>
      <c r="AJ138" s="9"/>
      <c r="AK138" s="10"/>
      <c r="AL138" s="9">
        <f>23668051000+3230954000</f>
        <v>26899005000</v>
      </c>
      <c r="AM138" s="10">
        <f>233741159000+6279084000</f>
        <v>240020243000</v>
      </c>
    </row>
    <row r="139" spans="1:39" ht="15.75" customHeight="1">
      <c r="A139" s="6">
        <v>159</v>
      </c>
      <c r="B139" s="6">
        <v>2020</v>
      </c>
      <c r="C139" s="6" t="s">
        <v>145</v>
      </c>
      <c r="D139" s="7" t="s">
        <v>146</v>
      </c>
      <c r="E139" s="6" t="s">
        <v>147</v>
      </c>
      <c r="F139" s="6" t="s">
        <v>148</v>
      </c>
      <c r="G139" s="8"/>
      <c r="H139" s="6"/>
      <c r="I139" s="8">
        <v>434473766000</v>
      </c>
      <c r="J139" s="8">
        <v>1986711872000</v>
      </c>
      <c r="K139" s="8">
        <v>104581208000</v>
      </c>
      <c r="L139" s="8">
        <v>660424729000</v>
      </c>
      <c r="M139" s="8">
        <v>1326287143000</v>
      </c>
      <c r="N139" s="8">
        <v>4480000000</v>
      </c>
      <c r="O139" s="8">
        <v>1829699557000</v>
      </c>
      <c r="P139" s="8">
        <v>897710889000</v>
      </c>
      <c r="Q139" s="6"/>
      <c r="R139" s="6"/>
      <c r="S139" s="11"/>
      <c r="T139" s="9">
        <f>221783249000+221783249000+221783249000</f>
        <v>665349747000</v>
      </c>
      <c r="U139" s="12">
        <v>221783249000</v>
      </c>
      <c r="V139" s="13">
        <f t="shared" si="10"/>
        <v>1326287143000</v>
      </c>
      <c r="W139" s="13">
        <f t="shared" si="1"/>
        <v>0.33242099083807158</v>
      </c>
      <c r="X139" s="13">
        <f t="shared" si="2"/>
        <v>0.49795003479122169</v>
      </c>
      <c r="Y139" s="8">
        <f t="shared" si="17"/>
        <v>0.11163332344550464</v>
      </c>
      <c r="Z139" s="8">
        <f t="shared" si="18"/>
        <v>0.16722114073905336</v>
      </c>
      <c r="AA139" s="8">
        <f t="shared" si="5"/>
        <v>0.50936705123769122</v>
      </c>
      <c r="AB139" s="8">
        <f t="shared" si="21"/>
        <v>0.12121293255579009</v>
      </c>
      <c r="AC139" s="8">
        <f t="shared" si="7"/>
        <v>0.50936705123769122</v>
      </c>
      <c r="AD139" s="9"/>
      <c r="AE139" s="9"/>
      <c r="AF139" s="9"/>
      <c r="AG139" s="9"/>
      <c r="AH139" s="9"/>
      <c r="AI139" s="10"/>
      <c r="AJ139" s="9"/>
      <c r="AK139" s="10"/>
      <c r="AL139" s="9">
        <f>679235000+26303077000</f>
        <v>26982312000</v>
      </c>
      <c r="AM139" s="10">
        <f>235423017000+148013098000</f>
        <v>383436115000</v>
      </c>
    </row>
    <row r="140" spans="1:39" ht="15.75" customHeight="1">
      <c r="A140" s="6">
        <v>262</v>
      </c>
      <c r="B140" s="6">
        <v>2018</v>
      </c>
      <c r="C140" s="6" t="s">
        <v>149</v>
      </c>
      <c r="D140" s="7" t="s">
        <v>150</v>
      </c>
      <c r="E140" s="6" t="s">
        <v>147</v>
      </c>
      <c r="F140" s="6" t="s">
        <v>148</v>
      </c>
      <c r="G140" s="6"/>
      <c r="H140" s="9">
        <v>165000000000</v>
      </c>
      <c r="I140" s="8">
        <v>2693681582098</v>
      </c>
      <c r="J140" s="8">
        <v>9460427317681</v>
      </c>
      <c r="K140" s="8">
        <v>2329663106364</v>
      </c>
      <c r="L140" s="8">
        <v>6103967587830</v>
      </c>
      <c r="M140" s="8">
        <v>3356459729851</v>
      </c>
      <c r="N140" s="8">
        <v>20000000000</v>
      </c>
      <c r="O140" s="8">
        <v>7454114741189</v>
      </c>
      <c r="P140" s="8">
        <v>4673936445914</v>
      </c>
      <c r="Q140" s="6"/>
      <c r="R140" s="6"/>
      <c r="S140" s="11"/>
      <c r="T140" s="18">
        <v>2596191418000</v>
      </c>
      <c r="U140" s="12">
        <v>535085322000</v>
      </c>
      <c r="V140" s="13">
        <f t="shared" si="10"/>
        <v>3356459729851</v>
      </c>
      <c r="W140" s="13">
        <f t="shared" si="1"/>
        <v>0.64521055792289972</v>
      </c>
      <c r="X140" s="13">
        <f t="shared" si="2"/>
        <v>1.8185731631289279</v>
      </c>
      <c r="Y140" s="8">
        <f t="shared" si="17"/>
        <v>5.6560375555124873E-2</v>
      </c>
      <c r="Z140" s="8">
        <f t="shared" si="18"/>
        <v>0.15941955663616841</v>
      </c>
      <c r="AA140" s="8">
        <f t="shared" si="5"/>
        <v>0.37297229675210714</v>
      </c>
      <c r="AB140" s="8">
        <f t="shared" si="21"/>
        <v>7.1783885891009105E-2</v>
      </c>
      <c r="AC140" s="8">
        <f t="shared" si="7"/>
        <v>0.37297229675210714</v>
      </c>
      <c r="AD140" s="9"/>
      <c r="AE140" s="9"/>
      <c r="AF140" s="9"/>
      <c r="AG140" s="9"/>
      <c r="AH140" s="9"/>
      <c r="AI140" s="9"/>
      <c r="AJ140" s="9"/>
      <c r="AK140" s="9"/>
      <c r="AL140" s="9"/>
      <c r="AM140" s="10"/>
    </row>
    <row r="141" spans="1:39" ht="15.75" customHeight="1">
      <c r="A141" s="6">
        <v>263</v>
      </c>
      <c r="B141" s="6">
        <v>2019</v>
      </c>
      <c r="C141" s="6" t="s">
        <v>149</v>
      </c>
      <c r="D141" s="7" t="s">
        <v>150</v>
      </c>
      <c r="E141" s="6" t="s">
        <v>147</v>
      </c>
      <c r="F141" s="6" t="s">
        <v>148</v>
      </c>
      <c r="G141" s="6"/>
      <c r="H141" s="9">
        <v>184426181000</v>
      </c>
      <c r="I141" s="8">
        <v>9279811270000</v>
      </c>
      <c r="J141" s="8">
        <v>18352877132000</v>
      </c>
      <c r="K141" s="8">
        <v>3547810027000</v>
      </c>
      <c r="L141" s="8">
        <v>10939950304000</v>
      </c>
      <c r="M141" s="8">
        <v>7412926828000</v>
      </c>
      <c r="N141" s="8">
        <v>20000000000</v>
      </c>
      <c r="O141" s="8">
        <v>9400535476000</v>
      </c>
      <c r="P141" s="8">
        <v>5897247790000</v>
      </c>
      <c r="Q141" s="6"/>
      <c r="R141" s="6"/>
      <c r="S141" s="11"/>
      <c r="T141" s="10">
        <v>3211857197000</v>
      </c>
      <c r="U141" s="12">
        <v>15890439000</v>
      </c>
      <c r="V141" s="13">
        <f t="shared" si="10"/>
        <v>7412926828000</v>
      </c>
      <c r="W141" s="13">
        <f t="shared" si="1"/>
        <v>0.59608911590897906</v>
      </c>
      <c r="X141" s="13">
        <f t="shared" si="2"/>
        <v>1.4757936450522859</v>
      </c>
      <c r="Y141" s="8">
        <f t="shared" si="17"/>
        <v>8.6582822331946504E-4</v>
      </c>
      <c r="Z141" s="8">
        <f t="shared" si="18"/>
        <v>2.1436120130012433E-3</v>
      </c>
      <c r="AA141" s="8">
        <f t="shared" si="5"/>
        <v>0.37266895007673284</v>
      </c>
      <c r="AB141" s="8">
        <f t="shared" si="21"/>
        <v>1.690375940877945E-3</v>
      </c>
      <c r="AC141" s="8">
        <f t="shared" si="7"/>
        <v>0.37266895007673284</v>
      </c>
      <c r="AD141" s="9"/>
      <c r="AE141" s="9"/>
      <c r="AF141" s="9"/>
      <c r="AG141" s="9"/>
      <c r="AH141" s="9"/>
      <c r="AI141" s="9"/>
      <c r="AJ141" s="9"/>
      <c r="AK141" s="9"/>
      <c r="AL141" s="9"/>
      <c r="AM141" s="10"/>
    </row>
    <row r="142" spans="1:39" ht="15.75" customHeight="1">
      <c r="A142" s="6">
        <v>264</v>
      </c>
      <c r="B142" s="6">
        <v>2020</v>
      </c>
      <c r="C142" s="6" t="s">
        <v>149</v>
      </c>
      <c r="D142" s="7" t="s">
        <v>150</v>
      </c>
      <c r="E142" s="6" t="s">
        <v>147</v>
      </c>
      <c r="F142" s="6" t="s">
        <v>148</v>
      </c>
      <c r="G142" s="6"/>
      <c r="H142" s="9">
        <v>166010181000</v>
      </c>
      <c r="I142" s="8">
        <v>9402411784000</v>
      </c>
      <c r="J142" s="8">
        <v>17562816674000</v>
      </c>
      <c r="K142" s="8">
        <v>3670202731000</v>
      </c>
      <c r="L142" s="8">
        <v>10457144628000</v>
      </c>
      <c r="M142" s="8">
        <v>7105672046000</v>
      </c>
      <c r="N142" s="8">
        <v>20000000000</v>
      </c>
      <c r="O142" s="8">
        <v>10006173023000</v>
      </c>
      <c r="P142" s="8">
        <v>6349041832000</v>
      </c>
      <c r="Q142" s="6"/>
      <c r="R142" s="6"/>
      <c r="S142" s="11"/>
      <c r="T142" s="10">
        <v>3326011792000</v>
      </c>
      <c r="U142" s="12">
        <v>20425756000</v>
      </c>
      <c r="V142" s="13">
        <f t="shared" si="10"/>
        <v>7105672046000</v>
      </c>
      <c r="W142" s="13">
        <f t="shared" si="1"/>
        <v>0.59541386909087091</v>
      </c>
      <c r="X142" s="13">
        <f t="shared" si="2"/>
        <v>1.4716615909520685</v>
      </c>
      <c r="Y142" s="8">
        <f t="shared" si="17"/>
        <v>1.1630113995460818E-3</v>
      </c>
      <c r="Z142" s="8">
        <f t="shared" si="18"/>
        <v>2.8745706060974603E-3</v>
      </c>
      <c r="AA142" s="8">
        <f t="shared" si="5"/>
        <v>0.36548750282388554</v>
      </c>
      <c r="AB142" s="8">
        <f t="shared" si="21"/>
        <v>2.0413154912522244E-3</v>
      </c>
      <c r="AC142" s="8">
        <f t="shared" si="7"/>
        <v>0.36548750282388554</v>
      </c>
      <c r="AD142" s="9"/>
      <c r="AE142" s="9"/>
      <c r="AF142" s="9"/>
      <c r="AG142" s="9"/>
      <c r="AH142" s="9"/>
      <c r="AI142" s="9"/>
      <c r="AJ142" s="9"/>
      <c r="AK142" s="9"/>
      <c r="AL142" s="9"/>
      <c r="AM142" s="10"/>
    </row>
    <row r="143" spans="1:39" ht="15.75" customHeight="1">
      <c r="A143" s="6">
        <v>271</v>
      </c>
      <c r="B143" s="6">
        <v>2018</v>
      </c>
      <c r="C143" s="6" t="s">
        <v>151</v>
      </c>
      <c r="D143" s="7" t="s">
        <v>152</v>
      </c>
      <c r="E143" s="6" t="s">
        <v>147</v>
      </c>
      <c r="F143" s="6" t="s">
        <v>148</v>
      </c>
      <c r="G143" s="6"/>
      <c r="H143" s="15">
        <v>22801731228</v>
      </c>
      <c r="I143" s="8">
        <v>6252801150475</v>
      </c>
      <c r="J143" s="8">
        <v>18146206145369</v>
      </c>
      <c r="K143" s="8">
        <v>565443877421</v>
      </c>
      <c r="L143" s="8">
        <v>2851611349015</v>
      </c>
      <c r="M143" s="8">
        <v>15294594796354</v>
      </c>
      <c r="N143" s="8">
        <v>85000000000</v>
      </c>
      <c r="O143" s="8">
        <v>21074306186027</v>
      </c>
      <c r="P143" s="8">
        <v>11226380392484</v>
      </c>
      <c r="Q143" s="6"/>
      <c r="R143" s="6"/>
      <c r="S143" s="11"/>
      <c r="T143" s="10">
        <f>5199866625949+1191705459131+75205073037+243606080000</f>
        <v>6710383238117</v>
      </c>
      <c r="U143" s="24">
        <v>2497261964757</v>
      </c>
      <c r="V143" s="13">
        <f t="shared" si="10"/>
        <v>15294594796354</v>
      </c>
      <c r="W143" s="13">
        <f t="shared" si="1"/>
        <v>0.15714642091965572</v>
      </c>
      <c r="X143" s="13">
        <f t="shared" si="2"/>
        <v>0.18644569450736811</v>
      </c>
      <c r="Y143" s="8">
        <f t="shared" si="17"/>
        <v>0.13761895708400257</v>
      </c>
      <c r="Z143" s="8">
        <f t="shared" si="18"/>
        <v>0.16327741911490912</v>
      </c>
      <c r="AA143" s="8">
        <f t="shared" si="5"/>
        <v>0.46729537412114275</v>
      </c>
      <c r="AB143" s="8">
        <f t="shared" si="21"/>
        <v>0.11849794449758787</v>
      </c>
      <c r="AC143" s="8">
        <f t="shared" si="7"/>
        <v>0.46729537412114275</v>
      </c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spans="1:39" ht="15.75" customHeight="1">
      <c r="A144" s="6">
        <v>272</v>
      </c>
      <c r="B144" s="6">
        <v>2019</v>
      </c>
      <c r="C144" s="6" t="s">
        <v>151</v>
      </c>
      <c r="D144" s="7" t="s">
        <v>152</v>
      </c>
      <c r="E144" s="6" t="s">
        <v>147</v>
      </c>
      <c r="F144" s="6" t="s">
        <v>148</v>
      </c>
      <c r="G144" s="6"/>
      <c r="H144" s="6">
        <v>27936767060</v>
      </c>
      <c r="I144" s="15">
        <v>7666314692908</v>
      </c>
      <c r="J144" s="8">
        <v>20264726862584</v>
      </c>
      <c r="K144" s="8">
        <v>982035580702</v>
      </c>
      <c r="L144" s="8">
        <v>3559144366553</v>
      </c>
      <c r="M144" s="8">
        <v>16705582476031</v>
      </c>
      <c r="N144" s="8">
        <v>85000000000</v>
      </c>
      <c r="O144" s="8">
        <v>22633476361038</v>
      </c>
      <c r="P144" s="8">
        <v>12390008590198</v>
      </c>
      <c r="Q144" s="6"/>
      <c r="R144" s="6"/>
      <c r="S144" s="11"/>
      <c r="T144" s="10">
        <f>5358032618673+1288558007592+286654521539+76512416049</f>
        <v>7009757563853</v>
      </c>
      <c r="U144" s="12">
        <v>2537601823645</v>
      </c>
      <c r="V144" s="13">
        <f t="shared" si="10"/>
        <v>16705582476031</v>
      </c>
      <c r="W144" s="13">
        <f t="shared" si="1"/>
        <v>0.17563248647207108</v>
      </c>
      <c r="X144" s="13">
        <f t="shared" si="2"/>
        <v>0.21305119840386436</v>
      </c>
      <c r="Y144" s="8">
        <f t="shared" si="17"/>
        <v>0.12522260185654557</v>
      </c>
      <c r="Z144" s="8">
        <f t="shared" si="18"/>
        <v>0.15190142739924964</v>
      </c>
      <c r="AA144" s="8">
        <f t="shared" si="5"/>
        <v>0.45258039938016054</v>
      </c>
      <c r="AB144" s="8">
        <f t="shared" si="21"/>
        <v>0.11211719239088301</v>
      </c>
      <c r="AC144" s="8">
        <f t="shared" si="7"/>
        <v>0.45258039938016054</v>
      </c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spans="1:39" ht="15.75" customHeight="1">
      <c r="A145" s="6">
        <v>273</v>
      </c>
      <c r="B145" s="6">
        <v>2020</v>
      </c>
      <c r="C145" s="6" t="s">
        <v>151</v>
      </c>
      <c r="D145" s="7" t="s">
        <v>152</v>
      </c>
      <c r="E145" s="6" t="s">
        <v>147</v>
      </c>
      <c r="F145" s="6" t="s">
        <v>148</v>
      </c>
      <c r="G145" s="6"/>
      <c r="H145" s="6">
        <v>49635252888</v>
      </c>
      <c r="I145" s="8">
        <v>8157762093280</v>
      </c>
      <c r="J145" s="8">
        <v>22564300317374</v>
      </c>
      <c r="K145" s="8">
        <v>1111491961620</v>
      </c>
      <c r="L145" s="9">
        <v>4288218173294</v>
      </c>
      <c r="M145" s="8">
        <v>18276082144080</v>
      </c>
      <c r="N145" s="8">
        <v>85000000000</v>
      </c>
      <c r="O145" s="8">
        <v>23112654991224</v>
      </c>
      <c r="P145" s="8">
        <v>12866332497453</v>
      </c>
      <c r="Q145" s="6"/>
      <c r="R145" s="6"/>
      <c r="S145" s="11"/>
      <c r="T145" s="9">
        <f>5041413328661+1391608361036+285054653892+156080397434</f>
        <v>6874156741023</v>
      </c>
      <c r="U145" s="12">
        <v>2799622515814</v>
      </c>
      <c r="V145" s="13">
        <f t="shared" si="10"/>
        <v>18276082144080</v>
      </c>
      <c r="W145" s="13">
        <f t="shared" si="1"/>
        <v>0.19004436711880532</v>
      </c>
      <c r="X145" s="13">
        <f t="shared" si="2"/>
        <v>0.23463552743349003</v>
      </c>
      <c r="Y145" s="8">
        <f t="shared" si="17"/>
        <v>0.12407309229342042</v>
      </c>
      <c r="Z145" s="8">
        <f t="shared" si="18"/>
        <v>0.15318504774399122</v>
      </c>
      <c r="AA145" s="8">
        <f t="shared" si="5"/>
        <v>0.44332087757384792</v>
      </c>
      <c r="AB145" s="8">
        <f t="shared" si="21"/>
        <v>0.12112942095475539</v>
      </c>
      <c r="AC145" s="8">
        <f t="shared" si="7"/>
        <v>0.44332087757384792</v>
      </c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spans="1:39" ht="15.75" customHeight="1">
      <c r="A146" s="6">
        <v>307</v>
      </c>
      <c r="B146" s="6">
        <v>2018</v>
      </c>
      <c r="C146" s="6" t="s">
        <v>153</v>
      </c>
      <c r="D146" s="7" t="s">
        <v>154</v>
      </c>
      <c r="E146" s="6" t="s">
        <v>147</v>
      </c>
      <c r="F146" s="6" t="s">
        <v>148</v>
      </c>
      <c r="G146" s="8"/>
      <c r="H146" s="9"/>
      <c r="I146" s="10">
        <v>186743248000</v>
      </c>
      <c r="J146" s="10">
        <v>1263113689000</v>
      </c>
      <c r="K146" s="10">
        <v>35396131000</v>
      </c>
      <c r="L146" s="10">
        <v>744833288000</v>
      </c>
      <c r="M146" s="10">
        <v>518280401000</v>
      </c>
      <c r="N146" s="8">
        <v>448000000</v>
      </c>
      <c r="O146" s="9">
        <v>611958076000</v>
      </c>
      <c r="P146" s="10">
        <v>400270367000</v>
      </c>
      <c r="Q146" s="6"/>
      <c r="R146" s="6"/>
      <c r="S146" s="11"/>
      <c r="T146" s="8">
        <f>127981747000+40162239000</f>
        <v>168143986000</v>
      </c>
      <c r="U146" s="12">
        <v>1163324165000</v>
      </c>
      <c r="V146" s="9">
        <f t="shared" si="10"/>
        <v>518280401000</v>
      </c>
      <c r="W146" s="13">
        <f t="shared" si="1"/>
        <v>0.58968032290876393</v>
      </c>
      <c r="X146" s="13">
        <f t="shared" si="2"/>
        <v>1.4371241639909127</v>
      </c>
      <c r="Y146" s="8">
        <f t="shared" si="17"/>
        <v>0.9209971953680568</v>
      </c>
      <c r="Z146" s="8">
        <f t="shared" si="18"/>
        <v>2.2445845197993508</v>
      </c>
      <c r="AA146" s="8">
        <f t="shared" si="5"/>
        <v>0.34591864590410276</v>
      </c>
      <c r="AB146" s="8">
        <f t="shared" si="21"/>
        <v>1.9009867025596701</v>
      </c>
      <c r="AC146" s="8">
        <f t="shared" si="7"/>
        <v>0.34591864590410276</v>
      </c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spans="1:39" ht="15.75" customHeight="1">
      <c r="A147" s="6">
        <v>308</v>
      </c>
      <c r="B147" s="6">
        <v>2019</v>
      </c>
      <c r="C147" s="6" t="s">
        <v>153</v>
      </c>
      <c r="D147" s="7" t="s">
        <v>154</v>
      </c>
      <c r="E147" s="6" t="s">
        <v>147</v>
      </c>
      <c r="F147" s="6" t="s">
        <v>148</v>
      </c>
      <c r="G147" s="8"/>
      <c r="H147" s="9"/>
      <c r="I147" s="10">
        <v>190284730000</v>
      </c>
      <c r="J147" s="10">
        <v>901060986000</v>
      </c>
      <c r="K147" s="10">
        <v>37964163000</v>
      </c>
      <c r="L147" s="10">
        <v>307049328000</v>
      </c>
      <c r="M147" s="10">
        <v>594011658000</v>
      </c>
      <c r="N147" s="8">
        <v>448000000</v>
      </c>
      <c r="O147" s="10">
        <v>744634530000</v>
      </c>
      <c r="P147" s="10">
        <v>421320853000</v>
      </c>
      <c r="Q147" s="6"/>
      <c r="R147" s="6"/>
      <c r="S147" s="11"/>
      <c r="T147" s="8">
        <f>131072560000+67741876000+287644000</f>
        <v>199102080000</v>
      </c>
      <c r="U147" s="12">
        <v>78256797000</v>
      </c>
      <c r="V147" s="9">
        <f t="shared" si="10"/>
        <v>594011658000</v>
      </c>
      <c r="W147" s="13">
        <f t="shared" si="1"/>
        <v>0.34076420216910824</v>
      </c>
      <c r="X147" s="13">
        <f t="shared" si="2"/>
        <v>0.51690791563555472</v>
      </c>
      <c r="Y147" s="8">
        <f t="shared" si="17"/>
        <v>8.684961197509887E-2</v>
      </c>
      <c r="Z147" s="8">
        <f t="shared" si="18"/>
        <v>0.13174286387490394</v>
      </c>
      <c r="AA147" s="8">
        <f t="shared" si="5"/>
        <v>0.43419108834504355</v>
      </c>
      <c r="AB147" s="8">
        <f t="shared" si="21"/>
        <v>0.10509423596029048</v>
      </c>
      <c r="AC147" s="8">
        <f t="shared" si="7"/>
        <v>0.43419108834504355</v>
      </c>
      <c r="AD147" s="9"/>
      <c r="AE147" s="9"/>
      <c r="AF147" s="9"/>
      <c r="AG147" s="9"/>
      <c r="AH147" s="9"/>
      <c r="AI147" s="9"/>
      <c r="AJ147" s="9"/>
      <c r="AK147" s="9"/>
      <c r="AL147" s="9"/>
      <c r="AM147" s="10"/>
    </row>
    <row r="148" spans="1:39" ht="15.75" customHeight="1">
      <c r="A148" s="6">
        <v>309</v>
      </c>
      <c r="B148" s="6">
        <v>2020</v>
      </c>
      <c r="C148" s="6" t="s">
        <v>153</v>
      </c>
      <c r="D148" s="7" t="s">
        <v>154</v>
      </c>
      <c r="E148" s="6" t="s">
        <v>147</v>
      </c>
      <c r="F148" s="6" t="s">
        <v>148</v>
      </c>
      <c r="G148" s="8"/>
      <c r="H148" s="9"/>
      <c r="I148" s="10">
        <v>217560166000</v>
      </c>
      <c r="J148" s="10">
        <v>929901046000</v>
      </c>
      <c r="K148" s="10">
        <v>50869884000</v>
      </c>
      <c r="L148" s="10">
        <v>317218021000</v>
      </c>
      <c r="M148" s="10">
        <v>612683025000</v>
      </c>
      <c r="N148" s="8">
        <v>448000000</v>
      </c>
      <c r="O148" s="10">
        <v>655847125000</v>
      </c>
      <c r="P148" s="10">
        <v>361641158000</v>
      </c>
      <c r="Q148" s="6"/>
      <c r="R148" s="6"/>
      <c r="S148" s="11"/>
      <c r="T148" s="8">
        <f>111116036000+74373199000+622219000</f>
        <v>186111454000</v>
      </c>
      <c r="U148" s="12">
        <v>71902263000</v>
      </c>
      <c r="V148" s="9">
        <f t="shared" si="10"/>
        <v>612683025000</v>
      </c>
      <c r="W148" s="13">
        <f t="shared" si="1"/>
        <v>0.34113094330254146</v>
      </c>
      <c r="X148" s="13">
        <f t="shared" si="2"/>
        <v>0.51775226023276877</v>
      </c>
      <c r="Y148" s="8">
        <f t="shared" si="17"/>
        <v>7.7322488569391279E-2</v>
      </c>
      <c r="Z148" s="8">
        <f t="shared" si="18"/>
        <v>0.11735638179301605</v>
      </c>
      <c r="AA148" s="8">
        <f t="shared" si="5"/>
        <v>0.44858924555017299</v>
      </c>
      <c r="AB148" s="8">
        <f t="shared" si="21"/>
        <v>0.10963265715314373</v>
      </c>
      <c r="AC148" s="8">
        <f t="shared" si="7"/>
        <v>0.44858924555017299</v>
      </c>
      <c r="AD148" s="9"/>
      <c r="AE148" s="9"/>
      <c r="AF148" s="9"/>
      <c r="AG148" s="9"/>
      <c r="AH148" s="9"/>
      <c r="AI148" s="9"/>
      <c r="AJ148" s="9"/>
      <c r="AK148" s="9"/>
      <c r="AL148" s="9"/>
      <c r="AM148" s="10"/>
    </row>
    <row r="149" spans="1:39" ht="15.75" customHeight="1">
      <c r="A149" s="6">
        <v>256</v>
      </c>
      <c r="B149" s="6">
        <v>2018</v>
      </c>
      <c r="C149" s="6" t="s">
        <v>155</v>
      </c>
      <c r="D149" s="7" t="s">
        <v>156</v>
      </c>
      <c r="E149" s="6" t="s">
        <v>157</v>
      </c>
      <c r="F149" s="6" t="s">
        <v>158</v>
      </c>
      <c r="G149" s="8"/>
      <c r="H149" s="6">
        <f>143824364000+3160399864000</f>
        <v>3304224228000</v>
      </c>
      <c r="I149" s="8">
        <v>754805817000</v>
      </c>
      <c r="J149" s="8">
        <v>82418600790000</v>
      </c>
      <c r="K149" s="8">
        <v>31138139848000</v>
      </c>
      <c r="L149" s="8">
        <v>62219614991000</v>
      </c>
      <c r="M149" s="8">
        <v>20198985799000</v>
      </c>
      <c r="N149" s="8">
        <v>19040000000</v>
      </c>
      <c r="O149" s="8">
        <v>36974074686000</v>
      </c>
      <c r="P149" s="8">
        <v>31056564763000</v>
      </c>
      <c r="Q149" s="6"/>
      <c r="R149" s="6"/>
      <c r="S149" s="11"/>
      <c r="T149" s="10">
        <f>1325329000000+415683000000</f>
        <v>1741012000000</v>
      </c>
      <c r="U149" s="10">
        <v>2036493000000</v>
      </c>
      <c r="V149" s="13">
        <f t="shared" si="10"/>
        <v>20198985799000</v>
      </c>
      <c r="W149" s="13">
        <f t="shared" si="1"/>
        <v>0.75492200055098746</v>
      </c>
      <c r="X149" s="13">
        <f t="shared" si="2"/>
        <v>3.0803336172492548</v>
      </c>
      <c r="Y149" s="8">
        <f t="shared" si="17"/>
        <v>2.4709143087601304E-2</v>
      </c>
      <c r="Z149" s="8">
        <f t="shared" si="18"/>
        <v>0.10082154719376166</v>
      </c>
      <c r="AA149" s="8">
        <f t="shared" si="5"/>
        <v>0.16004484150730153</v>
      </c>
      <c r="AB149" s="8">
        <f t="shared" si="21"/>
        <v>5.5078944295287674E-2</v>
      </c>
      <c r="AC149" s="8">
        <f t="shared" si="7"/>
        <v>0.16004484150730153</v>
      </c>
      <c r="AD149" s="9"/>
      <c r="AE149" s="9"/>
      <c r="AF149" s="9"/>
      <c r="AG149" s="9"/>
      <c r="AH149" s="9"/>
      <c r="AI149" s="9"/>
      <c r="AJ149" s="9"/>
      <c r="AK149" s="9"/>
      <c r="AL149" s="9"/>
      <c r="AM149" s="10"/>
    </row>
    <row r="150" spans="1:39" ht="15.75" customHeight="1">
      <c r="A150" s="6">
        <v>257</v>
      </c>
      <c r="B150" s="6">
        <v>2019</v>
      </c>
      <c r="C150" s="6" t="s">
        <v>155</v>
      </c>
      <c r="D150" s="7" t="s">
        <v>156</v>
      </c>
      <c r="E150" s="6" t="s">
        <v>157</v>
      </c>
      <c r="F150" s="6" t="s">
        <v>158</v>
      </c>
      <c r="G150" s="8"/>
      <c r="H150" s="6">
        <f>391817000000+4394889000000</f>
        <v>4786706000000</v>
      </c>
      <c r="I150" s="8">
        <v>714282000000</v>
      </c>
      <c r="J150" s="8">
        <v>99679570000000</v>
      </c>
      <c r="K150" s="8">
        <v>34967416000000</v>
      </c>
      <c r="L150" s="8">
        <v>76493833000000</v>
      </c>
      <c r="M150" s="8">
        <v>23185737000000</v>
      </c>
      <c r="N150" s="8">
        <v>19040000000</v>
      </c>
      <c r="O150" s="8">
        <v>26345260000000</v>
      </c>
      <c r="P150" s="8">
        <v>19900617000000</v>
      </c>
      <c r="Q150" s="6"/>
      <c r="R150" s="6"/>
      <c r="S150" s="11"/>
      <c r="T150" s="10">
        <f>1478523000000+677246000000</f>
        <v>2155769000000</v>
      </c>
      <c r="U150" s="10">
        <v>2073888000000</v>
      </c>
      <c r="V150" s="13">
        <f t="shared" si="10"/>
        <v>23185737000000</v>
      </c>
      <c r="W150" s="13">
        <f t="shared" si="1"/>
        <v>0.76739730117214588</v>
      </c>
      <c r="X150" s="13">
        <f t="shared" si="2"/>
        <v>3.2991762565063167</v>
      </c>
      <c r="Y150" s="8">
        <f t="shared" si="17"/>
        <v>2.0805547214940837E-2</v>
      </c>
      <c r="Z150" s="8">
        <f t="shared" si="18"/>
        <v>8.9446714590094761E-2</v>
      </c>
      <c r="AA150" s="8">
        <f t="shared" si="5"/>
        <v>0.24462248617018773</v>
      </c>
      <c r="AB150" s="8">
        <f t="shared" si="21"/>
        <v>7.8719587508341154E-2</v>
      </c>
      <c r="AC150" s="8">
        <f t="shared" si="7"/>
        <v>0.24462248617018773</v>
      </c>
      <c r="AD150" s="9"/>
      <c r="AE150" s="9"/>
      <c r="AF150" s="9"/>
      <c r="AG150" s="9"/>
      <c r="AH150" s="9"/>
      <c r="AI150" s="9"/>
      <c r="AJ150" s="9"/>
      <c r="AK150" s="9"/>
      <c r="AL150" s="9"/>
      <c r="AM150" s="10"/>
    </row>
    <row r="151" spans="1:39" ht="15.75" customHeight="1">
      <c r="A151" s="6">
        <v>258</v>
      </c>
      <c r="B151" s="6">
        <v>2020</v>
      </c>
      <c r="C151" s="6" t="s">
        <v>155</v>
      </c>
      <c r="D151" s="7" t="s">
        <v>156</v>
      </c>
      <c r="E151" s="6" t="s">
        <v>157</v>
      </c>
      <c r="F151" s="6" t="s">
        <v>158</v>
      </c>
      <c r="G151" s="8"/>
      <c r="H151" s="6">
        <f>823344000000+4590955000000</f>
        <v>5414299000000</v>
      </c>
      <c r="I151" s="8">
        <v>746237000000</v>
      </c>
      <c r="J151" s="8">
        <v>104086646000000</v>
      </c>
      <c r="K151" s="8">
        <v>64382344000000</v>
      </c>
      <c r="L151" s="8">
        <v>79311031000000</v>
      </c>
      <c r="M151" s="8">
        <v>24775615000000</v>
      </c>
      <c r="N151" s="8">
        <v>19040000000</v>
      </c>
      <c r="O151" s="8">
        <v>13704021000000</v>
      </c>
      <c r="P151" s="8">
        <v>8349488000000</v>
      </c>
      <c r="Q151" s="6"/>
      <c r="R151" s="6"/>
      <c r="S151" s="11"/>
      <c r="T151" s="10">
        <f>1236812000000+164380000000</f>
        <v>1401192000000</v>
      </c>
      <c r="U151" s="12">
        <v>-41629000000</v>
      </c>
      <c r="V151" s="13">
        <f t="shared" si="10"/>
        <v>24775615000000</v>
      </c>
      <c r="W151" s="13">
        <f t="shared" si="1"/>
        <v>0.76197124268948002</v>
      </c>
      <c r="X151" s="13">
        <f t="shared" si="2"/>
        <v>3.2011730485802268</v>
      </c>
      <c r="Y151" s="8">
        <f t="shared" si="17"/>
        <v>-3.9994563759889043E-4</v>
      </c>
      <c r="Z151" s="8">
        <f t="shared" si="18"/>
        <v>-1.6802408335776931E-3</v>
      </c>
      <c r="AA151" s="8">
        <f t="shared" si="5"/>
        <v>0.39072714497445676</v>
      </c>
      <c r="AB151" s="8">
        <f t="shared" si="21"/>
        <v>-3.0377215563227758E-3</v>
      </c>
      <c r="AC151" s="8">
        <f t="shared" si="7"/>
        <v>0.39072714497445676</v>
      </c>
      <c r="AD151" s="9"/>
      <c r="AE151" s="9"/>
      <c r="AF151" s="9"/>
      <c r="AG151" s="9"/>
      <c r="AH151" s="9"/>
      <c r="AI151" s="9"/>
      <c r="AJ151" s="9"/>
      <c r="AK151" s="9"/>
      <c r="AL151" s="9"/>
      <c r="AM151" s="10"/>
    </row>
    <row r="152" spans="1:39" ht="15.75" customHeight="1">
      <c r="A152" s="6">
        <v>34</v>
      </c>
      <c r="B152" s="6">
        <v>2018</v>
      </c>
      <c r="C152" s="6" t="s">
        <v>159</v>
      </c>
      <c r="D152" s="7" t="s">
        <v>160</v>
      </c>
      <c r="E152" s="6" t="s">
        <v>161</v>
      </c>
      <c r="F152" s="6" t="s">
        <v>162</v>
      </c>
      <c r="G152" s="6"/>
      <c r="H152" s="6"/>
      <c r="I152" s="16">
        <v>407595000000</v>
      </c>
      <c r="J152" s="16">
        <v>2271344000000</v>
      </c>
      <c r="K152" s="16">
        <v>62259000000</v>
      </c>
      <c r="L152" s="16">
        <v>787113000000</v>
      </c>
      <c r="M152" s="16">
        <v>1484231000000</v>
      </c>
      <c r="N152" s="8">
        <v>2500000000</v>
      </c>
      <c r="O152" s="16">
        <v>4069975000000</v>
      </c>
      <c r="P152" s="16">
        <v>3227107000000</v>
      </c>
      <c r="Q152" s="6"/>
      <c r="R152" s="6"/>
      <c r="S152" s="11"/>
      <c r="T152" s="9">
        <f>276330000000</f>
        <v>276330000000</v>
      </c>
      <c r="U152" s="12">
        <v>270404000000</v>
      </c>
      <c r="V152" s="17">
        <f t="shared" si="10"/>
        <v>1484231000000</v>
      </c>
      <c r="W152" s="13">
        <f t="shared" si="1"/>
        <v>0.34654063849421313</v>
      </c>
      <c r="X152" s="13">
        <f t="shared" si="2"/>
        <v>0.53031704633577925</v>
      </c>
      <c r="Y152" s="8">
        <f t="shared" si="17"/>
        <v>0.11905021872512486</v>
      </c>
      <c r="Z152" s="8">
        <f t="shared" si="18"/>
        <v>0.18218457908506155</v>
      </c>
      <c r="AA152" s="8">
        <f t="shared" si="5"/>
        <v>0.20709414676994331</v>
      </c>
      <c r="AB152" s="8">
        <f t="shared" si="21"/>
        <v>6.6438737338681442E-2</v>
      </c>
      <c r="AC152" s="8">
        <f t="shared" si="7"/>
        <v>0.20709414676994331</v>
      </c>
      <c r="AD152" s="9"/>
      <c r="AE152" s="10"/>
      <c r="AF152" s="9"/>
      <c r="AG152" s="9"/>
      <c r="AH152" s="9"/>
      <c r="AI152" s="9"/>
      <c r="AJ152" s="9"/>
      <c r="AK152" s="10">
        <v>8210000000</v>
      </c>
      <c r="AL152" s="10"/>
      <c r="AM152" s="10">
        <v>10350000000</v>
      </c>
    </row>
    <row r="153" spans="1:39" ht="15.75" customHeight="1">
      <c r="A153" s="6">
        <v>35</v>
      </c>
      <c r="B153" s="6">
        <v>2019</v>
      </c>
      <c r="C153" s="6" t="s">
        <v>159</v>
      </c>
      <c r="D153" s="7" t="s">
        <v>160</v>
      </c>
      <c r="E153" s="6" t="s">
        <v>161</v>
      </c>
      <c r="F153" s="6" t="s">
        <v>162</v>
      </c>
      <c r="G153" s="6"/>
      <c r="H153" s="6"/>
      <c r="I153" s="16">
        <v>432950000000</v>
      </c>
      <c r="J153" s="16">
        <v>2896840000000</v>
      </c>
      <c r="K153" s="16">
        <v>72965000000</v>
      </c>
      <c r="L153" s="16">
        <v>1270830000000</v>
      </c>
      <c r="M153" s="16">
        <v>1626010000000</v>
      </c>
      <c r="N153" s="8">
        <v>2500000000</v>
      </c>
      <c r="O153" s="16">
        <v>4771800000000</v>
      </c>
      <c r="P153" s="16">
        <v>3919395000000</v>
      </c>
      <c r="Q153" s="6"/>
      <c r="R153" s="6"/>
      <c r="S153" s="11"/>
      <c r="T153" s="9">
        <f>308405000000+55000000</f>
        <v>308460000000</v>
      </c>
      <c r="U153" s="12">
        <v>250992000000</v>
      </c>
      <c r="V153" s="17">
        <f t="shared" si="10"/>
        <v>1626010000000</v>
      </c>
      <c r="W153" s="13">
        <f t="shared" si="1"/>
        <v>0.43869526794714242</v>
      </c>
      <c r="X153" s="13">
        <f t="shared" si="2"/>
        <v>0.78156345901931723</v>
      </c>
      <c r="Y153" s="8">
        <f t="shared" si="17"/>
        <v>8.6643376921058807E-2</v>
      </c>
      <c r="Z153" s="8">
        <f t="shared" si="18"/>
        <v>0.15436067428859601</v>
      </c>
      <c r="AA153" s="8">
        <f t="shared" si="5"/>
        <v>0.17863384886206463</v>
      </c>
      <c r="AB153" s="8">
        <f t="shared" si="21"/>
        <v>5.259901923802339E-2</v>
      </c>
      <c r="AC153" s="8">
        <f t="shared" si="7"/>
        <v>0.17863384886206463</v>
      </c>
      <c r="AD153" s="9"/>
      <c r="AE153" s="9"/>
      <c r="AF153" s="9"/>
      <c r="AG153" s="9"/>
      <c r="AH153" s="9"/>
      <c r="AI153" s="9"/>
      <c r="AJ153" s="9"/>
      <c r="AK153" s="9">
        <v>9896000000</v>
      </c>
      <c r="AL153" s="10"/>
      <c r="AM153" s="10">
        <v>11150000000</v>
      </c>
    </row>
    <row r="154" spans="1:39" ht="15.75" customHeight="1">
      <c r="A154" s="6">
        <v>36</v>
      </c>
      <c r="B154" s="6">
        <v>2020</v>
      </c>
      <c r="C154" s="6" t="s">
        <v>159</v>
      </c>
      <c r="D154" s="7" t="s">
        <v>160</v>
      </c>
      <c r="E154" s="6" t="s">
        <v>161</v>
      </c>
      <c r="F154" s="6" t="s">
        <v>162</v>
      </c>
      <c r="G154" s="8"/>
      <c r="H154" s="6"/>
      <c r="I154" s="16">
        <v>426294000000</v>
      </c>
      <c r="J154" s="16">
        <v>2288831000000</v>
      </c>
      <c r="K154" s="16">
        <v>111891000000</v>
      </c>
      <c r="L154" s="16">
        <v>726053000000</v>
      </c>
      <c r="M154" s="16">
        <v>1562778000000</v>
      </c>
      <c r="N154" s="8">
        <v>2500000000</v>
      </c>
      <c r="O154" s="16">
        <v>3348871000000</v>
      </c>
      <c r="P154" s="16">
        <v>2809630000000</v>
      </c>
      <c r="Q154" s="6"/>
      <c r="R154" s="6"/>
      <c r="S154" s="11"/>
      <c r="T154" s="9">
        <f>301329000000+2429000000</f>
        <v>303758000000</v>
      </c>
      <c r="U154" s="12">
        <v>47783000000</v>
      </c>
      <c r="V154" s="17">
        <f t="shared" si="10"/>
        <v>1562778000000</v>
      </c>
      <c r="W154" s="13">
        <f t="shared" si="1"/>
        <v>0.31721564414323294</v>
      </c>
      <c r="X154" s="13">
        <f t="shared" si="2"/>
        <v>0.46459125992303452</v>
      </c>
      <c r="Y154" s="8">
        <f t="shared" si="17"/>
        <v>2.0876595956625894E-2</v>
      </c>
      <c r="Z154" s="8">
        <f t="shared" si="18"/>
        <v>3.0575679975018845E-2</v>
      </c>
      <c r="AA154" s="8">
        <f t="shared" si="5"/>
        <v>0.16102172941268864</v>
      </c>
      <c r="AB154" s="8">
        <f t="shared" si="21"/>
        <v>1.4268390750196111E-2</v>
      </c>
      <c r="AC154" s="8">
        <f t="shared" si="7"/>
        <v>0.16102172941268864</v>
      </c>
      <c r="AD154" s="9"/>
      <c r="AE154" s="9"/>
      <c r="AF154" s="9"/>
      <c r="AG154" s="9"/>
      <c r="AH154" s="9"/>
      <c r="AI154" s="9"/>
      <c r="AJ154" s="9"/>
      <c r="AK154" s="9">
        <v>14897000000</v>
      </c>
      <c r="AL154" s="10"/>
      <c r="AM154" s="10">
        <v>5128000000</v>
      </c>
    </row>
    <row r="155" spans="1:39" ht="15.75" customHeight="1">
      <c r="A155" s="6">
        <v>46</v>
      </c>
      <c r="B155" s="6">
        <v>2018</v>
      </c>
      <c r="C155" s="6" t="s">
        <v>163</v>
      </c>
      <c r="D155" s="20" t="s">
        <v>164</v>
      </c>
      <c r="E155" s="6" t="s">
        <v>161</v>
      </c>
      <c r="F155" s="6" t="s">
        <v>162</v>
      </c>
      <c r="G155" s="8"/>
      <c r="H155" s="16"/>
      <c r="I155" s="16">
        <v>533940170736</v>
      </c>
      <c r="J155" s="16">
        <v>4011922854081</v>
      </c>
      <c r="K155" s="16">
        <v>2284119284741</v>
      </c>
      <c r="L155" s="16">
        <v>3125361681872</v>
      </c>
      <c r="M155" s="16">
        <v>886561172209</v>
      </c>
      <c r="N155" s="8">
        <v>6000000000</v>
      </c>
      <c r="O155" s="16">
        <v>5433508833578</v>
      </c>
      <c r="P155" s="16">
        <v>4606212579586</v>
      </c>
      <c r="Q155" s="6"/>
      <c r="R155" s="6"/>
      <c r="S155" s="11"/>
      <c r="T155" s="9">
        <v>578032799045</v>
      </c>
      <c r="U155" s="10">
        <v>68659723049</v>
      </c>
      <c r="V155" s="17">
        <f t="shared" si="10"/>
        <v>886561172209</v>
      </c>
      <c r="W155" s="13">
        <f t="shared" si="1"/>
        <v>0.7790183898209373</v>
      </c>
      <c r="X155" s="13">
        <f t="shared" si="2"/>
        <v>3.5252634334128272</v>
      </c>
      <c r="Y155" s="8">
        <f t="shared" si="17"/>
        <v>1.7113919072286772E-2</v>
      </c>
      <c r="Z155" s="8">
        <f t="shared" si="18"/>
        <v>7.7444992180205702E-2</v>
      </c>
      <c r="AA155" s="8">
        <f t="shared" si="5"/>
        <v>0.15225819619165323</v>
      </c>
      <c r="AB155" s="8">
        <f t="shared" si="21"/>
        <v>1.2636350680925853E-2</v>
      </c>
      <c r="AC155" s="8">
        <f t="shared" si="7"/>
        <v>0.15225819619165323</v>
      </c>
      <c r="AD155" s="9"/>
      <c r="AE155" s="9">
        <v>9794151250</v>
      </c>
      <c r="AF155" s="9"/>
      <c r="AG155" s="9"/>
      <c r="AH155" s="9"/>
      <c r="AI155" s="9">
        <v>21489533805</v>
      </c>
      <c r="AJ155" s="9"/>
      <c r="AK155" s="9"/>
      <c r="AL155" s="9"/>
      <c r="AM155" s="9">
        <v>6975976176</v>
      </c>
    </row>
    <row r="156" spans="1:39" ht="15.75" customHeight="1">
      <c r="A156" s="6">
        <v>47</v>
      </c>
      <c r="B156" s="6">
        <v>2019</v>
      </c>
      <c r="C156" s="6" t="s">
        <v>163</v>
      </c>
      <c r="D156" s="20" t="s">
        <v>164</v>
      </c>
      <c r="E156" s="6" t="s">
        <v>161</v>
      </c>
      <c r="F156" s="6" t="s">
        <v>162</v>
      </c>
      <c r="G156" s="8"/>
      <c r="H156" s="16"/>
      <c r="I156" s="16">
        <v>618113081268</v>
      </c>
      <c r="J156" s="16">
        <v>4810085138657</v>
      </c>
      <c r="K156" s="16">
        <v>2980247796495</v>
      </c>
      <c r="L156" s="16">
        <v>3875705477370</v>
      </c>
      <c r="M156" s="16">
        <v>934379661287</v>
      </c>
      <c r="N156" s="8">
        <v>6000000000</v>
      </c>
      <c r="O156" s="16">
        <v>5578438212634</v>
      </c>
      <c r="P156" s="16">
        <v>4689904153539</v>
      </c>
      <c r="Q156" s="6"/>
      <c r="R156" s="6"/>
      <c r="S156" s="11"/>
      <c r="T156" s="9">
        <v>641679609463</v>
      </c>
      <c r="U156" s="12">
        <v>57370051160</v>
      </c>
      <c r="V156" s="17">
        <f t="shared" si="10"/>
        <v>934379661287</v>
      </c>
      <c r="W156" s="13">
        <f t="shared" si="1"/>
        <v>0.8057457125285139</v>
      </c>
      <c r="X156" s="13">
        <f t="shared" si="2"/>
        <v>4.1478915241280658</v>
      </c>
      <c r="Y156" s="8">
        <f t="shared" si="17"/>
        <v>1.1927034450791033E-2</v>
      </c>
      <c r="Z156" s="8">
        <f t="shared" si="18"/>
        <v>6.1399079557210592E-2</v>
      </c>
      <c r="AA156" s="8">
        <f t="shared" si="5"/>
        <v>0.15928007539505512</v>
      </c>
      <c r="AB156" s="8">
        <f t="shared" si="21"/>
        <v>1.0284249636406976E-2</v>
      </c>
      <c r="AC156" s="8">
        <f t="shared" si="7"/>
        <v>0.15928007539505512</v>
      </c>
      <c r="AD156" s="9"/>
      <c r="AE156" s="9">
        <v>443632536799</v>
      </c>
      <c r="AF156" s="9"/>
      <c r="AG156" s="9"/>
      <c r="AH156" s="9"/>
      <c r="AI156" s="9">
        <v>21489533805</v>
      </c>
      <c r="AJ156" s="9"/>
      <c r="AK156" s="9"/>
      <c r="AL156" s="9"/>
      <c r="AM156" s="9">
        <v>7649280017</v>
      </c>
    </row>
    <row r="157" spans="1:39" ht="15.75" customHeight="1">
      <c r="A157" s="6">
        <v>48</v>
      </c>
      <c r="B157" s="6">
        <v>2020</v>
      </c>
      <c r="C157" s="6" t="s">
        <v>163</v>
      </c>
      <c r="D157" s="20" t="s">
        <v>164</v>
      </c>
      <c r="E157" s="6" t="s">
        <v>161</v>
      </c>
      <c r="F157" s="6" t="s">
        <v>162</v>
      </c>
      <c r="G157" s="8"/>
      <c r="H157" s="16"/>
      <c r="I157" s="16">
        <v>751157863309</v>
      </c>
      <c r="J157" s="16">
        <v>4298837364037</v>
      </c>
      <c r="K157" s="16">
        <v>3081662799321</v>
      </c>
      <c r="L157" s="16">
        <v>3903178142767</v>
      </c>
      <c r="M157" s="16">
        <v>395659221270</v>
      </c>
      <c r="N157" s="8">
        <v>6000000000</v>
      </c>
      <c r="O157" s="16">
        <v>6157619315277</v>
      </c>
      <c r="P157" s="16">
        <v>5173404129334</v>
      </c>
      <c r="Q157" s="6"/>
      <c r="R157" s="6"/>
      <c r="S157" s="11"/>
      <c r="T157" s="9">
        <f>803164659524+5039016880</f>
        <v>808203676404</v>
      </c>
      <c r="U157" s="12">
        <v>-526026907367</v>
      </c>
      <c r="V157" s="17">
        <f t="shared" si="10"/>
        <v>395659221270</v>
      </c>
      <c r="W157" s="13">
        <f t="shared" si="1"/>
        <v>0.90796134215730373</v>
      </c>
      <c r="X157" s="13">
        <f t="shared" si="2"/>
        <v>9.8649998102873742</v>
      </c>
      <c r="Y157" s="8">
        <f t="shared" si="17"/>
        <v>-0.12236492400657205</v>
      </c>
      <c r="Z157" s="8">
        <f t="shared" si="18"/>
        <v>-1.3294948761172343</v>
      </c>
      <c r="AA157" s="8">
        <f t="shared" si="5"/>
        <v>0.15983696548131365</v>
      </c>
      <c r="AB157" s="8">
        <f t="shared" si="21"/>
        <v>-8.5426993848406935E-2</v>
      </c>
      <c r="AC157" s="8">
        <f t="shared" si="7"/>
        <v>0.15983696548131365</v>
      </c>
      <c r="AD157" s="9"/>
      <c r="AE157" s="10">
        <v>251819320718</v>
      </c>
      <c r="AF157" s="9"/>
      <c r="AG157" s="9"/>
      <c r="AH157" s="9"/>
      <c r="AI157" s="9">
        <v>21489533805</v>
      </c>
      <c r="AJ157" s="9"/>
      <c r="AK157" s="10"/>
      <c r="AL157" s="9"/>
      <c r="AM157" s="18">
        <v>5735104481</v>
      </c>
    </row>
    <row r="158" spans="1:39" ht="15.75" customHeight="1">
      <c r="A158" s="6">
        <v>154</v>
      </c>
      <c r="B158" s="6">
        <v>2018</v>
      </c>
      <c r="C158" s="6" t="s">
        <v>165</v>
      </c>
      <c r="D158" s="7" t="s">
        <v>166</v>
      </c>
      <c r="E158" s="6" t="s">
        <v>161</v>
      </c>
      <c r="F158" s="6" t="s">
        <v>162</v>
      </c>
      <c r="G158" s="8"/>
      <c r="H158" s="9">
        <v>4142000000000</v>
      </c>
      <c r="I158" s="8">
        <v>835846415316</v>
      </c>
      <c r="J158" s="8">
        <v>14527983724288</v>
      </c>
      <c r="K158" s="8">
        <v>5190077001804</v>
      </c>
      <c r="L158" s="8">
        <v>5489148983944</v>
      </c>
      <c r="M158" s="8">
        <v>9038834740344</v>
      </c>
      <c r="N158" s="8">
        <v>40000000000</v>
      </c>
      <c r="O158" s="8">
        <v>129788816784</v>
      </c>
      <c r="P158" s="8">
        <v>122225742803</v>
      </c>
      <c r="Q158" s="6"/>
      <c r="R158" s="6"/>
      <c r="S158" s="11"/>
      <c r="T158" s="9">
        <f>104784115342+2177695420+122225742803</f>
        <v>229187553565</v>
      </c>
      <c r="U158" s="12">
        <v>282868126051</v>
      </c>
      <c r="V158" s="13">
        <f t="shared" si="10"/>
        <v>9038834740344</v>
      </c>
      <c r="W158" s="13">
        <f t="shared" si="1"/>
        <v>0.37783281480190511</v>
      </c>
      <c r="X158" s="13">
        <f t="shared" si="2"/>
        <v>0.60728502529686634</v>
      </c>
      <c r="Y158" s="8">
        <f t="shared" si="17"/>
        <v>1.9470570136866192E-2</v>
      </c>
      <c r="Z158" s="8">
        <f t="shared" si="18"/>
        <v>3.1294755814977385E-2</v>
      </c>
      <c r="AA158" s="8">
        <f t="shared" si="5"/>
        <v>5.8272154476812783E-2</v>
      </c>
      <c r="AB158" s="8">
        <f t="shared" si="21"/>
        <v>2.1794491471615851</v>
      </c>
      <c r="AC158" s="8">
        <f t="shared" si="7"/>
        <v>5.8272154476812783E-2</v>
      </c>
      <c r="AD158" s="9"/>
      <c r="AE158" s="10">
        <v>4850967407</v>
      </c>
      <c r="AF158" s="9"/>
      <c r="AG158" s="9"/>
      <c r="AH158" s="9"/>
      <c r="AI158" s="9"/>
      <c r="AJ158" s="9"/>
      <c r="AK158" s="10"/>
      <c r="AL158" s="9"/>
      <c r="AM158" s="10">
        <v>1232817963</v>
      </c>
    </row>
    <row r="159" spans="1:39" ht="15.75" customHeight="1">
      <c r="A159" s="6">
        <v>155</v>
      </c>
      <c r="B159" s="6">
        <v>2019</v>
      </c>
      <c r="C159" s="6" t="s">
        <v>165</v>
      </c>
      <c r="D159" s="7" t="s">
        <v>166</v>
      </c>
      <c r="E159" s="6" t="s">
        <v>161</v>
      </c>
      <c r="F159" s="6" t="s">
        <v>162</v>
      </c>
      <c r="G159" s="6"/>
      <c r="H159" s="9">
        <f>4244000000000+84617995064</f>
        <v>4328617995064</v>
      </c>
      <c r="I159" s="8">
        <v>1173374554130</v>
      </c>
      <c r="J159" s="8">
        <v>15484342922485</v>
      </c>
      <c r="K159" s="8">
        <v>5661858920132</v>
      </c>
      <c r="L159" s="8">
        <v>5949260469655</v>
      </c>
      <c r="M159" s="8">
        <v>9535082452830</v>
      </c>
      <c r="N159" s="8">
        <v>40000000000</v>
      </c>
      <c r="O159" s="8">
        <v>257797623019</v>
      </c>
      <c r="P159" s="8">
        <v>229999040034</v>
      </c>
      <c r="Q159" s="6"/>
      <c r="R159" s="6"/>
      <c r="S159" s="11"/>
      <c r="T159" s="9">
        <f>122307489574+6468020952+229999040034</f>
        <v>358774550560</v>
      </c>
      <c r="U159" s="12">
        <v>519144061565</v>
      </c>
      <c r="V159" s="13">
        <f t="shared" si="10"/>
        <v>9535082452830</v>
      </c>
      <c r="W159" s="13">
        <f t="shared" si="1"/>
        <v>0.38421136107855164</v>
      </c>
      <c r="X159" s="13">
        <f t="shared" si="2"/>
        <v>0.62393382533249797</v>
      </c>
      <c r="Y159" s="8">
        <f t="shared" si="17"/>
        <v>3.3527032058373277E-2</v>
      </c>
      <c r="Z159" s="8">
        <f t="shared" si="18"/>
        <v>5.4445681422599417E-2</v>
      </c>
      <c r="AA159" s="8">
        <f t="shared" si="5"/>
        <v>0.10783102908187486</v>
      </c>
      <c r="AB159" s="8">
        <f t="shared" si="21"/>
        <v>2.0137658970064996</v>
      </c>
      <c r="AC159" s="8">
        <f t="shared" si="7"/>
        <v>0.10783102908187486</v>
      </c>
      <c r="AD159" s="9"/>
      <c r="AE159" s="9">
        <v>2385115561</v>
      </c>
      <c r="AF159" s="9"/>
      <c r="AG159" s="9"/>
      <c r="AH159" s="9"/>
      <c r="AI159" s="9"/>
      <c r="AJ159" s="9"/>
      <c r="AK159" s="9"/>
      <c r="AL159" s="10"/>
      <c r="AM159" s="10">
        <v>769077832</v>
      </c>
    </row>
    <row r="160" spans="1:39" ht="15.75" customHeight="1">
      <c r="A160" s="6">
        <v>156</v>
      </c>
      <c r="B160" s="6">
        <v>2020</v>
      </c>
      <c r="C160" s="6" t="s">
        <v>165</v>
      </c>
      <c r="D160" s="7" t="s">
        <v>166</v>
      </c>
      <c r="E160" s="6" t="s">
        <v>161</v>
      </c>
      <c r="F160" s="6" t="s">
        <v>162</v>
      </c>
      <c r="G160" s="6"/>
      <c r="H160" s="9">
        <f>4993203478435+51225468919</f>
        <v>5044428947354</v>
      </c>
      <c r="I160" s="8">
        <v>1534332388284</v>
      </c>
      <c r="J160" s="8">
        <v>17223361869538</v>
      </c>
      <c r="K160" s="8">
        <v>6390427093739</v>
      </c>
      <c r="L160" s="8">
        <v>7084541084335</v>
      </c>
      <c r="M160" s="8">
        <v>10135820785203</v>
      </c>
      <c r="N160" s="8">
        <v>40000000000</v>
      </c>
      <c r="O160" s="8">
        <v>488887274041</v>
      </c>
      <c r="P160" s="8">
        <v>314506026226</v>
      </c>
      <c r="Q160" s="6"/>
      <c r="R160" s="6"/>
      <c r="S160" s="11"/>
      <c r="T160" s="9">
        <f>314506026226+121711742110+13798210296</f>
        <v>450015978632</v>
      </c>
      <c r="U160" s="12">
        <v>327051932822</v>
      </c>
      <c r="V160" s="13">
        <f t="shared" si="10"/>
        <v>10135820785203</v>
      </c>
      <c r="W160" s="13">
        <f t="shared" si="1"/>
        <v>0.41133323087550244</v>
      </c>
      <c r="X160" s="13">
        <f t="shared" si="2"/>
        <v>0.6989607683945559</v>
      </c>
      <c r="Y160" s="8">
        <f t="shared" si="17"/>
        <v>1.8988855677499205E-2</v>
      </c>
      <c r="Z160" s="8">
        <f t="shared" si="18"/>
        <v>3.2266941153838664E-2</v>
      </c>
      <c r="AA160" s="8">
        <f t="shared" si="5"/>
        <v>0.35669009416754771</v>
      </c>
      <c r="AB160" s="8">
        <f t="shared" si="21"/>
        <v>0.66897207227073807</v>
      </c>
      <c r="AC160" s="8">
        <f t="shared" si="7"/>
        <v>0.35669009416754771</v>
      </c>
      <c r="AD160" s="9"/>
      <c r="AE160" s="9">
        <v>1138015162</v>
      </c>
      <c r="AF160" s="9"/>
      <c r="AG160" s="9"/>
      <c r="AH160" s="9"/>
      <c r="AI160" s="10"/>
      <c r="AJ160" s="9"/>
      <c r="AK160" s="10"/>
      <c r="AL160" s="9"/>
      <c r="AM160" s="10"/>
    </row>
    <row r="161" spans="1:39" ht="15.75" customHeight="1">
      <c r="A161" s="6">
        <v>283</v>
      </c>
      <c r="B161" s="6">
        <v>2018</v>
      </c>
      <c r="C161" s="6" t="s">
        <v>167</v>
      </c>
      <c r="D161" s="7" t="s">
        <v>168</v>
      </c>
      <c r="E161" s="6" t="s">
        <v>161</v>
      </c>
      <c r="F161" s="6" t="s">
        <v>162</v>
      </c>
      <c r="G161" s="8"/>
      <c r="H161" s="9">
        <v>299450182</v>
      </c>
      <c r="I161" s="10">
        <v>33625911810</v>
      </c>
      <c r="J161" s="10">
        <v>453984850118</v>
      </c>
      <c r="K161" s="10">
        <v>104925359441</v>
      </c>
      <c r="L161" s="10">
        <v>327378417654</v>
      </c>
      <c r="M161" s="10">
        <v>126606432464</v>
      </c>
      <c r="N161" s="8">
        <v>2000000000</v>
      </c>
      <c r="O161" s="10">
        <v>167097354227</v>
      </c>
      <c r="P161" s="10">
        <v>110313637405</v>
      </c>
      <c r="Q161" s="6"/>
      <c r="R161" s="6"/>
      <c r="S161" s="11"/>
      <c r="T161" s="10">
        <f>3458457123+19286204113+5480984584</f>
        <v>28225645820</v>
      </c>
      <c r="U161" s="12">
        <v>-1322616189</v>
      </c>
      <c r="V161" s="9">
        <f t="shared" si="10"/>
        <v>126606432464</v>
      </c>
      <c r="W161" s="13">
        <f t="shared" si="1"/>
        <v>0.72112189992443054</v>
      </c>
      <c r="X161" s="13">
        <f t="shared" si="2"/>
        <v>2.5857960869965169</v>
      </c>
      <c r="Y161" s="8">
        <f t="shared" si="17"/>
        <v>-2.9133487354395743E-3</v>
      </c>
      <c r="Z161" s="8">
        <f t="shared" si="18"/>
        <v>-1.0446674495595477E-2</v>
      </c>
      <c r="AA161" s="8">
        <f t="shared" si="5"/>
        <v>0.33982415272033523</v>
      </c>
      <c r="AB161" s="8">
        <f t="shared" si="21"/>
        <v>-7.9152431534208478E-3</v>
      </c>
      <c r="AC161" s="8">
        <f t="shared" si="7"/>
        <v>0.33982415272033523</v>
      </c>
      <c r="AD161" s="9"/>
      <c r="AE161" s="10"/>
      <c r="AF161" s="9"/>
      <c r="AG161" s="9"/>
      <c r="AH161" s="9"/>
      <c r="AI161" s="9"/>
      <c r="AJ161" s="9"/>
      <c r="AK161" s="10"/>
      <c r="AL161" s="9"/>
      <c r="AM161" s="10"/>
    </row>
    <row r="162" spans="1:39" ht="15.75" customHeight="1">
      <c r="A162" s="6">
        <v>284</v>
      </c>
      <c r="B162" s="6">
        <v>2019</v>
      </c>
      <c r="C162" s="6" t="s">
        <v>167</v>
      </c>
      <c r="D162" s="7" t="s">
        <v>168</v>
      </c>
      <c r="E162" s="6" t="s">
        <v>161</v>
      </c>
      <c r="F162" s="6" t="s">
        <v>162</v>
      </c>
      <c r="G162" s="6"/>
      <c r="H162" s="9">
        <v>316716351</v>
      </c>
      <c r="I162" s="10">
        <v>24701534008</v>
      </c>
      <c r="J162" s="10">
        <v>379566361874</v>
      </c>
      <c r="K162" s="10">
        <v>73138734438</v>
      </c>
      <c r="L162" s="10">
        <v>251523669740</v>
      </c>
      <c r="M162" s="10">
        <v>128042692134</v>
      </c>
      <c r="N162" s="8">
        <v>2000000000</v>
      </c>
      <c r="O162" s="10">
        <v>162942467774</v>
      </c>
      <c r="P162" s="10">
        <v>115310272962</v>
      </c>
      <c r="Q162" s="6"/>
      <c r="R162" s="6"/>
      <c r="S162" s="11"/>
      <c r="T162" s="10">
        <f>2318406546+14989067988+20422056545</f>
        <v>37729531079</v>
      </c>
      <c r="U162" s="12">
        <v>799725045</v>
      </c>
      <c r="V162" s="9">
        <f t="shared" si="10"/>
        <v>128042692134</v>
      </c>
      <c r="W162" s="13">
        <f t="shared" si="1"/>
        <v>0.66266059114979015</v>
      </c>
      <c r="X162" s="13">
        <f t="shared" si="2"/>
        <v>1.9643734878424295</v>
      </c>
      <c r="Y162" s="8">
        <f t="shared" si="17"/>
        <v>2.1069439374226608E-3</v>
      </c>
      <c r="Z162" s="8">
        <f t="shared" si="18"/>
        <v>6.2457687484660743E-3</v>
      </c>
      <c r="AA162" s="8">
        <f t="shared" si="5"/>
        <v>0.2923252327199653</v>
      </c>
      <c r="AB162" s="8">
        <f t="shared" si="21"/>
        <v>4.9080209470572936E-3</v>
      </c>
      <c r="AC162" s="8">
        <f t="shared" si="7"/>
        <v>0.2923252327199653</v>
      </c>
      <c r="AD162" s="9"/>
      <c r="AE162" s="10"/>
      <c r="AF162" s="9"/>
      <c r="AG162" s="9"/>
      <c r="AH162" s="9"/>
      <c r="AI162" s="9"/>
      <c r="AJ162" s="9"/>
      <c r="AK162" s="10"/>
      <c r="AL162" s="9"/>
      <c r="AM162" s="10"/>
    </row>
    <row r="163" spans="1:39" ht="15.75" customHeight="1">
      <c r="A163" s="6">
        <v>285</v>
      </c>
      <c r="B163" s="6">
        <v>2020</v>
      </c>
      <c r="C163" s="6" t="s">
        <v>167</v>
      </c>
      <c r="D163" s="7" t="s">
        <v>168</v>
      </c>
      <c r="E163" s="6" t="s">
        <v>161</v>
      </c>
      <c r="F163" s="6" t="s">
        <v>162</v>
      </c>
      <c r="G163" s="6"/>
      <c r="H163" s="9">
        <v>333384295</v>
      </c>
      <c r="I163" s="10">
        <v>17044144363</v>
      </c>
      <c r="J163" s="10">
        <v>346974718729</v>
      </c>
      <c r="K163" s="10">
        <v>74166740780</v>
      </c>
      <c r="L163" s="10">
        <v>222757820116</v>
      </c>
      <c r="M163" s="10">
        <v>124216898613</v>
      </c>
      <c r="N163" s="8">
        <v>2000000000</v>
      </c>
      <c r="O163" s="10">
        <v>102699955629</v>
      </c>
      <c r="P163" s="10">
        <v>71040000395</v>
      </c>
      <c r="Q163" s="6"/>
      <c r="R163" s="6"/>
      <c r="S163" s="11"/>
      <c r="T163" s="10">
        <f>1934368178+14923031390+677870804</f>
        <v>17535270372</v>
      </c>
      <c r="U163" s="12">
        <v>-3838498010</v>
      </c>
      <c r="V163" s="9">
        <f t="shared" si="10"/>
        <v>124216898613</v>
      </c>
      <c r="W163" s="13">
        <f t="shared" si="1"/>
        <v>0.64200014609704759</v>
      </c>
      <c r="X163" s="13">
        <f t="shared" si="2"/>
        <v>1.7932972293085985</v>
      </c>
      <c r="Y163" s="8">
        <f t="shared" si="17"/>
        <v>-1.1062759915364347E-2</v>
      </c>
      <c r="Z163" s="8">
        <f t="shared" si="18"/>
        <v>-3.0901576620093456E-2</v>
      </c>
      <c r="AA163" s="8">
        <f t="shared" si="5"/>
        <v>0.30827623089118444</v>
      </c>
      <c r="AB163" s="8">
        <f t="shared" si="21"/>
        <v>-3.7375848767320211E-2</v>
      </c>
      <c r="AC163" s="8">
        <f t="shared" si="7"/>
        <v>0.30827623089118444</v>
      </c>
      <c r="AD163" s="9"/>
      <c r="AE163" s="10"/>
      <c r="AF163" s="9"/>
      <c r="AG163" s="9"/>
      <c r="AH163" s="9"/>
      <c r="AI163" s="9"/>
      <c r="AJ163" s="9"/>
      <c r="AK163" s="10"/>
      <c r="AL163" s="9"/>
      <c r="AM163" s="10"/>
    </row>
    <row r="164" spans="1:39" ht="15.75" customHeight="1">
      <c r="A164" s="6">
        <v>325</v>
      </c>
      <c r="B164" s="6">
        <v>2018</v>
      </c>
      <c r="C164" s="6" t="s">
        <v>169</v>
      </c>
      <c r="D164" s="7" t="s">
        <v>170</v>
      </c>
      <c r="E164" s="6" t="s">
        <v>161</v>
      </c>
      <c r="F164" s="6" t="s">
        <v>162</v>
      </c>
      <c r="G164" s="6"/>
      <c r="H164" s="9"/>
      <c r="I164" s="10">
        <v>560442000000</v>
      </c>
      <c r="J164" s="10">
        <v>2059020000000</v>
      </c>
      <c r="K164" s="10"/>
      <c r="L164" s="10">
        <v>1147669000000</v>
      </c>
      <c r="M164" s="10">
        <v>911351000000</v>
      </c>
      <c r="N164" s="8">
        <v>6000000000</v>
      </c>
      <c r="O164" s="10">
        <v>2435494000000</v>
      </c>
      <c r="P164" s="10">
        <v>2164838000000</v>
      </c>
      <c r="Q164" s="6"/>
      <c r="R164" s="6"/>
      <c r="S164" s="11"/>
      <c r="T164" s="8">
        <f>71787000000+85407000000+9056000000</f>
        <v>166250000000</v>
      </c>
      <c r="U164" s="12">
        <v>84419000000</v>
      </c>
      <c r="V164" s="9">
        <f t="shared" si="10"/>
        <v>911351000000</v>
      </c>
      <c r="W164" s="13">
        <f t="shared" si="1"/>
        <v>0.55738603801808628</v>
      </c>
      <c r="X164" s="13">
        <f t="shared" si="2"/>
        <v>1.2593051414877474</v>
      </c>
      <c r="Y164" s="8">
        <f t="shared" si="17"/>
        <v>4.0999601752289921E-2</v>
      </c>
      <c r="Z164" s="8">
        <f t="shared" si="18"/>
        <v>9.2630611037898686E-2</v>
      </c>
      <c r="AA164" s="8">
        <f t="shared" si="5"/>
        <v>0.11112981596341441</v>
      </c>
      <c r="AB164" s="8">
        <f t="shared" si="21"/>
        <v>3.4661961803231708E-2</v>
      </c>
      <c r="AC164" s="8">
        <f t="shared" si="7"/>
        <v>0.11112981596341441</v>
      </c>
      <c r="AD164" s="9"/>
      <c r="AE164" s="10"/>
      <c r="AF164" s="9"/>
      <c r="AG164" s="9"/>
      <c r="AH164" s="9"/>
      <c r="AI164" s="9"/>
      <c r="AJ164" s="9"/>
      <c r="AK164" s="10"/>
      <c r="AL164" s="9"/>
      <c r="AM164" s="9"/>
    </row>
    <row r="165" spans="1:39" ht="15.75" customHeight="1">
      <c r="A165" s="6">
        <v>326</v>
      </c>
      <c r="B165" s="6">
        <v>2019</v>
      </c>
      <c r="C165" s="6" t="s">
        <v>169</v>
      </c>
      <c r="D165" s="7" t="s">
        <v>170</v>
      </c>
      <c r="E165" s="6" t="s">
        <v>161</v>
      </c>
      <c r="F165" s="6" t="s">
        <v>162</v>
      </c>
      <c r="G165" s="6"/>
      <c r="H165" s="9"/>
      <c r="I165" s="10">
        <v>743417000000</v>
      </c>
      <c r="J165" s="10">
        <v>2106286000000</v>
      </c>
      <c r="K165" s="10"/>
      <c r="L165" s="10">
        <v>1127712000000</v>
      </c>
      <c r="M165" s="10">
        <v>978574000000</v>
      </c>
      <c r="N165" s="8">
        <v>6000000000</v>
      </c>
      <c r="O165" s="10">
        <v>2455526000000</v>
      </c>
      <c r="P165" s="10">
        <v>2102628000000</v>
      </c>
      <c r="Q165" s="6"/>
      <c r="R165" s="6"/>
      <c r="S165" s="11"/>
      <c r="T165" s="8">
        <f>93387000000+87420000000+2989000000</f>
        <v>183796000000</v>
      </c>
      <c r="U165" s="12">
        <v>125178000000</v>
      </c>
      <c r="V165" s="9">
        <f t="shared" si="10"/>
        <v>978574000000</v>
      </c>
      <c r="W165" s="13">
        <f t="shared" si="1"/>
        <v>0.53540307441629487</v>
      </c>
      <c r="X165" s="13">
        <f t="shared" si="2"/>
        <v>1.1524033951443631</v>
      </c>
      <c r="Y165" s="8">
        <f t="shared" si="17"/>
        <v>5.94306756062567E-2</v>
      </c>
      <c r="Z165" s="8">
        <f t="shared" si="18"/>
        <v>0.12791878795063019</v>
      </c>
      <c r="AA165" s="8">
        <f t="shared" si="5"/>
        <v>0.14371584743961172</v>
      </c>
      <c r="AB165" s="8">
        <f t="shared" si="21"/>
        <v>5.097807964566451E-2</v>
      </c>
      <c r="AC165" s="8">
        <f t="shared" si="7"/>
        <v>0.14371584743961172</v>
      </c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spans="1:39" ht="15.75" customHeight="1">
      <c r="A166" s="6">
        <v>327</v>
      </c>
      <c r="B166" s="6">
        <v>2020</v>
      </c>
      <c r="C166" s="6" t="s">
        <v>169</v>
      </c>
      <c r="D166" s="7" t="s">
        <v>170</v>
      </c>
      <c r="E166" s="6" t="s">
        <v>161</v>
      </c>
      <c r="F166" s="6" t="s">
        <v>162</v>
      </c>
      <c r="G166" s="8"/>
      <c r="H166" s="9"/>
      <c r="I166" s="10">
        <v>683147000000</v>
      </c>
      <c r="J166" s="10">
        <v>2417802000000</v>
      </c>
      <c r="K166" s="10"/>
      <c r="L166" s="10">
        <v>1535779000000</v>
      </c>
      <c r="M166" s="10">
        <v>882023000000</v>
      </c>
      <c r="N166" s="8">
        <v>6000000000</v>
      </c>
      <c r="O166" s="10">
        <v>2685797000000</v>
      </c>
      <c r="P166" s="10">
        <v>2314224000000</v>
      </c>
      <c r="Q166" s="6"/>
      <c r="R166" s="6"/>
      <c r="S166" s="11"/>
      <c r="T166" s="8">
        <f>82368000000+77414000000+1752000000</f>
        <v>161534000000</v>
      </c>
      <c r="U166" s="12">
        <v>160646000000</v>
      </c>
      <c r="V166" s="9">
        <f t="shared" si="10"/>
        <v>882023000000</v>
      </c>
      <c r="W166" s="13">
        <f t="shared" si="1"/>
        <v>0.63519634775717781</v>
      </c>
      <c r="X166" s="13">
        <f t="shared" si="2"/>
        <v>1.741200626287523</v>
      </c>
      <c r="Y166" s="8">
        <f t="shared" si="17"/>
        <v>6.6442992436932385E-2</v>
      </c>
      <c r="Z166" s="8">
        <f t="shared" si="18"/>
        <v>0.18213357248053622</v>
      </c>
      <c r="AA166" s="8">
        <f t="shared" si="5"/>
        <v>0.13834738813097192</v>
      </c>
      <c r="AB166" s="8">
        <f t="shared" si="21"/>
        <v>5.9813157881999271E-2</v>
      </c>
      <c r="AC166" s="8">
        <f t="shared" si="7"/>
        <v>0.13834738813097192</v>
      </c>
      <c r="AD166" s="9"/>
      <c r="AE166" s="10"/>
      <c r="AF166" s="9"/>
      <c r="AG166" s="9"/>
      <c r="AH166" s="9"/>
      <c r="AI166" s="9"/>
      <c r="AJ166" s="9"/>
      <c r="AK166" s="10"/>
      <c r="AL166" s="9"/>
      <c r="AM166" s="10"/>
    </row>
    <row r="167" spans="1:39" ht="15.75" customHeight="1">
      <c r="A167" s="6">
        <v>337</v>
      </c>
      <c r="B167" s="6">
        <v>2018</v>
      </c>
      <c r="C167" s="6" t="s">
        <v>171</v>
      </c>
      <c r="D167" s="7" t="s">
        <v>172</v>
      </c>
      <c r="E167" s="6" t="s">
        <v>161</v>
      </c>
      <c r="F167" s="6" t="s">
        <v>162</v>
      </c>
      <c r="G167" s="6"/>
      <c r="H167" s="9">
        <v>76216000000</v>
      </c>
      <c r="I167" s="10">
        <v>292093000000</v>
      </c>
      <c r="J167" s="10">
        <v>4852776000000</v>
      </c>
      <c r="K167" s="10">
        <v>157167000000</v>
      </c>
      <c r="L167" s="10">
        <v>2252545000000</v>
      </c>
      <c r="M167" s="10">
        <v>2600231000000</v>
      </c>
      <c r="N167" s="8">
        <v>8000000000</v>
      </c>
      <c r="O167" s="10">
        <v>12713412000000</v>
      </c>
      <c r="P167" s="10">
        <v>11705677000000</v>
      </c>
      <c r="Q167" s="6"/>
      <c r="R167" s="6"/>
      <c r="S167" s="11"/>
      <c r="T167" s="8">
        <f>431907000000+2932000000</f>
        <v>434839000000</v>
      </c>
      <c r="U167" s="12">
        <v>426084000000</v>
      </c>
      <c r="V167" s="9">
        <f t="shared" si="10"/>
        <v>2600231000000</v>
      </c>
      <c r="W167" s="13">
        <f t="shared" si="1"/>
        <v>0.46417658676188639</v>
      </c>
      <c r="X167" s="13">
        <f t="shared" si="2"/>
        <v>0.86628649531522395</v>
      </c>
      <c r="Y167" s="8">
        <f t="shared" si="17"/>
        <v>8.780211573746656E-2</v>
      </c>
      <c r="Z167" s="8">
        <f t="shared" si="18"/>
        <v>0.16386390286093813</v>
      </c>
      <c r="AA167" s="8">
        <f t="shared" si="5"/>
        <v>7.926550323390763E-2</v>
      </c>
      <c r="AB167" s="8">
        <f t="shared" si="21"/>
        <v>3.3514527807326625E-2</v>
      </c>
      <c r="AC167" s="8">
        <f t="shared" si="7"/>
        <v>7.926550323390763E-2</v>
      </c>
      <c r="AD167" s="9"/>
      <c r="AE167" s="10"/>
      <c r="AF167" s="9"/>
      <c r="AG167" s="9"/>
      <c r="AH167" s="9"/>
      <c r="AI167" s="9"/>
      <c r="AJ167" s="9"/>
      <c r="AK167" s="10"/>
      <c r="AL167" s="9"/>
      <c r="AM167" s="9"/>
    </row>
    <row r="168" spans="1:39" ht="15.75" customHeight="1">
      <c r="A168" s="6">
        <v>338</v>
      </c>
      <c r="B168" s="6">
        <v>2019</v>
      </c>
      <c r="C168" s="6" t="s">
        <v>171</v>
      </c>
      <c r="D168" s="7" t="s">
        <v>172</v>
      </c>
      <c r="E168" s="6" t="s">
        <v>161</v>
      </c>
      <c r="F168" s="6" t="s">
        <v>162</v>
      </c>
      <c r="G168" s="8"/>
      <c r="H168" s="9">
        <v>62182000000</v>
      </c>
      <c r="I168" s="10">
        <v>300244000000</v>
      </c>
      <c r="J168" s="10">
        <v>5625277000000</v>
      </c>
      <c r="K168" s="10">
        <v>145446000000</v>
      </c>
      <c r="L168" s="10">
        <v>2582422000000</v>
      </c>
      <c r="M168" s="10">
        <v>3042855000000</v>
      </c>
      <c r="N168" s="8">
        <v>8000000000</v>
      </c>
      <c r="O168" s="10">
        <v>15069692000000</v>
      </c>
      <c r="P168" s="10">
        <v>13860930000000</v>
      </c>
      <c r="Q168" s="6"/>
      <c r="R168" s="6"/>
      <c r="S168" s="11"/>
      <c r="T168" s="8">
        <f>503645000000</f>
        <v>503645000000</v>
      </c>
      <c r="U168" s="12">
        <f>535110000000</f>
        <v>535110000000</v>
      </c>
      <c r="V168" s="9">
        <f t="shared" si="10"/>
        <v>3042855000000</v>
      </c>
      <c r="W168" s="13">
        <f t="shared" si="1"/>
        <v>0.45907463756895883</v>
      </c>
      <c r="X168" s="13">
        <f t="shared" si="2"/>
        <v>0.84868388404968365</v>
      </c>
      <c r="Y168" s="8">
        <f t="shared" si="17"/>
        <v>9.5125982240519005E-2</v>
      </c>
      <c r="Z168" s="8">
        <f t="shared" si="18"/>
        <v>0.17585787032244388</v>
      </c>
      <c r="AA168" s="8">
        <f t="shared" si="5"/>
        <v>8.0211460194408751E-2</v>
      </c>
      <c r="AB168" s="8">
        <f t="shared" si="21"/>
        <v>3.5509020356885863E-2</v>
      </c>
      <c r="AC168" s="8">
        <f t="shared" si="7"/>
        <v>8.0211460194408751E-2</v>
      </c>
      <c r="AD168" s="9"/>
      <c r="AE168" s="10"/>
      <c r="AF168" s="9"/>
      <c r="AG168" s="9"/>
      <c r="AH168" s="9"/>
      <c r="AI168" s="9"/>
      <c r="AJ168" s="9"/>
      <c r="AK168" s="10"/>
      <c r="AL168" s="9"/>
      <c r="AM168" s="9"/>
    </row>
    <row r="169" spans="1:39" ht="15.75" customHeight="1">
      <c r="A169" s="6">
        <v>339</v>
      </c>
      <c r="B169" s="6">
        <v>2020</v>
      </c>
      <c r="C169" s="6" t="s">
        <v>171</v>
      </c>
      <c r="D169" s="7" t="s">
        <v>172</v>
      </c>
      <c r="E169" s="6" t="s">
        <v>161</v>
      </c>
      <c r="F169" s="6" t="s">
        <v>162</v>
      </c>
      <c r="G169" s="8"/>
      <c r="H169" s="9">
        <v>60233000000</v>
      </c>
      <c r="I169" s="10">
        <v>300395000000</v>
      </c>
      <c r="J169" s="10">
        <v>5866642000000</v>
      </c>
      <c r="K169" s="10">
        <v>248091000000</v>
      </c>
      <c r="L169" s="10">
        <v>2450932000000</v>
      </c>
      <c r="M169" s="10">
        <v>3415710000000</v>
      </c>
      <c r="N169" s="8">
        <v>8000000000</v>
      </c>
      <c r="O169" s="10">
        <v>14021687000000</v>
      </c>
      <c r="P169" s="9">
        <v>12794749000000</v>
      </c>
      <c r="Q169" s="6"/>
      <c r="R169" s="6"/>
      <c r="S169" s="11"/>
      <c r="T169" s="8">
        <v>514733000000</v>
      </c>
      <c r="U169" s="12">
        <v>541671000000</v>
      </c>
      <c r="V169" s="9">
        <f t="shared" si="10"/>
        <v>3415710000000</v>
      </c>
      <c r="W169" s="13">
        <f t="shared" si="1"/>
        <v>0.41777425655085143</v>
      </c>
      <c r="X169" s="13">
        <f t="shared" si="2"/>
        <v>0.71754686434152781</v>
      </c>
      <c r="Y169" s="8">
        <f t="shared" si="17"/>
        <v>9.2330672299417618E-2</v>
      </c>
      <c r="Z169" s="8">
        <f t="shared" si="18"/>
        <v>0.1585822566904099</v>
      </c>
      <c r="AA169" s="8">
        <f t="shared" si="5"/>
        <v>8.7502880359545898E-2</v>
      </c>
      <c r="AB169" s="8">
        <f t="shared" si="21"/>
        <v>3.8630943623260167E-2</v>
      </c>
      <c r="AC169" s="8">
        <f t="shared" si="7"/>
        <v>8.7502880359545898E-2</v>
      </c>
      <c r="AD169" s="9"/>
      <c r="AE169" s="10"/>
      <c r="AF169" s="9"/>
      <c r="AG169" s="9"/>
      <c r="AH169" s="9"/>
      <c r="AI169" s="9"/>
      <c r="AJ169" s="9"/>
      <c r="AK169" s="10"/>
      <c r="AL169" s="9"/>
      <c r="AM169" s="10"/>
    </row>
    <row r="170" spans="1:39" ht="15.75" customHeight="1">
      <c r="A170" s="6">
        <v>223</v>
      </c>
      <c r="B170" s="6">
        <v>2018</v>
      </c>
      <c r="C170" s="6" t="s">
        <v>173</v>
      </c>
      <c r="D170" s="7" t="s">
        <v>174</v>
      </c>
      <c r="E170" s="6" t="s">
        <v>175</v>
      </c>
      <c r="F170" s="6" t="s">
        <v>176</v>
      </c>
      <c r="G170" s="8"/>
      <c r="H170" s="6"/>
      <c r="I170" s="22">
        <v>32050036</v>
      </c>
      <c r="J170" s="22">
        <v>81407029</v>
      </c>
      <c r="K170" s="22">
        <v>7306521</v>
      </c>
      <c r="L170" s="22">
        <v>16204114</v>
      </c>
      <c r="M170" s="22">
        <v>65202915</v>
      </c>
      <c r="N170" s="13">
        <v>1284000000</v>
      </c>
      <c r="O170" s="22">
        <v>141178215</v>
      </c>
      <c r="P170" s="22">
        <v>132599993</v>
      </c>
      <c r="Q170" s="6"/>
      <c r="R170" s="6"/>
      <c r="S170" s="11"/>
      <c r="T170" s="22">
        <f>3853174+2984824+331314</f>
        <v>7169312</v>
      </c>
      <c r="U170" s="22">
        <v>1233587</v>
      </c>
      <c r="V170" s="21">
        <f t="shared" si="10"/>
        <v>65202915</v>
      </c>
      <c r="W170" s="13">
        <f t="shared" si="1"/>
        <v>0.19905055127364985</v>
      </c>
      <c r="X170" s="13">
        <f t="shared" si="2"/>
        <v>0.24851824492816005</v>
      </c>
      <c r="Y170" s="8">
        <f t="shared" si="17"/>
        <v>1.5153322939718142E-2</v>
      </c>
      <c r="Z170" s="8">
        <f t="shared" si="18"/>
        <v>1.8919200161526522E-2</v>
      </c>
      <c r="AA170" s="8">
        <f t="shared" si="5"/>
        <v>6.0761655047133156E-2</v>
      </c>
      <c r="AB170" s="8">
        <f t="shared" si="21"/>
        <v>8.7377999502260325E-3</v>
      </c>
      <c r="AC170" s="8">
        <f t="shared" si="7"/>
        <v>6.0761655047133156E-2</v>
      </c>
      <c r="AD170" s="9"/>
      <c r="AE170" s="9"/>
      <c r="AF170" s="9"/>
      <c r="AG170" s="9"/>
      <c r="AH170" s="9"/>
      <c r="AI170" s="9"/>
      <c r="AJ170" s="9"/>
      <c r="AK170" s="9"/>
      <c r="AL170" s="9"/>
      <c r="AM170" s="10"/>
    </row>
    <row r="171" spans="1:39" ht="15.75" customHeight="1">
      <c r="A171" s="6">
        <v>224</v>
      </c>
      <c r="B171" s="6">
        <v>2019</v>
      </c>
      <c r="C171" s="6" t="s">
        <v>173</v>
      </c>
      <c r="D171" s="7" t="s">
        <v>174</v>
      </c>
      <c r="E171" s="6" t="s">
        <v>175</v>
      </c>
      <c r="F171" s="6" t="s">
        <v>176</v>
      </c>
      <c r="G171" s="8"/>
      <c r="H171" s="6"/>
      <c r="I171" s="22">
        <v>32418145</v>
      </c>
      <c r="J171" s="22">
        <v>93607794</v>
      </c>
      <c r="K171" s="22">
        <v>6740656</v>
      </c>
      <c r="L171" s="22">
        <v>26197473</v>
      </c>
      <c r="M171" s="22">
        <v>67410321</v>
      </c>
      <c r="N171" s="13">
        <v>1284000000</v>
      </c>
      <c r="O171" s="22">
        <v>198347941</v>
      </c>
      <c r="P171" s="22">
        <v>186987183</v>
      </c>
      <c r="Q171" s="6"/>
      <c r="R171" s="6"/>
      <c r="S171" s="11"/>
      <c r="T171" s="22">
        <f>5750468+2763613+125867</f>
        <v>8639948</v>
      </c>
      <c r="U171" s="22">
        <v>2089137</v>
      </c>
      <c r="V171" s="21">
        <f t="shared" si="10"/>
        <v>67410321</v>
      </c>
      <c r="W171" s="13">
        <f t="shared" si="1"/>
        <v>0.27986422797229898</v>
      </c>
      <c r="X171" s="13">
        <f t="shared" si="2"/>
        <v>0.38862703235013524</v>
      </c>
      <c r="Y171" s="8">
        <f t="shared" si="17"/>
        <v>2.2317981342451037E-2</v>
      </c>
      <c r="Z171" s="8">
        <f t="shared" si="18"/>
        <v>3.0991352199613468E-2</v>
      </c>
      <c r="AA171" s="8">
        <f t="shared" si="5"/>
        <v>5.7276914208048167E-2</v>
      </c>
      <c r="AB171" s="8">
        <f t="shared" si="21"/>
        <v>1.0532688110939352E-2</v>
      </c>
      <c r="AC171" s="8">
        <f t="shared" si="7"/>
        <v>5.7276914208048167E-2</v>
      </c>
      <c r="AD171" s="10"/>
      <c r="AE171" s="9"/>
      <c r="AF171" s="9"/>
      <c r="AG171" s="9"/>
      <c r="AH171" s="9"/>
      <c r="AI171" s="9"/>
      <c r="AJ171" s="9"/>
      <c r="AK171" s="10"/>
      <c r="AL171" s="9"/>
      <c r="AM171" s="10"/>
    </row>
    <row r="172" spans="1:39" ht="15.75" customHeight="1">
      <c r="A172" s="6">
        <v>225</v>
      </c>
      <c r="B172" s="6">
        <v>2020</v>
      </c>
      <c r="C172" s="6" t="s">
        <v>173</v>
      </c>
      <c r="D172" s="7" t="s">
        <v>174</v>
      </c>
      <c r="E172" s="6" t="s">
        <v>175</v>
      </c>
      <c r="F172" s="6" t="s">
        <v>176</v>
      </c>
      <c r="G172" s="8"/>
      <c r="H172" s="6"/>
      <c r="I172" s="22">
        <v>33017104</v>
      </c>
      <c r="J172" s="21">
        <v>91730054</v>
      </c>
      <c r="K172" s="22">
        <v>5966382</v>
      </c>
      <c r="L172" s="22">
        <v>22354042</v>
      </c>
      <c r="M172" s="22">
        <v>69376012</v>
      </c>
      <c r="N172" s="13">
        <v>1284000000</v>
      </c>
      <c r="O172" s="22">
        <v>200584999</v>
      </c>
      <c r="P172" s="22">
        <v>187807513</v>
      </c>
      <c r="Q172" s="6"/>
      <c r="R172" s="6"/>
      <c r="S172" s="11"/>
      <c r="T172" s="22">
        <f>4653725+2725829+1711405</f>
        <v>9090959</v>
      </c>
      <c r="U172" s="22">
        <v>2346766</v>
      </c>
      <c r="V172" s="21">
        <f t="shared" si="10"/>
        <v>69376012</v>
      </c>
      <c r="W172" s="13">
        <f t="shared" si="1"/>
        <v>0.24369376256989886</v>
      </c>
      <c r="X172" s="13">
        <f t="shared" si="2"/>
        <v>0.32221572493962325</v>
      </c>
      <c r="Y172" s="8">
        <f t="shared" si="17"/>
        <v>2.5583392766780667E-2</v>
      </c>
      <c r="Z172" s="8">
        <f t="shared" si="18"/>
        <v>3.3826764213544011E-2</v>
      </c>
      <c r="AA172" s="8">
        <f t="shared" si="5"/>
        <v>6.3701104587586835E-2</v>
      </c>
      <c r="AB172" s="8">
        <f t="shared" si="21"/>
        <v>1.1699608703041646E-2</v>
      </c>
      <c r="AC172" s="8">
        <f t="shared" si="7"/>
        <v>6.3701104587586835E-2</v>
      </c>
      <c r="AD172" s="9"/>
      <c r="AE172" s="9"/>
      <c r="AF172" s="9"/>
      <c r="AG172" s="9"/>
      <c r="AH172" s="9"/>
      <c r="AI172" s="9"/>
      <c r="AJ172" s="9"/>
      <c r="AK172" s="9"/>
      <c r="AL172" s="9"/>
      <c r="AM172" s="10"/>
    </row>
    <row r="173" spans="1:39" ht="15.75" customHeight="1">
      <c r="A173" s="6">
        <v>265</v>
      </c>
      <c r="B173" s="6">
        <v>2018</v>
      </c>
      <c r="C173" s="6" t="s">
        <v>177</v>
      </c>
      <c r="D173" s="7" t="s">
        <v>178</v>
      </c>
      <c r="E173" s="6" t="s">
        <v>175</v>
      </c>
      <c r="F173" s="6" t="s">
        <v>176</v>
      </c>
      <c r="G173" s="8"/>
      <c r="H173" s="6"/>
      <c r="I173" s="15">
        <v>694005261792</v>
      </c>
      <c r="J173" s="8">
        <v>1298358478375</v>
      </c>
      <c r="K173" s="8">
        <v>13297819406</v>
      </c>
      <c r="L173" s="8">
        <v>476887194322</v>
      </c>
      <c r="M173" s="8">
        <v>821471284053</v>
      </c>
      <c r="N173" s="8">
        <v>1374918822</v>
      </c>
      <c r="O173" s="8">
        <v>1243465775218</v>
      </c>
      <c r="P173" s="13">
        <v>1122034987713</v>
      </c>
      <c r="Q173" s="6"/>
      <c r="R173" s="6"/>
      <c r="S173" s="11"/>
      <c r="T173" s="18">
        <v>56922352291</v>
      </c>
      <c r="U173" s="12">
        <v>40675096628</v>
      </c>
      <c r="V173" s="13">
        <f t="shared" si="10"/>
        <v>821471284053</v>
      </c>
      <c r="W173" s="13">
        <f t="shared" si="1"/>
        <v>0.36730009644090178</v>
      </c>
      <c r="X173" s="13">
        <f t="shared" si="2"/>
        <v>0.58052813723337893</v>
      </c>
      <c r="Y173" s="8">
        <f t="shared" si="17"/>
        <v>3.1328094132298617E-2</v>
      </c>
      <c r="Z173" s="8">
        <f t="shared" si="18"/>
        <v>4.9514934261993881E-2</v>
      </c>
      <c r="AA173" s="8">
        <f t="shared" si="5"/>
        <v>9.7655110357750846E-2</v>
      </c>
      <c r="AB173" s="8">
        <f t="shared" si="21"/>
        <v>3.2711070492365574E-2</v>
      </c>
      <c r="AC173" s="8">
        <f t="shared" si="7"/>
        <v>9.7655110357750846E-2</v>
      </c>
      <c r="AD173" s="9"/>
      <c r="AE173" s="9"/>
      <c r="AF173" s="9"/>
      <c r="AG173" s="9"/>
      <c r="AH173" s="9"/>
      <c r="AI173" s="9"/>
      <c r="AJ173" s="9"/>
      <c r="AK173" s="9"/>
      <c r="AL173" s="9"/>
      <c r="AM173" s="10"/>
    </row>
    <row r="174" spans="1:39" ht="15.75" customHeight="1">
      <c r="A174" s="6">
        <v>266</v>
      </c>
      <c r="B174" s="6">
        <v>2019</v>
      </c>
      <c r="C174" s="6" t="s">
        <v>177</v>
      </c>
      <c r="D174" s="7" t="s">
        <v>178</v>
      </c>
      <c r="E174" s="6" t="s">
        <v>175</v>
      </c>
      <c r="F174" s="6" t="s">
        <v>176</v>
      </c>
      <c r="G174" s="8"/>
      <c r="H174" s="6"/>
      <c r="I174" s="15">
        <v>708519458254</v>
      </c>
      <c r="J174" s="8">
        <v>1284437358420</v>
      </c>
      <c r="K174" s="8">
        <v>13700227536</v>
      </c>
      <c r="L174" s="8">
        <v>436010329994</v>
      </c>
      <c r="M174" s="8">
        <v>848427028426</v>
      </c>
      <c r="N174" s="8">
        <v>1374918822</v>
      </c>
      <c r="O174" s="8">
        <v>1149120504681</v>
      </c>
      <c r="P174" s="8">
        <v>1042840828040</v>
      </c>
      <c r="Q174" s="6"/>
      <c r="R174" s="6"/>
      <c r="S174" s="11"/>
      <c r="T174" s="18">
        <v>57448033109</v>
      </c>
      <c r="U174" s="12">
        <v>38648269147</v>
      </c>
      <c r="V174" s="13">
        <f t="shared" si="10"/>
        <v>848427028426</v>
      </c>
      <c r="W174" s="13">
        <f t="shared" si="1"/>
        <v>0.33945628187764715</v>
      </c>
      <c r="X174" s="13">
        <f t="shared" si="2"/>
        <v>0.51390433753965314</v>
      </c>
      <c r="Y174" s="8">
        <f t="shared" si="17"/>
        <v>3.0089648898519773E-2</v>
      </c>
      <c r="Z174" s="8">
        <f t="shared" si="18"/>
        <v>4.5552849982514333E-2</v>
      </c>
      <c r="AA174" s="8">
        <f t="shared" si="5"/>
        <v>9.2487842839862666E-2</v>
      </c>
      <c r="AB174" s="8">
        <f t="shared" si="21"/>
        <v>3.3632912292108907E-2</v>
      </c>
      <c r="AC174" s="8">
        <f t="shared" si="7"/>
        <v>9.2487842839862666E-2</v>
      </c>
      <c r="AD174" s="9"/>
      <c r="AE174" s="9"/>
      <c r="AF174" s="9"/>
      <c r="AG174" s="9"/>
      <c r="AH174" s="9"/>
      <c r="AI174" s="9"/>
      <c r="AJ174" s="9"/>
      <c r="AK174" s="9"/>
      <c r="AL174" s="9"/>
      <c r="AM174" s="10"/>
    </row>
    <row r="175" spans="1:39" ht="15.75" customHeight="1">
      <c r="A175" s="6">
        <v>267</v>
      </c>
      <c r="B175" s="6">
        <v>2020</v>
      </c>
      <c r="C175" s="6" t="s">
        <v>177</v>
      </c>
      <c r="D175" s="7" t="s">
        <v>178</v>
      </c>
      <c r="E175" s="6" t="s">
        <v>175</v>
      </c>
      <c r="F175" s="6" t="s">
        <v>176</v>
      </c>
      <c r="G175" s="8"/>
      <c r="H175" s="6"/>
      <c r="I175" s="15">
        <v>703056169529</v>
      </c>
      <c r="J175" s="8">
        <v>1026762882496</v>
      </c>
      <c r="K175" s="8">
        <v>17078479794</v>
      </c>
      <c r="L175" s="8">
        <v>185150026551</v>
      </c>
      <c r="M175" s="8">
        <v>841612855945</v>
      </c>
      <c r="N175" s="8">
        <v>1374918822</v>
      </c>
      <c r="O175" s="8">
        <v>883822892518</v>
      </c>
      <c r="P175" s="8">
        <v>833504758330</v>
      </c>
      <c r="Q175" s="6"/>
      <c r="R175" s="6"/>
      <c r="S175" s="11"/>
      <c r="T175" s="10">
        <v>41188112957</v>
      </c>
      <c r="U175" s="12">
        <v>6563771460</v>
      </c>
      <c r="V175" s="13">
        <f t="shared" si="10"/>
        <v>841612855945</v>
      </c>
      <c r="W175" s="13">
        <f t="shared" si="1"/>
        <v>0.18032403557568347</v>
      </c>
      <c r="X175" s="13">
        <f t="shared" si="2"/>
        <v>0.21999429457752923</v>
      </c>
      <c r="Y175" s="8">
        <f t="shared" si="17"/>
        <v>6.3926847881799727E-3</v>
      </c>
      <c r="Z175" s="8">
        <f t="shared" si="18"/>
        <v>7.7990389686121275E-3</v>
      </c>
      <c r="AA175" s="8">
        <f t="shared" si="5"/>
        <v>5.6932372553333943E-2</v>
      </c>
      <c r="AB175" s="8">
        <f t="shared" si="21"/>
        <v>7.426568734036635E-3</v>
      </c>
      <c r="AC175" s="8">
        <f t="shared" si="7"/>
        <v>5.6932372553333943E-2</v>
      </c>
      <c r="AD175" s="9"/>
      <c r="AE175" s="9"/>
      <c r="AF175" s="9"/>
      <c r="AG175" s="9"/>
      <c r="AH175" s="9"/>
      <c r="AI175" s="9"/>
      <c r="AJ175" s="9"/>
      <c r="AK175" s="9"/>
      <c r="AL175" s="9"/>
      <c r="AM175" s="10"/>
    </row>
    <row r="176" spans="1:39" ht="15.75" customHeight="1">
      <c r="A176" s="6">
        <v>268</v>
      </c>
      <c r="B176" s="6">
        <v>2018</v>
      </c>
      <c r="C176" s="6" t="s">
        <v>179</v>
      </c>
      <c r="D176" s="7" t="s">
        <v>180</v>
      </c>
      <c r="E176" s="6" t="s">
        <v>181</v>
      </c>
      <c r="F176" s="6" t="s">
        <v>182</v>
      </c>
      <c r="G176" s="6"/>
      <c r="H176" s="6"/>
      <c r="I176" s="8">
        <v>1131111493896</v>
      </c>
      <c r="J176" s="8">
        <v>1704424579208</v>
      </c>
      <c r="K176" s="15">
        <v>157286823080</v>
      </c>
      <c r="L176" s="8">
        <v>349587345823</v>
      </c>
      <c r="M176" s="8">
        <v>1354837233385</v>
      </c>
      <c r="N176" s="8">
        <f t="shared" ref="N176:N178" si="22">680000000+16000000000</f>
        <v>16680000000</v>
      </c>
      <c r="O176" s="8">
        <v>875963168811</v>
      </c>
      <c r="P176" s="8">
        <v>877844471178</v>
      </c>
      <c r="Q176" s="6"/>
      <c r="R176" s="6"/>
      <c r="S176" s="11"/>
      <c r="T176" s="18">
        <f>11375050784+76760338859+1638002142</f>
        <v>89773391785</v>
      </c>
      <c r="U176" s="12">
        <v>79206468705</v>
      </c>
      <c r="V176" s="13">
        <f t="shared" si="10"/>
        <v>1354837233385</v>
      </c>
      <c r="W176" s="13">
        <f t="shared" si="1"/>
        <v>0.20510578765852097</v>
      </c>
      <c r="X176" s="13">
        <f t="shared" si="2"/>
        <v>0.2580290364102053</v>
      </c>
      <c r="Y176" s="8">
        <f t="shared" si="17"/>
        <v>4.6471090402724131E-2</v>
      </c>
      <c r="Z176" s="8">
        <f t="shared" si="18"/>
        <v>5.8461981080270578E-2</v>
      </c>
      <c r="AA176" s="8">
        <f t="shared" si="5"/>
        <v>-2.1476957410819114E-3</v>
      </c>
      <c r="AB176" s="8">
        <f t="shared" si="21"/>
        <v>9.0422145045792199E-2</v>
      </c>
      <c r="AC176" s="8">
        <f t="shared" si="7"/>
        <v>-2.1476957410819114E-3</v>
      </c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spans="1:39" ht="15.75" customHeight="1">
      <c r="A177" s="6">
        <v>269</v>
      </c>
      <c r="B177" s="6">
        <v>2019</v>
      </c>
      <c r="C177" s="6" t="s">
        <v>179</v>
      </c>
      <c r="D177" s="7" t="s">
        <v>180</v>
      </c>
      <c r="E177" s="6" t="s">
        <v>181</v>
      </c>
      <c r="F177" s="6" t="s">
        <v>182</v>
      </c>
      <c r="G177" s="6"/>
      <c r="H177" s="6"/>
      <c r="I177" s="8">
        <v>791722380374</v>
      </c>
      <c r="J177" s="8">
        <v>1231680564971</v>
      </c>
      <c r="K177" s="9">
        <v>50701838548</v>
      </c>
      <c r="L177" s="8">
        <v>326113004490</v>
      </c>
      <c r="M177" s="8">
        <v>905567560481</v>
      </c>
      <c r="N177" s="8">
        <f t="shared" si="22"/>
        <v>16680000000</v>
      </c>
      <c r="O177" s="8">
        <v>735066462915</v>
      </c>
      <c r="P177" s="8">
        <v>792272820967</v>
      </c>
      <c r="Q177" s="6"/>
      <c r="R177" s="6"/>
      <c r="S177" s="11"/>
      <c r="T177" s="10">
        <f>11577540660+179539664592+2633142613</f>
        <v>193750347865</v>
      </c>
      <c r="U177" s="12">
        <v>494426816904</v>
      </c>
      <c r="V177" s="13">
        <f t="shared" si="10"/>
        <v>905567560481</v>
      </c>
      <c r="W177" s="13">
        <f t="shared" si="1"/>
        <v>0.26477076424249524</v>
      </c>
      <c r="X177" s="13">
        <f t="shared" si="2"/>
        <v>0.36012001613306716</v>
      </c>
      <c r="Y177" s="8">
        <f t="shared" si="17"/>
        <v>0.40142455029778057</v>
      </c>
      <c r="Z177" s="8">
        <f t="shared" si="18"/>
        <v>0.54598556582722657</v>
      </c>
      <c r="AA177" s="8">
        <f t="shared" si="5"/>
        <v>-7.7824742303084921E-2</v>
      </c>
      <c r="AB177" s="8">
        <f t="shared" si="21"/>
        <v>0.67262872386163186</v>
      </c>
      <c r="AC177" s="8">
        <f t="shared" si="7"/>
        <v>-7.7824742303084921E-2</v>
      </c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spans="1:39" ht="15.75" customHeight="1">
      <c r="A178" s="6">
        <v>270</v>
      </c>
      <c r="B178" s="6">
        <v>2020</v>
      </c>
      <c r="C178" s="6" t="s">
        <v>179</v>
      </c>
      <c r="D178" s="7" t="s">
        <v>180</v>
      </c>
      <c r="E178" s="6" t="s">
        <v>181</v>
      </c>
      <c r="F178" s="6" t="s">
        <v>182</v>
      </c>
      <c r="G178" s="6"/>
      <c r="H178" s="6"/>
      <c r="I178" s="8">
        <v>748754655621</v>
      </c>
      <c r="J178" s="8">
        <v>1021382709921</v>
      </c>
      <c r="K178" s="8">
        <v>41217586655</v>
      </c>
      <c r="L178" s="8">
        <v>169127346041</v>
      </c>
      <c r="M178" s="8">
        <v>852255363880</v>
      </c>
      <c r="N178" s="8">
        <f t="shared" si="22"/>
        <v>16680000000</v>
      </c>
      <c r="O178" s="8">
        <v>437171365285</v>
      </c>
      <c r="P178" s="8">
        <v>452075617126</v>
      </c>
      <c r="Q178" s="6"/>
      <c r="R178" s="6"/>
      <c r="S178" s="11"/>
      <c r="T178" s="10">
        <f>324515909+49114207247+247179857</f>
        <v>49685903013</v>
      </c>
      <c r="U178" s="24">
        <v>51749994901</v>
      </c>
      <c r="V178" s="13">
        <f t="shared" si="10"/>
        <v>852255363880</v>
      </c>
      <c r="W178" s="13">
        <f t="shared" si="1"/>
        <v>0.16558665463808503</v>
      </c>
      <c r="X178" s="13">
        <f t="shared" si="2"/>
        <v>0.19844679565409415</v>
      </c>
      <c r="Y178" s="8">
        <f t="shared" si="17"/>
        <v>5.0666605571385345E-2</v>
      </c>
      <c r="Z178" s="8">
        <f t="shared" si="18"/>
        <v>6.0721231093696641E-2</v>
      </c>
      <c r="AA178" s="8">
        <f t="shared" si="5"/>
        <v>-3.4092470423545802E-2</v>
      </c>
      <c r="AB178" s="8">
        <f t="shared" si="21"/>
        <v>0.11837462151086504</v>
      </c>
      <c r="AC178" s="8">
        <f t="shared" si="7"/>
        <v>-3.4092470423545802E-2</v>
      </c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spans="1:39" ht="15.75" customHeight="1">
      <c r="A179" s="6">
        <v>22</v>
      </c>
      <c r="B179" s="6">
        <v>2018</v>
      </c>
      <c r="C179" s="6" t="s">
        <v>183</v>
      </c>
      <c r="D179" s="7" t="s">
        <v>184</v>
      </c>
      <c r="E179" s="6" t="s">
        <v>181</v>
      </c>
      <c r="F179" s="6" t="s">
        <v>185</v>
      </c>
      <c r="G179" s="8"/>
      <c r="H179" s="16">
        <v>1575000000</v>
      </c>
      <c r="I179" s="16">
        <v>5940400000000</v>
      </c>
      <c r="J179" s="16">
        <v>8432632000000</v>
      </c>
      <c r="K179" s="16">
        <v>3097062000000</v>
      </c>
      <c r="L179" s="16">
        <v>4835966000000</v>
      </c>
      <c r="M179" s="16">
        <v>3596666000000</v>
      </c>
      <c r="N179" s="8">
        <v>600000000</v>
      </c>
      <c r="O179" s="16">
        <v>4443262000000</v>
      </c>
      <c r="P179" s="16">
        <v>3785958000000</v>
      </c>
      <c r="Q179" s="6"/>
      <c r="R179" s="6"/>
      <c r="S179" s="11"/>
      <c r="T179" s="12">
        <f>1779000000+433422000000+66533000000</f>
        <v>501734000000</v>
      </c>
      <c r="U179" s="18">
        <v>6596000000</v>
      </c>
      <c r="V179" s="17">
        <f t="shared" si="10"/>
        <v>3596666000000</v>
      </c>
      <c r="W179" s="13">
        <f t="shared" si="1"/>
        <v>0.57348239553202374</v>
      </c>
      <c r="X179" s="13">
        <f t="shared" si="2"/>
        <v>1.3445691092806504</v>
      </c>
      <c r="Y179" s="8">
        <f>T179/J179</f>
        <v>5.9499098264930807E-2</v>
      </c>
      <c r="Z179" s="8">
        <f>T179/M179</f>
        <v>0.13949974782201072</v>
      </c>
      <c r="AA179" s="8">
        <f t="shared" si="5"/>
        <v>0.14793275751013557</v>
      </c>
      <c r="AB179" s="8">
        <f>T179/O179</f>
        <v>0.11292019241719259</v>
      </c>
      <c r="AC179" s="8">
        <f t="shared" si="7"/>
        <v>0.14793275751013557</v>
      </c>
      <c r="AD179" s="9"/>
      <c r="AE179" s="9"/>
      <c r="AF179" s="9"/>
      <c r="AG179" s="9"/>
      <c r="AH179" s="9"/>
      <c r="AI179" s="9"/>
      <c r="AJ179" s="9"/>
      <c r="AK179" s="9"/>
      <c r="AL179" s="9"/>
      <c r="AM179" s="10"/>
    </row>
    <row r="180" spans="1:39" ht="15.75" customHeight="1">
      <c r="A180" s="6">
        <v>23</v>
      </c>
      <c r="B180" s="6">
        <v>2019</v>
      </c>
      <c r="C180" s="6" t="s">
        <v>183</v>
      </c>
      <c r="D180" s="7" t="s">
        <v>184</v>
      </c>
      <c r="E180" s="6" t="s">
        <v>181</v>
      </c>
      <c r="F180" s="6" t="s">
        <v>185</v>
      </c>
      <c r="G180" s="8"/>
      <c r="H180" s="16">
        <v>1575000000</v>
      </c>
      <c r="I180" s="16">
        <v>5989585000000</v>
      </c>
      <c r="J180" s="16">
        <v>8738055000000</v>
      </c>
      <c r="K180" s="16">
        <v>3042021000000</v>
      </c>
      <c r="L180" s="16">
        <v>5328124000000</v>
      </c>
      <c r="M180" s="16">
        <v>3409931000000</v>
      </c>
      <c r="N180" s="8">
        <v>600000000</v>
      </c>
      <c r="O180" s="16">
        <v>4289776000000</v>
      </c>
      <c r="P180" s="16">
        <v>3881590000000</v>
      </c>
      <c r="Q180" s="6"/>
      <c r="R180" s="6"/>
      <c r="S180" s="11"/>
      <c r="T180" s="9">
        <f>4174000000+441462000000+77401000000</f>
        <v>523037000000</v>
      </c>
      <c r="U180" s="12">
        <v>-132223000000</v>
      </c>
      <c r="V180" s="17">
        <f t="shared" si="10"/>
        <v>3409931000000</v>
      </c>
      <c r="W180" s="13">
        <f t="shared" si="1"/>
        <v>0.60976086783614891</v>
      </c>
      <c r="X180" s="13">
        <f t="shared" si="2"/>
        <v>1.5625313239476106</v>
      </c>
      <c r="Y180" s="8">
        <f t="shared" ref="Y180:Y218" si="23">U180/J180</f>
        <v>-1.5131857146699122E-2</v>
      </c>
      <c r="Z180" s="8">
        <f t="shared" ref="Z180:Z218" si="24">U180/M180</f>
        <v>-3.8775857927917018E-2</v>
      </c>
      <c r="AA180" s="8">
        <f t="shared" si="5"/>
        <v>9.5153220121516835E-2</v>
      </c>
      <c r="AB180" s="8">
        <f t="shared" ref="AB180:AB218" si="25">U180/O180</f>
        <v>-3.0822821517953385E-2</v>
      </c>
      <c r="AC180" s="8">
        <f t="shared" si="7"/>
        <v>9.5153220121516835E-2</v>
      </c>
      <c r="AD180" s="9"/>
      <c r="AE180" s="9"/>
      <c r="AF180" s="9"/>
      <c r="AG180" s="9"/>
      <c r="AH180" s="9"/>
      <c r="AI180" s="9"/>
      <c r="AJ180" s="9"/>
      <c r="AK180" s="9"/>
      <c r="AL180" s="9"/>
      <c r="AM180" s="10"/>
    </row>
    <row r="181" spans="1:39" ht="15.75" customHeight="1">
      <c r="A181" s="6">
        <v>24</v>
      </c>
      <c r="B181" s="6">
        <v>2020</v>
      </c>
      <c r="C181" s="6" t="s">
        <v>183</v>
      </c>
      <c r="D181" s="7" t="s">
        <v>184</v>
      </c>
      <c r="E181" s="6" t="s">
        <v>181</v>
      </c>
      <c r="F181" s="6" t="s">
        <v>185</v>
      </c>
      <c r="G181" s="8"/>
      <c r="H181" s="16">
        <v>1575000000</v>
      </c>
      <c r="I181" s="16">
        <v>5570591000000</v>
      </c>
      <c r="J181" s="16">
        <v>7961657000000</v>
      </c>
      <c r="K181" s="16">
        <v>2627252000000</v>
      </c>
      <c r="L181" s="16">
        <v>5031820000000</v>
      </c>
      <c r="M181" s="16">
        <v>2929837000000</v>
      </c>
      <c r="N181" s="8">
        <v>600000000</v>
      </c>
      <c r="O181" s="16">
        <v>3767789000000</v>
      </c>
      <c r="P181" s="16">
        <v>3464806000000</v>
      </c>
      <c r="Q181" s="6"/>
      <c r="R181" s="6"/>
      <c r="S181" s="11"/>
      <c r="T181" s="9">
        <f>1150000000+451665000000+154672000000</f>
        <v>607487000000</v>
      </c>
      <c r="U181" s="12">
        <v>-430987000000</v>
      </c>
      <c r="V181" s="17">
        <f t="shared" si="10"/>
        <v>2929837000000</v>
      </c>
      <c r="W181" s="13">
        <f t="shared" si="1"/>
        <v>0.63200662877087022</v>
      </c>
      <c r="X181" s="13">
        <f t="shared" si="2"/>
        <v>1.7174402535021573</v>
      </c>
      <c r="Y181" s="8">
        <f t="shared" si="23"/>
        <v>-5.4132826872596997E-2</v>
      </c>
      <c r="Z181" s="8">
        <f t="shared" si="24"/>
        <v>-0.14710272277945838</v>
      </c>
      <c r="AA181" s="8">
        <f t="shared" si="5"/>
        <v>8.0414004075068962E-2</v>
      </c>
      <c r="AB181" s="8">
        <f t="shared" si="25"/>
        <v>-0.11438724408399727</v>
      </c>
      <c r="AC181" s="8">
        <f t="shared" si="7"/>
        <v>8.0414004075068962E-2</v>
      </c>
      <c r="AD181" s="9"/>
      <c r="AE181" s="9"/>
      <c r="AF181" s="9"/>
      <c r="AG181" s="9"/>
      <c r="AH181" s="9"/>
      <c r="AI181" s="9"/>
      <c r="AJ181" s="9"/>
      <c r="AK181" s="9"/>
      <c r="AL181" s="10"/>
      <c r="AM181" s="10"/>
    </row>
    <row r="182" spans="1:39" ht="15.75" customHeight="1">
      <c r="A182" s="6">
        <v>319</v>
      </c>
      <c r="B182" s="6">
        <v>2018</v>
      </c>
      <c r="C182" s="6" t="s">
        <v>186</v>
      </c>
      <c r="D182" s="7" t="s">
        <v>187</v>
      </c>
      <c r="E182" s="6" t="s">
        <v>188</v>
      </c>
      <c r="F182" s="6" t="s">
        <v>189</v>
      </c>
      <c r="G182" s="6"/>
      <c r="H182" s="9"/>
      <c r="I182" s="10">
        <v>2066106271946</v>
      </c>
      <c r="J182" s="10">
        <v>5089416875753</v>
      </c>
      <c r="K182" s="18">
        <v>327605041855</v>
      </c>
      <c r="L182" s="18">
        <v>639496458042</v>
      </c>
      <c r="M182" s="10">
        <v>4449920417711</v>
      </c>
      <c r="N182" s="8">
        <v>50000000000</v>
      </c>
      <c r="O182" s="10">
        <v>2713087099834</v>
      </c>
      <c r="P182" s="10">
        <v>1428785427219</v>
      </c>
      <c r="Q182" s="6"/>
      <c r="R182" s="6"/>
      <c r="S182" s="11"/>
      <c r="T182" s="8">
        <f>538829865429+7476539543</f>
        <v>546306404972</v>
      </c>
      <c r="U182" s="12">
        <v>658737307293</v>
      </c>
      <c r="V182" s="9">
        <f t="shared" si="10"/>
        <v>4449920417711</v>
      </c>
      <c r="W182" s="13">
        <f t="shared" si="1"/>
        <v>0.12565220606877167</v>
      </c>
      <c r="X182" s="13">
        <f t="shared" si="2"/>
        <v>0.14370963927731351</v>
      </c>
      <c r="Y182" s="8">
        <f t="shared" si="23"/>
        <v>0.12943276673431023</v>
      </c>
      <c r="Z182" s="8">
        <f t="shared" si="24"/>
        <v>0.14803350295236262</v>
      </c>
      <c r="AA182" s="8">
        <f t="shared" si="5"/>
        <v>0.47337281309309232</v>
      </c>
      <c r="AB182" s="8">
        <f t="shared" si="25"/>
        <v>0.24279991133838083</v>
      </c>
      <c r="AC182" s="8">
        <f t="shared" si="7"/>
        <v>0.47337281309309232</v>
      </c>
      <c r="AD182" s="9"/>
      <c r="AE182" s="9"/>
      <c r="AF182" s="9"/>
      <c r="AG182" s="9"/>
      <c r="AH182" s="9"/>
      <c r="AI182" s="9"/>
      <c r="AJ182" s="9"/>
      <c r="AK182" s="9"/>
      <c r="AL182" s="9"/>
      <c r="AM182" s="10"/>
    </row>
    <row r="183" spans="1:39" ht="15.75" customHeight="1">
      <c r="A183" s="6">
        <v>320</v>
      </c>
      <c r="B183" s="6">
        <v>2019</v>
      </c>
      <c r="C183" s="6" t="s">
        <v>186</v>
      </c>
      <c r="D183" s="7" t="s">
        <v>187</v>
      </c>
      <c r="E183" s="6" t="s">
        <v>188</v>
      </c>
      <c r="F183" s="6" t="s">
        <v>189</v>
      </c>
      <c r="G183" s="6"/>
      <c r="H183" s="9"/>
      <c r="I183" s="10">
        <v>2389696634708</v>
      </c>
      <c r="J183" s="18">
        <v>5576085408175</v>
      </c>
      <c r="K183" s="10">
        <v>352674248269</v>
      </c>
      <c r="L183" s="10">
        <v>783434418324</v>
      </c>
      <c r="M183" s="10">
        <v>4792650989851</v>
      </c>
      <c r="N183" s="8">
        <v>50000000000</v>
      </c>
      <c r="O183" s="18">
        <v>3205020519049</v>
      </c>
      <c r="P183" s="18">
        <v>1670646962091</v>
      </c>
      <c r="Q183" s="6"/>
      <c r="R183" s="6"/>
      <c r="S183" s="11"/>
      <c r="T183" s="8">
        <f>649434890651+5194540461</f>
        <v>654629431112</v>
      </c>
      <c r="U183" s="12">
        <v>791419176854</v>
      </c>
      <c r="V183" s="9">
        <f t="shared" si="10"/>
        <v>4792650989851</v>
      </c>
      <c r="W183" s="13">
        <f t="shared" si="1"/>
        <v>0.14049899902455237</v>
      </c>
      <c r="X183" s="13">
        <f t="shared" si="2"/>
        <v>0.1634657770789098</v>
      </c>
      <c r="Y183" s="8">
        <f t="shared" si="23"/>
        <v>0.14193096391488452</v>
      </c>
      <c r="Z183" s="8">
        <f t="shared" si="24"/>
        <v>0.16513181922278983</v>
      </c>
      <c r="AA183" s="8">
        <f t="shared" si="5"/>
        <v>0.47874063452588517</v>
      </c>
      <c r="AB183" s="8">
        <f t="shared" si="25"/>
        <v>0.24693107958286378</v>
      </c>
      <c r="AC183" s="8">
        <f t="shared" si="7"/>
        <v>0.47874063452588517</v>
      </c>
      <c r="AD183" s="9"/>
      <c r="AE183" s="9"/>
      <c r="AF183" s="9"/>
      <c r="AG183" s="9"/>
      <c r="AH183" s="9"/>
      <c r="AI183" s="9"/>
      <c r="AJ183" s="9"/>
      <c r="AK183" s="9"/>
      <c r="AL183" s="9"/>
      <c r="AM183" s="10"/>
    </row>
    <row r="184" spans="1:39" ht="15.75" customHeight="1">
      <c r="A184" s="6">
        <v>321</v>
      </c>
      <c r="B184" s="6">
        <v>2020</v>
      </c>
      <c r="C184" s="6" t="s">
        <v>186</v>
      </c>
      <c r="D184" s="7" t="s">
        <v>187</v>
      </c>
      <c r="E184" s="6" t="s">
        <v>188</v>
      </c>
      <c r="F184" s="6" t="s">
        <v>189</v>
      </c>
      <c r="G184" s="6"/>
      <c r="H184" s="9"/>
      <c r="I184" s="10">
        <v>2534240119676</v>
      </c>
      <c r="J184" s="10">
        <v>6372279460008</v>
      </c>
      <c r="K184" s="10">
        <v>286755740742</v>
      </c>
      <c r="L184" s="10">
        <v>855187376315</v>
      </c>
      <c r="M184" s="10">
        <v>5517092083693</v>
      </c>
      <c r="N184" s="8">
        <v>50000000000</v>
      </c>
      <c r="O184" s="10">
        <v>3419342747346</v>
      </c>
      <c r="P184" s="10">
        <v>1727305152974</v>
      </c>
      <c r="Q184" s="6"/>
      <c r="R184" s="6"/>
      <c r="S184" s="11"/>
      <c r="T184" s="9">
        <f>648664699355+11463747746</f>
        <v>660128447101</v>
      </c>
      <c r="U184" s="12">
        <v>923472717339</v>
      </c>
      <c r="V184" s="9">
        <f t="shared" si="10"/>
        <v>5517092083693</v>
      </c>
      <c r="W184" s="13">
        <f t="shared" si="1"/>
        <v>0.13420431129583987</v>
      </c>
      <c r="X184" s="13">
        <f t="shared" si="2"/>
        <v>0.15500690641773002</v>
      </c>
      <c r="Y184" s="8">
        <f t="shared" si="23"/>
        <v>0.14492031040613537</v>
      </c>
      <c r="Z184" s="8">
        <f t="shared" si="24"/>
        <v>0.16738395939928757</v>
      </c>
      <c r="AA184" s="8">
        <f t="shared" si="5"/>
        <v>0.49484293310031968</v>
      </c>
      <c r="AB184" s="8">
        <f t="shared" si="25"/>
        <v>0.27007316480799537</v>
      </c>
      <c r="AC184" s="8">
        <f t="shared" si="7"/>
        <v>0.49484293310031968</v>
      </c>
      <c r="AD184" s="9"/>
      <c r="AE184" s="10"/>
      <c r="AF184" s="9"/>
      <c r="AG184" s="9"/>
      <c r="AH184" s="9"/>
      <c r="AI184" s="9"/>
      <c r="AJ184" s="9"/>
      <c r="AK184" s="10"/>
      <c r="AL184" s="9"/>
      <c r="AM184" s="10"/>
    </row>
    <row r="185" spans="1:39" ht="15.75" customHeight="1">
      <c r="A185" s="6">
        <v>412</v>
      </c>
      <c r="B185" s="6">
        <v>2018</v>
      </c>
      <c r="C185" s="6" t="s">
        <v>190</v>
      </c>
      <c r="D185" s="7" t="s">
        <v>191</v>
      </c>
      <c r="E185" s="6" t="s">
        <v>188</v>
      </c>
      <c r="F185" s="6" t="s">
        <v>189</v>
      </c>
      <c r="G185" s="6"/>
      <c r="H185" s="9">
        <v>4117000000</v>
      </c>
      <c r="I185" s="10">
        <v>4080094000000</v>
      </c>
      <c r="J185" s="10">
        <v>7694942000000</v>
      </c>
      <c r="K185" s="10">
        <v>398337000000</v>
      </c>
      <c r="L185" s="10">
        <v>1378267000000</v>
      </c>
      <c r="M185" s="10">
        <v>6316675000000</v>
      </c>
      <c r="N185" s="8">
        <v>4000000000</v>
      </c>
      <c r="O185" s="10">
        <v>5964650000000</v>
      </c>
      <c r="P185" s="10">
        <v>4035795000000</v>
      </c>
      <c r="Q185" s="6"/>
      <c r="R185" s="6"/>
      <c r="S185" s="11"/>
      <c r="T185" s="10">
        <f>1630339000000+106864000000</f>
        <v>1737203000000</v>
      </c>
      <c r="U185" s="12">
        <v>26393000000</v>
      </c>
      <c r="V185" s="9">
        <f t="shared" si="10"/>
        <v>6316675000000</v>
      </c>
      <c r="W185" s="13">
        <f t="shared" si="1"/>
        <v>0.17911337083502385</v>
      </c>
      <c r="X185" s="13">
        <f t="shared" si="2"/>
        <v>0.21819501557385809</v>
      </c>
      <c r="Y185" s="8">
        <f t="shared" si="23"/>
        <v>3.4299153911751382E-3</v>
      </c>
      <c r="Z185" s="8">
        <f t="shared" si="24"/>
        <v>4.1783058333696131E-3</v>
      </c>
      <c r="AA185" s="8">
        <f t="shared" si="5"/>
        <v>0.32338108690367412</v>
      </c>
      <c r="AB185" s="8">
        <f t="shared" si="25"/>
        <v>4.4249033891343168E-3</v>
      </c>
      <c r="AC185" s="8">
        <f t="shared" si="7"/>
        <v>0.32338108690367412</v>
      </c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spans="1:39" ht="15.75" customHeight="1">
      <c r="A186" s="6">
        <v>413</v>
      </c>
      <c r="B186" s="6">
        <v>2019</v>
      </c>
      <c r="C186" s="6" t="s">
        <v>190</v>
      </c>
      <c r="D186" s="7" t="s">
        <v>191</v>
      </c>
      <c r="E186" s="6" t="s">
        <v>188</v>
      </c>
      <c r="F186" s="6" t="s">
        <v>189</v>
      </c>
      <c r="G186" s="6"/>
      <c r="H186" s="9"/>
      <c r="I186" s="10">
        <v>4170396000000</v>
      </c>
      <c r="J186" s="10">
        <v>7741782000000</v>
      </c>
      <c r="K186" s="10">
        <v>383764000000</v>
      </c>
      <c r="L186" s="10">
        <v>1754101000000</v>
      </c>
      <c r="M186" s="10">
        <v>5987681000000</v>
      </c>
      <c r="N186" s="8">
        <v>4000000000</v>
      </c>
      <c r="O186" s="10">
        <v>7017919000000</v>
      </c>
      <c r="P186" s="10">
        <v>4818022000000</v>
      </c>
      <c r="Q186" s="6"/>
      <c r="R186" s="6"/>
      <c r="S186" s="11"/>
      <c r="T186" s="10">
        <f>1870005000000+430164000000</f>
        <v>2300169000000</v>
      </c>
      <c r="U186" s="12">
        <v>-332998000000</v>
      </c>
      <c r="V186" s="9">
        <f t="shared" si="10"/>
        <v>5987681000000</v>
      </c>
      <c r="W186" s="13">
        <f t="shared" si="1"/>
        <v>0.22657587103330989</v>
      </c>
      <c r="X186" s="13">
        <f t="shared" si="2"/>
        <v>0.29295164521957667</v>
      </c>
      <c r="Y186" s="8">
        <f t="shared" si="23"/>
        <v>-4.301309440126317E-2</v>
      </c>
      <c r="Z186" s="8">
        <f t="shared" si="24"/>
        <v>-5.5613851172098182E-2</v>
      </c>
      <c r="AA186" s="8">
        <f t="shared" si="5"/>
        <v>0.31346856525417294</v>
      </c>
      <c r="AB186" s="8">
        <f t="shared" si="25"/>
        <v>-4.7449678458813788E-2</v>
      </c>
      <c r="AC186" s="8">
        <f t="shared" si="7"/>
        <v>0.31346856525417294</v>
      </c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spans="1:39" ht="15.75" customHeight="1">
      <c r="A187" s="6">
        <v>414</v>
      </c>
      <c r="B187" s="6">
        <v>2020</v>
      </c>
      <c r="C187" s="6" t="s">
        <v>190</v>
      </c>
      <c r="D187" s="7" t="s">
        <v>191</v>
      </c>
      <c r="E187" s="6" t="s">
        <v>188</v>
      </c>
      <c r="F187" s="6" t="s">
        <v>189</v>
      </c>
      <c r="G187" s="6"/>
      <c r="H187" s="9">
        <v>11300000000</v>
      </c>
      <c r="I187" s="10">
        <v>4880079000000</v>
      </c>
      <c r="J187" s="10">
        <v>8427782000000</v>
      </c>
      <c r="K187" s="10">
        <v>727937000000</v>
      </c>
      <c r="L187" s="10">
        <v>2409411000000</v>
      </c>
      <c r="M187" s="10">
        <v>6018371000000</v>
      </c>
      <c r="N187" s="8">
        <v>4000000000</v>
      </c>
      <c r="O187" s="10">
        <v>7110124000000</v>
      </c>
      <c r="P187" s="10">
        <v>4779194000000</v>
      </c>
      <c r="Q187" s="6"/>
      <c r="R187" s="6"/>
      <c r="S187" s="11"/>
      <c r="T187" s="10">
        <f>1838747000000+101591000000</f>
        <v>1940338000000</v>
      </c>
      <c r="U187" s="12">
        <v>125250000000</v>
      </c>
      <c r="V187" s="9">
        <f t="shared" si="10"/>
        <v>6018371000000</v>
      </c>
      <c r="W187" s="13">
        <f t="shared" si="1"/>
        <v>0.28588909869761703</v>
      </c>
      <c r="X187" s="13">
        <f t="shared" si="2"/>
        <v>0.40034271732334215</v>
      </c>
      <c r="Y187" s="8">
        <f t="shared" si="23"/>
        <v>1.4861561440483392E-2</v>
      </c>
      <c r="Z187" s="8">
        <f t="shared" si="24"/>
        <v>2.0811279331234316E-2</v>
      </c>
      <c r="AA187" s="8">
        <f t="shared" si="5"/>
        <v>0.32783253850425115</v>
      </c>
      <c r="AB187" s="8">
        <f t="shared" si="25"/>
        <v>1.7615726533039368E-2</v>
      </c>
      <c r="AC187" s="8">
        <f t="shared" si="7"/>
        <v>0.32783253850425115</v>
      </c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spans="1:39" ht="15.75" customHeight="1">
      <c r="A188" s="6">
        <v>433</v>
      </c>
      <c r="B188" s="6">
        <v>2018</v>
      </c>
      <c r="C188" s="6" t="s">
        <v>192</v>
      </c>
      <c r="D188" s="7" t="s">
        <v>193</v>
      </c>
      <c r="E188" s="6" t="s">
        <v>188</v>
      </c>
      <c r="F188" s="6" t="s">
        <v>189</v>
      </c>
      <c r="G188" s="6"/>
      <c r="H188" s="9">
        <v>40010000000</v>
      </c>
      <c r="I188" s="10">
        <v>1758982036815</v>
      </c>
      <c r="J188" s="10">
        <v>2738883586047</v>
      </c>
      <c r="K188" s="10">
        <v>123461098798</v>
      </c>
      <c r="L188" s="10">
        <v>896163497906</v>
      </c>
      <c r="M188" s="10">
        <v>1842720088141</v>
      </c>
      <c r="N188" s="13">
        <v>20000000000</v>
      </c>
      <c r="O188" s="10">
        <v>806031479570</v>
      </c>
      <c r="P188" s="10">
        <v>618688230326</v>
      </c>
      <c r="Q188" s="6"/>
      <c r="R188" s="6"/>
      <c r="S188" s="11"/>
      <c r="T188" s="10">
        <f>9689770423+260193131853</f>
        <v>269882902276</v>
      </c>
      <c r="U188" s="12">
        <v>-95600579196</v>
      </c>
      <c r="V188" s="9">
        <f t="shared" si="10"/>
        <v>1842720088141</v>
      </c>
      <c r="W188" s="13">
        <f t="shared" si="1"/>
        <v>0.3272002879097986</v>
      </c>
      <c r="X188" s="13">
        <f t="shared" si="2"/>
        <v>0.48632643865628061</v>
      </c>
      <c r="Y188" s="8">
        <f t="shared" si="23"/>
        <v>-3.4904944366028805E-2</v>
      </c>
      <c r="Z188" s="8">
        <f t="shared" si="24"/>
        <v>-5.18801416510552E-2</v>
      </c>
      <c r="AA188" s="8">
        <f t="shared" si="5"/>
        <v>0.23242671532375322</v>
      </c>
      <c r="AB188" s="8">
        <f t="shared" si="25"/>
        <v>-0.11860650808204265</v>
      </c>
      <c r="AC188" s="8">
        <f t="shared" si="7"/>
        <v>0.23242671532375322</v>
      </c>
      <c r="AD188" s="10"/>
      <c r="AE188" s="9"/>
      <c r="AF188" s="9"/>
      <c r="AG188" s="9"/>
      <c r="AH188" s="9"/>
      <c r="AI188" s="9"/>
      <c r="AJ188" s="9"/>
      <c r="AK188" s="10"/>
      <c r="AL188" s="9"/>
      <c r="AM188" s="9"/>
    </row>
    <row r="189" spans="1:39" ht="15.75" customHeight="1">
      <c r="A189" s="6">
        <v>434</v>
      </c>
      <c r="B189" s="6">
        <v>2019</v>
      </c>
      <c r="C189" s="6" t="s">
        <v>192</v>
      </c>
      <c r="D189" s="7" t="s">
        <v>193</v>
      </c>
      <c r="E189" s="6" t="s">
        <v>188</v>
      </c>
      <c r="F189" s="6" t="s">
        <v>189</v>
      </c>
      <c r="G189" s="6"/>
      <c r="H189" s="9">
        <v>40010000000</v>
      </c>
      <c r="I189" s="10">
        <v>2056342191327</v>
      </c>
      <c r="J189" s="10">
        <v>3109580950625</v>
      </c>
      <c r="K189" s="10">
        <v>234109277299</v>
      </c>
      <c r="L189" s="10">
        <v>1332955849063</v>
      </c>
      <c r="M189" s="10">
        <v>1776625101562</v>
      </c>
      <c r="N189" s="13">
        <v>20000000000</v>
      </c>
      <c r="O189" s="10">
        <v>1002002453771</v>
      </c>
      <c r="P189" s="10">
        <v>721716941092</v>
      </c>
      <c r="Q189" s="6"/>
      <c r="R189" s="6"/>
      <c r="S189" s="11"/>
      <c r="T189" s="10">
        <f>11803652919+316726604883</f>
        <v>328530257802</v>
      </c>
      <c r="U189" s="12">
        <v>-75774124275</v>
      </c>
      <c r="V189" s="9">
        <f t="shared" si="10"/>
        <v>1776625101562</v>
      </c>
      <c r="W189" s="13">
        <f t="shared" si="1"/>
        <v>0.42866092577364384</v>
      </c>
      <c r="X189" s="13">
        <f t="shared" si="2"/>
        <v>0.75027412811575822</v>
      </c>
      <c r="Y189" s="8">
        <f t="shared" si="23"/>
        <v>-2.4367953585440517E-2</v>
      </c>
      <c r="Z189" s="8">
        <f t="shared" si="24"/>
        <v>-4.2650598715722167E-2</v>
      </c>
      <c r="AA189" s="8">
        <f t="shared" si="5"/>
        <v>0.27972537554589372</v>
      </c>
      <c r="AB189" s="8">
        <f t="shared" si="25"/>
        <v>-7.5622693327573029E-2</v>
      </c>
      <c r="AC189" s="8">
        <f t="shared" si="7"/>
        <v>0.27972537554589372</v>
      </c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spans="1:39" ht="15.75" customHeight="1">
      <c r="A190" s="6">
        <v>435</v>
      </c>
      <c r="B190" s="6">
        <v>2020</v>
      </c>
      <c r="C190" s="6" t="s">
        <v>192</v>
      </c>
      <c r="D190" s="7" t="s">
        <v>193</v>
      </c>
      <c r="E190" s="6" t="s">
        <v>188</v>
      </c>
      <c r="F190" s="6" t="s">
        <v>189</v>
      </c>
      <c r="G190" s="6"/>
      <c r="H190" s="9">
        <v>40010000000</v>
      </c>
      <c r="I190" s="10">
        <v>2641613456689</v>
      </c>
      <c r="J190" s="10">
        <v>4346329088006</v>
      </c>
      <c r="K190" s="10">
        <v>850604303917</v>
      </c>
      <c r="L190" s="10">
        <v>2591592815242</v>
      </c>
      <c r="M190" s="10">
        <v>1754736272764</v>
      </c>
      <c r="N190" s="13">
        <v>20000000000</v>
      </c>
      <c r="O190" s="10">
        <v>1283798609174</v>
      </c>
      <c r="P190" s="10">
        <v>864698280519</v>
      </c>
      <c r="Q190" s="6"/>
      <c r="R190" s="6"/>
      <c r="S190" s="11"/>
      <c r="T190" s="10">
        <f>10542219731+392704802139</f>
        <v>403247021870</v>
      </c>
      <c r="U190" s="12">
        <v>-14498057988</v>
      </c>
      <c r="V190" s="9">
        <f t="shared" si="10"/>
        <v>1754736272764</v>
      </c>
      <c r="W190" s="13">
        <f t="shared" si="1"/>
        <v>0.59627164965342416</v>
      </c>
      <c r="X190" s="13">
        <f t="shared" si="2"/>
        <v>1.4769130013821463</v>
      </c>
      <c r="Y190" s="8">
        <f t="shared" si="23"/>
        <v>-3.3357018519394694E-3</v>
      </c>
      <c r="Z190" s="8">
        <f t="shared" si="24"/>
        <v>-8.2622432858033765E-3</v>
      </c>
      <c r="AA190" s="8">
        <f t="shared" si="5"/>
        <v>0.32645332816231237</v>
      </c>
      <c r="AB190" s="8">
        <f t="shared" si="25"/>
        <v>-1.1293093702078471E-2</v>
      </c>
      <c r="AC190" s="8">
        <f t="shared" si="7"/>
        <v>0.32645332816231237</v>
      </c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spans="1:39" ht="15.75" customHeight="1">
      <c r="A191" s="6">
        <v>7</v>
      </c>
      <c r="B191" s="6">
        <v>2018</v>
      </c>
      <c r="C191" s="6" t="s">
        <v>194</v>
      </c>
      <c r="D191" s="7" t="s">
        <v>195</v>
      </c>
      <c r="E191" s="6" t="s">
        <v>196</v>
      </c>
      <c r="F191" s="6" t="s">
        <v>197</v>
      </c>
      <c r="G191" s="6"/>
      <c r="H191" s="16"/>
      <c r="I191" s="16">
        <v>447249000000</v>
      </c>
      <c r="J191" s="16">
        <v>881275000000</v>
      </c>
      <c r="K191" s="16">
        <v>136964000000</v>
      </c>
      <c r="L191" s="16">
        <v>399361000000</v>
      </c>
      <c r="M191" s="16">
        <v>481914000000</v>
      </c>
      <c r="N191" s="8">
        <v>2359587200</v>
      </c>
      <c r="O191" s="16">
        <v>804302000000</v>
      </c>
      <c r="P191" s="16">
        <v>415212000000</v>
      </c>
      <c r="Q191" s="6"/>
      <c r="R191" s="6"/>
      <c r="S191" s="11"/>
      <c r="T191" s="9">
        <v>201877000000</v>
      </c>
      <c r="U191" s="12">
        <v>58903000000</v>
      </c>
      <c r="V191" s="17">
        <f t="shared" si="10"/>
        <v>481914000000</v>
      </c>
      <c r="W191" s="13">
        <f t="shared" si="1"/>
        <v>0.45316274715610905</v>
      </c>
      <c r="X191" s="13">
        <f t="shared" si="2"/>
        <v>0.82869765144818375</v>
      </c>
      <c r="Y191" s="8">
        <f t="shared" si="23"/>
        <v>6.6838387563473378E-2</v>
      </c>
      <c r="Z191" s="8">
        <f t="shared" si="24"/>
        <v>0.12222720236390726</v>
      </c>
      <c r="AA191" s="8">
        <f t="shared" si="5"/>
        <v>0.48376107482015462</v>
      </c>
      <c r="AB191" s="8">
        <f t="shared" si="25"/>
        <v>7.3234929168396939E-2</v>
      </c>
      <c r="AC191" s="8">
        <f t="shared" si="7"/>
        <v>0.48376107482015462</v>
      </c>
      <c r="AD191" s="9"/>
      <c r="AE191" s="9">
        <v>2127000000</v>
      </c>
      <c r="AF191" s="9"/>
      <c r="AG191" s="9"/>
      <c r="AH191" s="9"/>
      <c r="AI191" s="9"/>
      <c r="AJ191" s="9"/>
      <c r="AK191" s="9"/>
      <c r="AL191" s="9"/>
      <c r="AM191" s="9"/>
    </row>
    <row r="192" spans="1:39" ht="15.75" customHeight="1">
      <c r="A192" s="6">
        <v>8</v>
      </c>
      <c r="B192" s="6">
        <v>2019</v>
      </c>
      <c r="C192" s="6" t="s">
        <v>194</v>
      </c>
      <c r="D192" s="7" t="s">
        <v>195</v>
      </c>
      <c r="E192" s="6" t="s">
        <v>196</v>
      </c>
      <c r="F192" s="6" t="s">
        <v>197</v>
      </c>
      <c r="G192" s="6"/>
      <c r="H192" s="16"/>
      <c r="I192" s="16">
        <v>405448000000</v>
      </c>
      <c r="J192" s="16">
        <v>822375000000</v>
      </c>
      <c r="K192" s="16">
        <v>79247000000</v>
      </c>
      <c r="L192" s="16">
        <v>254438000000</v>
      </c>
      <c r="M192" s="16">
        <v>567937000000</v>
      </c>
      <c r="N192" s="8">
        <v>2359587200</v>
      </c>
      <c r="O192" s="16">
        <v>834330000000</v>
      </c>
      <c r="P192" s="16">
        <v>417281000000</v>
      </c>
      <c r="Q192" s="6"/>
      <c r="R192" s="6"/>
      <c r="S192" s="11"/>
      <c r="T192" s="9">
        <v>182396000000</v>
      </c>
      <c r="U192" s="12">
        <v>86023000000</v>
      </c>
      <c r="V192" s="17">
        <f t="shared" si="10"/>
        <v>567937000000</v>
      </c>
      <c r="W192" s="13">
        <f t="shared" si="1"/>
        <v>0.30939413284693723</v>
      </c>
      <c r="X192" s="13">
        <f t="shared" si="2"/>
        <v>0.44800391592729477</v>
      </c>
      <c r="Y192" s="8">
        <f t="shared" si="23"/>
        <v>0.1046031311749506</v>
      </c>
      <c r="Z192" s="8">
        <f t="shared" si="24"/>
        <v>0.15146574355958495</v>
      </c>
      <c r="AA192" s="8">
        <f t="shared" si="5"/>
        <v>0.49986096628432397</v>
      </c>
      <c r="AB192" s="8">
        <f t="shared" si="25"/>
        <v>0.10310428727242218</v>
      </c>
      <c r="AC192" s="8">
        <f t="shared" si="7"/>
        <v>0.49986096628432397</v>
      </c>
      <c r="AD192" s="9"/>
      <c r="AE192" s="9">
        <v>4417000000</v>
      </c>
      <c r="AF192" s="9"/>
      <c r="AG192" s="9"/>
      <c r="AH192" s="9"/>
      <c r="AI192" s="9"/>
      <c r="AJ192" s="9"/>
      <c r="AK192" s="6"/>
      <c r="AL192" s="9"/>
      <c r="AM192" s="9">
        <v>28746000000</v>
      </c>
    </row>
    <row r="193" spans="1:39" ht="15.75" customHeight="1">
      <c r="A193" s="6">
        <v>9</v>
      </c>
      <c r="B193" s="6">
        <v>2020</v>
      </c>
      <c r="C193" s="6" t="s">
        <v>194</v>
      </c>
      <c r="D193" s="7" t="s">
        <v>195</v>
      </c>
      <c r="E193" s="6" t="s">
        <v>196</v>
      </c>
      <c r="F193" s="6" t="s">
        <v>197</v>
      </c>
      <c r="G193" s="6"/>
      <c r="H193" s="16"/>
      <c r="I193" s="16">
        <v>351626000000</v>
      </c>
      <c r="J193" s="16">
        <v>958791000000</v>
      </c>
      <c r="K193" s="16">
        <v>74724000000</v>
      </c>
      <c r="L193" s="16">
        <v>258283000000</v>
      </c>
      <c r="M193" s="16">
        <v>700508000000</v>
      </c>
      <c r="N193" s="8">
        <v>2359587200</v>
      </c>
      <c r="O193" s="16">
        <v>673364000000</v>
      </c>
      <c r="P193" s="16">
        <v>330799000000</v>
      </c>
      <c r="Q193" s="6"/>
      <c r="R193" s="6"/>
      <c r="S193" s="11"/>
      <c r="T193" s="9">
        <v>96707000000</v>
      </c>
      <c r="U193" s="12">
        <v>135765000000</v>
      </c>
      <c r="V193" s="17">
        <f t="shared" si="10"/>
        <v>700508000000</v>
      </c>
      <c r="W193" s="13">
        <f t="shared" si="1"/>
        <v>0.26938404720111059</v>
      </c>
      <c r="X193" s="13">
        <f t="shared" si="2"/>
        <v>0.3687081375230547</v>
      </c>
      <c r="Y193" s="8">
        <f t="shared" si="23"/>
        <v>0.14160020275534502</v>
      </c>
      <c r="Z193" s="8">
        <f t="shared" si="24"/>
        <v>0.19380934978615519</v>
      </c>
      <c r="AA193" s="8">
        <f t="shared" si="5"/>
        <v>0.50873673080235948</v>
      </c>
      <c r="AB193" s="8">
        <f t="shared" si="25"/>
        <v>0.20162200533441052</v>
      </c>
      <c r="AC193" s="8">
        <f t="shared" si="7"/>
        <v>0.50873673080235948</v>
      </c>
      <c r="AD193" s="9"/>
      <c r="AE193" s="10">
        <v>3882000000</v>
      </c>
      <c r="AF193" s="9"/>
      <c r="AG193" s="9"/>
      <c r="AH193" s="9"/>
      <c r="AI193" s="9"/>
      <c r="AJ193" s="9"/>
      <c r="AK193" s="6"/>
      <c r="AL193" s="9"/>
      <c r="AM193" s="10">
        <v>14960000000</v>
      </c>
    </row>
    <row r="194" spans="1:39" ht="15.75" customHeight="1">
      <c r="A194" s="6">
        <v>442</v>
      </c>
      <c r="B194" s="6">
        <v>2018</v>
      </c>
      <c r="C194" s="6" t="s">
        <v>198</v>
      </c>
      <c r="D194" s="7" t="s">
        <v>199</v>
      </c>
      <c r="E194" s="6" t="s">
        <v>196</v>
      </c>
      <c r="F194" s="6" t="s">
        <v>197</v>
      </c>
      <c r="G194" s="8"/>
      <c r="H194" s="9"/>
      <c r="I194" s="10">
        <v>998708967039</v>
      </c>
      <c r="J194" s="10">
        <v>2445143511801</v>
      </c>
      <c r="K194" s="10">
        <v>241146503875</v>
      </c>
      <c r="L194" s="10">
        <v>472680346662</v>
      </c>
      <c r="M194" s="10">
        <v>1972463165139</v>
      </c>
      <c r="N194" s="8">
        <v>804266668</v>
      </c>
      <c r="O194" s="10">
        <v>2648754344347</v>
      </c>
      <c r="P194" s="10">
        <v>1685791739001</v>
      </c>
      <c r="Q194" s="6"/>
      <c r="R194" s="6"/>
      <c r="S194" s="11"/>
      <c r="T194" s="10">
        <v>722004701096</v>
      </c>
      <c r="U194" s="12">
        <v>173049442756</v>
      </c>
      <c r="V194" s="9">
        <f t="shared" si="10"/>
        <v>1972463165139</v>
      </c>
      <c r="W194" s="13">
        <f t="shared" si="1"/>
        <v>0.19331394839636287</v>
      </c>
      <c r="X194" s="13">
        <f t="shared" si="2"/>
        <v>0.23963963181471634</v>
      </c>
      <c r="Y194" s="8">
        <f t="shared" si="23"/>
        <v>7.077271412529007E-2</v>
      </c>
      <c r="Z194" s="8">
        <f t="shared" si="24"/>
        <v>8.7732661280802759E-2</v>
      </c>
      <c r="AA194" s="8">
        <f t="shared" si="5"/>
        <v>0.36355300649196298</v>
      </c>
      <c r="AB194" s="8">
        <f t="shared" si="25"/>
        <v>6.5332386570813555E-2</v>
      </c>
      <c r="AC194" s="8">
        <f t="shared" si="7"/>
        <v>0.36355300649196298</v>
      </c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spans="1:39" ht="15.75" customHeight="1">
      <c r="A195" s="6">
        <v>443</v>
      </c>
      <c r="B195" s="6">
        <v>2019</v>
      </c>
      <c r="C195" s="6" t="s">
        <v>198</v>
      </c>
      <c r="D195" s="7" t="s">
        <v>199</v>
      </c>
      <c r="E195" s="6" t="s">
        <v>196</v>
      </c>
      <c r="F195" s="6" t="s">
        <v>197</v>
      </c>
      <c r="G195" s="8"/>
      <c r="H195" s="9"/>
      <c r="I195" s="10">
        <v>938300134590</v>
      </c>
      <c r="J195" s="10">
        <v>2551192620939</v>
      </c>
      <c r="K195" s="10">
        <v>271804523512</v>
      </c>
      <c r="L195" s="10">
        <v>532048803777</v>
      </c>
      <c r="M195" s="10">
        <v>2019143817162</v>
      </c>
      <c r="N195" s="8">
        <v>804266668</v>
      </c>
      <c r="O195" s="9">
        <v>2804151670769</v>
      </c>
      <c r="P195" s="9">
        <v>1873937759675</v>
      </c>
      <c r="Q195" s="6"/>
      <c r="R195" s="6"/>
      <c r="S195" s="11"/>
      <c r="T195" s="10">
        <f>739420214230+1218605208</f>
        <v>740638819438</v>
      </c>
      <c r="U195" s="12">
        <v>145149344561</v>
      </c>
      <c r="V195" s="9">
        <f t="shared" si="10"/>
        <v>2019143817162</v>
      </c>
      <c r="W195" s="13">
        <f t="shared" si="1"/>
        <v>0.20854905247459224</v>
      </c>
      <c r="X195" s="13">
        <f t="shared" si="2"/>
        <v>0.26350218308115325</v>
      </c>
      <c r="Y195" s="8">
        <f t="shared" si="23"/>
        <v>5.6894702254028894E-2</v>
      </c>
      <c r="Z195" s="8">
        <f t="shared" si="24"/>
        <v>7.1886580503717712E-2</v>
      </c>
      <c r="AA195" s="8">
        <f t="shared" si="5"/>
        <v>0.33172738863975271</v>
      </c>
      <c r="AB195" s="8">
        <f t="shared" si="25"/>
        <v>5.1762301616586522E-2</v>
      </c>
      <c r="AC195" s="8">
        <f t="shared" si="7"/>
        <v>0.33172738863975271</v>
      </c>
      <c r="AD195" s="9"/>
      <c r="AE195" s="10"/>
      <c r="AF195" s="9"/>
      <c r="AG195" s="9"/>
      <c r="AH195" s="9"/>
      <c r="AI195" s="9"/>
      <c r="AJ195" s="9"/>
      <c r="AK195" s="10"/>
      <c r="AL195" s="9"/>
      <c r="AM195" s="10"/>
    </row>
    <row r="196" spans="1:39" ht="15.75" customHeight="1">
      <c r="A196" s="6">
        <v>444</v>
      </c>
      <c r="B196" s="6">
        <v>2020</v>
      </c>
      <c r="C196" s="6" t="s">
        <v>198</v>
      </c>
      <c r="D196" s="7" t="s">
        <v>199</v>
      </c>
      <c r="E196" s="6" t="s">
        <v>196</v>
      </c>
      <c r="F196" s="6" t="s">
        <v>197</v>
      </c>
      <c r="G196" s="8"/>
      <c r="H196" s="9"/>
      <c r="I196" s="10">
        <v>822015923646</v>
      </c>
      <c r="J196" s="10">
        <v>2314790056002</v>
      </c>
      <c r="K196" s="10">
        <v>317715961088</v>
      </c>
      <c r="L196" s="10">
        <v>448803136563</v>
      </c>
      <c r="M196" s="10">
        <v>1865986919439</v>
      </c>
      <c r="N196" s="8">
        <v>804266668</v>
      </c>
      <c r="O196" s="10">
        <v>1989005993587</v>
      </c>
      <c r="P196" s="10">
        <v>1534276464935</v>
      </c>
      <c r="Q196" s="6"/>
      <c r="R196" s="6"/>
      <c r="S196" s="11"/>
      <c r="T196" s="8">
        <v>523339628164</v>
      </c>
      <c r="U196" s="19">
        <v>-54776587213</v>
      </c>
      <c r="V196" s="9">
        <f t="shared" si="10"/>
        <v>1865986919439</v>
      </c>
      <c r="W196" s="13">
        <f t="shared" si="1"/>
        <v>0.1938850287520901</v>
      </c>
      <c r="X196" s="13">
        <f t="shared" si="2"/>
        <v>0.24051783637257784</v>
      </c>
      <c r="Y196" s="8">
        <f t="shared" si="23"/>
        <v>-2.3663738778802096E-2</v>
      </c>
      <c r="Z196" s="8">
        <f t="shared" si="24"/>
        <v>-2.9355290030365442E-2</v>
      </c>
      <c r="AA196" s="8">
        <f t="shared" si="5"/>
        <v>0.22862149743045002</v>
      </c>
      <c r="AB196" s="8">
        <f t="shared" si="25"/>
        <v>-2.7539679311983957E-2</v>
      </c>
      <c r="AC196" s="8">
        <f t="shared" si="7"/>
        <v>0.22862149743045002</v>
      </c>
      <c r="AD196" s="9"/>
      <c r="AE196" s="10"/>
      <c r="AF196" s="9"/>
      <c r="AG196" s="9"/>
      <c r="AH196" s="9"/>
      <c r="AI196" s="9"/>
      <c r="AJ196" s="9"/>
      <c r="AK196" s="10"/>
      <c r="AL196" s="9"/>
      <c r="AM196" s="10"/>
    </row>
    <row r="197" spans="1:39" ht="15.75" customHeight="1">
      <c r="A197" s="6">
        <v>463</v>
      </c>
      <c r="B197" s="6">
        <v>2018</v>
      </c>
      <c r="C197" s="6" t="s">
        <v>200</v>
      </c>
      <c r="D197" s="7" t="s">
        <v>201</v>
      </c>
      <c r="E197" s="6" t="s">
        <v>196</v>
      </c>
      <c r="F197" s="6" t="s">
        <v>197</v>
      </c>
      <c r="G197" s="6"/>
      <c r="H197" s="9"/>
      <c r="I197" s="10">
        <v>10627387000000</v>
      </c>
      <c r="J197" s="10">
        <v>19522970000000</v>
      </c>
      <c r="K197" s="9">
        <v>810051000000</v>
      </c>
      <c r="L197" s="10">
        <v>11944837000000</v>
      </c>
      <c r="M197" s="10">
        <v>7578133000000</v>
      </c>
      <c r="N197" s="8">
        <v>7630000000</v>
      </c>
      <c r="O197" s="10">
        <v>41802073000000</v>
      </c>
      <c r="P197" s="10">
        <v>20709800000000</v>
      </c>
      <c r="Q197" s="6"/>
      <c r="R197" s="6"/>
      <c r="S197" s="11"/>
      <c r="T197" s="10">
        <f>7678122000000+3925110000000</f>
        <v>11603232000000</v>
      </c>
      <c r="U197" s="12">
        <v>9081187000000</v>
      </c>
      <c r="V197" s="9">
        <f t="shared" si="10"/>
        <v>7578133000000</v>
      </c>
      <c r="W197" s="13">
        <f t="shared" si="1"/>
        <v>0.61183503329667566</v>
      </c>
      <c r="X197" s="13">
        <f t="shared" si="2"/>
        <v>1.576224249429246</v>
      </c>
      <c r="Y197" s="8">
        <f t="shared" si="23"/>
        <v>0.4651539699133892</v>
      </c>
      <c r="Z197" s="8">
        <f t="shared" si="24"/>
        <v>1.1983409370091551</v>
      </c>
      <c r="AA197" s="8">
        <f t="shared" si="5"/>
        <v>0.50457480900528551</v>
      </c>
      <c r="AB197" s="8">
        <f t="shared" si="25"/>
        <v>0.21724250373898921</v>
      </c>
      <c r="AC197" s="8">
        <f t="shared" si="7"/>
        <v>0.50457480900528551</v>
      </c>
      <c r="AD197" s="9"/>
      <c r="AE197" s="9"/>
      <c r="AF197" s="9"/>
      <c r="AG197" s="9"/>
      <c r="AH197" s="9"/>
      <c r="AI197" s="9"/>
      <c r="AJ197" s="9"/>
      <c r="AK197" s="9"/>
      <c r="AL197" s="9"/>
      <c r="AM197" s="10"/>
    </row>
    <row r="198" spans="1:39" ht="15.75" customHeight="1">
      <c r="A198" s="6">
        <v>464</v>
      </c>
      <c r="B198" s="6">
        <v>2019</v>
      </c>
      <c r="C198" s="6" t="s">
        <v>200</v>
      </c>
      <c r="D198" s="7" t="s">
        <v>201</v>
      </c>
      <c r="E198" s="6" t="s">
        <v>196</v>
      </c>
      <c r="F198" s="6" t="s">
        <v>197</v>
      </c>
      <c r="G198" s="6"/>
      <c r="H198" s="9"/>
      <c r="I198" s="10">
        <v>10715376000000</v>
      </c>
      <c r="J198" s="10">
        <v>20649371000000</v>
      </c>
      <c r="K198" s="9">
        <v>2302201000000</v>
      </c>
      <c r="L198" s="10">
        <v>15367509000000</v>
      </c>
      <c r="M198" s="10">
        <v>5281862000000</v>
      </c>
      <c r="N198" s="8">
        <v>7630000000</v>
      </c>
      <c r="O198" s="10">
        <v>42922563000000</v>
      </c>
      <c r="P198" s="10">
        <v>20893870000000</v>
      </c>
      <c r="Q198" s="6"/>
      <c r="R198" s="6"/>
      <c r="S198" s="11"/>
      <c r="T198" s="10">
        <f>8049388000000+3861481000000</f>
        <v>11910869000000</v>
      </c>
      <c r="U198" s="12">
        <v>7392837000000</v>
      </c>
      <c r="V198" s="9">
        <f t="shared" si="10"/>
        <v>5281862000000</v>
      </c>
      <c r="W198" s="13">
        <f t="shared" si="1"/>
        <v>0.74421196655336375</v>
      </c>
      <c r="X198" s="13">
        <f t="shared" si="2"/>
        <v>2.9094870331712568</v>
      </c>
      <c r="Y198" s="8">
        <f t="shared" si="23"/>
        <v>0.35801753961416066</v>
      </c>
      <c r="Z198" s="8">
        <f t="shared" si="24"/>
        <v>1.3996649287694378</v>
      </c>
      <c r="AA198" s="8">
        <f t="shared" si="5"/>
        <v>0.51321942261462816</v>
      </c>
      <c r="AB198" s="8">
        <f t="shared" si="25"/>
        <v>0.17223661597281598</v>
      </c>
      <c r="AC198" s="8">
        <f t="shared" si="7"/>
        <v>0.51321942261462816</v>
      </c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spans="1:39" ht="15.75" customHeight="1">
      <c r="A199" s="6">
        <v>465</v>
      </c>
      <c r="B199" s="6">
        <v>2020</v>
      </c>
      <c r="C199" s="6" t="s">
        <v>200</v>
      </c>
      <c r="D199" s="7" t="s">
        <v>201</v>
      </c>
      <c r="E199" s="6" t="s">
        <v>196</v>
      </c>
      <c r="F199" s="6" t="s">
        <v>197</v>
      </c>
      <c r="G199" s="6"/>
      <c r="H199" s="9"/>
      <c r="I199" s="10">
        <v>10419902000000</v>
      </c>
      <c r="J199" s="10">
        <v>20534632000000</v>
      </c>
      <c r="K199" s="9">
        <v>2239728000000</v>
      </c>
      <c r="L199" s="10">
        <v>15597264000000</v>
      </c>
      <c r="M199" s="10">
        <v>4937368000000</v>
      </c>
      <c r="N199" s="8">
        <v>7630000000</v>
      </c>
      <c r="O199" s="10">
        <v>42972474000000</v>
      </c>
      <c r="P199" s="10">
        <v>20515484000000</v>
      </c>
      <c r="Q199" s="6"/>
      <c r="R199" s="6"/>
      <c r="S199" s="11"/>
      <c r="T199" s="10">
        <f>8628647000000+4357209000000+20122000000</f>
        <v>13005978000000</v>
      </c>
      <c r="U199" s="12">
        <v>7163536000000</v>
      </c>
      <c r="V199" s="9">
        <f t="shared" si="10"/>
        <v>4937368000000</v>
      </c>
      <c r="W199" s="13">
        <f t="shared" si="1"/>
        <v>0.75955897334804934</v>
      </c>
      <c r="X199" s="13">
        <f t="shared" si="2"/>
        <v>3.1590239982111927</v>
      </c>
      <c r="Y199" s="8">
        <f t="shared" si="23"/>
        <v>0.34885144277238567</v>
      </c>
      <c r="Z199" s="8">
        <f t="shared" si="24"/>
        <v>1.4508815223009506</v>
      </c>
      <c r="AA199" s="8">
        <f t="shared" si="5"/>
        <v>0.52259011198657079</v>
      </c>
      <c r="AB199" s="8">
        <f t="shared" si="25"/>
        <v>0.16670057209179998</v>
      </c>
      <c r="AC199" s="8">
        <f t="shared" si="7"/>
        <v>0.52259011198657079</v>
      </c>
      <c r="AD199" s="9"/>
      <c r="AE199" s="10"/>
      <c r="AF199" s="9"/>
      <c r="AG199" s="9"/>
      <c r="AH199" s="9"/>
      <c r="AI199" s="9"/>
      <c r="AJ199" s="10"/>
      <c r="AK199" s="10"/>
      <c r="AL199" s="9"/>
      <c r="AM199" s="10"/>
    </row>
    <row r="200" spans="1:39" ht="15.75" customHeight="1">
      <c r="A200" s="6">
        <v>25</v>
      </c>
      <c r="B200" s="6">
        <v>2018</v>
      </c>
      <c r="C200" s="6" t="s">
        <v>202</v>
      </c>
      <c r="D200" s="7" t="s">
        <v>203</v>
      </c>
      <c r="E200" s="6" t="s">
        <v>204</v>
      </c>
      <c r="F200" s="6" t="s">
        <v>205</v>
      </c>
      <c r="G200" s="8"/>
      <c r="H200" s="16">
        <v>319752575022</v>
      </c>
      <c r="I200" s="16">
        <v>182238112107</v>
      </c>
      <c r="J200" s="16">
        <v>2896589814278</v>
      </c>
      <c r="K200" s="16"/>
      <c r="L200" s="16">
        <v>1167083160521</v>
      </c>
      <c r="M200" s="16">
        <v>1729506653757</v>
      </c>
      <c r="N200" s="8">
        <v>12902280000</v>
      </c>
      <c r="O200" s="16">
        <v>473564916412</v>
      </c>
      <c r="P200" s="16">
        <v>359305382036</v>
      </c>
      <c r="Q200" s="6"/>
      <c r="R200" s="6"/>
      <c r="S200" s="11"/>
      <c r="T200" s="9">
        <v>144391182125</v>
      </c>
      <c r="U200" s="12">
        <v>70399722671</v>
      </c>
      <c r="V200" s="17">
        <f t="shared" si="10"/>
        <v>1729506653757</v>
      </c>
      <c r="W200" s="13">
        <f t="shared" si="1"/>
        <v>0.40291626890633997</v>
      </c>
      <c r="X200" s="13">
        <f t="shared" si="2"/>
        <v>0.67480697919591703</v>
      </c>
      <c r="Y200" s="8">
        <f t="shared" si="23"/>
        <v>2.4304346554000343E-2</v>
      </c>
      <c r="Z200" s="8">
        <f t="shared" si="24"/>
        <v>4.0705089233436006E-2</v>
      </c>
      <c r="AA200" s="8">
        <f t="shared" si="5"/>
        <v>0.24127533610744628</v>
      </c>
      <c r="AB200" s="8">
        <f t="shared" si="25"/>
        <v>0.14865907551680299</v>
      </c>
      <c r="AC200" s="8">
        <f t="shared" si="7"/>
        <v>0.24127533610744628</v>
      </c>
      <c r="AD200" s="9"/>
      <c r="AE200" s="9">
        <v>652263824</v>
      </c>
      <c r="AF200" s="9"/>
      <c r="AG200" s="9"/>
      <c r="AH200" s="9"/>
      <c r="AI200" s="9"/>
      <c r="AJ200" s="9"/>
      <c r="AK200" s="9">
        <v>3381478240</v>
      </c>
      <c r="AL200" s="10"/>
      <c r="AM200" s="10">
        <v>7837393676</v>
      </c>
    </row>
    <row r="201" spans="1:39" ht="15.75" customHeight="1">
      <c r="A201" s="6">
        <v>26</v>
      </c>
      <c r="B201" s="6">
        <v>2019</v>
      </c>
      <c r="C201" s="6" t="s">
        <v>202</v>
      </c>
      <c r="D201" s="7" t="s">
        <v>203</v>
      </c>
      <c r="E201" s="6" t="s">
        <v>204</v>
      </c>
      <c r="F201" s="6" t="s">
        <v>205</v>
      </c>
      <c r="G201" s="8"/>
      <c r="H201" s="16">
        <v>1050924227811</v>
      </c>
      <c r="I201" s="16">
        <v>179433881039</v>
      </c>
      <c r="J201" s="16">
        <v>3652947899746</v>
      </c>
      <c r="K201" s="16"/>
      <c r="L201" s="16">
        <v>1818115863373</v>
      </c>
      <c r="M201" s="16">
        <v>1834832036373</v>
      </c>
      <c r="N201" s="8">
        <v>12902280000</v>
      </c>
      <c r="O201" s="16">
        <v>1193590630021</v>
      </c>
      <c r="P201" s="16">
        <v>1009410116496</v>
      </c>
      <c r="Q201" s="6"/>
      <c r="R201" s="6"/>
      <c r="S201" s="11"/>
      <c r="T201" s="9">
        <v>120227476034</v>
      </c>
      <c r="U201" s="12">
        <v>102897273401</v>
      </c>
      <c r="V201" s="17">
        <f t="shared" si="10"/>
        <v>1834832036373</v>
      </c>
      <c r="W201" s="13">
        <f t="shared" si="1"/>
        <v>0.49771196120793809</v>
      </c>
      <c r="X201" s="13">
        <f t="shared" si="2"/>
        <v>0.9908895350262994</v>
      </c>
      <c r="Y201" s="8">
        <f t="shared" si="23"/>
        <v>2.8168283869626158E-2</v>
      </c>
      <c r="Z201" s="8">
        <f t="shared" si="24"/>
        <v>5.6079941575688831E-2</v>
      </c>
      <c r="AA201" s="8">
        <f t="shared" si="5"/>
        <v>0.15430794184582325</v>
      </c>
      <c r="AB201" s="8">
        <f t="shared" si="25"/>
        <v>8.620817792377411E-2</v>
      </c>
      <c r="AC201" s="8">
        <f t="shared" si="7"/>
        <v>0.15430794184582325</v>
      </c>
      <c r="AD201" s="9"/>
      <c r="AE201" s="9">
        <v>568309665</v>
      </c>
      <c r="AF201" s="9"/>
      <c r="AG201" s="9"/>
      <c r="AH201" s="9"/>
      <c r="AI201" s="9"/>
      <c r="AJ201" s="9"/>
      <c r="AK201" s="9">
        <v>1984817954</v>
      </c>
      <c r="AL201" s="10"/>
      <c r="AM201" s="10">
        <v>8908081942</v>
      </c>
    </row>
    <row r="202" spans="1:39" ht="15.75" customHeight="1">
      <c r="A202" s="6">
        <v>27</v>
      </c>
      <c r="B202" s="6">
        <v>2020</v>
      </c>
      <c r="C202" s="6" t="s">
        <v>202</v>
      </c>
      <c r="D202" s="7" t="s">
        <v>203</v>
      </c>
      <c r="E202" s="6" t="s">
        <v>204</v>
      </c>
      <c r="F202" s="6" t="s">
        <v>205</v>
      </c>
      <c r="G202" s="8"/>
      <c r="H202" s="16">
        <v>1640421435149</v>
      </c>
      <c r="I202" s="16">
        <v>190479472617</v>
      </c>
      <c r="J202" s="16">
        <v>4881911874208</v>
      </c>
      <c r="K202" s="16"/>
      <c r="L202" s="16">
        <v>2920986089935</v>
      </c>
      <c r="M202" s="16">
        <v>1960925784273</v>
      </c>
      <c r="N202" s="8">
        <v>12902280000</v>
      </c>
      <c r="O202" s="16">
        <v>2275473702348</v>
      </c>
      <c r="P202" s="16">
        <v>2062436886511</v>
      </c>
      <c r="Q202" s="6"/>
      <c r="R202" s="6"/>
      <c r="S202" s="11"/>
      <c r="T202" s="9">
        <v>153728295937</v>
      </c>
      <c r="U202" s="12">
        <v>124726300324</v>
      </c>
      <c r="V202" s="17">
        <f t="shared" si="10"/>
        <v>1960925784273</v>
      </c>
      <c r="W202" s="13">
        <f t="shared" si="1"/>
        <v>0.59832831177618828</v>
      </c>
      <c r="X202" s="13">
        <f t="shared" si="2"/>
        <v>1.4895954315873998</v>
      </c>
      <c r="Y202" s="8">
        <f t="shared" si="23"/>
        <v>2.5548658709500884E-2</v>
      </c>
      <c r="Z202" s="8">
        <f t="shared" si="24"/>
        <v>6.360582400635903E-2</v>
      </c>
      <c r="AA202" s="8">
        <f t="shared" si="5"/>
        <v>9.3623062141818231E-2</v>
      </c>
      <c r="AB202" s="8">
        <f t="shared" si="25"/>
        <v>5.4813334118209447E-2</v>
      </c>
      <c r="AC202" s="8">
        <f t="shared" si="7"/>
        <v>9.3623062141818231E-2</v>
      </c>
      <c r="AD202" s="9"/>
      <c r="AE202" s="10">
        <v>342578859</v>
      </c>
      <c r="AF202" s="9"/>
      <c r="AG202" s="9"/>
      <c r="AH202" s="9"/>
      <c r="AI202" s="9"/>
      <c r="AJ202" s="9"/>
      <c r="AK202" s="10">
        <v>2770850242</v>
      </c>
      <c r="AL202" s="9"/>
      <c r="AM202" s="10">
        <v>2792933660</v>
      </c>
    </row>
    <row r="203" spans="1:39" ht="15.75" customHeight="1">
      <c r="A203" s="6">
        <v>28</v>
      </c>
      <c r="B203" s="6">
        <v>2018</v>
      </c>
      <c r="C203" s="6" t="s">
        <v>206</v>
      </c>
      <c r="D203" s="7" t="s">
        <v>207</v>
      </c>
      <c r="E203" s="6" t="s">
        <v>204</v>
      </c>
      <c r="F203" s="6" t="s">
        <v>205</v>
      </c>
      <c r="G203" s="8"/>
      <c r="H203" s="16">
        <v>66698945000</v>
      </c>
      <c r="I203" s="16">
        <v>265730271470</v>
      </c>
      <c r="J203" s="16">
        <v>431672804838</v>
      </c>
      <c r="K203" s="16">
        <v>54497512512</v>
      </c>
      <c r="L203" s="16">
        <v>63912279502</v>
      </c>
      <c r="M203" s="16">
        <v>367760525336</v>
      </c>
      <c r="N203" s="8">
        <v>850000000</v>
      </c>
      <c r="O203" s="16">
        <v>87440977373</v>
      </c>
      <c r="P203" s="16">
        <v>27307815715</v>
      </c>
      <c r="Q203" s="6"/>
      <c r="R203" s="6"/>
      <c r="S203" s="11"/>
      <c r="T203" s="9">
        <f>482064695+56257402581</f>
        <v>56739467276</v>
      </c>
      <c r="U203" s="12">
        <v>7498492703</v>
      </c>
      <c r="V203" s="17">
        <f t="shared" si="10"/>
        <v>367760525336</v>
      </c>
      <c r="W203" s="13">
        <f t="shared" si="1"/>
        <v>0.14805722942399688</v>
      </c>
      <c r="X203" s="13">
        <f t="shared" si="2"/>
        <v>0.17378776431648643</v>
      </c>
      <c r="Y203" s="8">
        <f t="shared" si="23"/>
        <v>1.7370778559501952E-2</v>
      </c>
      <c r="Z203" s="8">
        <f t="shared" si="24"/>
        <v>2.038960732979455E-2</v>
      </c>
      <c r="AA203" s="8">
        <f t="shared" si="5"/>
        <v>0.68770001736700515</v>
      </c>
      <c r="AB203" s="8">
        <f t="shared" si="25"/>
        <v>8.5754904945920502E-2</v>
      </c>
      <c r="AC203" s="8">
        <f t="shared" si="7"/>
        <v>0.68770001736700515</v>
      </c>
      <c r="AD203" s="9"/>
      <c r="AE203" s="10"/>
      <c r="AF203" s="9"/>
      <c r="AG203" s="9"/>
      <c r="AH203" s="9"/>
      <c r="AI203" s="9"/>
      <c r="AJ203" s="9"/>
      <c r="AK203" s="10">
        <v>1624119431</v>
      </c>
      <c r="AL203" s="10"/>
      <c r="AM203" s="10">
        <v>224569346</v>
      </c>
    </row>
    <row r="204" spans="1:39" ht="15.75" customHeight="1">
      <c r="A204" s="6">
        <v>29</v>
      </c>
      <c r="B204" s="6">
        <v>2019</v>
      </c>
      <c r="C204" s="6" t="s">
        <v>206</v>
      </c>
      <c r="D204" s="7" t="s">
        <v>207</v>
      </c>
      <c r="E204" s="6" t="s">
        <v>204</v>
      </c>
      <c r="F204" s="6" t="s">
        <v>205</v>
      </c>
      <c r="G204" s="8"/>
      <c r="H204" s="16">
        <v>59323470000</v>
      </c>
      <c r="I204" s="16">
        <v>259633756608</v>
      </c>
      <c r="J204" s="16">
        <v>439070378556</v>
      </c>
      <c r="K204" s="16">
        <v>54263912675</v>
      </c>
      <c r="L204" s="16">
        <v>66308261273</v>
      </c>
      <c r="M204" s="16">
        <v>372762117283</v>
      </c>
      <c r="N204" s="8">
        <v>850000000</v>
      </c>
      <c r="O204" s="16">
        <v>85726802073</v>
      </c>
      <c r="P204" s="16">
        <v>26800834114</v>
      </c>
      <c r="Q204" s="6"/>
      <c r="R204" s="6"/>
      <c r="S204" s="11"/>
      <c r="T204" s="9">
        <f>725227933+62053056208</f>
        <v>62778284141</v>
      </c>
      <c r="U204" s="12">
        <v>628762882</v>
      </c>
      <c r="V204" s="17">
        <f t="shared" si="10"/>
        <v>372762117283</v>
      </c>
      <c r="W204" s="13">
        <f t="shared" si="1"/>
        <v>0.15101966452638504</v>
      </c>
      <c r="X204" s="13">
        <f t="shared" si="2"/>
        <v>0.17788358365466345</v>
      </c>
      <c r="Y204" s="8">
        <f t="shared" si="23"/>
        <v>1.4320321130927903E-3</v>
      </c>
      <c r="Z204" s="8">
        <f t="shared" si="24"/>
        <v>1.6867671172782961E-3</v>
      </c>
      <c r="AA204" s="8">
        <f t="shared" si="5"/>
        <v>0.6873692536532745</v>
      </c>
      <c r="AB204" s="8">
        <f t="shared" si="25"/>
        <v>7.334495942874223E-3</v>
      </c>
      <c r="AC204" s="8">
        <f t="shared" si="7"/>
        <v>0.6873692536532745</v>
      </c>
      <c r="AD204" s="9"/>
      <c r="AE204" s="9"/>
      <c r="AF204" s="9"/>
      <c r="AG204" s="9"/>
      <c r="AH204" s="9"/>
      <c r="AI204" s="9"/>
      <c r="AJ204" s="9"/>
      <c r="AK204" s="10">
        <v>1409270131</v>
      </c>
      <c r="AL204" s="10"/>
      <c r="AM204" s="10">
        <v>108357879</v>
      </c>
    </row>
    <row r="205" spans="1:39" ht="15.75" customHeight="1">
      <c r="A205" s="6">
        <v>30</v>
      </c>
      <c r="B205" s="6">
        <v>2020</v>
      </c>
      <c r="C205" s="6" t="s">
        <v>206</v>
      </c>
      <c r="D205" s="7" t="s">
        <v>207</v>
      </c>
      <c r="E205" s="6" t="s">
        <v>204</v>
      </c>
      <c r="F205" s="6" t="s">
        <v>205</v>
      </c>
      <c r="G205" s="8"/>
      <c r="H205" s="16">
        <v>35268820000</v>
      </c>
      <c r="I205" s="16">
        <v>241844455384</v>
      </c>
      <c r="J205" s="16">
        <v>394280340197</v>
      </c>
      <c r="K205" s="16">
        <v>41284563811</v>
      </c>
      <c r="L205" s="16">
        <v>51589144973</v>
      </c>
      <c r="M205" s="16">
        <v>342691195224</v>
      </c>
      <c r="N205" s="8">
        <v>850000000</v>
      </c>
      <c r="O205" s="16">
        <v>32934176030</v>
      </c>
      <c r="P205" s="16">
        <v>12471168816</v>
      </c>
      <c r="Q205" s="6"/>
      <c r="R205" s="6"/>
      <c r="S205" s="11"/>
      <c r="T205" s="9">
        <f>155316084+41201710759</f>
        <v>41357026843</v>
      </c>
      <c r="U205" s="12">
        <v>-11209268817</v>
      </c>
      <c r="V205" s="17">
        <f t="shared" si="10"/>
        <v>342691195224</v>
      </c>
      <c r="W205" s="13">
        <f t="shared" si="1"/>
        <v>0.13084381774456158</v>
      </c>
      <c r="X205" s="13">
        <f t="shared" si="2"/>
        <v>0.15054120354413766</v>
      </c>
      <c r="Y205" s="8">
        <f t="shared" si="23"/>
        <v>-2.842969246551667E-2</v>
      </c>
      <c r="Z205" s="8">
        <f t="shared" si="24"/>
        <v>-3.2709532585665252E-2</v>
      </c>
      <c r="AA205" s="8">
        <f t="shared" si="5"/>
        <v>0.62133047431823063</v>
      </c>
      <c r="AB205" s="8">
        <f t="shared" si="25"/>
        <v>-0.34035370451622621</v>
      </c>
      <c r="AC205" s="8">
        <f t="shared" si="7"/>
        <v>0.62133047431823063</v>
      </c>
      <c r="AD205" s="9"/>
      <c r="AE205" s="9"/>
      <c r="AF205" s="9"/>
      <c r="AG205" s="9"/>
      <c r="AH205" s="9"/>
      <c r="AI205" s="9"/>
      <c r="AJ205" s="9"/>
      <c r="AK205" s="9">
        <v>884258876</v>
      </c>
      <c r="AL205" s="10"/>
      <c r="AM205" s="10">
        <v>25567931</v>
      </c>
    </row>
    <row r="206" spans="1:39" ht="15.75" customHeight="1">
      <c r="A206" s="6">
        <v>160</v>
      </c>
      <c r="B206" s="6">
        <v>2018</v>
      </c>
      <c r="C206" s="6" t="s">
        <v>208</v>
      </c>
      <c r="D206" s="7" t="s">
        <v>209</v>
      </c>
      <c r="E206" s="6" t="s">
        <v>210</v>
      </c>
      <c r="F206" s="6" t="s">
        <v>205</v>
      </c>
      <c r="G206" s="8"/>
      <c r="H206" s="9">
        <f>128750000+20253995313</f>
        <v>20382745313</v>
      </c>
      <c r="I206" s="8">
        <v>668004938529</v>
      </c>
      <c r="J206" s="8">
        <v>1229926003723</v>
      </c>
      <c r="K206" s="8">
        <v>140926455842</v>
      </c>
      <c r="L206" s="8">
        <v>416632326814</v>
      </c>
      <c r="M206" s="8">
        <v>813293676909</v>
      </c>
      <c r="N206" s="8">
        <v>10000000000</v>
      </c>
      <c r="O206" s="8">
        <v>1035508850963</v>
      </c>
      <c r="P206" s="8">
        <v>694804974807</v>
      </c>
      <c r="Q206" s="6"/>
      <c r="R206" s="6"/>
      <c r="S206" s="11"/>
      <c r="T206" s="9">
        <v>239999883906</v>
      </c>
      <c r="U206" s="12">
        <v>80315046464</v>
      </c>
      <c r="V206" s="13">
        <f t="shared" si="10"/>
        <v>813293676909</v>
      </c>
      <c r="W206" s="13">
        <f t="shared" si="1"/>
        <v>0.33874584776063699</v>
      </c>
      <c r="X206" s="13">
        <f t="shared" si="2"/>
        <v>0.51227783842787367</v>
      </c>
      <c r="Y206" s="8">
        <f t="shared" si="23"/>
        <v>6.5300714206290009E-2</v>
      </c>
      <c r="Z206" s="8">
        <f t="shared" si="24"/>
        <v>9.8752822927684586E-2</v>
      </c>
      <c r="AA206" s="8">
        <f t="shared" si="5"/>
        <v>0.32902072815616501</v>
      </c>
      <c r="AB206" s="8">
        <f t="shared" si="25"/>
        <v>7.7560946378496726E-2</v>
      </c>
      <c r="AC206" s="8">
        <f t="shared" si="7"/>
        <v>0.32902072815616501</v>
      </c>
      <c r="AD206" s="9"/>
      <c r="AE206" s="9">
        <v>4773674842</v>
      </c>
      <c r="AF206" s="9"/>
      <c r="AG206" s="9"/>
      <c r="AH206" s="9"/>
      <c r="AI206" s="10">
        <v>503080000</v>
      </c>
      <c r="AJ206" s="9">
        <v>95769229</v>
      </c>
      <c r="AK206" s="10">
        <v>2321976513</v>
      </c>
      <c r="AL206" s="9"/>
      <c r="AM206" s="10">
        <v>0</v>
      </c>
    </row>
    <row r="207" spans="1:39" ht="15.75" customHeight="1">
      <c r="A207" s="6">
        <v>161</v>
      </c>
      <c r="B207" s="6">
        <v>2019</v>
      </c>
      <c r="C207" s="6" t="s">
        <v>208</v>
      </c>
      <c r="D207" s="7" t="s">
        <v>209</v>
      </c>
      <c r="E207" s="6" t="s">
        <v>210</v>
      </c>
      <c r="F207" s="6" t="s">
        <v>205</v>
      </c>
      <c r="G207" s="8"/>
      <c r="H207" s="9">
        <v>32628272326</v>
      </c>
      <c r="I207" s="8">
        <v>623057370408</v>
      </c>
      <c r="J207" s="8">
        <v>1215041391937</v>
      </c>
      <c r="K207" s="13">
        <v>108411097142</v>
      </c>
      <c r="L207" s="8">
        <v>390067438922</v>
      </c>
      <c r="M207" s="8">
        <v>824973953015</v>
      </c>
      <c r="N207" s="8">
        <v>10000000000</v>
      </c>
      <c r="O207" s="8">
        <v>980145831991</v>
      </c>
      <c r="P207" s="8">
        <v>682255151407</v>
      </c>
      <c r="Q207" s="6"/>
      <c r="R207" s="6"/>
      <c r="S207" s="11"/>
      <c r="T207" s="9">
        <v>254608244796</v>
      </c>
      <c r="U207" s="12">
        <v>20100336037</v>
      </c>
      <c r="V207" s="13">
        <f t="shared" si="10"/>
        <v>824973953015</v>
      </c>
      <c r="W207" s="13">
        <f t="shared" si="1"/>
        <v>0.32103222286128097</v>
      </c>
      <c r="X207" s="13">
        <f t="shared" si="2"/>
        <v>0.4728239449214558</v>
      </c>
      <c r="Y207" s="8">
        <f t="shared" si="23"/>
        <v>1.6542922875208685E-2</v>
      </c>
      <c r="Z207" s="8">
        <f t="shared" si="24"/>
        <v>2.4364812929596247E-2</v>
      </c>
      <c r="AA207" s="8">
        <f t="shared" si="5"/>
        <v>0.30392485573181044</v>
      </c>
      <c r="AB207" s="8">
        <f t="shared" si="25"/>
        <v>2.0507495294011073E-2</v>
      </c>
      <c r="AC207" s="8">
        <f t="shared" si="7"/>
        <v>0.30392485573181044</v>
      </c>
      <c r="AD207" s="9"/>
      <c r="AE207" s="9">
        <v>4779639792</v>
      </c>
      <c r="AF207" s="9"/>
      <c r="AG207" s="9"/>
      <c r="AH207" s="9"/>
      <c r="AI207" s="10">
        <v>503080000</v>
      </c>
      <c r="AJ207" s="9">
        <v>95769229</v>
      </c>
      <c r="AK207" s="10">
        <v>2476748218</v>
      </c>
      <c r="AL207" s="9"/>
      <c r="AM207" s="10">
        <v>125000000</v>
      </c>
    </row>
    <row r="208" spans="1:39" ht="15.75" customHeight="1">
      <c r="A208" s="6">
        <v>162</v>
      </c>
      <c r="B208" s="6">
        <v>2020</v>
      </c>
      <c r="C208" s="6" t="s">
        <v>208</v>
      </c>
      <c r="D208" s="7" t="s">
        <v>209</v>
      </c>
      <c r="E208" s="6" t="s">
        <v>210</v>
      </c>
      <c r="F208" s="6" t="s">
        <v>205</v>
      </c>
      <c r="G208" s="8"/>
      <c r="H208" s="9">
        <v>31973988645</v>
      </c>
      <c r="I208" s="13">
        <v>580933225999</v>
      </c>
      <c r="J208" s="8">
        <v>1043313799003</v>
      </c>
      <c r="K208" s="8">
        <v>163009184592</v>
      </c>
      <c r="L208" s="8">
        <v>466243114050</v>
      </c>
      <c r="M208" s="8">
        <v>577070684953</v>
      </c>
      <c r="N208" s="8">
        <v>10000000000</v>
      </c>
      <c r="O208" s="8">
        <v>284181538459</v>
      </c>
      <c r="P208" s="8">
        <v>237921357900</v>
      </c>
      <c r="Q208" s="6"/>
      <c r="R208" s="6"/>
      <c r="S208" s="11"/>
      <c r="T208" s="9">
        <v>235610486134</v>
      </c>
      <c r="U208" s="12">
        <v>-256092630622</v>
      </c>
      <c r="V208" s="13">
        <f t="shared" si="10"/>
        <v>577070684953</v>
      </c>
      <c r="W208" s="13">
        <f t="shared" si="1"/>
        <v>0.44688675113426668</v>
      </c>
      <c r="X208" s="13">
        <f t="shared" si="2"/>
        <v>0.80794801435455621</v>
      </c>
      <c r="Y208" s="8">
        <f t="shared" si="23"/>
        <v>-0.24546079124681799</v>
      </c>
      <c r="Z208" s="8">
        <f t="shared" si="24"/>
        <v>-0.44378035013658279</v>
      </c>
      <c r="AA208" s="8">
        <f t="shared" si="5"/>
        <v>0.16278390499907205</v>
      </c>
      <c r="AB208" s="8">
        <f t="shared" si="25"/>
        <v>-0.90115857634765917</v>
      </c>
      <c r="AC208" s="8">
        <f t="shared" si="7"/>
        <v>0.16278390499907205</v>
      </c>
      <c r="AD208" s="9"/>
      <c r="AE208" s="9">
        <v>4799639792</v>
      </c>
      <c r="AF208" s="9"/>
      <c r="AG208" s="9"/>
      <c r="AH208" s="9"/>
      <c r="AI208" s="10">
        <v>503080000</v>
      </c>
      <c r="AJ208" s="9">
        <v>95769229</v>
      </c>
      <c r="AK208" s="10">
        <v>2069382590</v>
      </c>
      <c r="AL208" s="9"/>
      <c r="AM208" s="9">
        <v>1458388233</v>
      </c>
    </row>
    <row r="209" spans="1:39" ht="15.75" customHeight="1">
      <c r="A209" s="6">
        <v>199</v>
      </c>
      <c r="B209" s="6">
        <v>2018</v>
      </c>
      <c r="C209" s="6" t="s">
        <v>211</v>
      </c>
      <c r="D209" s="7" t="s">
        <v>212</v>
      </c>
      <c r="E209" s="6" t="s">
        <v>210</v>
      </c>
      <c r="F209" s="6" t="s">
        <v>205</v>
      </c>
      <c r="G209" s="8"/>
      <c r="H209" s="6"/>
      <c r="I209" s="8">
        <v>313507248253</v>
      </c>
      <c r="J209" s="8">
        <v>986798686383</v>
      </c>
      <c r="K209" s="8">
        <v>106701019905</v>
      </c>
      <c r="L209" s="8">
        <v>560755293708</v>
      </c>
      <c r="M209" s="8">
        <v>426043392675</v>
      </c>
      <c r="N209" s="8">
        <v>4000000000</v>
      </c>
      <c r="O209" s="8">
        <v>1176679314139</v>
      </c>
      <c r="P209" s="8">
        <v>947170542507</v>
      </c>
      <c r="Q209" s="6"/>
      <c r="R209" s="6"/>
      <c r="S209" s="11"/>
      <c r="T209" s="10">
        <f>71543613482+83320967011+4453409581</f>
        <v>159317990074</v>
      </c>
      <c r="U209" s="19">
        <v>21618512703</v>
      </c>
      <c r="V209" s="13">
        <f t="shared" si="10"/>
        <v>426043392675</v>
      </c>
      <c r="W209" s="13">
        <f t="shared" si="1"/>
        <v>0.56825703301590891</v>
      </c>
      <c r="X209" s="13">
        <f t="shared" si="2"/>
        <v>1.3161929121519382</v>
      </c>
      <c r="Y209" s="8">
        <f t="shared" si="23"/>
        <v>2.1907723430642411E-2</v>
      </c>
      <c r="Z209" s="8">
        <f t="shared" si="24"/>
        <v>5.0742513731438892E-2</v>
      </c>
      <c r="AA209" s="8">
        <f t="shared" si="5"/>
        <v>0.195047851079065</v>
      </c>
      <c r="AB209" s="8">
        <f t="shared" si="25"/>
        <v>1.8372476207605216E-2</v>
      </c>
      <c r="AC209" s="8">
        <f t="shared" si="7"/>
        <v>0.195047851079065</v>
      </c>
      <c r="AD209" s="9"/>
      <c r="AE209" s="10">
        <v>5729253976</v>
      </c>
      <c r="AF209" s="9"/>
      <c r="AG209" s="9"/>
      <c r="AH209" s="9"/>
      <c r="AI209" s="9"/>
      <c r="AJ209" s="9"/>
      <c r="AK209" s="10">
        <v>735538576</v>
      </c>
      <c r="AL209" s="10">
        <v>270867128</v>
      </c>
      <c r="AM209" s="10">
        <v>3872357880</v>
      </c>
    </row>
    <row r="210" spans="1:39" ht="15.75" customHeight="1">
      <c r="A210" s="6">
        <v>200</v>
      </c>
      <c r="B210" s="6">
        <v>2019</v>
      </c>
      <c r="C210" s="6" t="s">
        <v>211</v>
      </c>
      <c r="D210" s="7" t="s">
        <v>212</v>
      </c>
      <c r="E210" s="6" t="s">
        <v>210</v>
      </c>
      <c r="F210" s="6" t="s">
        <v>205</v>
      </c>
      <c r="G210" s="8"/>
      <c r="H210" s="6"/>
      <c r="I210" s="8">
        <v>297319143583</v>
      </c>
      <c r="J210" s="8">
        <v>962025149261</v>
      </c>
      <c r="K210" s="8">
        <v>106816001403</v>
      </c>
      <c r="L210" s="8">
        <v>553754286838</v>
      </c>
      <c r="M210" s="8">
        <v>408270862423</v>
      </c>
      <c r="N210" s="8">
        <v>4000000000</v>
      </c>
      <c r="O210" s="8">
        <v>1187269670295</v>
      </c>
      <c r="P210" s="8">
        <v>891846999972</v>
      </c>
      <c r="Q210" s="6"/>
      <c r="R210" s="6"/>
      <c r="S210" s="11"/>
      <c r="T210" s="10">
        <f>102004300872+105116481079+4363973411</f>
        <v>211484755362</v>
      </c>
      <c r="U210" s="19">
        <v>32133014664</v>
      </c>
      <c r="V210" s="13">
        <f t="shared" si="10"/>
        <v>408270862423</v>
      </c>
      <c r="W210" s="13">
        <f t="shared" si="1"/>
        <v>0.57561310872525329</v>
      </c>
      <c r="X210" s="13">
        <f t="shared" si="2"/>
        <v>1.3563404538633668</v>
      </c>
      <c r="Y210" s="8">
        <f t="shared" si="23"/>
        <v>3.3401428942563149E-2</v>
      </c>
      <c r="Z210" s="8">
        <f t="shared" si="24"/>
        <v>7.8705138234204247E-2</v>
      </c>
      <c r="AA210" s="8">
        <f t="shared" si="5"/>
        <v>0.24882524814231677</v>
      </c>
      <c r="AB210" s="8">
        <f t="shared" si="25"/>
        <v>2.7064630275627215E-2</v>
      </c>
      <c r="AC210" s="8">
        <f t="shared" si="7"/>
        <v>0.24882524814231677</v>
      </c>
      <c r="AD210" s="9"/>
      <c r="AE210" s="10">
        <v>6490572190</v>
      </c>
      <c r="AF210" s="9"/>
      <c r="AG210" s="9"/>
      <c r="AH210" s="9"/>
      <c r="AI210" s="10"/>
      <c r="AJ210" s="9"/>
      <c r="AK210" s="10">
        <v>715893448</v>
      </c>
      <c r="AL210" s="10">
        <v>744612404</v>
      </c>
      <c r="AM210" s="18">
        <v>7082217926</v>
      </c>
    </row>
    <row r="211" spans="1:39" ht="15.75" customHeight="1">
      <c r="A211" s="6">
        <v>201</v>
      </c>
      <c r="B211" s="6">
        <v>2020</v>
      </c>
      <c r="C211" s="6" t="s">
        <v>211</v>
      </c>
      <c r="D211" s="7" t="s">
        <v>212</v>
      </c>
      <c r="E211" s="6" t="s">
        <v>210</v>
      </c>
      <c r="F211" s="6" t="s">
        <v>205</v>
      </c>
      <c r="G211" s="8"/>
      <c r="H211" s="6"/>
      <c r="I211" s="8">
        <v>385727013711</v>
      </c>
      <c r="J211" s="8">
        <v>972015359252</v>
      </c>
      <c r="K211" s="8">
        <v>151749817514</v>
      </c>
      <c r="L211" s="8">
        <v>601172001077</v>
      </c>
      <c r="M211" s="8">
        <v>370843358175</v>
      </c>
      <c r="N211" s="8">
        <v>4000000000</v>
      </c>
      <c r="O211" s="8">
        <v>984347363283</v>
      </c>
      <c r="P211" s="8">
        <v>745766889459</v>
      </c>
      <c r="Q211" s="6"/>
      <c r="R211" s="6"/>
      <c r="S211" s="11"/>
      <c r="T211" s="10">
        <f>89502036723+95964998695+4511036780</f>
        <v>189978072198</v>
      </c>
      <c r="U211" s="12">
        <v>1599783419</v>
      </c>
      <c r="V211" s="13">
        <f t="shared" si="10"/>
        <v>370843358175</v>
      </c>
      <c r="W211" s="13">
        <f t="shared" si="1"/>
        <v>0.61847994000796758</v>
      </c>
      <c r="X211" s="13">
        <f t="shared" si="2"/>
        <v>1.6210941569386514</v>
      </c>
      <c r="Y211" s="8">
        <f t="shared" si="23"/>
        <v>1.6458417079243373E-3</v>
      </c>
      <c r="Z211" s="8">
        <f t="shared" si="24"/>
        <v>4.313906083886411E-3</v>
      </c>
      <c r="AA211" s="8">
        <f t="shared" si="5"/>
        <v>0.24237427022538596</v>
      </c>
      <c r="AB211" s="8">
        <f t="shared" si="25"/>
        <v>1.6252224353650877E-3</v>
      </c>
      <c r="AC211" s="8">
        <f t="shared" si="7"/>
        <v>0.24237427022538596</v>
      </c>
      <c r="AD211" s="9"/>
      <c r="AE211" s="10">
        <v>5090903874</v>
      </c>
      <c r="AF211" s="9"/>
      <c r="AG211" s="9"/>
      <c r="AH211" s="9"/>
      <c r="AI211" s="9"/>
      <c r="AJ211" s="9"/>
      <c r="AK211" s="10">
        <v>603742612</v>
      </c>
      <c r="AL211" s="10">
        <v>124646406</v>
      </c>
      <c r="AM211" s="10">
        <v>8036757219</v>
      </c>
    </row>
    <row r="212" spans="1:39" ht="15.75" customHeight="1">
      <c r="A212" s="6">
        <v>295</v>
      </c>
      <c r="B212" s="6">
        <v>2018</v>
      </c>
      <c r="C212" s="6" t="s">
        <v>213</v>
      </c>
      <c r="D212" s="7" t="s">
        <v>214</v>
      </c>
      <c r="E212" s="6" t="s">
        <v>204</v>
      </c>
      <c r="F212" s="6" t="s">
        <v>205</v>
      </c>
      <c r="G212" s="8"/>
      <c r="H212" s="9">
        <f>1081494988650+475000000</f>
        <v>1081969988650</v>
      </c>
      <c r="I212" s="10">
        <v>604523211</v>
      </c>
      <c r="J212" s="10">
        <v>1262027127785</v>
      </c>
      <c r="K212" s="10"/>
      <c r="L212" s="10">
        <v>12074906518</v>
      </c>
      <c r="M212" s="10">
        <v>1249952221267</v>
      </c>
      <c r="N212" s="8">
        <f t="shared" ref="N212:N214" si="26">1109250000+33277500000</f>
        <v>34386750000</v>
      </c>
      <c r="O212" s="10">
        <v>3309695977</v>
      </c>
      <c r="P212" s="10">
        <v>4326032844</v>
      </c>
      <c r="Q212" s="6"/>
      <c r="R212" s="6"/>
      <c r="S212" s="11"/>
      <c r="T212" s="10">
        <f>38940512526+2141101</f>
        <v>38942653627</v>
      </c>
      <c r="U212" s="19">
        <v>36602219324</v>
      </c>
      <c r="V212" s="9">
        <f t="shared" si="10"/>
        <v>1249952221267</v>
      </c>
      <c r="W212" s="13">
        <f t="shared" si="1"/>
        <v>9.5678660562493797E-3</v>
      </c>
      <c r="X212" s="13">
        <f t="shared" si="2"/>
        <v>9.6602944597037541E-3</v>
      </c>
      <c r="Y212" s="8">
        <f t="shared" si="23"/>
        <v>2.9002719924286432E-2</v>
      </c>
      <c r="Z212" s="8">
        <f t="shared" si="24"/>
        <v>2.9282894738887358E-2</v>
      </c>
      <c r="AA212" s="8">
        <f t="shared" si="5"/>
        <v>-0.30707861811562398</v>
      </c>
      <c r="AB212" s="8">
        <f t="shared" si="25"/>
        <v>11.059088078892753</v>
      </c>
      <c r="AC212" s="8">
        <f t="shared" si="7"/>
        <v>-0.30707861811562398</v>
      </c>
      <c r="AD212" s="9"/>
      <c r="AE212" s="9"/>
      <c r="AF212" s="9"/>
      <c r="AG212" s="9"/>
      <c r="AH212" s="9"/>
      <c r="AI212" s="9"/>
      <c r="AJ212" s="10"/>
      <c r="AK212" s="10"/>
      <c r="AL212" s="9"/>
      <c r="AM212" s="10"/>
    </row>
    <row r="213" spans="1:39" ht="15.75" customHeight="1">
      <c r="A213" s="6">
        <v>296</v>
      </c>
      <c r="B213" s="6">
        <v>2019</v>
      </c>
      <c r="C213" s="6" t="s">
        <v>213</v>
      </c>
      <c r="D213" s="7" t="s">
        <v>214</v>
      </c>
      <c r="E213" s="6" t="s">
        <v>204</v>
      </c>
      <c r="F213" s="6" t="s">
        <v>205</v>
      </c>
      <c r="G213" s="8"/>
      <c r="H213" s="9">
        <f>925342343770+375000000</f>
        <v>925717343770</v>
      </c>
      <c r="I213" s="10">
        <v>544048165</v>
      </c>
      <c r="J213" s="10">
        <v>1093765589044</v>
      </c>
      <c r="K213" s="10"/>
      <c r="L213" s="10">
        <v>12322265710</v>
      </c>
      <c r="M213" s="10">
        <v>1081443323334</v>
      </c>
      <c r="N213" s="8">
        <f t="shared" si="26"/>
        <v>34386750000</v>
      </c>
      <c r="O213" s="10">
        <v>2864926016</v>
      </c>
      <c r="P213" s="10">
        <v>6271926871</v>
      </c>
      <c r="Q213" s="6"/>
      <c r="R213" s="6"/>
      <c r="S213" s="11"/>
      <c r="T213" s="18">
        <v>38109266181</v>
      </c>
      <c r="U213" s="12">
        <v>-40516442135</v>
      </c>
      <c r="V213" s="9">
        <f t="shared" si="10"/>
        <v>1081443323334</v>
      </c>
      <c r="W213" s="13">
        <f t="shared" si="1"/>
        <v>1.1265910935057128E-2</v>
      </c>
      <c r="X213" s="13">
        <f t="shared" si="2"/>
        <v>1.1394277854535619E-2</v>
      </c>
      <c r="Y213" s="8">
        <f t="shared" si="23"/>
        <v>-3.7043076268666653E-2</v>
      </c>
      <c r="Z213" s="8">
        <f t="shared" si="24"/>
        <v>-3.7465155372258599E-2</v>
      </c>
      <c r="AA213" s="8">
        <f t="shared" si="5"/>
        <v>-1.1892107635494347</v>
      </c>
      <c r="AB213" s="8">
        <f t="shared" si="25"/>
        <v>-14.142229819801392</v>
      </c>
      <c r="AC213" s="8">
        <f t="shared" si="7"/>
        <v>-1.1892107635494347</v>
      </c>
      <c r="AD213" s="9"/>
      <c r="AE213" s="9"/>
      <c r="AF213" s="9"/>
      <c r="AG213" s="9"/>
      <c r="AH213" s="9"/>
      <c r="AI213" s="9"/>
      <c r="AJ213" s="10"/>
      <c r="AK213" s="10"/>
      <c r="AL213" s="9"/>
      <c r="AM213" s="9"/>
    </row>
    <row r="214" spans="1:39" ht="15.75" customHeight="1">
      <c r="A214" s="6">
        <v>297</v>
      </c>
      <c r="B214" s="6">
        <v>2020</v>
      </c>
      <c r="C214" s="6" t="s">
        <v>213</v>
      </c>
      <c r="D214" s="7" t="s">
        <v>214</v>
      </c>
      <c r="E214" s="6" t="s">
        <v>204</v>
      </c>
      <c r="F214" s="6" t="s">
        <v>205</v>
      </c>
      <c r="G214" s="8"/>
      <c r="H214" s="9">
        <f>950999274198+66398262617</f>
        <v>1017397536815</v>
      </c>
      <c r="I214" s="10">
        <v>488353479</v>
      </c>
      <c r="J214" s="10">
        <v>1098807182384</v>
      </c>
      <c r="K214" s="10"/>
      <c r="L214" s="10">
        <v>4057590748</v>
      </c>
      <c r="M214" s="10">
        <v>1094749591636</v>
      </c>
      <c r="N214" s="8">
        <f t="shared" si="26"/>
        <v>34386750000</v>
      </c>
      <c r="O214" s="10">
        <v>60000000</v>
      </c>
      <c r="P214" s="10">
        <v>0</v>
      </c>
      <c r="Q214" s="6"/>
      <c r="R214" s="6"/>
      <c r="S214" s="11"/>
      <c r="T214" s="18">
        <f>3637795+10335471969</f>
        <v>10339109764</v>
      </c>
      <c r="U214" s="12">
        <v>15645276591</v>
      </c>
      <c r="V214" s="9">
        <f t="shared" si="10"/>
        <v>1094749591636</v>
      </c>
      <c r="W214" s="13">
        <f t="shared" si="1"/>
        <v>3.6927231756863363E-3</v>
      </c>
      <c r="X214" s="13">
        <f t="shared" si="2"/>
        <v>3.7064099215020608E-3</v>
      </c>
      <c r="Y214" s="8">
        <f t="shared" si="23"/>
        <v>1.4238418570449831E-2</v>
      </c>
      <c r="Z214" s="8">
        <f t="shared" si="24"/>
        <v>1.4291191986305846E-2</v>
      </c>
      <c r="AA214" s="8">
        <f t="shared" si="5"/>
        <v>1</v>
      </c>
      <c r="AB214" s="8">
        <f t="shared" si="25"/>
        <v>260.75460985000001</v>
      </c>
      <c r="AC214" s="8">
        <f t="shared" si="7"/>
        <v>1</v>
      </c>
      <c r="AD214" s="9"/>
      <c r="AE214" s="9"/>
      <c r="AF214" s="9"/>
      <c r="AG214" s="9"/>
      <c r="AH214" s="9"/>
      <c r="AI214" s="9"/>
      <c r="AJ214" s="10"/>
      <c r="AK214" s="10"/>
      <c r="AL214" s="9"/>
      <c r="AM214" s="10"/>
    </row>
    <row r="215" spans="1:39" ht="15.75" customHeight="1">
      <c r="A215" s="6">
        <v>427</v>
      </c>
      <c r="B215" s="6">
        <v>2018</v>
      </c>
      <c r="C215" s="6" t="s">
        <v>215</v>
      </c>
      <c r="D215" s="7" t="s">
        <v>216</v>
      </c>
      <c r="E215" s="6" t="s">
        <v>204</v>
      </c>
      <c r="F215" s="6" t="s">
        <v>205</v>
      </c>
      <c r="G215" s="6"/>
      <c r="H215" s="9">
        <f>422677000000+965224000000+59247522000000</f>
        <v>60635423000000</v>
      </c>
      <c r="I215" s="10">
        <v>2642568000000</v>
      </c>
      <c r="J215" s="10">
        <v>100663451000000</v>
      </c>
      <c r="K215" s="10"/>
      <c r="L215" s="10">
        <v>75550211000000</v>
      </c>
      <c r="M215" s="10">
        <v>25113240000000</v>
      </c>
      <c r="N215" s="8">
        <f t="shared" ref="N215:N217" si="27">142474368+21371155200</f>
        <v>21513629568</v>
      </c>
      <c r="O215" s="10">
        <v>37377268000000</v>
      </c>
      <c r="P215" s="10">
        <v>35730089000000</v>
      </c>
      <c r="Q215" s="6"/>
      <c r="R215" s="6"/>
      <c r="S215" s="11"/>
      <c r="T215" s="10">
        <f>2020847000000+1895630000000+183010000000</f>
        <v>4099487000000</v>
      </c>
      <c r="U215" s="12">
        <v>1537695000000</v>
      </c>
      <c r="V215" s="9">
        <f t="shared" si="10"/>
        <v>25113240000000</v>
      </c>
      <c r="W215" s="13">
        <f t="shared" si="1"/>
        <v>0.75052275924853795</v>
      </c>
      <c r="X215" s="13">
        <f t="shared" si="2"/>
        <v>3.0083816743677838</v>
      </c>
      <c r="Y215" s="8">
        <f t="shared" si="23"/>
        <v>1.5275603853478061E-2</v>
      </c>
      <c r="Z215" s="8">
        <f t="shared" si="24"/>
        <v>6.1230450551183362E-2</v>
      </c>
      <c r="AA215" s="8">
        <f t="shared" si="5"/>
        <v>4.4069004722335513E-2</v>
      </c>
      <c r="AB215" s="8">
        <f t="shared" si="25"/>
        <v>4.1139844677786509E-2</v>
      </c>
      <c r="AC215" s="8">
        <f t="shared" si="7"/>
        <v>4.4069004722335513E-2</v>
      </c>
      <c r="AD215" s="9"/>
      <c r="AE215" s="9"/>
      <c r="AF215" s="9"/>
      <c r="AG215" s="9"/>
      <c r="AH215" s="9"/>
      <c r="AI215" s="9"/>
      <c r="AJ215" s="9"/>
      <c r="AK215" s="9"/>
      <c r="AL215" s="9"/>
      <c r="AM215" s="10"/>
    </row>
    <row r="216" spans="1:39" ht="15.75" customHeight="1">
      <c r="A216" s="6">
        <v>428</v>
      </c>
      <c r="B216" s="6">
        <v>2019</v>
      </c>
      <c r="C216" s="6" t="s">
        <v>215</v>
      </c>
      <c r="D216" s="7" t="s">
        <v>216</v>
      </c>
      <c r="E216" s="6" t="s">
        <v>204</v>
      </c>
      <c r="F216" s="6" t="s">
        <v>205</v>
      </c>
      <c r="G216" s="8"/>
      <c r="H216" s="9">
        <f>514310000000+2951424000000+54859930000000</f>
        <v>58325664000000</v>
      </c>
      <c r="I216" s="10">
        <v>2558102000000</v>
      </c>
      <c r="J216" s="10">
        <v>99624857000000</v>
      </c>
      <c r="K216" s="10"/>
      <c r="L216" s="10">
        <v>77460250000000</v>
      </c>
      <c r="M216" s="10">
        <v>22164607000000</v>
      </c>
      <c r="N216" s="8">
        <f t="shared" si="27"/>
        <v>21513629568</v>
      </c>
      <c r="O216" s="10">
        <v>41919335000000</v>
      </c>
      <c r="P216" s="10">
        <v>36737570000000</v>
      </c>
      <c r="Q216" s="6"/>
      <c r="R216" s="6"/>
      <c r="S216" s="11"/>
      <c r="T216" s="9">
        <f>2186333000000+1982888000000+228249000000</f>
        <v>4397470000000</v>
      </c>
      <c r="U216" s="12">
        <v>5070554000000</v>
      </c>
      <c r="V216" s="9">
        <f t="shared" si="10"/>
        <v>22164607000000</v>
      </c>
      <c r="W216" s="13">
        <f t="shared" si="1"/>
        <v>0.77751930926234603</v>
      </c>
      <c r="X216" s="13">
        <f t="shared" si="2"/>
        <v>3.4947720931844177</v>
      </c>
      <c r="Y216" s="8">
        <f t="shared" si="23"/>
        <v>5.0896474561564486E-2</v>
      </c>
      <c r="Z216" s="8">
        <f t="shared" si="24"/>
        <v>0.22876805350079069</v>
      </c>
      <c r="AA216" s="8">
        <f t="shared" si="5"/>
        <v>0.12361276723497641</v>
      </c>
      <c r="AB216" s="8">
        <f t="shared" si="25"/>
        <v>0.12095979098905076</v>
      </c>
      <c r="AC216" s="8">
        <f t="shared" si="7"/>
        <v>0.12361276723497641</v>
      </c>
      <c r="AD216" s="10"/>
      <c r="AE216" s="9"/>
      <c r="AF216" s="9"/>
      <c r="AG216" s="9"/>
      <c r="AH216" s="9"/>
      <c r="AI216" s="9"/>
      <c r="AJ216" s="9"/>
      <c r="AK216" s="10"/>
      <c r="AL216" s="9"/>
      <c r="AM216" s="10"/>
    </row>
    <row r="217" spans="1:39" ht="15.75" customHeight="1">
      <c r="A217" s="6">
        <v>429</v>
      </c>
      <c r="B217" s="6">
        <v>2020</v>
      </c>
      <c r="C217" s="6" t="s">
        <v>215</v>
      </c>
      <c r="D217" s="7" t="s">
        <v>216</v>
      </c>
      <c r="E217" s="6" t="s">
        <v>204</v>
      </c>
      <c r="F217" s="6" t="s">
        <v>205</v>
      </c>
      <c r="G217" s="8"/>
      <c r="H217" s="9">
        <f>56069446000000+2911162000000+506252000000</f>
        <v>59486860000000</v>
      </c>
      <c r="I217" s="10">
        <v>3234752000000</v>
      </c>
      <c r="J217" s="10">
        <v>108456227000000</v>
      </c>
      <c r="K217" s="10"/>
      <c r="L217" s="10">
        <v>85533983000000</v>
      </c>
      <c r="M217" s="10">
        <v>22922244000000</v>
      </c>
      <c r="N217" s="8">
        <f t="shared" si="27"/>
        <v>21513629568</v>
      </c>
      <c r="O217" s="10">
        <v>38259352000000</v>
      </c>
      <c r="P217" s="10">
        <v>37609184000000</v>
      </c>
      <c r="Q217" s="6"/>
      <c r="R217" s="6"/>
      <c r="S217" s="11"/>
      <c r="T217" s="9">
        <f>1931430000000+1817799000000+472249000000</f>
        <v>4221478000000</v>
      </c>
      <c r="U217" s="12">
        <v>559820000000</v>
      </c>
      <c r="V217" s="9">
        <f t="shared" si="10"/>
        <v>22922244000000</v>
      </c>
      <c r="W217" s="13">
        <f t="shared" si="1"/>
        <v>0.7886498116885442</v>
      </c>
      <c r="X217" s="13">
        <f t="shared" si="2"/>
        <v>3.7314838372717785</v>
      </c>
      <c r="Y217" s="8">
        <f t="shared" si="23"/>
        <v>5.1617137667899883E-3</v>
      </c>
      <c r="Z217" s="8">
        <f t="shared" si="24"/>
        <v>2.4422565260190057E-2</v>
      </c>
      <c r="AA217" s="8">
        <f t="shared" si="5"/>
        <v>1.6993701304716294E-2</v>
      </c>
      <c r="AB217" s="8">
        <f t="shared" si="25"/>
        <v>1.4632239458734167E-2</v>
      </c>
      <c r="AC217" s="8">
        <f t="shared" si="7"/>
        <v>1.6993701304716294E-2</v>
      </c>
      <c r="AD217" s="10"/>
      <c r="AE217" s="9"/>
      <c r="AF217" s="9"/>
      <c r="AG217" s="9"/>
      <c r="AH217" s="9"/>
      <c r="AI217" s="9"/>
      <c r="AJ217" s="9"/>
      <c r="AK217" s="10"/>
      <c r="AL217" s="9"/>
      <c r="AM217" s="10"/>
    </row>
    <row r="218" spans="1:39" ht="15.75" customHeight="1">
      <c r="A218" s="6">
        <v>466</v>
      </c>
      <c r="B218" s="6">
        <v>2018</v>
      </c>
      <c r="C218" s="6" t="s">
        <v>217</v>
      </c>
      <c r="D218" s="7" t="s">
        <v>218</v>
      </c>
      <c r="E218" s="6" t="s">
        <v>204</v>
      </c>
      <c r="F218" s="6" t="s">
        <v>205</v>
      </c>
      <c r="G218" s="6"/>
      <c r="H218" s="9">
        <f>71824265000+7218375753000+1373239000+4012216000</f>
        <v>7295585473000</v>
      </c>
      <c r="I218" s="10">
        <v>544030482000</v>
      </c>
      <c r="J218" s="10">
        <v>30815122948000</v>
      </c>
      <c r="K218" s="9"/>
      <c r="L218" s="10">
        <v>25993108259000</v>
      </c>
      <c r="M218" s="10">
        <v>3287794997000</v>
      </c>
      <c r="N218" s="13">
        <v>1500000000000</v>
      </c>
      <c r="O218" s="10">
        <v>1112846234000</v>
      </c>
      <c r="P218" s="10">
        <v>662534518000</v>
      </c>
      <c r="Q218" s="6"/>
      <c r="R218" s="6"/>
      <c r="S218" s="11"/>
      <c r="T218" s="10">
        <f>27410945000+21024806000</f>
        <v>48435751000</v>
      </c>
      <c r="U218" s="12">
        <v>80821884000</v>
      </c>
      <c r="V218" s="9">
        <f t="shared" si="10"/>
        <v>3287794997000</v>
      </c>
      <c r="W218" s="13">
        <f t="shared" si="1"/>
        <v>0.84351791498164497</v>
      </c>
      <c r="X218" s="13">
        <f t="shared" si="2"/>
        <v>7.9059394769801097</v>
      </c>
      <c r="Y218" s="8">
        <f t="shared" si="23"/>
        <v>2.622799335780213E-3</v>
      </c>
      <c r="Z218" s="8">
        <f t="shared" si="24"/>
        <v>2.4582397647586664E-2</v>
      </c>
      <c r="AA218" s="8">
        <f t="shared" si="5"/>
        <v>0.40464864079326163</v>
      </c>
      <c r="AB218" s="8">
        <f t="shared" si="25"/>
        <v>7.2626281628769926E-2</v>
      </c>
      <c r="AC218" s="8">
        <f t="shared" si="7"/>
        <v>0.40464864079326163</v>
      </c>
      <c r="AD218" s="9"/>
      <c r="AE218" s="9"/>
      <c r="AF218" s="9"/>
      <c r="AG218" s="9"/>
      <c r="AH218" s="9"/>
      <c r="AI218" s="9"/>
      <c r="AJ218" s="10"/>
      <c r="AK218" s="10"/>
      <c r="AL218" s="9"/>
      <c r="AM218" s="10"/>
    </row>
    <row r="219" spans="1:39" ht="15.75" customHeight="1">
      <c r="A219" s="6">
        <v>467</v>
      </c>
      <c r="B219" s="6">
        <v>2019</v>
      </c>
      <c r="C219" s="6" t="s">
        <v>217</v>
      </c>
      <c r="D219" s="7" t="s">
        <v>218</v>
      </c>
      <c r="E219" s="6" t="s">
        <v>204</v>
      </c>
      <c r="F219" s="6" t="s">
        <v>205</v>
      </c>
      <c r="G219" s="6"/>
      <c r="H219" s="9">
        <f>76571638000+8372537392000+100030104000+1000041000</f>
        <v>8550139175000</v>
      </c>
      <c r="I219" s="10">
        <v>529228073000</v>
      </c>
      <c r="J219" s="10">
        <v>31243747963000</v>
      </c>
      <c r="K219" s="9"/>
      <c r="L219" s="10">
        <v>26052543404000</v>
      </c>
      <c r="M219" s="10">
        <v>3503719943000</v>
      </c>
      <c r="N219" s="13">
        <v>1500000000000</v>
      </c>
      <c r="O219" s="10">
        <v>1081783774000</v>
      </c>
      <c r="P219" s="10">
        <v>835314940000</v>
      </c>
      <c r="Q219" s="6"/>
      <c r="R219" s="6"/>
      <c r="S219" s="11"/>
      <c r="T219" s="10">
        <f>27641641000+25267290000</f>
        <v>52908931000</v>
      </c>
      <c r="U219" s="12">
        <v>47666013000</v>
      </c>
      <c r="V219" s="9">
        <f t="shared" si="10"/>
        <v>3503719943000</v>
      </c>
      <c r="W219" s="13">
        <f t="shared" si="1"/>
        <v>0.83384821292414679</v>
      </c>
      <c r="X219" s="13">
        <f t="shared" si="2"/>
        <v>7.4356808842698072</v>
      </c>
      <c r="Y219" s="8">
        <f t="shared" ref="Y219:Y220" si="28">U218/J219</f>
        <v>2.5868178201831696E-3</v>
      </c>
      <c r="Z219" s="8">
        <f t="shared" ref="Z219:Z220" si="29">U218/M219</f>
        <v>2.3067449828994509E-2</v>
      </c>
      <c r="AA219" s="8">
        <f t="shared" si="5"/>
        <v>0.22783558038466198</v>
      </c>
      <c r="AB219" s="8">
        <f t="shared" ref="AB219:AB220" si="30">U218/O219</f>
        <v>7.4711680783631357E-2</v>
      </c>
      <c r="AC219" s="8">
        <f t="shared" si="7"/>
        <v>0.22783558038466198</v>
      </c>
      <c r="AD219" s="9"/>
      <c r="AE219" s="10"/>
      <c r="AF219" s="9"/>
      <c r="AG219" s="9"/>
      <c r="AH219" s="9"/>
      <c r="AI219" s="9"/>
      <c r="AJ219" s="10"/>
      <c r="AK219" s="10"/>
      <c r="AL219" s="9"/>
      <c r="AM219" s="10"/>
    </row>
    <row r="220" spans="1:39" ht="15.75" customHeight="1">
      <c r="A220" s="6">
        <v>468</v>
      </c>
      <c r="B220" s="6">
        <v>2020</v>
      </c>
      <c r="C220" s="6" t="s">
        <v>217</v>
      </c>
      <c r="D220" s="7" t="s">
        <v>218</v>
      </c>
      <c r="E220" s="6" t="s">
        <v>204</v>
      </c>
      <c r="F220" s="6" t="s">
        <v>205</v>
      </c>
      <c r="G220" s="6"/>
      <c r="H220" s="9">
        <f>112305300000+6772793988000+69017107000+988617000</f>
        <v>6955105012000</v>
      </c>
      <c r="I220" s="10">
        <v>572564466000</v>
      </c>
      <c r="J220" s="10">
        <v>26961960681000</v>
      </c>
      <c r="K220" s="9"/>
      <c r="L220" s="10">
        <v>22447783800000</v>
      </c>
      <c r="M220" s="10">
        <v>3134994520000</v>
      </c>
      <c r="N220" s="13">
        <v>1500000000000</v>
      </c>
      <c r="O220" s="10">
        <v>864181616000</v>
      </c>
      <c r="P220" s="10">
        <v>596052897000</v>
      </c>
      <c r="Q220" s="6"/>
      <c r="R220" s="6"/>
      <c r="S220" s="11"/>
      <c r="T220" s="10">
        <f>20310111000+79281884000</f>
        <v>99591995000</v>
      </c>
      <c r="U220" s="12">
        <v>-238080320000</v>
      </c>
      <c r="V220" s="9">
        <f t="shared" si="10"/>
        <v>3134994520000</v>
      </c>
      <c r="W220" s="13">
        <f t="shared" si="1"/>
        <v>0.83257238097742925</v>
      </c>
      <c r="X220" s="13">
        <f t="shared" si="2"/>
        <v>7.1603901240631194</v>
      </c>
      <c r="Y220" s="8">
        <f t="shared" si="28"/>
        <v>1.767898617016754E-3</v>
      </c>
      <c r="Z220" s="8">
        <f t="shared" si="29"/>
        <v>1.5204496434016095E-2</v>
      </c>
      <c r="AA220" s="8">
        <f t="shared" si="5"/>
        <v>0.31026894582770204</v>
      </c>
      <c r="AB220" s="8">
        <f t="shared" si="30"/>
        <v>5.5157402237540773E-2</v>
      </c>
      <c r="AC220" s="8">
        <f t="shared" si="7"/>
        <v>0.31026894582770204</v>
      </c>
      <c r="AD220" s="9"/>
      <c r="AE220" s="10"/>
      <c r="AF220" s="9"/>
      <c r="AG220" s="9"/>
      <c r="AH220" s="9"/>
      <c r="AI220" s="9"/>
      <c r="AJ220" s="10"/>
      <c r="AK220" s="10"/>
      <c r="AL220" s="9"/>
      <c r="AM220" s="10"/>
    </row>
    <row r="221" spans="1:39" ht="15.75" customHeight="1">
      <c r="A221" s="6">
        <v>10</v>
      </c>
      <c r="B221" s="6">
        <v>2018</v>
      </c>
      <c r="C221" s="6" t="s">
        <v>219</v>
      </c>
      <c r="D221" s="7" t="s">
        <v>220</v>
      </c>
      <c r="E221" s="6" t="s">
        <v>221</v>
      </c>
      <c r="F221" s="6" t="s">
        <v>222</v>
      </c>
      <c r="G221" s="6"/>
      <c r="H221" s="16">
        <v>650000000</v>
      </c>
      <c r="I221" s="16">
        <v>245488000000</v>
      </c>
      <c r="J221" s="16">
        <v>31496441000000</v>
      </c>
      <c r="K221" s="16"/>
      <c r="L221" s="16">
        <v>24468242000000</v>
      </c>
      <c r="M221" s="16">
        <v>7028199000000</v>
      </c>
      <c r="N221" s="8">
        <v>4000000000</v>
      </c>
      <c r="O221" s="16">
        <v>10138755000000</v>
      </c>
      <c r="P221" s="16"/>
      <c r="Q221" s="6"/>
      <c r="R221" s="6"/>
      <c r="S221" s="11"/>
      <c r="T221" s="18">
        <f>1362603000000+722907000000+60438000000+20311000000</f>
        <v>2166259000000</v>
      </c>
      <c r="U221" s="12">
        <v>1987284000000</v>
      </c>
      <c r="V221" s="17">
        <f t="shared" si="10"/>
        <v>7028199000000</v>
      </c>
      <c r="W221" s="13">
        <f t="shared" si="1"/>
        <v>0.77685735985218141</v>
      </c>
      <c r="X221" s="13">
        <f t="shared" si="2"/>
        <v>3.4814384168689587</v>
      </c>
      <c r="Y221" s="8">
        <f t="shared" ref="Y221:Y244" si="31">U221/J221</f>
        <v>6.3095509743465936E-2</v>
      </c>
      <c r="Z221" s="8">
        <f t="shared" ref="Z221:Z244" si="32">U221/M221</f>
        <v>0.28275864129629796</v>
      </c>
      <c r="AA221" s="8">
        <f t="shared" si="5"/>
        <v>1</v>
      </c>
      <c r="AB221" s="8">
        <f t="shared" ref="AB221:AB244" si="33">U221/O221</f>
        <v>0.19600868153930143</v>
      </c>
      <c r="AC221" s="8">
        <f t="shared" si="7"/>
        <v>1</v>
      </c>
      <c r="AD221" s="9"/>
      <c r="AE221" s="10">
        <f>302528000000-199933000000</f>
        <v>102595000000</v>
      </c>
      <c r="AF221" s="9"/>
      <c r="AG221" s="9"/>
      <c r="AH221" s="9"/>
      <c r="AI221" s="9"/>
      <c r="AJ221" s="9"/>
      <c r="AK221" s="10"/>
      <c r="AL221" s="9"/>
      <c r="AM221" s="9"/>
    </row>
    <row r="222" spans="1:39" ht="15.75" customHeight="1">
      <c r="A222" s="6">
        <v>11</v>
      </c>
      <c r="B222" s="6">
        <v>2019</v>
      </c>
      <c r="C222" s="6" t="s">
        <v>219</v>
      </c>
      <c r="D222" s="7" t="s">
        <v>220</v>
      </c>
      <c r="E222" s="6" t="s">
        <v>221</v>
      </c>
      <c r="F222" s="6" t="s">
        <v>222</v>
      </c>
      <c r="G222" s="6"/>
      <c r="H222" s="16">
        <v>650000000</v>
      </c>
      <c r="I222" s="16">
        <v>266149000000</v>
      </c>
      <c r="J222" s="16">
        <v>35116853000000</v>
      </c>
      <c r="K222" s="16"/>
      <c r="L222" s="16">
        <v>27038058000000</v>
      </c>
      <c r="M222" s="16">
        <v>8078795000000</v>
      </c>
      <c r="N222" s="8">
        <v>4000000000</v>
      </c>
      <c r="O222" s="16">
        <v>11337726000000</v>
      </c>
      <c r="P222" s="16"/>
      <c r="Q222" s="6"/>
      <c r="R222" s="6"/>
      <c r="S222" s="11"/>
      <c r="T222" s="9">
        <f>1522137000000+768918000000+56648000000+6848000000</f>
        <v>2354551000000</v>
      </c>
      <c r="U222" s="12">
        <v>1958596000000</v>
      </c>
      <c r="V222" s="17">
        <f t="shared" si="10"/>
        <v>8078795000000</v>
      </c>
      <c r="W222" s="13">
        <f t="shared" si="1"/>
        <v>0.7699453592837604</v>
      </c>
      <c r="X222" s="13">
        <f t="shared" si="2"/>
        <v>3.3467934264949166</v>
      </c>
      <c r="Y222" s="8">
        <f t="shared" si="31"/>
        <v>5.5773676530752915E-2</v>
      </c>
      <c r="Z222" s="8">
        <f t="shared" si="32"/>
        <v>0.24243665051533056</v>
      </c>
      <c r="AA222" s="8">
        <f t="shared" si="5"/>
        <v>1</v>
      </c>
      <c r="AB222" s="8">
        <f t="shared" si="33"/>
        <v>0.17275033811894908</v>
      </c>
      <c r="AC222" s="8">
        <f t="shared" si="7"/>
        <v>1</v>
      </c>
      <c r="AD222" s="9"/>
      <c r="AE222" s="10">
        <f>365969000000-236104000000</f>
        <v>129865000000</v>
      </c>
      <c r="AF222" s="9"/>
      <c r="AG222" s="9"/>
      <c r="AH222" s="9"/>
      <c r="AI222" s="9"/>
      <c r="AJ222" s="9"/>
      <c r="AK222" s="10"/>
      <c r="AL222" s="6"/>
      <c r="AM222" s="9"/>
    </row>
    <row r="223" spans="1:39" ht="15.75" customHeight="1">
      <c r="A223" s="6">
        <v>12</v>
      </c>
      <c r="B223" s="6">
        <v>2020</v>
      </c>
      <c r="C223" s="6" t="s">
        <v>219</v>
      </c>
      <c r="D223" s="7" t="s">
        <v>220</v>
      </c>
      <c r="E223" s="6" t="s">
        <v>221</v>
      </c>
      <c r="F223" s="6" t="s">
        <v>222</v>
      </c>
      <c r="G223" s="6"/>
      <c r="H223" s="16">
        <v>650000000</v>
      </c>
      <c r="I223" s="16">
        <v>244529000000</v>
      </c>
      <c r="J223" s="16">
        <v>29230513000000</v>
      </c>
      <c r="K223" s="16"/>
      <c r="L223" s="16">
        <v>21305238000000</v>
      </c>
      <c r="M223" s="16">
        <v>7925275000000</v>
      </c>
      <c r="N223" s="8">
        <v>4000000000</v>
      </c>
      <c r="O223" s="16">
        <v>9434745000000</v>
      </c>
      <c r="P223" s="16"/>
      <c r="Q223" s="6"/>
      <c r="R223" s="6"/>
      <c r="S223" s="11"/>
      <c r="T223" s="18">
        <f>1461631000000+445301000000+38214000000+31022000000</f>
        <v>1976168000000</v>
      </c>
      <c r="U223" s="12">
        <v>1015111000000</v>
      </c>
      <c r="V223" s="17">
        <f t="shared" si="10"/>
        <v>7925275000000</v>
      </c>
      <c r="W223" s="13">
        <f t="shared" si="1"/>
        <v>0.72886979438232913</v>
      </c>
      <c r="X223" s="13">
        <f t="shared" si="2"/>
        <v>2.6882648236181077</v>
      </c>
      <c r="Y223" s="8">
        <f t="shared" si="31"/>
        <v>3.4727785995408295E-2</v>
      </c>
      <c r="Z223" s="8">
        <f t="shared" si="32"/>
        <v>0.12808527148900195</v>
      </c>
      <c r="AA223" s="8">
        <f t="shared" si="5"/>
        <v>1</v>
      </c>
      <c r="AB223" s="8">
        <f t="shared" si="33"/>
        <v>0.10759283902214634</v>
      </c>
      <c r="AC223" s="8">
        <f t="shared" si="7"/>
        <v>1</v>
      </c>
      <c r="AD223" s="9"/>
      <c r="AE223" s="10">
        <f>467313000000-289727000000</f>
        <v>177586000000</v>
      </c>
      <c r="AF223" s="9"/>
      <c r="AG223" s="9"/>
      <c r="AH223" s="9">
        <v>20935000000</v>
      </c>
      <c r="AI223" s="9"/>
      <c r="AJ223" s="9"/>
      <c r="AK223" s="10"/>
      <c r="AL223" s="6"/>
      <c r="AM223" s="9"/>
    </row>
    <row r="224" spans="1:39" ht="15.75" customHeight="1">
      <c r="A224" s="6">
        <v>61</v>
      </c>
      <c r="B224" s="6">
        <v>2018</v>
      </c>
      <c r="C224" s="6" t="s">
        <v>223</v>
      </c>
      <c r="D224" s="7" t="s">
        <v>224</v>
      </c>
      <c r="E224" s="6" t="s">
        <v>221</v>
      </c>
      <c r="F224" s="6" t="s">
        <v>222</v>
      </c>
      <c r="G224" s="8"/>
      <c r="H224" s="16">
        <v>368000000</v>
      </c>
      <c r="I224" s="16">
        <v>102764000000</v>
      </c>
      <c r="J224" s="16">
        <v>5019046000000</v>
      </c>
      <c r="K224" s="16"/>
      <c r="L224" s="16">
        <v>3841990000000</v>
      </c>
      <c r="M224" s="16">
        <v>1177056000000</v>
      </c>
      <c r="N224" s="8">
        <v>4800000000</v>
      </c>
      <c r="O224" s="16">
        <v>739882000000</v>
      </c>
      <c r="P224" s="16">
        <v>662970000000</v>
      </c>
      <c r="Q224" s="6"/>
      <c r="R224" s="6"/>
      <c r="S224" s="11"/>
      <c r="T224" s="9">
        <f>184503000000+8391000000</f>
        <v>192894000000</v>
      </c>
      <c r="U224" s="12">
        <v>57571000000</v>
      </c>
      <c r="V224" s="17">
        <f t="shared" si="10"/>
        <v>1177056000000</v>
      </c>
      <c r="W224" s="13">
        <f t="shared" si="1"/>
        <v>0.76548212548759265</v>
      </c>
      <c r="X224" s="13">
        <f t="shared" si="2"/>
        <v>3.2640673001114644</v>
      </c>
      <c r="Y224" s="8">
        <f t="shared" si="31"/>
        <v>1.1470506546463212E-2</v>
      </c>
      <c r="Z224" s="8">
        <f t="shared" si="32"/>
        <v>4.891101188048827E-2</v>
      </c>
      <c r="AA224" s="8">
        <f t="shared" si="5"/>
        <v>0.10395171121881597</v>
      </c>
      <c r="AB224" s="8">
        <f t="shared" si="33"/>
        <v>7.7811056357635411E-2</v>
      </c>
      <c r="AC224" s="8">
        <f t="shared" si="7"/>
        <v>0.10395171121881597</v>
      </c>
      <c r="AD224" s="9"/>
      <c r="AE224" s="9">
        <v>19364000000</v>
      </c>
      <c r="AF224" s="9"/>
      <c r="AG224" s="9"/>
      <c r="AH224" s="9"/>
      <c r="AI224" s="9">
        <v>3442000000</v>
      </c>
      <c r="AJ224" s="9"/>
      <c r="AK224" s="9"/>
      <c r="AL224" s="9"/>
      <c r="AM224" s="10"/>
    </row>
    <row r="225" spans="1:39" ht="15.75" customHeight="1">
      <c r="A225" s="6">
        <v>62</v>
      </c>
      <c r="B225" s="6">
        <v>2019</v>
      </c>
      <c r="C225" s="6" t="s">
        <v>223</v>
      </c>
      <c r="D225" s="7" t="s">
        <v>224</v>
      </c>
      <c r="E225" s="6" t="s">
        <v>221</v>
      </c>
      <c r="F225" s="6" t="s">
        <v>222</v>
      </c>
      <c r="G225" s="8"/>
      <c r="H225" s="16">
        <v>235000000</v>
      </c>
      <c r="I225" s="16">
        <v>100426000000</v>
      </c>
      <c r="J225" s="16">
        <v>5051402000000</v>
      </c>
      <c r="K225" s="16"/>
      <c r="L225" s="16">
        <v>3843919000000</v>
      </c>
      <c r="M225" s="16">
        <v>1207483000000</v>
      </c>
      <c r="N225" s="8">
        <v>4800000000</v>
      </c>
      <c r="O225" s="16">
        <v>839267000000</v>
      </c>
      <c r="P225" s="16">
        <v>760878000000</v>
      </c>
      <c r="Q225" s="6"/>
      <c r="R225" s="6"/>
      <c r="S225" s="11"/>
      <c r="T225" s="9">
        <f>205792000000+12702000000</f>
        <v>218494000000</v>
      </c>
      <c r="U225" s="12">
        <v>59269000000</v>
      </c>
      <c r="V225" s="17">
        <f t="shared" si="10"/>
        <v>1207483000000</v>
      </c>
      <c r="W225" s="13">
        <f t="shared" si="1"/>
        <v>0.76096081840249497</v>
      </c>
      <c r="X225" s="13">
        <f t="shared" si="2"/>
        <v>3.1834145905159743</v>
      </c>
      <c r="Y225" s="8">
        <f t="shared" si="31"/>
        <v>1.1733178234478269E-2</v>
      </c>
      <c r="Z225" s="8">
        <f t="shared" si="32"/>
        <v>4.9084749019240849E-2</v>
      </c>
      <c r="AA225" s="8">
        <f t="shared" si="5"/>
        <v>9.3401742234592799E-2</v>
      </c>
      <c r="AB225" s="8">
        <f t="shared" si="33"/>
        <v>7.0619957653523843E-2</v>
      </c>
      <c r="AC225" s="8">
        <f t="shared" si="7"/>
        <v>9.3401742234592799E-2</v>
      </c>
      <c r="AD225" s="9"/>
      <c r="AE225" s="9">
        <v>22468000000</v>
      </c>
      <c r="AF225" s="9"/>
      <c r="AG225" s="9"/>
      <c r="AH225" s="9"/>
      <c r="AI225" s="9">
        <v>2851000000</v>
      </c>
      <c r="AJ225" s="9"/>
      <c r="AK225" s="9"/>
      <c r="AL225" s="9"/>
      <c r="AM225" s="10"/>
    </row>
    <row r="226" spans="1:39" ht="15.75" customHeight="1">
      <c r="A226" s="6">
        <v>63</v>
      </c>
      <c r="B226" s="6">
        <v>2020</v>
      </c>
      <c r="C226" s="6" t="s">
        <v>223</v>
      </c>
      <c r="D226" s="7" t="s">
        <v>224</v>
      </c>
      <c r="E226" s="6" t="s">
        <v>221</v>
      </c>
      <c r="F226" s="6" t="s">
        <v>222</v>
      </c>
      <c r="G226" s="8"/>
      <c r="H226" s="16">
        <v>196000000</v>
      </c>
      <c r="I226" s="16">
        <v>88359000000</v>
      </c>
      <c r="J226" s="16">
        <v>4115895000000</v>
      </c>
      <c r="K226" s="16"/>
      <c r="L226" s="16">
        <v>2907239000000</v>
      </c>
      <c r="M226" s="16">
        <v>1208656000000</v>
      </c>
      <c r="N226" s="8">
        <v>4800000000</v>
      </c>
      <c r="O226" s="16">
        <v>680194000000</v>
      </c>
      <c r="P226" s="16">
        <v>652982000000</v>
      </c>
      <c r="Q226" s="6"/>
      <c r="R226" s="6"/>
      <c r="S226" s="11"/>
      <c r="T226" s="9">
        <f>200337000000+10835000000</f>
        <v>211172000000</v>
      </c>
      <c r="U226" s="12">
        <f>20053000000</f>
        <v>20053000000</v>
      </c>
      <c r="V226" s="17">
        <f t="shared" si="10"/>
        <v>1208656000000</v>
      </c>
      <c r="W226" s="13">
        <f t="shared" si="1"/>
        <v>0.70634430664533476</v>
      </c>
      <c r="X226" s="13">
        <f t="shared" si="2"/>
        <v>2.4053485855363315</v>
      </c>
      <c r="Y226" s="8">
        <f t="shared" si="31"/>
        <v>4.8720873588854914E-3</v>
      </c>
      <c r="Z226" s="8">
        <f t="shared" si="32"/>
        <v>1.6591155796190148E-2</v>
      </c>
      <c r="AA226" s="8">
        <f t="shared" si="5"/>
        <v>4.0006233515732278E-2</v>
      </c>
      <c r="AB226" s="8">
        <f t="shared" si="33"/>
        <v>2.9481295042296757E-2</v>
      </c>
      <c r="AC226" s="8">
        <f t="shared" si="7"/>
        <v>4.0006233515732278E-2</v>
      </c>
      <c r="AD226" s="9"/>
      <c r="AE226" s="9">
        <v>20391000000</v>
      </c>
      <c r="AF226" s="9"/>
      <c r="AG226" s="9"/>
      <c r="AH226" s="9"/>
      <c r="AI226" s="9">
        <v>3255000000</v>
      </c>
      <c r="AJ226" s="9"/>
      <c r="AK226" s="9"/>
      <c r="AL226" s="9"/>
      <c r="AM226" s="10"/>
    </row>
    <row r="227" spans="1:39" ht="15.75" customHeight="1">
      <c r="A227" s="6">
        <v>88</v>
      </c>
      <c r="B227" s="6">
        <v>2018</v>
      </c>
      <c r="C227" s="6" t="s">
        <v>225</v>
      </c>
      <c r="D227" s="7" t="s">
        <v>226</v>
      </c>
      <c r="E227" s="6" t="s">
        <v>221</v>
      </c>
      <c r="F227" s="6" t="s">
        <v>222</v>
      </c>
      <c r="G227" s="8"/>
      <c r="H227" s="6"/>
      <c r="I227" s="9">
        <v>530145000000</v>
      </c>
      <c r="J227" s="9">
        <v>19117376000000</v>
      </c>
      <c r="K227" s="16"/>
      <c r="L227" s="9">
        <v>12913580000000</v>
      </c>
      <c r="M227" s="16">
        <v>6203796000000</v>
      </c>
      <c r="N227" s="8">
        <v>20000000000</v>
      </c>
      <c r="O227" s="16">
        <v>5017721000000</v>
      </c>
      <c r="P227" s="16">
        <v>3177622000000</v>
      </c>
      <c r="Q227" s="6"/>
      <c r="R227" s="6"/>
      <c r="S227" s="11"/>
      <c r="T227" s="9">
        <f>1074939000000+467060000000+16182000000</f>
        <v>1558181000000</v>
      </c>
      <c r="U227" s="12">
        <v>1467794000000</v>
      </c>
      <c r="V227" s="17">
        <f t="shared" si="10"/>
        <v>6203796000000</v>
      </c>
      <c r="W227" s="13">
        <f t="shared" si="1"/>
        <v>0.67548914662765436</v>
      </c>
      <c r="X227" s="13">
        <f t="shared" si="2"/>
        <v>2.0815610313427455</v>
      </c>
      <c r="Y227" s="8">
        <f t="shared" si="31"/>
        <v>7.6778005517075143E-2</v>
      </c>
      <c r="Z227" s="8">
        <f t="shared" si="32"/>
        <v>0.23659610986563712</v>
      </c>
      <c r="AA227" s="8">
        <f t="shared" si="5"/>
        <v>0.36672007072533525</v>
      </c>
      <c r="AB227" s="8">
        <f t="shared" si="33"/>
        <v>0.29252204337387433</v>
      </c>
      <c r="AC227" s="8">
        <f t="shared" si="7"/>
        <v>0.36672007072533525</v>
      </c>
      <c r="AD227" s="9"/>
      <c r="AE227" s="9">
        <v>32374000000</v>
      </c>
      <c r="AF227" s="9"/>
      <c r="AG227" s="9"/>
      <c r="AH227" s="9"/>
      <c r="AI227" s="9"/>
      <c r="AJ227" s="9"/>
      <c r="AK227" s="9"/>
      <c r="AL227" s="9"/>
      <c r="AM227" s="9">
        <v>37459000000</v>
      </c>
    </row>
    <row r="228" spans="1:39" ht="15.75" customHeight="1">
      <c r="A228" s="6">
        <v>89</v>
      </c>
      <c r="B228" s="6">
        <v>2019</v>
      </c>
      <c r="C228" s="6" t="s">
        <v>225</v>
      </c>
      <c r="D228" s="7" t="s">
        <v>226</v>
      </c>
      <c r="E228" s="6" t="s">
        <v>221</v>
      </c>
      <c r="F228" s="6" t="s">
        <v>222</v>
      </c>
      <c r="G228" s="6"/>
      <c r="H228" s="16"/>
      <c r="I228" s="16">
        <v>541056000000</v>
      </c>
      <c r="J228" s="16">
        <v>19089633000000</v>
      </c>
      <c r="K228" s="16"/>
      <c r="L228" s="16">
        <v>13009453000000</v>
      </c>
      <c r="M228" s="16">
        <v>6080180000000</v>
      </c>
      <c r="N228" s="8">
        <v>20000000000</v>
      </c>
      <c r="O228" s="16">
        <v>5240729000000</v>
      </c>
      <c r="P228" s="16">
        <v>4148476000000</v>
      </c>
      <c r="Q228" s="6"/>
      <c r="R228" s="6"/>
      <c r="S228" s="11"/>
      <c r="T228" s="9">
        <f>121681000000+ 622446000000+792324000000</f>
        <v>1536451000000</v>
      </c>
      <c r="U228" s="12">
        <v>711682000000</v>
      </c>
      <c r="V228" s="17">
        <f t="shared" si="10"/>
        <v>6080180000000</v>
      </c>
      <c r="W228" s="13">
        <f t="shared" si="1"/>
        <v>0.68149309104056632</v>
      </c>
      <c r="X228" s="13">
        <f t="shared" si="2"/>
        <v>2.1396493195925119</v>
      </c>
      <c r="Y228" s="8">
        <f t="shared" si="31"/>
        <v>3.7281072925812668E-2</v>
      </c>
      <c r="Z228" s="8">
        <f t="shared" si="32"/>
        <v>0.11704949524520655</v>
      </c>
      <c r="AA228" s="8">
        <f t="shared" si="5"/>
        <v>0.20841623369573203</v>
      </c>
      <c r="AB228" s="8">
        <f t="shared" si="33"/>
        <v>0.13579828302512875</v>
      </c>
      <c r="AC228" s="8">
        <f t="shared" si="7"/>
        <v>0.20841623369573203</v>
      </c>
      <c r="AD228" s="9"/>
      <c r="AE228" s="9">
        <v>30165000000</v>
      </c>
      <c r="AF228" s="9"/>
      <c r="AG228" s="9"/>
      <c r="AH228" s="9"/>
      <c r="AI228" s="9"/>
      <c r="AJ228" s="9"/>
      <c r="AK228" s="9"/>
      <c r="AL228" s="9"/>
      <c r="AM228" s="9">
        <v>34313000000</v>
      </c>
    </row>
    <row r="229" spans="1:39" ht="15.75" customHeight="1">
      <c r="A229" s="6">
        <v>90</v>
      </c>
      <c r="B229" s="6">
        <v>2020</v>
      </c>
      <c r="C229" s="6" t="s">
        <v>225</v>
      </c>
      <c r="D229" s="7" t="s">
        <v>226</v>
      </c>
      <c r="E229" s="6" t="s">
        <v>221</v>
      </c>
      <c r="F229" s="6" t="s">
        <v>222</v>
      </c>
      <c r="G229" s="6"/>
      <c r="H229" s="16"/>
      <c r="I229" s="16">
        <v>606304000000</v>
      </c>
      <c r="J229" s="16">
        <v>15200531000000</v>
      </c>
      <c r="K229" s="16"/>
      <c r="L229" s="16">
        <v>8594377000000</v>
      </c>
      <c r="M229" s="16">
        <v>6606154000000</v>
      </c>
      <c r="N229" s="8">
        <v>20000000000</v>
      </c>
      <c r="O229" s="16">
        <v>4569778000000</v>
      </c>
      <c r="P229" s="16">
        <v>3699782000000</v>
      </c>
      <c r="Q229" s="6"/>
      <c r="R229" s="6"/>
      <c r="S229" s="11"/>
      <c r="T229" s="9">
        <f>1122266000000+536151000000+112737000000</f>
        <v>1771154000000</v>
      </c>
      <c r="U229" s="12">
        <v>701592000000</v>
      </c>
      <c r="V229" s="17">
        <f t="shared" si="10"/>
        <v>6606154000000</v>
      </c>
      <c r="W229" s="13">
        <f t="shared" si="1"/>
        <v>0.56539978767846988</v>
      </c>
      <c r="X229" s="13">
        <f t="shared" si="2"/>
        <v>1.3009652817660624</v>
      </c>
      <c r="Y229" s="8">
        <f t="shared" si="31"/>
        <v>4.6155756006155312E-2</v>
      </c>
      <c r="Z229" s="8">
        <f t="shared" si="32"/>
        <v>0.10620279212382878</v>
      </c>
      <c r="AA229" s="8">
        <f t="shared" si="5"/>
        <v>0.19038036421025267</v>
      </c>
      <c r="AB229" s="8">
        <f t="shared" si="33"/>
        <v>0.15352868345026827</v>
      </c>
      <c r="AC229" s="8">
        <f t="shared" si="7"/>
        <v>0.19038036421025267</v>
      </c>
      <c r="AD229" s="9"/>
      <c r="AE229" s="9">
        <v>43009000000</v>
      </c>
      <c r="AF229" s="9"/>
      <c r="AG229" s="9"/>
      <c r="AH229" s="9"/>
      <c r="AI229" s="9"/>
      <c r="AJ229" s="9"/>
      <c r="AK229" s="9"/>
      <c r="AL229" s="9"/>
      <c r="AM229" s="9">
        <v>24446000000</v>
      </c>
    </row>
    <row r="230" spans="1:39" ht="15.75" customHeight="1">
      <c r="A230" s="6">
        <v>142</v>
      </c>
      <c r="B230" s="6">
        <v>2018</v>
      </c>
      <c r="C230" s="6" t="s">
        <v>227</v>
      </c>
      <c r="D230" s="7" t="s">
        <v>228</v>
      </c>
      <c r="E230" s="6" t="s">
        <v>221</v>
      </c>
      <c r="F230" s="6" t="s">
        <v>222</v>
      </c>
      <c r="G230" s="6"/>
      <c r="H230" s="9">
        <v>10392000000</v>
      </c>
      <c r="I230" s="8">
        <v>174129915000</v>
      </c>
      <c r="J230" s="8">
        <v>11077046941000</v>
      </c>
      <c r="K230" s="8"/>
      <c r="L230" s="13">
        <v>6729921689000</v>
      </c>
      <c r="M230" s="8">
        <v>4347125252000</v>
      </c>
      <c r="N230" s="8">
        <v>10412000000</v>
      </c>
      <c r="O230" s="8">
        <v>1933912294000</v>
      </c>
      <c r="P230" s="8">
        <v>1521606045000</v>
      </c>
      <c r="Q230" s="6"/>
      <c r="R230" s="6"/>
      <c r="S230" s="11"/>
      <c r="T230" s="9">
        <f>1521606045000-587071801000</f>
        <v>934534244000</v>
      </c>
      <c r="U230" s="12">
        <v>305137586000</v>
      </c>
      <c r="V230" s="13">
        <f t="shared" si="10"/>
        <v>4347125252000</v>
      </c>
      <c r="W230" s="13">
        <f t="shared" si="1"/>
        <v>0.60755558090940476</v>
      </c>
      <c r="X230" s="13">
        <f t="shared" si="2"/>
        <v>1.5481315349503069</v>
      </c>
      <c r="Y230" s="8">
        <f t="shared" si="31"/>
        <v>2.7546835147062503E-2</v>
      </c>
      <c r="Z230" s="8">
        <f t="shared" si="32"/>
        <v>7.0192959326307439E-2</v>
      </c>
      <c r="AA230" s="8">
        <f t="shared" si="5"/>
        <v>0.21319800814090073</v>
      </c>
      <c r="AB230" s="8">
        <f t="shared" si="33"/>
        <v>0.15778253592300706</v>
      </c>
      <c r="AC230" s="8">
        <f t="shared" si="7"/>
        <v>0.21319800814090073</v>
      </c>
      <c r="AD230" s="9"/>
      <c r="AE230" s="9">
        <v>16863885000</v>
      </c>
      <c r="AF230" s="9"/>
      <c r="AG230" s="9"/>
      <c r="AH230" s="9"/>
      <c r="AI230" s="9"/>
      <c r="AJ230" s="9"/>
      <c r="AK230" s="9"/>
      <c r="AL230" s="9"/>
      <c r="AM230" s="10">
        <v>13315187000</v>
      </c>
    </row>
    <row r="231" spans="1:39" ht="15.75" customHeight="1">
      <c r="A231" s="6">
        <v>143</v>
      </c>
      <c r="B231" s="6">
        <v>2019</v>
      </c>
      <c r="C231" s="6" t="s">
        <v>227</v>
      </c>
      <c r="D231" s="7" t="s">
        <v>228</v>
      </c>
      <c r="E231" s="6" t="s">
        <v>221</v>
      </c>
      <c r="F231" s="6" t="s">
        <v>222</v>
      </c>
      <c r="G231" s="6"/>
      <c r="H231" s="6"/>
      <c r="I231" s="8">
        <v>191064922000</v>
      </c>
      <c r="J231" s="8">
        <v>12117478069000</v>
      </c>
      <c r="K231" s="8"/>
      <c r="L231" s="8">
        <v>7411795923000</v>
      </c>
      <c r="M231" s="8">
        <v>4705682146000</v>
      </c>
      <c r="N231" s="8">
        <v>10412000000</v>
      </c>
      <c r="O231" s="8">
        <v>2164662845000</v>
      </c>
      <c r="P231" s="8">
        <v>1677996298000</v>
      </c>
      <c r="Q231" s="6"/>
      <c r="R231" s="6"/>
      <c r="S231" s="11"/>
      <c r="T231" s="9">
        <f>1677996298000-647575233000</f>
        <v>1030421065000</v>
      </c>
      <c r="U231" s="12">
        <v>361596020000</v>
      </c>
      <c r="V231" s="13">
        <f t="shared" si="10"/>
        <v>4705682146000</v>
      </c>
      <c r="W231" s="13">
        <f t="shared" si="1"/>
        <v>0.61166159169386158</v>
      </c>
      <c r="X231" s="13">
        <f t="shared" si="2"/>
        <v>1.5750736435312136</v>
      </c>
      <c r="Y231" s="8">
        <f t="shared" si="31"/>
        <v>2.9840864406024122E-2</v>
      </c>
      <c r="Z231" s="8">
        <f t="shared" si="32"/>
        <v>7.6842423432141441E-2</v>
      </c>
      <c r="AA231" s="8">
        <f t="shared" si="5"/>
        <v>0.22482325509680007</v>
      </c>
      <c r="AB231" s="8">
        <f t="shared" si="33"/>
        <v>0.16704496075923547</v>
      </c>
      <c r="AC231" s="8">
        <f t="shared" si="7"/>
        <v>0.22482325509680007</v>
      </c>
      <c r="AD231" s="9"/>
      <c r="AE231" s="9">
        <v>18462168000</v>
      </c>
      <c r="AF231" s="9"/>
      <c r="AG231" s="9"/>
      <c r="AH231" s="9"/>
      <c r="AI231" s="9"/>
      <c r="AJ231" s="9"/>
      <c r="AK231" s="9"/>
      <c r="AL231" s="9"/>
      <c r="AM231" s="18">
        <v>21160345000</v>
      </c>
    </row>
    <row r="232" spans="1:39" ht="15.75" customHeight="1">
      <c r="A232" s="6">
        <v>144</v>
      </c>
      <c r="B232" s="6">
        <v>2020</v>
      </c>
      <c r="C232" s="6" t="s">
        <v>227</v>
      </c>
      <c r="D232" s="7" t="s">
        <v>228</v>
      </c>
      <c r="E232" s="6" t="s">
        <v>221</v>
      </c>
      <c r="F232" s="6" t="s">
        <v>222</v>
      </c>
      <c r="G232" s="6"/>
      <c r="H232" s="6"/>
      <c r="I232" s="8">
        <v>173369724000</v>
      </c>
      <c r="J232" s="8">
        <v>10917456216000</v>
      </c>
      <c r="K232" s="8"/>
      <c r="L232" s="8">
        <v>6172266324000</v>
      </c>
      <c r="M232" s="13">
        <v>4745189892000</v>
      </c>
      <c r="N232" s="8">
        <v>10412000000</v>
      </c>
      <c r="O232" s="8">
        <v>1847954148000</v>
      </c>
      <c r="P232" s="8">
        <v>1787420988000</v>
      </c>
      <c r="Q232" s="6"/>
      <c r="R232" s="6"/>
      <c r="S232" s="11"/>
      <c r="T232" s="9">
        <f>1787420988000-577285800000</f>
        <v>1210135188000</v>
      </c>
      <c r="U232" s="12">
        <v>46566702000</v>
      </c>
      <c r="V232" s="13">
        <f t="shared" si="10"/>
        <v>4745189892000</v>
      </c>
      <c r="W232" s="13">
        <f t="shared" si="1"/>
        <v>0.56535755233479013</v>
      </c>
      <c r="X232" s="13">
        <f t="shared" si="2"/>
        <v>1.3007416909502258</v>
      </c>
      <c r="Y232" s="8">
        <f t="shared" si="31"/>
        <v>4.2653436000736605E-3</v>
      </c>
      <c r="Z232" s="8">
        <f t="shared" si="32"/>
        <v>9.8134538469171976E-3</v>
      </c>
      <c r="AA232" s="8">
        <f t="shared" si="5"/>
        <v>3.2756851713833759E-2</v>
      </c>
      <c r="AB232" s="8">
        <f t="shared" si="33"/>
        <v>2.5199057049331074E-2</v>
      </c>
      <c r="AC232" s="8">
        <f t="shared" si="7"/>
        <v>3.2756851713833759E-2</v>
      </c>
      <c r="AD232" s="9"/>
      <c r="AE232" s="9">
        <v>15462122000</v>
      </c>
      <c r="AF232" s="9"/>
      <c r="AG232" s="9"/>
      <c r="AH232" s="9"/>
      <c r="AI232" s="9"/>
      <c r="AJ232" s="9"/>
      <c r="AK232" s="9"/>
      <c r="AL232" s="9"/>
      <c r="AM232" s="10">
        <v>14190972000</v>
      </c>
    </row>
    <row r="233" spans="1:39" ht="15.75" customHeight="1">
      <c r="A233" s="6">
        <v>310</v>
      </c>
      <c r="B233" s="6">
        <v>2018</v>
      </c>
      <c r="C233" s="6" t="s">
        <v>229</v>
      </c>
      <c r="D233" s="7" t="s">
        <v>230</v>
      </c>
      <c r="E233" s="6" t="s">
        <v>221</v>
      </c>
      <c r="F233" s="6" t="s">
        <v>222</v>
      </c>
      <c r="G233" s="8"/>
      <c r="H233" s="9"/>
      <c r="I233" s="10">
        <v>170262000000</v>
      </c>
      <c r="J233" s="10">
        <v>3621664000000</v>
      </c>
      <c r="K233" s="10"/>
      <c r="L233" s="10">
        <v>1560997000000</v>
      </c>
      <c r="M233" s="10">
        <v>2060667000000</v>
      </c>
      <c r="N233" s="8">
        <v>8000000000</v>
      </c>
      <c r="O233" s="10">
        <v>1476141000000</v>
      </c>
      <c r="P233" s="10">
        <v>1030537000000</v>
      </c>
      <c r="Q233" s="6"/>
      <c r="R233" s="6"/>
      <c r="S233" s="11"/>
      <c r="T233" s="8">
        <f>226721000000+38561000000</f>
        <v>265282000000</v>
      </c>
      <c r="U233" s="12">
        <v>333346000000</v>
      </c>
      <c r="V233" s="9">
        <f t="shared" si="10"/>
        <v>2060667000000</v>
      </c>
      <c r="W233" s="13">
        <f t="shared" si="1"/>
        <v>0.43101651616494518</v>
      </c>
      <c r="X233" s="13">
        <f t="shared" si="2"/>
        <v>0.75752025921703992</v>
      </c>
      <c r="Y233" s="8">
        <f t="shared" si="31"/>
        <v>9.2042221476094963E-2</v>
      </c>
      <c r="Z233" s="8">
        <f t="shared" si="32"/>
        <v>0.16176606894757861</v>
      </c>
      <c r="AA233" s="8">
        <f t="shared" si="5"/>
        <v>0.30187089173730691</v>
      </c>
      <c r="AB233" s="8">
        <f t="shared" si="33"/>
        <v>0.22582260095749659</v>
      </c>
      <c r="AC233" s="8">
        <f t="shared" si="7"/>
        <v>0.30187089173730691</v>
      </c>
      <c r="AD233" s="9"/>
      <c r="AE233" s="9"/>
      <c r="AF233" s="9"/>
      <c r="AG233" s="9"/>
      <c r="AH233" s="9"/>
      <c r="AI233" s="9"/>
      <c r="AJ233" s="10"/>
      <c r="AK233" s="10"/>
      <c r="AL233" s="9"/>
      <c r="AM233" s="10"/>
    </row>
    <row r="234" spans="1:39" ht="15.75" customHeight="1">
      <c r="A234" s="6">
        <v>311</v>
      </c>
      <c r="B234" s="6">
        <v>2019</v>
      </c>
      <c r="C234" s="6" t="s">
        <v>229</v>
      </c>
      <c r="D234" s="7" t="s">
        <v>230</v>
      </c>
      <c r="E234" s="6" t="s">
        <v>221</v>
      </c>
      <c r="F234" s="6" t="s">
        <v>222</v>
      </c>
      <c r="G234" s="8"/>
      <c r="H234" s="9"/>
      <c r="I234" s="10">
        <v>167840000000</v>
      </c>
      <c r="J234" s="10">
        <v>4726154000000</v>
      </c>
      <c r="K234" s="10"/>
      <c r="L234" s="10">
        <v>2448259000000</v>
      </c>
      <c r="M234" s="10">
        <v>2277895000000</v>
      </c>
      <c r="N234" s="8">
        <v>8000000000</v>
      </c>
      <c r="O234" s="10">
        <v>1745719000000</v>
      </c>
      <c r="P234" s="10">
        <v>1231859000000</v>
      </c>
      <c r="Q234" s="6"/>
      <c r="R234" s="6"/>
      <c r="S234" s="11"/>
      <c r="T234" s="8">
        <f>241280000000+67185000000</f>
        <v>308465000000</v>
      </c>
      <c r="U234" s="12">
        <v>377084000000</v>
      </c>
      <c r="V234" s="9">
        <f t="shared" si="10"/>
        <v>2277895000000</v>
      </c>
      <c r="W234" s="13">
        <f t="shared" si="1"/>
        <v>0.51802353456954642</v>
      </c>
      <c r="X234" s="13">
        <f t="shared" si="2"/>
        <v>1.0747901022654687</v>
      </c>
      <c r="Y234" s="8">
        <f t="shared" si="31"/>
        <v>7.9786651048611615E-2</v>
      </c>
      <c r="Z234" s="8">
        <f t="shared" si="32"/>
        <v>0.16554055388856817</v>
      </c>
      <c r="AA234" s="8">
        <f t="shared" si="5"/>
        <v>0.29435436058151399</v>
      </c>
      <c r="AB234" s="8">
        <f t="shared" si="33"/>
        <v>0.21600498132861015</v>
      </c>
      <c r="AC234" s="8">
        <f t="shared" si="7"/>
        <v>0.29435436058151399</v>
      </c>
      <c r="AD234" s="9"/>
      <c r="AE234" s="9"/>
      <c r="AF234" s="9"/>
      <c r="AG234" s="9"/>
      <c r="AH234" s="9"/>
      <c r="AI234" s="9"/>
      <c r="AJ234" s="10"/>
      <c r="AK234" s="10"/>
      <c r="AL234" s="9"/>
      <c r="AM234" s="10"/>
    </row>
    <row r="235" spans="1:39" ht="15.75" customHeight="1">
      <c r="A235" s="6">
        <v>312</v>
      </c>
      <c r="B235" s="6">
        <v>2020</v>
      </c>
      <c r="C235" s="6" t="s">
        <v>229</v>
      </c>
      <c r="D235" s="7" t="s">
        <v>230</v>
      </c>
      <c r="E235" s="6" t="s">
        <v>221</v>
      </c>
      <c r="F235" s="6" t="s">
        <v>222</v>
      </c>
      <c r="G235" s="6"/>
      <c r="H235" s="9"/>
      <c r="I235" s="10">
        <v>177857000000</v>
      </c>
      <c r="J235" s="10">
        <v>4210393000000</v>
      </c>
      <c r="K235" s="10"/>
      <c r="L235" s="10">
        <v>1875421000000</v>
      </c>
      <c r="M235" s="10">
        <v>2334972000000</v>
      </c>
      <c r="N235" s="8">
        <v>8000000000</v>
      </c>
      <c r="O235" s="10">
        <v>1561215000000</v>
      </c>
      <c r="P235" s="10">
        <v>1327729000000</v>
      </c>
      <c r="Q235" s="6"/>
      <c r="R235" s="6"/>
      <c r="S235" s="11"/>
      <c r="T235" s="8">
        <f>198567000000+83766000000</f>
        <v>282333000000</v>
      </c>
      <c r="U235" s="12">
        <v>174397000000</v>
      </c>
      <c r="V235" s="9">
        <f t="shared" si="10"/>
        <v>2334972000000</v>
      </c>
      <c r="W235" s="13">
        <f t="shared" si="1"/>
        <v>0.44542659081943181</v>
      </c>
      <c r="X235" s="13">
        <f t="shared" si="2"/>
        <v>0.80318778983216932</v>
      </c>
      <c r="Y235" s="8">
        <f t="shared" si="31"/>
        <v>4.1420598979715194E-2</v>
      </c>
      <c r="Z235" s="8">
        <f t="shared" si="32"/>
        <v>7.4689118327757251E-2</v>
      </c>
      <c r="AA235" s="8">
        <f t="shared" si="5"/>
        <v>0.14955403323693406</v>
      </c>
      <c r="AB235" s="8">
        <f t="shared" si="33"/>
        <v>0.11170594697078878</v>
      </c>
      <c r="AC235" s="8">
        <f t="shared" si="7"/>
        <v>0.14955403323693406</v>
      </c>
      <c r="AD235" s="9"/>
      <c r="AE235" s="10"/>
      <c r="AF235" s="9"/>
      <c r="AG235" s="9"/>
      <c r="AH235" s="9"/>
      <c r="AI235" s="9"/>
      <c r="AJ235" s="9"/>
      <c r="AK235" s="10"/>
      <c r="AL235" s="9"/>
      <c r="AM235" s="10"/>
    </row>
    <row r="236" spans="1:39" ht="15.75" customHeight="1">
      <c r="A236" s="6">
        <v>313</v>
      </c>
      <c r="B236" s="6">
        <v>2018</v>
      </c>
      <c r="C236" s="6" t="s">
        <v>231</v>
      </c>
      <c r="D236" s="7" t="s">
        <v>232</v>
      </c>
      <c r="E236" s="6" t="s">
        <v>221</v>
      </c>
      <c r="F236" s="6" t="s">
        <v>222</v>
      </c>
      <c r="G236" s="6"/>
      <c r="H236" s="9"/>
      <c r="I236" s="10">
        <v>94780784029</v>
      </c>
      <c r="J236" s="9">
        <v>204476568540</v>
      </c>
      <c r="K236" s="10">
        <v>69191522441</v>
      </c>
      <c r="L236" s="10">
        <v>187920313606</v>
      </c>
      <c r="M236" s="10">
        <v>16556254934</v>
      </c>
      <c r="N236" s="8">
        <v>4000000000</v>
      </c>
      <c r="O236" s="10">
        <v>257437549951</v>
      </c>
      <c r="P236" s="10">
        <v>246559849692</v>
      </c>
      <c r="Q236" s="6"/>
      <c r="R236" s="6"/>
      <c r="S236" s="11"/>
      <c r="T236" s="8">
        <f>18918073530+5198019553</f>
        <v>24116093083</v>
      </c>
      <c r="U236" s="19">
        <v>-36887821525</v>
      </c>
      <c r="V236" s="9">
        <f t="shared" si="10"/>
        <v>16556254934</v>
      </c>
      <c r="W236" s="13">
        <f t="shared" si="1"/>
        <v>0.91903104080719522</v>
      </c>
      <c r="X236" s="13">
        <f t="shared" si="2"/>
        <v>11.350411935255115</v>
      </c>
      <c r="Y236" s="8">
        <f t="shared" si="31"/>
        <v>-0.18040121559348229</v>
      </c>
      <c r="Z236" s="8">
        <f t="shared" si="32"/>
        <v>-2.2280293262002751</v>
      </c>
      <c r="AA236" s="8">
        <f t="shared" si="5"/>
        <v>4.225374371792473E-2</v>
      </c>
      <c r="AB236" s="8">
        <f t="shared" si="33"/>
        <v>-0.14328842677387635</v>
      </c>
      <c r="AC236" s="8">
        <f t="shared" si="7"/>
        <v>4.225374371792473E-2</v>
      </c>
      <c r="AD236" s="9"/>
      <c r="AE236" s="10"/>
      <c r="AF236" s="9"/>
      <c r="AG236" s="9"/>
      <c r="AH236" s="9"/>
      <c r="AI236" s="9"/>
      <c r="AJ236" s="9"/>
      <c r="AK236" s="10"/>
      <c r="AL236" s="9"/>
      <c r="AM236" s="10"/>
    </row>
    <row r="237" spans="1:39" ht="15.75" customHeight="1">
      <c r="A237" s="6">
        <v>314</v>
      </c>
      <c r="B237" s="6">
        <v>2019</v>
      </c>
      <c r="C237" s="6" t="s">
        <v>231</v>
      </c>
      <c r="D237" s="7" t="s">
        <v>232</v>
      </c>
      <c r="E237" s="6" t="s">
        <v>221</v>
      </c>
      <c r="F237" s="6" t="s">
        <v>222</v>
      </c>
      <c r="G237" s="8"/>
      <c r="H237" s="9"/>
      <c r="I237" s="10">
        <v>84360578661</v>
      </c>
      <c r="J237" s="10">
        <v>88838496383</v>
      </c>
      <c r="K237" s="10">
        <v>19273152626</v>
      </c>
      <c r="L237" s="10">
        <v>193930594350</v>
      </c>
      <c r="M237" s="10">
        <v>-105092097967</v>
      </c>
      <c r="N237" s="8">
        <v>4000000000</v>
      </c>
      <c r="O237" s="10">
        <v>42286984239</v>
      </c>
      <c r="P237" s="10">
        <v>54315208841</v>
      </c>
      <c r="Q237" s="6"/>
      <c r="R237" s="6"/>
      <c r="S237" s="11"/>
      <c r="T237" s="8">
        <f>7942558971+5674338142+76849460093</f>
        <v>90466357206</v>
      </c>
      <c r="U237" s="12">
        <v>-121648352901</v>
      </c>
      <c r="V237" s="9">
        <f t="shared" si="10"/>
        <v>-105092097967</v>
      </c>
      <c r="W237" s="13">
        <f t="shared" si="1"/>
        <v>2.1829567388660833</v>
      </c>
      <c r="X237" s="13">
        <f t="shared" si="2"/>
        <v>-1.8453394508395502</v>
      </c>
      <c r="Y237" s="8">
        <f t="shared" si="31"/>
        <v>-1.3693202592775811</v>
      </c>
      <c r="Z237" s="8">
        <f t="shared" si="32"/>
        <v>1.157540436001181</v>
      </c>
      <c r="AA237" s="8">
        <f t="shared" si="5"/>
        <v>-0.2844427149029638</v>
      </c>
      <c r="AB237" s="8">
        <f t="shared" si="33"/>
        <v>-2.8767327604508486</v>
      </c>
      <c r="AC237" s="8">
        <f t="shared" si="7"/>
        <v>-0.2844427149029638</v>
      </c>
      <c r="AD237" s="9"/>
      <c r="AE237" s="10"/>
      <c r="AF237" s="9"/>
      <c r="AG237" s="9"/>
      <c r="AH237" s="9"/>
      <c r="AI237" s="9"/>
      <c r="AJ237" s="9"/>
      <c r="AK237" s="10"/>
      <c r="AL237" s="9"/>
      <c r="AM237" s="10"/>
    </row>
    <row r="238" spans="1:39" ht="15.75" customHeight="1">
      <c r="A238" s="6">
        <v>315</v>
      </c>
      <c r="B238" s="6">
        <v>2020</v>
      </c>
      <c r="C238" s="6" t="s">
        <v>231</v>
      </c>
      <c r="D238" s="7" t="s">
        <v>232</v>
      </c>
      <c r="E238" s="6" t="s">
        <v>221</v>
      </c>
      <c r="F238" s="6" t="s">
        <v>222</v>
      </c>
      <c r="G238" s="8"/>
      <c r="H238" s="9"/>
      <c r="I238" s="10">
        <v>29349403</v>
      </c>
      <c r="J238" s="10">
        <v>6805984418</v>
      </c>
      <c r="K238" s="10"/>
      <c r="L238" s="10">
        <v>55861608352</v>
      </c>
      <c r="M238" s="10">
        <v>-49055623934</v>
      </c>
      <c r="N238" s="8">
        <v>4000000000</v>
      </c>
      <c r="O238" s="10">
        <v>0</v>
      </c>
      <c r="P238" s="10">
        <v>0</v>
      </c>
      <c r="Q238" s="6"/>
      <c r="R238" s="6"/>
      <c r="S238" s="11"/>
      <c r="T238" s="8">
        <v>5224403772</v>
      </c>
      <c r="U238" s="12">
        <v>56505757661</v>
      </c>
      <c r="V238" s="9">
        <f t="shared" si="10"/>
        <v>-49055623934</v>
      </c>
      <c r="W238" s="13">
        <f t="shared" si="1"/>
        <v>8.207719107358086</v>
      </c>
      <c r="X238" s="13">
        <f t="shared" si="2"/>
        <v>-1.1387401458221558</v>
      </c>
      <c r="Y238" s="8">
        <f t="shared" si="31"/>
        <v>8.3023636538980981</v>
      </c>
      <c r="Z238" s="8">
        <f t="shared" si="32"/>
        <v>-1.151871144010389</v>
      </c>
      <c r="AA238" s="8" t="e">
        <f t="shared" si="5"/>
        <v>#DIV/0!</v>
      </c>
      <c r="AB238" s="8" t="e">
        <f t="shared" si="33"/>
        <v>#DIV/0!</v>
      </c>
      <c r="AC238" s="8" t="e">
        <f t="shared" si="7"/>
        <v>#DIV/0!</v>
      </c>
      <c r="AD238" s="9"/>
      <c r="AE238" s="9"/>
      <c r="AF238" s="9"/>
      <c r="AG238" s="9"/>
      <c r="AH238" s="9"/>
      <c r="AI238" s="9"/>
      <c r="AJ238" s="9"/>
      <c r="AK238" s="9"/>
      <c r="AL238" s="9"/>
      <c r="AM238" s="10"/>
    </row>
    <row r="239" spans="1:39" ht="15.75" customHeight="1">
      <c r="A239" s="6">
        <v>475</v>
      </c>
      <c r="B239" s="6">
        <v>2018</v>
      </c>
      <c r="C239" s="6" t="s">
        <v>233</v>
      </c>
      <c r="D239" s="7" t="s">
        <v>234</v>
      </c>
      <c r="E239" s="6" t="s">
        <v>221</v>
      </c>
      <c r="F239" s="6" t="s">
        <v>222</v>
      </c>
      <c r="G239" s="6"/>
      <c r="H239" s="9">
        <v>45329107000</v>
      </c>
      <c r="I239" s="10">
        <v>27406475000</v>
      </c>
      <c r="J239" s="10">
        <v>1565490561000</v>
      </c>
      <c r="K239" s="9"/>
      <c r="L239" s="10">
        <v>1294360807000</v>
      </c>
      <c r="M239" s="10">
        <v>271129754000</v>
      </c>
      <c r="N239" s="8">
        <v>10000000000</v>
      </c>
      <c r="O239" s="10">
        <v>226985260000</v>
      </c>
      <c r="P239" s="10">
        <v>115408446000</v>
      </c>
      <c r="Q239" s="6"/>
      <c r="R239" s="6"/>
      <c r="S239" s="11"/>
      <c r="T239" s="10">
        <f>32443424000+1598047000</f>
        <v>34041471000</v>
      </c>
      <c r="U239" s="12">
        <v>-192758906000</v>
      </c>
      <c r="V239" s="9">
        <f t="shared" si="10"/>
        <v>271129754000</v>
      </c>
      <c r="W239" s="13">
        <f t="shared" si="1"/>
        <v>0.82680843899383949</v>
      </c>
      <c r="X239" s="13">
        <f t="shared" si="2"/>
        <v>4.773953385433308</v>
      </c>
      <c r="Y239" s="8">
        <f t="shared" si="31"/>
        <v>-0.12313003399833339</v>
      </c>
      <c r="Z239" s="8">
        <f t="shared" si="32"/>
        <v>-0.71094707665319534</v>
      </c>
      <c r="AA239" s="8">
        <f t="shared" si="5"/>
        <v>0.49155973387875496</v>
      </c>
      <c r="AB239" s="8">
        <f t="shared" si="33"/>
        <v>-0.84921331896176866</v>
      </c>
      <c r="AC239" s="8">
        <f t="shared" si="7"/>
        <v>0.49155973387875496</v>
      </c>
      <c r="AD239" s="10"/>
      <c r="AE239" s="10"/>
      <c r="AF239" s="9"/>
      <c r="AG239" s="9"/>
      <c r="AH239" s="9"/>
      <c r="AI239" s="9"/>
      <c r="AJ239" s="10"/>
      <c r="AK239" s="10"/>
      <c r="AL239" s="9"/>
      <c r="AM239" s="10"/>
    </row>
    <row r="240" spans="1:39" ht="15.75" customHeight="1">
      <c r="A240" s="6">
        <v>476</v>
      </c>
      <c r="B240" s="6">
        <v>2019</v>
      </c>
      <c r="C240" s="6" t="s">
        <v>233</v>
      </c>
      <c r="D240" s="7" t="s">
        <v>234</v>
      </c>
      <c r="E240" s="6" t="s">
        <v>221</v>
      </c>
      <c r="F240" s="6" t="s">
        <v>222</v>
      </c>
      <c r="G240" s="6"/>
      <c r="H240" s="9"/>
      <c r="I240" s="10">
        <v>42435986000</v>
      </c>
      <c r="J240" s="10">
        <v>2652723126000</v>
      </c>
      <c r="K240" s="9"/>
      <c r="L240" s="10">
        <v>1984129298000</v>
      </c>
      <c r="M240" s="10">
        <v>668593828000</v>
      </c>
      <c r="N240" s="8">
        <v>10000000000</v>
      </c>
      <c r="O240" s="10">
        <v>333007101000</v>
      </c>
      <c r="P240" s="9">
        <v>150176071000</v>
      </c>
      <c r="Q240" s="6"/>
      <c r="R240" s="6"/>
      <c r="S240" s="11"/>
      <c r="T240" s="10">
        <f>57138668000+1286661000</f>
        <v>58425329000</v>
      </c>
      <c r="U240" s="12">
        <v>1771684000</v>
      </c>
      <c r="V240" s="9">
        <f t="shared" si="10"/>
        <v>668593828000</v>
      </c>
      <c r="W240" s="13">
        <f t="shared" si="1"/>
        <v>0.74795943781431795</v>
      </c>
      <c r="X240" s="13">
        <f t="shared" si="2"/>
        <v>2.9676153367063387</v>
      </c>
      <c r="Y240" s="8">
        <f t="shared" si="31"/>
        <v>6.6787369651784756E-4</v>
      </c>
      <c r="Z240" s="8">
        <f t="shared" si="32"/>
        <v>2.6498659212869672E-3</v>
      </c>
      <c r="AA240" s="8">
        <f t="shared" si="5"/>
        <v>0.54903042442929773</v>
      </c>
      <c r="AB240" s="8">
        <f t="shared" si="33"/>
        <v>5.3202589214456425E-3</v>
      </c>
      <c r="AC240" s="8">
        <f t="shared" si="7"/>
        <v>0.54903042442929773</v>
      </c>
      <c r="AD240" s="10"/>
      <c r="AE240" s="10"/>
      <c r="AF240" s="9"/>
      <c r="AG240" s="9"/>
      <c r="AH240" s="9"/>
      <c r="AI240" s="9"/>
      <c r="AJ240" s="10"/>
      <c r="AK240" s="10"/>
      <c r="AL240" s="9"/>
      <c r="AM240" s="10"/>
    </row>
    <row r="241" spans="1:39" ht="15.75" customHeight="1">
      <c r="A241" s="6">
        <v>477</v>
      </c>
      <c r="B241" s="6">
        <v>2020</v>
      </c>
      <c r="C241" s="6" t="s">
        <v>233</v>
      </c>
      <c r="D241" s="7" t="s">
        <v>234</v>
      </c>
      <c r="E241" s="6" t="s">
        <v>221</v>
      </c>
      <c r="F241" s="6" t="s">
        <v>222</v>
      </c>
      <c r="G241" s="6"/>
      <c r="H241" s="9"/>
      <c r="I241" s="10">
        <v>39531943000</v>
      </c>
      <c r="J241" s="10">
        <v>2679921626000</v>
      </c>
      <c r="K241" s="9"/>
      <c r="L241" s="10">
        <v>2048024392000</v>
      </c>
      <c r="M241" s="10">
        <v>631897234000</v>
      </c>
      <c r="N241" s="8">
        <v>10000000000</v>
      </c>
      <c r="O241" s="10">
        <v>309734085000</v>
      </c>
      <c r="P241" s="10">
        <v>108927875000</v>
      </c>
      <c r="Q241" s="6"/>
      <c r="R241" s="6"/>
      <c r="S241" s="11"/>
      <c r="T241" s="10">
        <f>51876562000+949389000</f>
        <v>52825951000</v>
      </c>
      <c r="U241" s="12">
        <v>2995118000</v>
      </c>
      <c r="V241" s="9">
        <f t="shared" si="10"/>
        <v>631897234000</v>
      </c>
      <c r="W241" s="13">
        <f t="shared" si="1"/>
        <v>0.76421055456641929</v>
      </c>
      <c r="X241" s="13">
        <f t="shared" si="2"/>
        <v>3.2410719367067209</v>
      </c>
      <c r="Y241" s="8">
        <f t="shared" si="31"/>
        <v>1.117614026821544E-3</v>
      </c>
      <c r="Z241" s="8">
        <f t="shared" si="32"/>
        <v>4.7398814852226429E-3</v>
      </c>
      <c r="AA241" s="8">
        <f t="shared" si="5"/>
        <v>0.64831808872439722</v>
      </c>
      <c r="AB241" s="8">
        <f t="shared" si="33"/>
        <v>9.6699657707998137E-3</v>
      </c>
      <c r="AC241" s="8">
        <f t="shared" si="7"/>
        <v>0.64831808872439722</v>
      </c>
      <c r="AD241" s="10"/>
      <c r="AE241" s="10"/>
      <c r="AF241" s="9"/>
      <c r="AG241" s="9"/>
      <c r="AH241" s="9"/>
      <c r="AI241" s="9"/>
      <c r="AJ241" s="10"/>
      <c r="AK241" s="10"/>
      <c r="AL241" s="9"/>
      <c r="AM241" s="10"/>
    </row>
    <row r="242" spans="1:39" ht="15.75" customHeight="1">
      <c r="A242" s="6">
        <v>148</v>
      </c>
      <c r="B242" s="6">
        <v>2018</v>
      </c>
      <c r="C242" s="6" t="s">
        <v>235</v>
      </c>
      <c r="D242" s="7" t="s">
        <v>236</v>
      </c>
      <c r="E242" s="6" t="s">
        <v>237</v>
      </c>
      <c r="F242" s="6" t="s">
        <v>238</v>
      </c>
      <c r="G242" s="6"/>
      <c r="H242" s="21">
        <v>2788585</v>
      </c>
      <c r="I242" s="22">
        <v>46433344</v>
      </c>
      <c r="J242" s="22">
        <v>155653317</v>
      </c>
      <c r="K242" s="22">
        <v>7554895</v>
      </c>
      <c r="L242" s="22">
        <v>56917064</v>
      </c>
      <c r="M242" s="22">
        <v>98736253</v>
      </c>
      <c r="N242" s="8">
        <v>3200000000</v>
      </c>
      <c r="O242" s="22">
        <v>85593299</v>
      </c>
      <c r="P242" s="22">
        <v>72854302</v>
      </c>
      <c r="Q242" s="6"/>
      <c r="R242" s="6"/>
      <c r="S242" s="11"/>
      <c r="T242" s="21">
        <f>1903179+13828983+4276159</f>
        <v>20008321</v>
      </c>
      <c r="U242" s="22">
        <v>5794754</v>
      </c>
      <c r="V242" s="21">
        <f t="shared" si="10"/>
        <v>98736253</v>
      </c>
      <c r="W242" s="13">
        <f t="shared" si="1"/>
        <v>0.36566560287308236</v>
      </c>
      <c r="X242" s="13">
        <f t="shared" si="2"/>
        <v>0.57645558009984443</v>
      </c>
      <c r="Y242" s="8">
        <f t="shared" si="31"/>
        <v>3.7228593079066861E-2</v>
      </c>
      <c r="Z242" s="8">
        <f t="shared" si="32"/>
        <v>5.8689223298761396E-2</v>
      </c>
      <c r="AA242" s="8">
        <f t="shared" si="5"/>
        <v>0.14883170936079937</v>
      </c>
      <c r="AB242" s="8">
        <f t="shared" si="33"/>
        <v>6.7701024118722197E-2</v>
      </c>
      <c r="AC242" s="8">
        <f t="shared" si="7"/>
        <v>0.14883170936079937</v>
      </c>
      <c r="AD242" s="9"/>
      <c r="AE242" s="9"/>
      <c r="AF242" s="9"/>
      <c r="AG242" s="9"/>
      <c r="AH242" s="9"/>
      <c r="AI242" s="9"/>
      <c r="AJ242" s="9"/>
      <c r="AK242" s="9"/>
      <c r="AL242" s="9"/>
      <c r="AM242" s="22">
        <v>725765</v>
      </c>
    </row>
    <row r="243" spans="1:39" ht="15.75" customHeight="1">
      <c r="A243" s="6">
        <v>149</v>
      </c>
      <c r="B243" s="6">
        <v>2019</v>
      </c>
      <c r="C243" s="6" t="s">
        <v>235</v>
      </c>
      <c r="D243" s="7" t="s">
        <v>236</v>
      </c>
      <c r="E243" s="6" t="s">
        <v>237</v>
      </c>
      <c r="F243" s="6" t="s">
        <v>238</v>
      </c>
      <c r="G243" s="6"/>
      <c r="H243" s="21">
        <v>2812207</v>
      </c>
      <c r="I243" s="22">
        <v>44437209</v>
      </c>
      <c r="J243" s="22">
        <v>172321876</v>
      </c>
      <c r="K243" s="22">
        <v>9551203</v>
      </c>
      <c r="L243" s="22">
        <v>70871753</v>
      </c>
      <c r="M243" s="22">
        <v>101450123</v>
      </c>
      <c r="N243" s="8">
        <v>3200000000</v>
      </c>
      <c r="O243" s="22">
        <v>143559113</v>
      </c>
      <c r="P243" s="22">
        <v>117370169</v>
      </c>
      <c r="Q243" s="6"/>
      <c r="R243" s="6"/>
      <c r="S243" s="11"/>
      <c r="T243" s="21">
        <f>8135976+14484378</f>
        <v>22620354</v>
      </c>
      <c r="U243" s="22">
        <v>1645059</v>
      </c>
      <c r="V243" s="21">
        <f t="shared" si="10"/>
        <v>101450123</v>
      </c>
      <c r="W243" s="13">
        <f t="shared" si="1"/>
        <v>0.41127542622620938</v>
      </c>
      <c r="X243" s="13">
        <f t="shared" si="2"/>
        <v>0.69858715696185014</v>
      </c>
      <c r="Y243" s="8">
        <f t="shared" si="31"/>
        <v>9.5464315859699663E-3</v>
      </c>
      <c r="Z243" s="8">
        <f t="shared" si="32"/>
        <v>1.621544608674353E-2</v>
      </c>
      <c r="AA243" s="8">
        <f t="shared" si="5"/>
        <v>0.18242620376179114</v>
      </c>
      <c r="AB243" s="8">
        <f t="shared" si="33"/>
        <v>1.1459105351256943E-2</v>
      </c>
      <c r="AC243" s="8">
        <f t="shared" si="7"/>
        <v>0.18242620376179114</v>
      </c>
      <c r="AD243" s="9"/>
      <c r="AE243" s="9"/>
      <c r="AF243" s="9"/>
      <c r="AG243" s="9"/>
      <c r="AH243" s="9"/>
      <c r="AI243" s="9"/>
      <c r="AJ243" s="9"/>
      <c r="AK243" s="9"/>
      <c r="AL243" s="9"/>
      <c r="AM243" s="22">
        <v>1249422</v>
      </c>
    </row>
    <row r="244" spans="1:39" ht="15.75" customHeight="1">
      <c r="A244" s="6">
        <v>150</v>
      </c>
      <c r="B244" s="6">
        <v>2020</v>
      </c>
      <c r="C244" s="6" t="s">
        <v>235</v>
      </c>
      <c r="D244" s="7" t="s">
        <v>236</v>
      </c>
      <c r="E244" s="6" t="s">
        <v>237</v>
      </c>
      <c r="F244" s="6" t="s">
        <v>238</v>
      </c>
      <c r="G244" s="8"/>
      <c r="H244" s="21">
        <v>1486044</v>
      </c>
      <c r="I244" s="22">
        <v>42804820</v>
      </c>
      <c r="J244" s="22">
        <v>130444698</v>
      </c>
      <c r="K244" s="22">
        <v>8333860</v>
      </c>
      <c r="L244" s="22">
        <v>31099158</v>
      </c>
      <c r="M244" s="22">
        <v>99345540</v>
      </c>
      <c r="N244" s="8">
        <v>3200000000</v>
      </c>
      <c r="O244" s="22">
        <v>126194837</v>
      </c>
      <c r="P244" s="22">
        <v>105905401</v>
      </c>
      <c r="Q244" s="6"/>
      <c r="R244" s="6"/>
      <c r="S244" s="11"/>
      <c r="T244" s="21">
        <f>7387260+12543120</f>
        <v>19930380</v>
      </c>
      <c r="U244" s="22">
        <f>-3057237</f>
        <v>-3057237</v>
      </c>
      <c r="V244" s="21">
        <f t="shared" si="10"/>
        <v>99345540</v>
      </c>
      <c r="W244" s="13">
        <f t="shared" si="1"/>
        <v>0.23840875464328953</v>
      </c>
      <c r="X244" s="13">
        <f t="shared" si="2"/>
        <v>0.31304030357074913</v>
      </c>
      <c r="Y244" s="8">
        <f t="shared" si="31"/>
        <v>-2.3437035363445741E-2</v>
      </c>
      <c r="Z244" s="8">
        <f t="shared" si="32"/>
        <v>-3.077377202841718E-2</v>
      </c>
      <c r="AA244" s="8">
        <f t="shared" si="5"/>
        <v>0.16077865372574632</v>
      </c>
      <c r="AB244" s="8">
        <f t="shared" si="33"/>
        <v>-2.4226323934314366E-2</v>
      </c>
      <c r="AC244" s="8">
        <f t="shared" si="7"/>
        <v>0.16077865372574632</v>
      </c>
      <c r="AD244" s="9"/>
      <c r="AE244" s="10"/>
      <c r="AF244" s="9"/>
      <c r="AG244" s="9"/>
      <c r="AH244" s="9"/>
      <c r="AI244" s="9"/>
      <c r="AJ244" s="9"/>
      <c r="AK244" s="10"/>
      <c r="AL244" s="9"/>
      <c r="AM244" s="22">
        <v>23037</v>
      </c>
    </row>
    <row r="245" spans="1:39" ht="15.75" customHeight="1">
      <c r="A245" s="6">
        <v>244</v>
      </c>
      <c r="B245" s="6">
        <v>2018</v>
      </c>
      <c r="C245" s="6" t="s">
        <v>239</v>
      </c>
      <c r="D245" s="7" t="s">
        <v>240</v>
      </c>
      <c r="E245" s="6" t="s">
        <v>237</v>
      </c>
      <c r="F245" s="6" t="s">
        <v>238</v>
      </c>
      <c r="G245" s="6"/>
      <c r="H245" s="15">
        <v>24863000000</v>
      </c>
      <c r="I245" s="8">
        <v>2197050000000</v>
      </c>
      <c r="J245" s="8">
        <v>6494070000000</v>
      </c>
      <c r="K245" s="8">
        <v>999271000000</v>
      </c>
      <c r="L245" s="8">
        <v>3578654000000</v>
      </c>
      <c r="M245" s="8">
        <v>2915416000000</v>
      </c>
      <c r="N245" s="8">
        <v>17000000000</v>
      </c>
      <c r="O245" s="8">
        <v>4467590000000</v>
      </c>
      <c r="P245" s="8">
        <v>3935894000000</v>
      </c>
      <c r="Q245" s="6"/>
      <c r="R245" s="6"/>
      <c r="S245" s="11"/>
      <c r="T245" s="18">
        <f>110556000000+149591000000+257413000000+67212000000</f>
        <v>584772000000</v>
      </c>
      <c r="U245" s="18">
        <v>48741000000</v>
      </c>
      <c r="V245" s="13">
        <f t="shared" si="10"/>
        <v>2915416000000</v>
      </c>
      <c r="W245" s="13">
        <f t="shared" si="1"/>
        <v>0.55106489458844765</v>
      </c>
      <c r="X245" s="13">
        <f t="shared" si="2"/>
        <v>1.2274934348991704</v>
      </c>
      <c r="Y245" s="8">
        <f t="shared" ref="Y245:Y246" si="34">U246/J245</f>
        <v>2.8594394578438483E-2</v>
      </c>
      <c r="Z245" s="8">
        <f t="shared" ref="Z245:Z246" si="35">U246/M245</f>
        <v>6.3693826198388148E-2</v>
      </c>
      <c r="AA245" s="8">
        <f t="shared" si="5"/>
        <v>0.11901181621411096</v>
      </c>
      <c r="AB245" s="8">
        <f t="shared" ref="AB245:AB246" si="36">U246/O245</f>
        <v>4.1564691477955676E-2</v>
      </c>
      <c r="AC245" s="8">
        <f t="shared" si="7"/>
        <v>0.11901181621411096</v>
      </c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spans="1:39" ht="15.75" customHeight="1">
      <c r="A246" s="6">
        <v>245</v>
      </c>
      <c r="B246" s="6">
        <v>2019</v>
      </c>
      <c r="C246" s="6" t="s">
        <v>239</v>
      </c>
      <c r="D246" s="7" t="s">
        <v>240</v>
      </c>
      <c r="E246" s="6" t="s">
        <v>237</v>
      </c>
      <c r="F246" s="6" t="s">
        <v>238</v>
      </c>
      <c r="G246" s="6"/>
      <c r="H246" s="15">
        <v>26479000000</v>
      </c>
      <c r="I246" s="8">
        <v>2128844000000</v>
      </c>
      <c r="J246" s="8">
        <v>6424507000000</v>
      </c>
      <c r="K246" s="8">
        <v>782940000000</v>
      </c>
      <c r="L246" s="8">
        <v>3325841000000</v>
      </c>
      <c r="M246" s="8">
        <v>3098666000000</v>
      </c>
      <c r="N246" s="8">
        <v>17000000000</v>
      </c>
      <c r="O246" s="8">
        <v>4885875000000</v>
      </c>
      <c r="P246" s="8">
        <v>4197484000000</v>
      </c>
      <c r="Q246" s="6"/>
      <c r="R246" s="6"/>
      <c r="S246" s="11"/>
      <c r="T246" s="10">
        <f>149742000000+147856000000+261675000000+19267000000</f>
        <v>578540000000</v>
      </c>
      <c r="U246" s="12">
        <v>185694000000</v>
      </c>
      <c r="V246" s="13">
        <f t="shared" si="10"/>
        <v>3098666000000</v>
      </c>
      <c r="W246" s="13">
        <f t="shared" si="1"/>
        <v>0.51768034496654758</v>
      </c>
      <c r="X246" s="13">
        <f t="shared" si="2"/>
        <v>1.0733138066509911</v>
      </c>
      <c r="Y246" s="8">
        <f t="shared" si="34"/>
        <v>2.7369415271864442E-2</v>
      </c>
      <c r="Z246" s="8">
        <f t="shared" si="35"/>
        <v>5.6745386563121031E-2</v>
      </c>
      <c r="AA246" s="8">
        <f t="shared" si="5"/>
        <v>0.14089410801545271</v>
      </c>
      <c r="AB246" s="8">
        <f t="shared" si="36"/>
        <v>3.5988436052907614E-2</v>
      </c>
      <c r="AC246" s="8">
        <f t="shared" si="7"/>
        <v>0.14089410801545271</v>
      </c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spans="1:39" ht="15.75" customHeight="1">
      <c r="A247" s="6">
        <v>246</v>
      </c>
      <c r="B247" s="6">
        <v>2020</v>
      </c>
      <c r="C247" s="6" t="s">
        <v>239</v>
      </c>
      <c r="D247" s="7" t="s">
        <v>240</v>
      </c>
      <c r="E247" s="6" t="s">
        <v>237</v>
      </c>
      <c r="F247" s="6" t="s">
        <v>238</v>
      </c>
      <c r="G247" s="6"/>
      <c r="H247" s="15">
        <v>26818000000</v>
      </c>
      <c r="I247" s="13">
        <v>2197790000000</v>
      </c>
      <c r="J247" s="8">
        <v>6076604000000</v>
      </c>
      <c r="K247" s="8">
        <v>578941000000</v>
      </c>
      <c r="L247" s="8">
        <v>2741264000000</v>
      </c>
      <c r="M247" s="8">
        <v>3335340000000</v>
      </c>
      <c r="N247" s="8">
        <v>17000000000</v>
      </c>
      <c r="O247" s="8">
        <v>3775530000000</v>
      </c>
      <c r="P247" s="8">
        <v>3217408000000</v>
      </c>
      <c r="Q247" s="6"/>
      <c r="R247" s="6"/>
      <c r="S247" s="11"/>
      <c r="T247" s="10">
        <f>111101000000+130681000000+205664000000+27162000000</f>
        <v>474608000000</v>
      </c>
      <c r="U247" s="12">
        <v>175835000000</v>
      </c>
      <c r="V247" s="13">
        <f t="shared" si="10"/>
        <v>3335340000000</v>
      </c>
      <c r="W247" s="13">
        <f t="shared" si="1"/>
        <v>0.45111776248707336</v>
      </c>
      <c r="X247" s="13">
        <f t="shared" si="2"/>
        <v>0.82188442557580332</v>
      </c>
      <c r="Y247" s="8" t="e">
        <f>#REF!/J247</f>
        <v>#REF!</v>
      </c>
      <c r="Z247" s="8" t="e">
        <f>#REF!/M247</f>
        <v>#REF!</v>
      </c>
      <c r="AA247" s="8">
        <f t="shared" si="5"/>
        <v>0.14782613301973499</v>
      </c>
      <c r="AB247" s="8" t="e">
        <f>#REF!/O247</f>
        <v>#REF!</v>
      </c>
      <c r="AC247" s="8">
        <f t="shared" si="7"/>
        <v>0.14782613301973499</v>
      </c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spans="1:39" ht="15.75" customHeight="1">
      <c r="A248" s="6">
        <v>340</v>
      </c>
      <c r="B248" s="6">
        <v>2018</v>
      </c>
      <c r="C248" s="6" t="s">
        <v>241</v>
      </c>
      <c r="D248" s="7" t="s">
        <v>242</v>
      </c>
      <c r="E248" s="6" t="s">
        <v>237</v>
      </c>
      <c r="F248" s="6" t="s">
        <v>238</v>
      </c>
      <c r="G248" s="8"/>
      <c r="H248" s="9"/>
      <c r="I248" s="25">
        <v>30270929</v>
      </c>
      <c r="J248" s="22">
        <v>147777212</v>
      </c>
      <c r="K248" s="22">
        <v>2164786</v>
      </c>
      <c r="L248" s="22">
        <v>104723676</v>
      </c>
      <c r="M248" s="22">
        <v>43053536</v>
      </c>
      <c r="N248" s="8">
        <v>8000000000</v>
      </c>
      <c r="O248" s="22">
        <v>163135351</v>
      </c>
      <c r="P248" s="22">
        <v>154767223</v>
      </c>
      <c r="Q248" s="6"/>
      <c r="R248" s="6"/>
      <c r="S248" s="11"/>
      <c r="T248" s="22">
        <f>3621026+3017225+99710</f>
        <v>6737961</v>
      </c>
      <c r="U248" s="22">
        <v>-1537262</v>
      </c>
      <c r="V248" s="21">
        <f t="shared" si="10"/>
        <v>43053536</v>
      </c>
      <c r="W248" s="13">
        <f t="shared" si="1"/>
        <v>0.70865916728757883</v>
      </c>
      <c r="X248" s="13">
        <f t="shared" si="2"/>
        <v>2.4324059236388855</v>
      </c>
      <c r="Y248" s="8">
        <f t="shared" ref="Y248:Y280" si="37">U248/J248</f>
        <v>-1.0402564638991836E-2</v>
      </c>
      <c r="Z248" s="8">
        <f t="shared" ref="Z248:Z280" si="38">U248/M248</f>
        <v>-3.5705824487911979E-2</v>
      </c>
      <c r="AA248" s="8">
        <f t="shared" si="5"/>
        <v>5.1295614032791703E-2</v>
      </c>
      <c r="AB248" s="8">
        <f t="shared" ref="AB248:AB280" si="39">U248/O248</f>
        <v>-9.4232304070011163E-3</v>
      </c>
      <c r="AC248" s="8">
        <f t="shared" si="7"/>
        <v>5.1295614032791703E-2</v>
      </c>
      <c r="AD248" s="9"/>
      <c r="AE248" s="10"/>
      <c r="AF248" s="9"/>
      <c r="AG248" s="9"/>
      <c r="AH248" s="9"/>
      <c r="AI248" s="9"/>
      <c r="AJ248" s="9"/>
      <c r="AK248" s="10"/>
      <c r="AL248" s="9"/>
      <c r="AM248" s="10"/>
    </row>
    <row r="249" spans="1:39" ht="15.75" customHeight="1">
      <c r="A249" s="6">
        <v>341</v>
      </c>
      <c r="B249" s="6">
        <v>2019</v>
      </c>
      <c r="C249" s="6" t="s">
        <v>241</v>
      </c>
      <c r="D249" s="7" t="s">
        <v>242</v>
      </c>
      <c r="E249" s="6" t="s">
        <v>237</v>
      </c>
      <c r="F249" s="6" t="s">
        <v>238</v>
      </c>
      <c r="G249" s="8"/>
      <c r="H249" s="9"/>
      <c r="I249" s="22">
        <v>29162421</v>
      </c>
      <c r="J249" s="22">
        <v>151688978</v>
      </c>
      <c r="K249" s="22">
        <v>2610374</v>
      </c>
      <c r="L249" s="22">
        <v>106049817</v>
      </c>
      <c r="M249" s="22">
        <v>45639161</v>
      </c>
      <c r="N249" s="8">
        <v>8000000000</v>
      </c>
      <c r="O249" s="22">
        <v>163085289</v>
      </c>
      <c r="P249" s="22">
        <v>152548257</v>
      </c>
      <c r="Q249" s="6"/>
      <c r="R249" s="6"/>
      <c r="S249" s="11"/>
      <c r="T249" s="21">
        <f>3944523+3284172+82335</f>
        <v>7311030</v>
      </c>
      <c r="U249" s="22">
        <v>2680666</v>
      </c>
      <c r="V249" s="21">
        <f t="shared" si="10"/>
        <v>45639161</v>
      </c>
      <c r="W249" s="13">
        <f t="shared" si="1"/>
        <v>0.69912671571958251</v>
      </c>
      <c r="X249" s="13">
        <f t="shared" si="2"/>
        <v>2.3236583380662936</v>
      </c>
      <c r="Y249" s="8">
        <f t="shared" si="37"/>
        <v>1.7672121174156768E-2</v>
      </c>
      <c r="Z249" s="8">
        <f t="shared" si="38"/>
        <v>5.8736092891804037E-2</v>
      </c>
      <c r="AA249" s="8">
        <f t="shared" si="5"/>
        <v>6.4610560919446267E-2</v>
      </c>
      <c r="AB249" s="8">
        <f t="shared" si="39"/>
        <v>1.6437202990148302E-2</v>
      </c>
      <c r="AC249" s="8">
        <f t="shared" si="7"/>
        <v>6.4610560919446267E-2</v>
      </c>
      <c r="AD249" s="9"/>
      <c r="AE249" s="10"/>
      <c r="AF249" s="9"/>
      <c r="AG249" s="9"/>
      <c r="AH249" s="9"/>
      <c r="AI249" s="9"/>
      <c r="AJ249" s="9"/>
      <c r="AK249" s="10"/>
      <c r="AL249" s="9"/>
      <c r="AM249" s="10"/>
    </row>
    <row r="250" spans="1:39" ht="15.75" customHeight="1">
      <c r="A250" s="6">
        <v>342</v>
      </c>
      <c r="B250" s="6">
        <v>2020</v>
      </c>
      <c r="C250" s="6" t="s">
        <v>241</v>
      </c>
      <c r="D250" s="7" t="s">
        <v>242</v>
      </c>
      <c r="E250" s="6" t="s">
        <v>237</v>
      </c>
      <c r="F250" s="6" t="s">
        <v>238</v>
      </c>
      <c r="G250" s="8"/>
      <c r="H250" s="9"/>
      <c r="I250" s="22">
        <v>27361708</v>
      </c>
      <c r="J250" s="22">
        <v>131925108</v>
      </c>
      <c r="K250" s="22">
        <v>3080044</v>
      </c>
      <c r="L250" s="22">
        <v>83540030</v>
      </c>
      <c r="M250" s="22">
        <v>48385078</v>
      </c>
      <c r="N250" s="8">
        <v>8000000000</v>
      </c>
      <c r="O250" s="22">
        <v>144729810</v>
      </c>
      <c r="P250" s="22">
        <v>134948618</v>
      </c>
      <c r="Q250" s="6"/>
      <c r="R250" s="6"/>
      <c r="S250" s="11"/>
      <c r="T250" s="21">
        <f>4010302+3120975+984</f>
        <v>7132261</v>
      </c>
      <c r="U250" s="22">
        <v>2718077</v>
      </c>
      <c r="V250" s="21">
        <f t="shared" si="10"/>
        <v>48385078</v>
      </c>
      <c r="W250" s="13">
        <f t="shared" si="1"/>
        <v>0.63323829153128308</v>
      </c>
      <c r="X250" s="13">
        <f t="shared" si="2"/>
        <v>1.7265659879684394</v>
      </c>
      <c r="Y250" s="8">
        <f t="shared" si="37"/>
        <v>2.0603181920457476E-2</v>
      </c>
      <c r="Z250" s="8">
        <f t="shared" si="38"/>
        <v>5.6175935068245628E-2</v>
      </c>
      <c r="AA250" s="8">
        <f t="shared" si="5"/>
        <v>6.7582428250268556E-2</v>
      </c>
      <c r="AB250" s="8">
        <f t="shared" si="39"/>
        <v>1.8780353542922498E-2</v>
      </c>
      <c r="AC250" s="8">
        <f t="shared" si="7"/>
        <v>6.7582428250268556E-2</v>
      </c>
      <c r="AD250" s="9"/>
      <c r="AE250" s="10"/>
      <c r="AF250" s="9"/>
      <c r="AG250" s="9"/>
      <c r="AH250" s="9"/>
      <c r="AI250" s="9"/>
      <c r="AJ250" s="9"/>
      <c r="AK250" s="10"/>
      <c r="AL250" s="9"/>
      <c r="AM250" s="10"/>
    </row>
    <row r="251" spans="1:39" ht="15.75" customHeight="1">
      <c r="A251" s="6">
        <v>436</v>
      </c>
      <c r="B251" s="6">
        <v>2018</v>
      </c>
      <c r="C251" s="6" t="s">
        <v>243</v>
      </c>
      <c r="D251" s="7" t="s">
        <v>244</v>
      </c>
      <c r="E251" s="6" t="s">
        <v>237</v>
      </c>
      <c r="F251" s="6" t="s">
        <v>238</v>
      </c>
      <c r="G251" s="6"/>
      <c r="H251" s="9"/>
      <c r="I251" s="10">
        <v>224257888000</v>
      </c>
      <c r="J251" s="9">
        <v>686777211000</v>
      </c>
      <c r="K251" s="10">
        <v>26239975000</v>
      </c>
      <c r="L251" s="10">
        <v>208989195000</v>
      </c>
      <c r="M251" s="10">
        <v>477788016000</v>
      </c>
      <c r="N251" s="8">
        <v>12000000000</v>
      </c>
      <c r="O251" s="10">
        <v>600986872000</v>
      </c>
      <c r="P251" s="10">
        <v>458091261000</v>
      </c>
      <c r="Q251" s="6"/>
      <c r="R251" s="6"/>
      <c r="S251" s="11"/>
      <c r="T251" s="10">
        <f>83109088000+762203000</f>
        <v>83871291000</v>
      </c>
      <c r="U251" s="12">
        <v>38735092000</v>
      </c>
      <c r="V251" s="9">
        <f t="shared" si="10"/>
        <v>477788016000</v>
      </c>
      <c r="W251" s="13">
        <f t="shared" si="1"/>
        <v>0.30430420761296928</v>
      </c>
      <c r="X251" s="13">
        <f t="shared" si="2"/>
        <v>0.43740987216389288</v>
      </c>
      <c r="Y251" s="8">
        <f t="shared" si="37"/>
        <v>5.6401248293604198E-2</v>
      </c>
      <c r="Z251" s="8">
        <f t="shared" si="38"/>
        <v>8.1071711099593588E-2</v>
      </c>
      <c r="AA251" s="8">
        <f t="shared" si="5"/>
        <v>0.23776827358052507</v>
      </c>
      <c r="AB251" s="8">
        <f t="shared" si="39"/>
        <v>6.4452476093354666E-2</v>
      </c>
      <c r="AC251" s="8">
        <f t="shared" si="7"/>
        <v>0.23776827358052507</v>
      </c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spans="1:39" ht="15.75" customHeight="1">
      <c r="A252" s="6">
        <v>437</v>
      </c>
      <c r="B252" s="6">
        <v>2019</v>
      </c>
      <c r="C252" s="6" t="s">
        <v>243</v>
      </c>
      <c r="D252" s="7" t="s">
        <v>244</v>
      </c>
      <c r="E252" s="6" t="s">
        <v>237</v>
      </c>
      <c r="F252" s="6" t="s">
        <v>238</v>
      </c>
      <c r="G252" s="6"/>
      <c r="H252" s="9"/>
      <c r="I252" s="10">
        <v>228818788000</v>
      </c>
      <c r="J252" s="10">
        <v>779246858000</v>
      </c>
      <c r="K252" s="10">
        <v>46972577000</v>
      </c>
      <c r="L252" s="10">
        <v>264646295000</v>
      </c>
      <c r="M252" s="10">
        <v>514600563000</v>
      </c>
      <c r="N252" s="8">
        <v>12000000000</v>
      </c>
      <c r="O252" s="10">
        <v>684464392000</v>
      </c>
      <c r="P252" s="10">
        <v>511519472000</v>
      </c>
      <c r="Q252" s="6"/>
      <c r="R252" s="6"/>
      <c r="S252" s="11"/>
      <c r="T252" s="10">
        <f>102044774000+1425442000</f>
        <v>103470216000</v>
      </c>
      <c r="U252" s="12">
        <v>42829128000</v>
      </c>
      <c r="V252" s="9">
        <f t="shared" si="10"/>
        <v>514600563000</v>
      </c>
      <c r="W252" s="13">
        <f t="shared" si="1"/>
        <v>0.33961804565915876</v>
      </c>
      <c r="X252" s="13">
        <f t="shared" si="2"/>
        <v>0.51427517579299653</v>
      </c>
      <c r="Y252" s="8">
        <f t="shared" si="37"/>
        <v>5.4962208137642563E-2</v>
      </c>
      <c r="Z252" s="8">
        <f t="shared" si="38"/>
        <v>8.3227907389599967E-2</v>
      </c>
      <c r="AA252" s="8">
        <f t="shared" si="5"/>
        <v>0.25267190232446746</v>
      </c>
      <c r="AB252" s="8">
        <f t="shared" si="39"/>
        <v>6.2573201032202125E-2</v>
      </c>
      <c r="AC252" s="8">
        <f t="shared" si="7"/>
        <v>0.25267190232446746</v>
      </c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spans="1:39" ht="15.75" customHeight="1">
      <c r="A253" s="6">
        <v>438</v>
      </c>
      <c r="B253" s="6">
        <v>2020</v>
      </c>
      <c r="C253" s="6" t="s">
        <v>243</v>
      </c>
      <c r="D253" s="7" t="s">
        <v>244</v>
      </c>
      <c r="E253" s="6" t="s">
        <v>237</v>
      </c>
      <c r="F253" s="6" t="s">
        <v>238</v>
      </c>
      <c r="G253" s="8"/>
      <c r="H253" s="9"/>
      <c r="I253" s="10">
        <v>319819738000</v>
      </c>
      <c r="J253" s="10">
        <v>906846895000</v>
      </c>
      <c r="K253" s="10">
        <v>52122162000</v>
      </c>
      <c r="L253" s="10">
        <v>318959497000</v>
      </c>
      <c r="M253" s="10">
        <v>587887398000</v>
      </c>
      <c r="N253" s="8">
        <v>12000000000</v>
      </c>
      <c r="O253" s="10">
        <v>890996866000</v>
      </c>
      <c r="P253" s="10">
        <v>699831445000</v>
      </c>
      <c r="Q253" s="6"/>
      <c r="R253" s="6"/>
      <c r="S253" s="11"/>
      <c r="T253" s="10">
        <f>111840300000+341413000</f>
        <v>112181713000</v>
      </c>
      <c r="U253" s="12">
        <v>44152245000</v>
      </c>
      <c r="V253" s="9">
        <f t="shared" si="10"/>
        <v>587887398000</v>
      </c>
      <c r="W253" s="13">
        <f t="shared" si="1"/>
        <v>0.35172364680148133</v>
      </c>
      <c r="X253" s="13">
        <f t="shared" si="2"/>
        <v>0.54255202286203796</v>
      </c>
      <c r="Y253" s="8">
        <f t="shared" si="37"/>
        <v>4.8687650852021716E-2</v>
      </c>
      <c r="Z253" s="8">
        <f t="shared" si="38"/>
        <v>7.5103234310186728E-2</v>
      </c>
      <c r="AA253" s="8">
        <f t="shared" si="5"/>
        <v>0.21455229338595677</v>
      </c>
      <c r="AB253" s="8">
        <f t="shared" si="39"/>
        <v>4.9553760158792745E-2</v>
      </c>
      <c r="AC253" s="8">
        <f t="shared" si="7"/>
        <v>0.21455229338595677</v>
      </c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spans="1:39" ht="15.75" customHeight="1">
      <c r="A254" s="6">
        <v>19</v>
      </c>
      <c r="B254" s="6">
        <v>2018</v>
      </c>
      <c r="C254" s="6" t="s">
        <v>245</v>
      </c>
      <c r="D254" s="7" t="s">
        <v>246</v>
      </c>
      <c r="E254" s="6" t="s">
        <v>247</v>
      </c>
      <c r="F254" s="6" t="s">
        <v>248</v>
      </c>
      <c r="G254" s="8"/>
      <c r="H254" s="16"/>
      <c r="I254" s="16">
        <v>764532000000</v>
      </c>
      <c r="J254" s="16">
        <v>1816406000000</v>
      </c>
      <c r="K254" s="16">
        <v>89518000000</v>
      </c>
      <c r="L254" s="16">
        <v>5267348000000</v>
      </c>
      <c r="M254" s="16">
        <v>-3450942000000</v>
      </c>
      <c r="N254" s="8">
        <v>23450000000</v>
      </c>
      <c r="O254" s="16">
        <v>1583265000000</v>
      </c>
      <c r="P254" s="16">
        <v>1123521000000</v>
      </c>
      <c r="Q254" s="6"/>
      <c r="R254" s="6"/>
      <c r="S254" s="11"/>
      <c r="T254" s="9">
        <f>395353000000+91748000000</f>
        <v>487101000000</v>
      </c>
      <c r="U254" s="12">
        <v>-123513000000</v>
      </c>
      <c r="V254" s="17">
        <f t="shared" si="10"/>
        <v>-3450942000000</v>
      </c>
      <c r="W254" s="13">
        <f t="shared" si="1"/>
        <v>2.8998737066492843</v>
      </c>
      <c r="X254" s="13">
        <f t="shared" si="2"/>
        <v>-1.5263507761069297</v>
      </c>
      <c r="Y254" s="8">
        <f t="shared" si="37"/>
        <v>-6.7998564197651851E-2</v>
      </c>
      <c r="Z254" s="8">
        <f t="shared" si="38"/>
        <v>3.5791097039590929E-2</v>
      </c>
      <c r="AA254" s="8">
        <f t="shared" si="5"/>
        <v>0.29037716364600996</v>
      </c>
      <c r="AB254" s="8">
        <f t="shared" si="39"/>
        <v>-7.8011577341758967E-2</v>
      </c>
      <c r="AC254" s="8">
        <f t="shared" si="7"/>
        <v>0.29037716364600996</v>
      </c>
      <c r="AD254" s="9"/>
      <c r="AE254" s="9">
        <v>8508000000</v>
      </c>
      <c r="AF254" s="9"/>
      <c r="AG254" s="9"/>
      <c r="AH254" s="9"/>
      <c r="AI254" s="9"/>
      <c r="AJ254" s="9"/>
      <c r="AK254" s="9"/>
      <c r="AL254" s="9">
        <v>1358000000</v>
      </c>
      <c r="AM254" s="18">
        <v>139054000000</v>
      </c>
    </row>
    <row r="255" spans="1:39" ht="15.75" customHeight="1">
      <c r="A255" s="6">
        <v>20</v>
      </c>
      <c r="B255" s="6">
        <v>2019</v>
      </c>
      <c r="C255" s="6" t="s">
        <v>245</v>
      </c>
      <c r="D255" s="7" t="s">
        <v>246</v>
      </c>
      <c r="E255" s="6" t="s">
        <v>247</v>
      </c>
      <c r="F255" s="6" t="s">
        <v>248</v>
      </c>
      <c r="G255" s="8"/>
      <c r="H255" s="16"/>
      <c r="I255" s="16">
        <v>1150417000000</v>
      </c>
      <c r="J255" s="16">
        <v>1868966000000</v>
      </c>
      <c r="K255" s="16">
        <v>2373896000000</v>
      </c>
      <c r="L255" s="16">
        <v>3526819000000</v>
      </c>
      <c r="M255" s="16">
        <v>-1657853000000</v>
      </c>
      <c r="N255" s="8">
        <v>23450000000</v>
      </c>
      <c r="O255" s="16">
        <v>1510427000000</v>
      </c>
      <c r="P255" s="16">
        <v>1062970000000</v>
      </c>
      <c r="Q255" s="6"/>
      <c r="R255" s="6"/>
      <c r="S255" s="11"/>
      <c r="T255" s="9">
        <f>538628000000+322278000000</f>
        <v>860906000000</v>
      </c>
      <c r="U255" s="12">
        <v>1134776000000</v>
      </c>
      <c r="V255" s="17">
        <f t="shared" si="10"/>
        <v>-1657853000000</v>
      </c>
      <c r="W255" s="13">
        <f t="shared" si="1"/>
        <v>1.8870428889557114</v>
      </c>
      <c r="X255" s="13">
        <f t="shared" si="2"/>
        <v>-2.1273412057643228</v>
      </c>
      <c r="Y255" s="8">
        <f t="shared" si="37"/>
        <v>0.60716781364669015</v>
      </c>
      <c r="Z255" s="8">
        <f t="shared" si="38"/>
        <v>-0.68448529513774747</v>
      </c>
      <c r="AA255" s="8">
        <f t="shared" si="5"/>
        <v>0.29624536637652799</v>
      </c>
      <c r="AB255" s="8">
        <f t="shared" si="39"/>
        <v>0.75129483252086993</v>
      </c>
      <c r="AC255" s="8">
        <f t="shared" si="7"/>
        <v>0.29624536637652799</v>
      </c>
      <c r="AD255" s="9"/>
      <c r="AE255" s="9">
        <v>8508000000</v>
      </c>
      <c r="AF255" s="9"/>
      <c r="AG255" s="9"/>
      <c r="AH255" s="9"/>
      <c r="AI255" s="9"/>
      <c r="AJ255" s="9"/>
      <c r="AK255" s="9"/>
      <c r="AL255" s="9">
        <v>1087000000</v>
      </c>
      <c r="AM255" s="10">
        <v>146028000000</v>
      </c>
    </row>
    <row r="256" spans="1:39" ht="15.75" customHeight="1">
      <c r="A256" s="6">
        <v>21</v>
      </c>
      <c r="B256" s="6">
        <v>2020</v>
      </c>
      <c r="C256" s="6" t="s">
        <v>245</v>
      </c>
      <c r="D256" s="7" t="s">
        <v>246</v>
      </c>
      <c r="E256" s="6" t="s">
        <v>247</v>
      </c>
      <c r="F256" s="6" t="s">
        <v>248</v>
      </c>
      <c r="G256" s="8"/>
      <c r="H256" s="16"/>
      <c r="I256" s="16">
        <v>1081687000000</v>
      </c>
      <c r="J256" s="16">
        <v>2011557000000</v>
      </c>
      <c r="K256" s="16">
        <v>327851000000</v>
      </c>
      <c r="L256" s="16">
        <v>1183300000000</v>
      </c>
      <c r="M256" s="16">
        <v>828257000000</v>
      </c>
      <c r="N256" s="8">
        <v>23450000000</v>
      </c>
      <c r="O256" s="16">
        <v>1283331000000</v>
      </c>
      <c r="P256" s="16">
        <v>965172000000</v>
      </c>
      <c r="Q256" s="6"/>
      <c r="R256" s="6"/>
      <c r="S256" s="11"/>
      <c r="T256" s="9">
        <f>480135000000+7497000000</f>
        <v>487632000000</v>
      </c>
      <c r="U256" s="12">
        <v>1204972000000</v>
      </c>
      <c r="V256" s="17">
        <f t="shared" si="10"/>
        <v>828257000000</v>
      </c>
      <c r="W256" s="13">
        <f t="shared" si="1"/>
        <v>0.58825079279384074</v>
      </c>
      <c r="X256" s="13">
        <f t="shared" si="2"/>
        <v>1.4286628425718104</v>
      </c>
      <c r="Y256" s="8">
        <f t="shared" si="37"/>
        <v>0.59902453671459477</v>
      </c>
      <c r="Z256" s="8">
        <f t="shared" si="38"/>
        <v>1.4548286341075294</v>
      </c>
      <c r="AA256" s="8">
        <f t="shared" si="5"/>
        <v>0.24791655465347601</v>
      </c>
      <c r="AB256" s="8">
        <f t="shared" si="39"/>
        <v>0.93894092794454431</v>
      </c>
      <c r="AC256" s="8">
        <f t="shared" si="7"/>
        <v>0.24791655465347601</v>
      </c>
      <c r="AD256" s="9"/>
      <c r="AE256" s="10">
        <v>7120000000</v>
      </c>
      <c r="AF256" s="9"/>
      <c r="AG256" s="9"/>
      <c r="AH256" s="9"/>
      <c r="AI256" s="9"/>
      <c r="AJ256" s="9"/>
      <c r="AK256" s="10"/>
      <c r="AL256" s="9">
        <v>6927000000</v>
      </c>
      <c r="AM256" s="10">
        <v>154046000000</v>
      </c>
    </row>
    <row r="257" spans="1:39" ht="15.75" customHeight="1">
      <c r="A257" s="6">
        <v>397</v>
      </c>
      <c r="B257" s="6">
        <v>2018</v>
      </c>
      <c r="C257" s="6" t="s">
        <v>249</v>
      </c>
      <c r="D257" s="7" t="s">
        <v>250</v>
      </c>
      <c r="E257" s="6" t="s">
        <v>247</v>
      </c>
      <c r="F257" s="6" t="s">
        <v>248</v>
      </c>
      <c r="G257" s="6"/>
      <c r="H257" s="9">
        <v>22281617509</v>
      </c>
      <c r="I257" s="10">
        <v>2222133112899</v>
      </c>
      <c r="J257" s="10">
        <v>4393810380883</v>
      </c>
      <c r="K257" s="10">
        <v>951487110723</v>
      </c>
      <c r="L257" s="10">
        <v>1476909260772</v>
      </c>
      <c r="M257" s="10">
        <v>2916901120111</v>
      </c>
      <c r="N257" s="8">
        <v>17200000000</v>
      </c>
      <c r="O257" s="10">
        <v>2766545866684</v>
      </c>
      <c r="P257" s="10">
        <v>1274332759465</v>
      </c>
      <c r="Q257" s="6"/>
      <c r="R257" s="6"/>
      <c r="S257" s="11"/>
      <c r="T257" s="10">
        <f>1353753543617+2064517559</f>
        <v>1355818061176</v>
      </c>
      <c r="U257" s="12">
        <v>127171436363</v>
      </c>
      <c r="V257" s="9">
        <f t="shared" si="10"/>
        <v>2916901120111</v>
      </c>
      <c r="W257" s="13">
        <f t="shared" ref="W257:W487" si="40">L257/J257</f>
        <v>0.33613404602025487</v>
      </c>
      <c r="X257" s="13">
        <f t="shared" ref="X257:X487" si="41">L257/M257</f>
        <v>0.50632818870315277</v>
      </c>
      <c r="Y257" s="8">
        <f t="shared" si="37"/>
        <v>2.8943314649241429E-2</v>
      </c>
      <c r="Z257" s="8">
        <f t="shared" si="38"/>
        <v>4.359813073065727E-2</v>
      </c>
      <c r="AA257" s="8">
        <f t="shared" ref="AA257:AA487" si="42">(O257-P257)/O257</f>
        <v>0.53937768579545597</v>
      </c>
      <c r="AB257" s="8">
        <f t="shared" si="39"/>
        <v>4.5967586474692547E-2</v>
      </c>
      <c r="AC257" s="8">
        <f t="shared" ref="AC257:AC487" si="43">AA257</f>
        <v>0.53937768579545597</v>
      </c>
      <c r="AD257" s="10"/>
      <c r="AE257" s="10"/>
      <c r="AF257" s="9"/>
      <c r="AG257" s="9"/>
      <c r="AH257" s="9"/>
      <c r="AI257" s="9"/>
      <c r="AJ257" s="9"/>
      <c r="AK257" s="10"/>
      <c r="AL257" s="9"/>
      <c r="AM257" s="10"/>
    </row>
    <row r="258" spans="1:39" ht="15.75" customHeight="1">
      <c r="A258" s="6">
        <v>398</v>
      </c>
      <c r="B258" s="6">
        <v>2019</v>
      </c>
      <c r="C258" s="6" t="s">
        <v>249</v>
      </c>
      <c r="D258" s="7" t="s">
        <v>250</v>
      </c>
      <c r="E258" s="6" t="s">
        <v>247</v>
      </c>
      <c r="F258" s="6" t="s">
        <v>248</v>
      </c>
      <c r="G258" s="6"/>
      <c r="H258" s="9">
        <v>23507637557</v>
      </c>
      <c r="I258" s="9">
        <v>2540413874692</v>
      </c>
      <c r="J258" s="10">
        <v>4682083844951</v>
      </c>
      <c r="K258" s="10">
        <v>482548147289</v>
      </c>
      <c r="L258" s="10">
        <v>1589486465854</v>
      </c>
      <c r="M258" s="10">
        <v>3092597379097</v>
      </c>
      <c r="N258" s="8">
        <v>17200000000</v>
      </c>
      <c r="O258" s="10">
        <v>3337022314624</v>
      </c>
      <c r="P258" s="10">
        <v>1487586425468</v>
      </c>
      <c r="Q258" s="6"/>
      <c r="R258" s="6"/>
      <c r="S258" s="11"/>
      <c r="T258" s="10">
        <f>1556060704391+5724203586+2223001439</f>
        <v>1564007909416</v>
      </c>
      <c r="U258" s="12">
        <v>236518557420</v>
      </c>
      <c r="V258" s="9">
        <f t="shared" si="10"/>
        <v>3092597379097</v>
      </c>
      <c r="W258" s="13">
        <f t="shared" si="40"/>
        <v>0.33948270011611348</v>
      </c>
      <c r="X258" s="13">
        <f t="shared" si="41"/>
        <v>0.51396488808967122</v>
      </c>
      <c r="Y258" s="8">
        <f t="shared" si="37"/>
        <v>5.0515660388067068E-2</v>
      </c>
      <c r="Z258" s="8">
        <f t="shared" si="38"/>
        <v>7.6478936126195801E-2</v>
      </c>
      <c r="AA258" s="8">
        <f t="shared" si="42"/>
        <v>0.55421741744162889</v>
      </c>
      <c r="AB258" s="8">
        <f t="shared" si="39"/>
        <v>7.0877127906365175E-2</v>
      </c>
      <c r="AC258" s="8">
        <f t="shared" si="43"/>
        <v>0.55421741744162889</v>
      </c>
      <c r="AD258" s="9"/>
      <c r="AE258" s="10"/>
      <c r="AF258" s="9"/>
      <c r="AG258" s="9"/>
      <c r="AH258" s="9"/>
      <c r="AI258" s="10"/>
      <c r="AJ258" s="9"/>
      <c r="AK258" s="10"/>
      <c r="AL258" s="9"/>
      <c r="AM258" s="10"/>
    </row>
    <row r="259" spans="1:39" ht="15.75" customHeight="1">
      <c r="A259" s="6">
        <v>399</v>
      </c>
      <c r="B259" s="6">
        <v>2020</v>
      </c>
      <c r="C259" s="6" t="s">
        <v>249</v>
      </c>
      <c r="D259" s="7" t="s">
        <v>250</v>
      </c>
      <c r="E259" s="6" t="s">
        <v>247</v>
      </c>
      <c r="F259" s="6" t="s">
        <v>248</v>
      </c>
      <c r="G259" s="6"/>
      <c r="H259" s="9">
        <v>23751946688</v>
      </c>
      <c r="I259" s="10">
        <v>2434486072405</v>
      </c>
      <c r="J259" s="10">
        <v>4452166671985</v>
      </c>
      <c r="K259" s="10">
        <v>819928353554</v>
      </c>
      <c r="L259" s="10">
        <v>1224495624254</v>
      </c>
      <c r="M259" s="10">
        <v>3227671047731</v>
      </c>
      <c r="N259" s="8">
        <v>17200000000</v>
      </c>
      <c r="O259" s="10">
        <v>3212034546032</v>
      </c>
      <c r="P259" s="10">
        <v>1409870836152</v>
      </c>
      <c r="Q259" s="6"/>
      <c r="R259" s="6"/>
      <c r="S259" s="11"/>
      <c r="T259" s="10">
        <f>1598529737771+7485264504+18889290455</f>
        <v>1624904292730</v>
      </c>
      <c r="U259" s="12">
        <v>168610282478</v>
      </c>
      <c r="V259" s="9">
        <f t="shared" si="10"/>
        <v>3227671047731</v>
      </c>
      <c r="W259" s="13">
        <f t="shared" si="40"/>
        <v>0.27503364417129023</v>
      </c>
      <c r="X259" s="13">
        <f t="shared" si="41"/>
        <v>0.37937435573392786</v>
      </c>
      <c r="Y259" s="8">
        <f t="shared" si="37"/>
        <v>3.7871511760548052E-2</v>
      </c>
      <c r="Z259" s="8">
        <f t="shared" si="38"/>
        <v>5.223899213537584E-2</v>
      </c>
      <c r="AA259" s="8">
        <f t="shared" si="42"/>
        <v>0.56106610438119675</v>
      </c>
      <c r="AB259" s="8">
        <f t="shared" si="39"/>
        <v>5.249329671322913E-2</v>
      </c>
      <c r="AC259" s="8">
        <f t="shared" si="43"/>
        <v>0.56106610438119675</v>
      </c>
      <c r="AD259" s="9"/>
      <c r="AE259" s="10"/>
      <c r="AF259" s="9"/>
      <c r="AG259" s="9"/>
      <c r="AH259" s="9"/>
      <c r="AI259" s="10"/>
      <c r="AJ259" s="9"/>
      <c r="AK259" s="10"/>
      <c r="AL259" s="9"/>
      <c r="AM259" s="10"/>
    </row>
    <row r="260" spans="1:39" ht="15.75" customHeight="1">
      <c r="A260" s="6">
        <v>415</v>
      </c>
      <c r="B260" s="6">
        <v>2018</v>
      </c>
      <c r="C260" s="6" t="s">
        <v>251</v>
      </c>
      <c r="D260" s="7" t="s">
        <v>252</v>
      </c>
      <c r="E260" s="6" t="s">
        <v>247</v>
      </c>
      <c r="F260" s="6" t="s">
        <v>248</v>
      </c>
      <c r="G260" s="6"/>
      <c r="H260" s="9">
        <v>21064350000</v>
      </c>
      <c r="I260" s="10">
        <v>582660258194</v>
      </c>
      <c r="J260" s="10">
        <v>1771365972009</v>
      </c>
      <c r="K260" s="10">
        <v>115282593709</v>
      </c>
      <c r="L260" s="10">
        <v>730789419438</v>
      </c>
      <c r="M260" s="10">
        <v>1040576552571</v>
      </c>
      <c r="N260" s="8">
        <v>6500000000</v>
      </c>
      <c r="O260" s="10">
        <v>1953910957160</v>
      </c>
      <c r="P260" s="10">
        <v>1728304112505</v>
      </c>
      <c r="Q260" s="6"/>
      <c r="R260" s="6"/>
      <c r="S260" s="11"/>
      <c r="T260" s="10">
        <f>73318364644+107643678040</f>
        <v>180962042684</v>
      </c>
      <c r="U260" s="12">
        <v>15954632472</v>
      </c>
      <c r="V260" s="9">
        <f t="shared" si="10"/>
        <v>1040576552571</v>
      </c>
      <c r="W260" s="13">
        <f t="shared" si="40"/>
        <v>0.41255699329550349</v>
      </c>
      <c r="X260" s="13">
        <f t="shared" si="41"/>
        <v>0.7022927987685339</v>
      </c>
      <c r="Y260" s="8">
        <f t="shared" si="37"/>
        <v>9.0069656548189218E-3</v>
      </c>
      <c r="Z260" s="8">
        <f t="shared" si="38"/>
        <v>1.5332492772953765E-2</v>
      </c>
      <c r="AA260" s="8">
        <f t="shared" si="42"/>
        <v>0.11546424049073273</v>
      </c>
      <c r="AB260" s="8">
        <f t="shared" si="39"/>
        <v>8.1654859519238177E-3</v>
      </c>
      <c r="AC260" s="8">
        <f t="shared" si="43"/>
        <v>0.11546424049073273</v>
      </c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spans="1:39" ht="15.75" customHeight="1">
      <c r="A261" s="6">
        <v>416</v>
      </c>
      <c r="B261" s="6">
        <v>2019</v>
      </c>
      <c r="C261" s="6" t="s">
        <v>251</v>
      </c>
      <c r="D261" s="7" t="s">
        <v>252</v>
      </c>
      <c r="E261" s="6" t="s">
        <v>247</v>
      </c>
      <c r="F261" s="6" t="s">
        <v>248</v>
      </c>
      <c r="G261" s="6"/>
      <c r="H261" s="9">
        <v>7770454500</v>
      </c>
      <c r="I261" s="9">
        <v>602802562379</v>
      </c>
      <c r="J261" s="10">
        <v>1820383352811</v>
      </c>
      <c r="K261" s="9">
        <v>115631469926</v>
      </c>
      <c r="L261" s="10">
        <v>784562971811</v>
      </c>
      <c r="M261" s="10">
        <v>1035820381000</v>
      </c>
      <c r="N261" s="8">
        <v>6500000000</v>
      </c>
      <c r="O261" s="10">
        <v>2104704872583</v>
      </c>
      <c r="P261" s="10">
        <v>1837650335553</v>
      </c>
      <c r="Q261" s="6"/>
      <c r="R261" s="6"/>
      <c r="S261" s="11"/>
      <c r="T261" s="10">
        <f>95900186652+120894683753+2695742567</f>
        <v>219490612972</v>
      </c>
      <c r="U261" s="24">
        <v>957169058</v>
      </c>
      <c r="V261" s="9">
        <f t="shared" si="10"/>
        <v>1035820381000</v>
      </c>
      <c r="W261" s="13">
        <f t="shared" si="40"/>
        <v>0.43098777551414835</v>
      </c>
      <c r="X261" s="13">
        <f t="shared" si="41"/>
        <v>0.75743148735263199</v>
      </c>
      <c r="Y261" s="8">
        <f t="shared" si="37"/>
        <v>5.2580631245718575E-4</v>
      </c>
      <c r="Z261" s="8">
        <f t="shared" si="38"/>
        <v>9.2406856976103469E-4</v>
      </c>
      <c r="AA261" s="8">
        <f t="shared" si="42"/>
        <v>0.12688455303581694</v>
      </c>
      <c r="AB261" s="8">
        <f t="shared" si="39"/>
        <v>4.5477590253559583E-4</v>
      </c>
      <c r="AC261" s="8">
        <f t="shared" si="43"/>
        <v>0.12688455303581694</v>
      </c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spans="1:39" ht="15.75" customHeight="1">
      <c r="A262" s="6">
        <v>417</v>
      </c>
      <c r="B262" s="6">
        <v>2020</v>
      </c>
      <c r="C262" s="6" t="s">
        <v>251</v>
      </c>
      <c r="D262" s="7" t="s">
        <v>252</v>
      </c>
      <c r="E262" s="6" t="s">
        <v>247</v>
      </c>
      <c r="F262" s="6" t="s">
        <v>248</v>
      </c>
      <c r="G262" s="6"/>
      <c r="H262" s="9">
        <v>47235024938</v>
      </c>
      <c r="I262" s="10">
        <v>440748401586</v>
      </c>
      <c r="J262" s="10">
        <v>1768660546754</v>
      </c>
      <c r="K262" s="10">
        <v>105658050187</v>
      </c>
      <c r="L262" s="10">
        <v>806678887419</v>
      </c>
      <c r="M262" s="10">
        <v>961981659335</v>
      </c>
      <c r="N262" s="8">
        <v>6500000000</v>
      </c>
      <c r="O262" s="10">
        <v>3165530224724</v>
      </c>
      <c r="P262" s="10">
        <v>2850011161450</v>
      </c>
      <c r="Q262" s="6"/>
      <c r="R262" s="6"/>
      <c r="S262" s="11"/>
      <c r="T262" s="10">
        <f>123892703496+123380975540+21272443611</f>
        <v>268546122647</v>
      </c>
      <c r="U262" s="12">
        <v>5415741808</v>
      </c>
      <c r="V262" s="9">
        <f t="shared" si="10"/>
        <v>961981659335</v>
      </c>
      <c r="W262" s="13">
        <f t="shared" si="40"/>
        <v>0.45609593593269632</v>
      </c>
      <c r="X262" s="13">
        <f t="shared" si="41"/>
        <v>0.83855952927069533</v>
      </c>
      <c r="Y262" s="8">
        <f t="shared" si="37"/>
        <v>3.0620583570654309E-3</v>
      </c>
      <c r="Z262" s="8">
        <f t="shared" si="38"/>
        <v>5.6297765715656173E-3</v>
      </c>
      <c r="AA262" s="8">
        <f t="shared" si="42"/>
        <v>9.9673369348893148E-2</v>
      </c>
      <c r="AB262" s="8">
        <f t="shared" si="39"/>
        <v>1.7108482382196157E-3</v>
      </c>
      <c r="AC262" s="8">
        <f t="shared" si="43"/>
        <v>9.9673369348893148E-2</v>
      </c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spans="1:39" ht="15.75" customHeight="1">
      <c r="A263" s="6">
        <v>460</v>
      </c>
      <c r="B263" s="6">
        <v>2018</v>
      </c>
      <c r="C263" s="6" t="s">
        <v>253</v>
      </c>
      <c r="D263" s="7" t="s">
        <v>254</v>
      </c>
      <c r="E263" s="6" t="s">
        <v>247</v>
      </c>
      <c r="F263" s="6" t="s">
        <v>248</v>
      </c>
      <c r="G263" s="6"/>
      <c r="H263" s="9">
        <v>735084000000</v>
      </c>
      <c r="I263" s="10">
        <v>1453135000000</v>
      </c>
      <c r="J263" s="10">
        <v>5555871000000</v>
      </c>
      <c r="K263" s="9">
        <v>145754000000</v>
      </c>
      <c r="L263" s="10">
        <v>780915000000</v>
      </c>
      <c r="M263" s="10">
        <v>4774956000000</v>
      </c>
      <c r="N263" s="8">
        <v>30000000000</v>
      </c>
      <c r="O263" s="10">
        <v>5472882000000</v>
      </c>
      <c r="P263" s="10">
        <v>3516606000000</v>
      </c>
      <c r="Q263" s="6"/>
      <c r="R263" s="6"/>
      <c r="S263" s="11"/>
      <c r="T263" s="10">
        <f>196900000000+855358000000</f>
        <v>1052258000000</v>
      </c>
      <c r="U263" s="12">
        <v>701607000000</v>
      </c>
      <c r="V263" s="9">
        <f t="shared" si="10"/>
        <v>4774956000000</v>
      </c>
      <c r="W263" s="13">
        <f t="shared" si="40"/>
        <v>0.14055671918948442</v>
      </c>
      <c r="X263" s="13">
        <f t="shared" si="41"/>
        <v>0.16354391537848725</v>
      </c>
      <c r="Y263" s="8">
        <f t="shared" si="37"/>
        <v>0.12628208970294666</v>
      </c>
      <c r="Z263" s="8">
        <f t="shared" si="38"/>
        <v>0.14693475709514392</v>
      </c>
      <c r="AA263" s="8">
        <f t="shared" si="42"/>
        <v>0.35744896381833191</v>
      </c>
      <c r="AB263" s="8">
        <f t="shared" si="39"/>
        <v>0.12819699017811823</v>
      </c>
      <c r="AC263" s="8">
        <f t="shared" si="43"/>
        <v>0.35744896381833191</v>
      </c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spans="1:39" ht="15.75" customHeight="1">
      <c r="A264" s="6">
        <v>461</v>
      </c>
      <c r="B264" s="6">
        <v>2019</v>
      </c>
      <c r="C264" s="6" t="s">
        <v>253</v>
      </c>
      <c r="D264" s="7" t="s">
        <v>254</v>
      </c>
      <c r="E264" s="6" t="s">
        <v>247</v>
      </c>
      <c r="F264" s="6" t="s">
        <v>248</v>
      </c>
      <c r="G264" s="6"/>
      <c r="H264" s="9">
        <v>708869000000</v>
      </c>
      <c r="I264" s="10">
        <v>1556666000000</v>
      </c>
      <c r="J264" s="9">
        <v>6608422000000</v>
      </c>
      <c r="K264" s="9">
        <v>116969000000</v>
      </c>
      <c r="L264" s="10">
        <v>953283000000</v>
      </c>
      <c r="M264" s="10">
        <v>5655139000000</v>
      </c>
      <c r="N264" s="8">
        <v>30000000000</v>
      </c>
      <c r="O264" s="10">
        <v>6223057000000</v>
      </c>
      <c r="P264" s="10">
        <v>3881051000000</v>
      </c>
      <c r="Q264" s="6"/>
      <c r="R264" s="6"/>
      <c r="S264" s="11"/>
      <c r="T264" s="10">
        <f>202883000000+908877000000</f>
        <v>1111760000000</v>
      </c>
      <c r="U264" s="12">
        <v>1035865000000</v>
      </c>
      <c r="V264" s="9">
        <f t="shared" si="10"/>
        <v>5655139000000</v>
      </c>
      <c r="W264" s="13">
        <f t="shared" si="40"/>
        <v>0.14425274293923723</v>
      </c>
      <c r="X264" s="13">
        <f t="shared" si="41"/>
        <v>0.16856933136391519</v>
      </c>
      <c r="Y264" s="8">
        <f t="shared" si="37"/>
        <v>0.15674922091839777</v>
      </c>
      <c r="Z264" s="8">
        <f t="shared" si="38"/>
        <v>0.1831723322804267</v>
      </c>
      <c r="AA264" s="8">
        <f t="shared" si="42"/>
        <v>0.37634333093847605</v>
      </c>
      <c r="AB264" s="8">
        <f t="shared" si="39"/>
        <v>0.16645597171936558</v>
      </c>
      <c r="AC264" s="8">
        <f t="shared" si="43"/>
        <v>0.37634333093847605</v>
      </c>
      <c r="AD264" s="9"/>
      <c r="AE264" s="10"/>
      <c r="AF264" s="9"/>
      <c r="AG264" s="9"/>
      <c r="AH264" s="9"/>
      <c r="AI264" s="9"/>
      <c r="AJ264" s="9"/>
      <c r="AK264" s="10"/>
      <c r="AL264" s="9"/>
      <c r="AM264" s="10"/>
    </row>
    <row r="265" spans="1:39" ht="15.75" customHeight="1">
      <c r="A265" s="6">
        <v>462</v>
      </c>
      <c r="B265" s="6">
        <v>2020</v>
      </c>
      <c r="C265" s="6" t="s">
        <v>253</v>
      </c>
      <c r="D265" s="7" t="s">
        <v>254</v>
      </c>
      <c r="E265" s="6" t="s">
        <v>247</v>
      </c>
      <c r="F265" s="6" t="s">
        <v>248</v>
      </c>
      <c r="G265" s="6"/>
      <c r="H265" s="9">
        <v>660585000000</v>
      </c>
      <c r="I265" s="10">
        <v>1715401000000</v>
      </c>
      <c r="J265" s="10">
        <v>8754116000000</v>
      </c>
      <c r="K265" s="9">
        <v>1645040000000</v>
      </c>
      <c r="L265" s="10">
        <v>3972379000000</v>
      </c>
      <c r="M265" s="10">
        <v>4781737000000</v>
      </c>
      <c r="N265" s="8">
        <v>30000000000</v>
      </c>
      <c r="O265" s="10">
        <v>5967362000000</v>
      </c>
      <c r="P265" s="10">
        <v>3738835000000</v>
      </c>
      <c r="Q265" s="6"/>
      <c r="R265" s="6"/>
      <c r="S265" s="11"/>
      <c r="T265" s="10">
        <f>773759000000+231175000000</f>
        <v>1004934000000</v>
      </c>
      <c r="U265" s="12">
        <v>1109666000000</v>
      </c>
      <c r="V265" s="9">
        <f t="shared" si="10"/>
        <v>4781737000000</v>
      </c>
      <c r="W265" s="13">
        <f t="shared" si="40"/>
        <v>0.45377271674261571</v>
      </c>
      <c r="X265" s="13">
        <f t="shared" si="41"/>
        <v>0.83073975001134526</v>
      </c>
      <c r="Y265" s="8">
        <f t="shared" si="37"/>
        <v>0.12675934383323229</v>
      </c>
      <c r="Z265" s="8">
        <f t="shared" si="38"/>
        <v>0.23206336944085382</v>
      </c>
      <c r="AA265" s="8">
        <f t="shared" si="42"/>
        <v>0.37345262445951827</v>
      </c>
      <c r="AB265" s="8">
        <f t="shared" si="39"/>
        <v>0.1859558712878488</v>
      </c>
      <c r="AC265" s="8">
        <f t="shared" si="43"/>
        <v>0.37345262445951827</v>
      </c>
      <c r="AD265" s="9"/>
      <c r="AE265" s="9"/>
      <c r="AF265" s="9"/>
      <c r="AG265" s="9"/>
      <c r="AH265" s="9"/>
      <c r="AI265" s="9"/>
      <c r="AJ265" s="9"/>
      <c r="AK265" s="9"/>
      <c r="AL265" s="9"/>
      <c r="AM265" s="10"/>
    </row>
    <row r="266" spans="1:39" ht="15.75" customHeight="1">
      <c r="A266" s="6">
        <v>196</v>
      </c>
      <c r="B266" s="6">
        <v>2018</v>
      </c>
      <c r="C266" s="6" t="s">
        <v>255</v>
      </c>
      <c r="D266" s="7" t="s">
        <v>256</v>
      </c>
      <c r="E266" s="6" t="s">
        <v>257</v>
      </c>
      <c r="F266" s="6" t="s">
        <v>258</v>
      </c>
      <c r="G266" s="6"/>
      <c r="H266" s="6"/>
      <c r="I266" s="22">
        <v>63473170</v>
      </c>
      <c r="J266" s="22">
        <v>126016356</v>
      </c>
      <c r="K266" s="22">
        <v>1819623</v>
      </c>
      <c r="L266" s="22">
        <v>71622528</v>
      </c>
      <c r="M266" s="22">
        <v>54393828</v>
      </c>
      <c r="N266" s="8">
        <v>410000000</v>
      </c>
      <c r="O266" s="22">
        <v>44393658</v>
      </c>
      <c r="P266" s="22">
        <v>39663413</v>
      </c>
      <c r="Q266" s="6"/>
      <c r="R266" s="6"/>
      <c r="S266" s="11"/>
      <c r="T266" s="22">
        <f>6630803+6995660+1029546</f>
        <v>14656009</v>
      </c>
      <c r="U266" s="22">
        <v>505306</v>
      </c>
      <c r="V266" s="21">
        <f t="shared" si="10"/>
        <v>54393828</v>
      </c>
      <c r="W266" s="13">
        <f t="shared" si="40"/>
        <v>0.56835898349576142</v>
      </c>
      <c r="X266" s="13">
        <f t="shared" si="41"/>
        <v>1.3167399801315693</v>
      </c>
      <c r="Y266" s="8">
        <f t="shared" si="37"/>
        <v>4.0098445633517605E-3</v>
      </c>
      <c r="Z266" s="8">
        <f t="shared" si="38"/>
        <v>9.2897672140302388E-3</v>
      </c>
      <c r="AA266" s="8">
        <f t="shared" si="42"/>
        <v>0.10655226924530527</v>
      </c>
      <c r="AB266" s="8">
        <f t="shared" si="39"/>
        <v>1.1382391601971615E-2</v>
      </c>
      <c r="AC266" s="8">
        <f t="shared" si="43"/>
        <v>0.10655226924530527</v>
      </c>
      <c r="AD266" s="9"/>
      <c r="AE266" s="10"/>
      <c r="AF266" s="9"/>
      <c r="AG266" s="9"/>
      <c r="AH266" s="9"/>
      <c r="AI266" s="9"/>
      <c r="AJ266" s="9"/>
      <c r="AK266" s="10"/>
      <c r="AL266" s="10"/>
      <c r="AM266" s="22">
        <v>432844</v>
      </c>
    </row>
    <row r="267" spans="1:39" ht="15.75" customHeight="1">
      <c r="A267" s="6">
        <v>197</v>
      </c>
      <c r="B267" s="6">
        <v>2019</v>
      </c>
      <c r="C267" s="6" t="s">
        <v>255</v>
      </c>
      <c r="D267" s="7" t="s">
        <v>256</v>
      </c>
      <c r="E267" s="6" t="s">
        <v>257</v>
      </c>
      <c r="F267" s="6" t="s">
        <v>258</v>
      </c>
      <c r="G267" s="8"/>
      <c r="H267" s="6"/>
      <c r="I267" s="22">
        <v>64540436</v>
      </c>
      <c r="J267" s="22">
        <v>120360141</v>
      </c>
      <c r="K267" s="22">
        <v>1843134</v>
      </c>
      <c r="L267" s="22">
        <v>68002673</v>
      </c>
      <c r="M267" s="22">
        <v>52357468</v>
      </c>
      <c r="N267" s="8">
        <v>410000000</v>
      </c>
      <c r="O267" s="22">
        <v>139315838</v>
      </c>
      <c r="P267" s="22">
        <v>123379495</v>
      </c>
      <c r="Q267" s="6"/>
      <c r="R267" s="6"/>
      <c r="S267" s="11"/>
      <c r="T267" s="22">
        <f>7280614+6414512+2069061</f>
        <v>15764187</v>
      </c>
      <c r="U267" s="22">
        <v>-1196792</v>
      </c>
      <c r="V267" s="21">
        <f t="shared" si="10"/>
        <v>52357468</v>
      </c>
      <c r="W267" s="13">
        <f t="shared" si="40"/>
        <v>0.5649932979058242</v>
      </c>
      <c r="X267" s="13">
        <f t="shared" si="41"/>
        <v>1.2988151566076496</v>
      </c>
      <c r="Y267" s="8">
        <f t="shared" si="37"/>
        <v>-9.9434247090155869E-3</v>
      </c>
      <c r="Z267" s="8">
        <f t="shared" si="38"/>
        <v>-2.2858095429672039E-2</v>
      </c>
      <c r="AA267" s="8">
        <f t="shared" si="42"/>
        <v>0.11439003080181021</v>
      </c>
      <c r="AB267" s="8">
        <f t="shared" si="39"/>
        <v>-8.5904949299447208E-3</v>
      </c>
      <c r="AC267" s="8">
        <f t="shared" si="43"/>
        <v>0.11439003080181021</v>
      </c>
      <c r="AD267" s="9"/>
      <c r="AE267" s="10"/>
      <c r="AF267" s="9"/>
      <c r="AG267" s="9"/>
      <c r="AH267" s="9"/>
      <c r="AI267" s="9"/>
      <c r="AJ267" s="9"/>
      <c r="AK267" s="10"/>
      <c r="AL267" s="10"/>
      <c r="AM267" s="22">
        <v>594197</v>
      </c>
    </row>
    <row r="268" spans="1:39" ht="15.75" customHeight="1">
      <c r="A268" s="6">
        <v>198</v>
      </c>
      <c r="B268" s="6">
        <v>2020</v>
      </c>
      <c r="C268" s="6" t="s">
        <v>255</v>
      </c>
      <c r="D268" s="7" t="s">
        <v>256</v>
      </c>
      <c r="E268" s="6" t="s">
        <v>257</v>
      </c>
      <c r="F268" s="6" t="s">
        <v>258</v>
      </c>
      <c r="G268" s="8"/>
      <c r="H268" s="6"/>
      <c r="I268" s="22">
        <v>60852679</v>
      </c>
      <c r="J268" s="22">
        <v>116510444</v>
      </c>
      <c r="K268" s="22">
        <v>1843134</v>
      </c>
      <c r="L268" s="22">
        <v>71432336</v>
      </c>
      <c r="M268" s="22">
        <v>45078108</v>
      </c>
      <c r="N268" s="8">
        <v>410000000</v>
      </c>
      <c r="O268" s="22">
        <v>108268268</v>
      </c>
      <c r="P268" s="22">
        <v>98024017</v>
      </c>
      <c r="Q268" s="6"/>
      <c r="R268" s="6"/>
      <c r="S268" s="11"/>
      <c r="T268" s="22">
        <f>3951586+6177293+2581143</f>
        <v>12710022</v>
      </c>
      <c r="U268" s="22">
        <v>-7111272</v>
      </c>
      <c r="V268" s="21">
        <f t="shared" si="10"/>
        <v>45078108</v>
      </c>
      <c r="W268" s="13">
        <f t="shared" si="40"/>
        <v>0.61309813564868054</v>
      </c>
      <c r="X268" s="13">
        <f t="shared" si="41"/>
        <v>1.5846347411031536</v>
      </c>
      <c r="Y268" s="8">
        <f t="shared" si="37"/>
        <v>-6.1035489659622272E-2</v>
      </c>
      <c r="Z268" s="8">
        <f t="shared" si="38"/>
        <v>-0.15775444701450203</v>
      </c>
      <c r="AA268" s="8">
        <f t="shared" si="42"/>
        <v>9.4619145472983834E-2</v>
      </c>
      <c r="AB268" s="8">
        <f t="shared" si="39"/>
        <v>-6.5681959556238581E-2</v>
      </c>
      <c r="AC268" s="8">
        <f t="shared" si="43"/>
        <v>9.4619145472983834E-2</v>
      </c>
      <c r="AD268" s="9"/>
      <c r="AE268" s="10"/>
      <c r="AF268" s="9"/>
      <c r="AG268" s="9"/>
      <c r="AH268" s="9"/>
      <c r="AI268" s="9"/>
      <c r="AJ268" s="9"/>
      <c r="AK268" s="10"/>
      <c r="AL268" s="10"/>
      <c r="AM268" s="22">
        <v>449032</v>
      </c>
    </row>
    <row r="269" spans="1:39" ht="15.75" customHeight="1">
      <c r="A269" s="6">
        <v>289</v>
      </c>
      <c r="B269" s="6">
        <v>2018</v>
      </c>
      <c r="C269" s="6" t="s">
        <v>259</v>
      </c>
      <c r="D269" s="7" t="s">
        <v>260</v>
      </c>
      <c r="E269" s="6" t="s">
        <v>257</v>
      </c>
      <c r="F269" s="6" t="s">
        <v>258</v>
      </c>
      <c r="G269" s="6"/>
      <c r="H269" s="9">
        <v>143519480271</v>
      </c>
      <c r="I269" s="10">
        <v>5010991451</v>
      </c>
      <c r="J269" s="10">
        <v>301596448818</v>
      </c>
      <c r="K269" s="10">
        <v>10665524000</v>
      </c>
      <c r="L269" s="10">
        <v>28026041147</v>
      </c>
      <c r="M269" s="10">
        <v>273570407671</v>
      </c>
      <c r="N269" s="8">
        <v>425000000</v>
      </c>
      <c r="O269" s="10">
        <v>95212682098</v>
      </c>
      <c r="P269" s="10">
        <v>71669536050</v>
      </c>
      <c r="Q269" s="6"/>
      <c r="R269" s="6"/>
      <c r="S269" s="11"/>
      <c r="T269" s="10">
        <f>20580523589+1206185018</f>
        <v>21786708607</v>
      </c>
      <c r="U269" s="12">
        <v>32755830588</v>
      </c>
      <c r="V269" s="9">
        <f t="shared" si="10"/>
        <v>273570407671</v>
      </c>
      <c r="W269" s="13">
        <f t="shared" si="40"/>
        <v>9.2925633762725321E-2</v>
      </c>
      <c r="X269" s="13">
        <f t="shared" si="41"/>
        <v>0.10244544132384578</v>
      </c>
      <c r="Y269" s="8">
        <f t="shared" si="37"/>
        <v>0.10860814414882809</v>
      </c>
      <c r="Z269" s="8">
        <f t="shared" si="38"/>
        <v>0.11973455340751865</v>
      </c>
      <c r="AA269" s="8">
        <f t="shared" si="42"/>
        <v>0.24726901426605793</v>
      </c>
      <c r="AB269" s="8">
        <f t="shared" si="39"/>
        <v>0.34402802091306761</v>
      </c>
      <c r="AC269" s="8">
        <f t="shared" si="43"/>
        <v>0.24726901426605793</v>
      </c>
      <c r="AD269" s="9"/>
      <c r="AE269" s="10"/>
      <c r="AF269" s="9"/>
      <c r="AG269" s="9"/>
      <c r="AH269" s="9"/>
      <c r="AI269" s="9"/>
      <c r="AJ269" s="9"/>
      <c r="AK269" s="10"/>
      <c r="AL269" s="9"/>
      <c r="AM269" s="10"/>
    </row>
    <row r="270" spans="1:39" ht="15.75" customHeight="1">
      <c r="A270" s="6">
        <v>290</v>
      </c>
      <c r="B270" s="6">
        <v>2019</v>
      </c>
      <c r="C270" s="6" t="s">
        <v>259</v>
      </c>
      <c r="D270" s="7" t="s">
        <v>260</v>
      </c>
      <c r="E270" s="6" t="s">
        <v>257</v>
      </c>
      <c r="F270" s="6" t="s">
        <v>258</v>
      </c>
      <c r="G270" s="6"/>
      <c r="H270" s="9">
        <v>164670155852</v>
      </c>
      <c r="I270" s="10">
        <v>4934489419</v>
      </c>
      <c r="J270" s="10">
        <v>324916202729</v>
      </c>
      <c r="K270" s="10">
        <v>10835330000</v>
      </c>
      <c r="L270" s="10">
        <v>21617421367</v>
      </c>
      <c r="M270" s="10">
        <v>303298783362</v>
      </c>
      <c r="N270" s="8">
        <v>425000000</v>
      </c>
      <c r="O270" s="10">
        <v>88357595957</v>
      </c>
      <c r="P270" s="10">
        <v>70119229179</v>
      </c>
      <c r="Q270" s="6"/>
      <c r="R270" s="6"/>
      <c r="S270" s="11"/>
      <c r="T270" s="10">
        <f>20547105416+1051300435</f>
        <v>21598405851</v>
      </c>
      <c r="U270" s="12">
        <v>29918519921</v>
      </c>
      <c r="V270" s="9">
        <f t="shared" si="10"/>
        <v>303298783362</v>
      </c>
      <c r="W270" s="13">
        <f t="shared" si="40"/>
        <v>6.6532297205966831E-2</v>
      </c>
      <c r="X270" s="13">
        <f t="shared" si="41"/>
        <v>7.1274342506012264E-2</v>
      </c>
      <c r="Y270" s="8">
        <f t="shared" si="37"/>
        <v>9.208072626022247E-2</v>
      </c>
      <c r="Z270" s="8">
        <f t="shared" si="38"/>
        <v>9.8643718874701108E-2</v>
      </c>
      <c r="AA270" s="8">
        <f t="shared" si="42"/>
        <v>0.20641538036951415</v>
      </c>
      <c r="AB270" s="8">
        <f t="shared" si="39"/>
        <v>0.33860721986551229</v>
      </c>
      <c r="AC270" s="8">
        <f t="shared" si="43"/>
        <v>0.20641538036951415</v>
      </c>
      <c r="AD270" s="9"/>
      <c r="AE270" s="9"/>
      <c r="AF270" s="9"/>
      <c r="AG270" s="9"/>
      <c r="AH270" s="9"/>
      <c r="AI270" s="9"/>
      <c r="AJ270" s="9"/>
      <c r="AK270" s="9"/>
      <c r="AL270" s="9"/>
      <c r="AM270" s="10"/>
    </row>
    <row r="271" spans="1:39" ht="15.75" customHeight="1">
      <c r="A271" s="6">
        <v>291</v>
      </c>
      <c r="B271" s="6">
        <v>2020</v>
      </c>
      <c r="C271" s="6" t="s">
        <v>259</v>
      </c>
      <c r="D271" s="7" t="s">
        <v>260</v>
      </c>
      <c r="E271" s="6" t="s">
        <v>257</v>
      </c>
      <c r="F271" s="6" t="s">
        <v>258</v>
      </c>
      <c r="G271" s="6"/>
      <c r="H271" s="9">
        <v>167124076043</v>
      </c>
      <c r="I271" s="10">
        <v>4477922056</v>
      </c>
      <c r="J271" s="10">
        <v>337792393010</v>
      </c>
      <c r="K271" s="9">
        <v>11064226000</v>
      </c>
      <c r="L271" s="10">
        <v>27828564143</v>
      </c>
      <c r="M271" s="10">
        <v>309963828867</v>
      </c>
      <c r="N271" s="8">
        <v>425000000</v>
      </c>
      <c r="O271" s="10">
        <v>103066288012</v>
      </c>
      <c r="P271" s="10">
        <v>79902338052</v>
      </c>
      <c r="Q271" s="6"/>
      <c r="R271" s="6"/>
      <c r="S271" s="11"/>
      <c r="T271" s="10">
        <f>20843958081+2473561735</f>
        <v>23317519816</v>
      </c>
      <c r="U271" s="12">
        <v>6732478855</v>
      </c>
      <c r="V271" s="9">
        <f t="shared" si="10"/>
        <v>309963828867</v>
      </c>
      <c r="W271" s="13">
        <f t="shared" si="40"/>
        <v>8.2383631836777813E-2</v>
      </c>
      <c r="X271" s="13">
        <f t="shared" si="41"/>
        <v>8.9780037382815869E-2</v>
      </c>
      <c r="Y271" s="8">
        <f t="shared" si="37"/>
        <v>1.9930818438533313E-2</v>
      </c>
      <c r="Z271" s="8">
        <f t="shared" si="38"/>
        <v>2.1720208063014952E-2</v>
      </c>
      <c r="AA271" s="8">
        <f t="shared" si="42"/>
        <v>0.22474807627983093</v>
      </c>
      <c r="AB271" s="8">
        <f t="shared" si="39"/>
        <v>6.5321833015041131E-2</v>
      </c>
      <c r="AC271" s="8">
        <f t="shared" si="43"/>
        <v>0.22474807627983093</v>
      </c>
      <c r="AD271" s="9"/>
      <c r="AE271" s="9"/>
      <c r="AF271" s="9"/>
      <c r="AG271" s="9"/>
      <c r="AH271" s="9"/>
      <c r="AI271" s="9"/>
      <c r="AJ271" s="10"/>
      <c r="AK271" s="10"/>
      <c r="AL271" s="9"/>
      <c r="AM271" s="10"/>
    </row>
    <row r="272" spans="1:39" ht="15.75" customHeight="1">
      <c r="A272" s="6">
        <v>253</v>
      </c>
      <c r="B272" s="6">
        <v>2018</v>
      </c>
      <c r="C272" s="6" t="s">
        <v>261</v>
      </c>
      <c r="D272" s="7" t="s">
        <v>262</v>
      </c>
      <c r="E272" s="6" t="s">
        <v>263</v>
      </c>
      <c r="F272" s="6" t="s">
        <v>264</v>
      </c>
      <c r="G272" s="6"/>
      <c r="H272" s="9">
        <f>76520000000+60225000000</f>
        <v>136745000000</v>
      </c>
      <c r="I272" s="15">
        <v>8647396000000</v>
      </c>
      <c r="J272" s="13">
        <v>24827355000000</v>
      </c>
      <c r="K272" s="9">
        <v>6372157000000</v>
      </c>
      <c r="L272" s="8">
        <v>14061678000000</v>
      </c>
      <c r="M272" s="8">
        <v>10765677000000</v>
      </c>
      <c r="N272" s="8">
        <v>100000000000</v>
      </c>
      <c r="O272" s="8">
        <v>36228261000000</v>
      </c>
      <c r="P272" s="8">
        <v>28342636000000</v>
      </c>
      <c r="Q272" s="6"/>
      <c r="R272" s="6"/>
      <c r="S272" s="11"/>
      <c r="T272" s="10">
        <f>836629000000+2647489000000+164095000000</f>
        <v>3648213000000</v>
      </c>
      <c r="U272" s="12">
        <v>2253201000000</v>
      </c>
      <c r="V272" s="13">
        <f t="shared" si="10"/>
        <v>10765677000000</v>
      </c>
      <c r="W272" s="13">
        <f t="shared" si="40"/>
        <v>0.5663784160656663</v>
      </c>
      <c r="X272" s="13">
        <f t="shared" si="41"/>
        <v>1.30615826575514</v>
      </c>
      <c r="Y272" s="8">
        <f t="shared" si="37"/>
        <v>9.0754774320502524E-2</v>
      </c>
      <c r="Z272" s="8">
        <f t="shared" si="38"/>
        <v>0.20929487295596924</v>
      </c>
      <c r="AA272" s="8">
        <f t="shared" si="42"/>
        <v>0.21766501571797775</v>
      </c>
      <c r="AB272" s="8">
        <f t="shared" si="39"/>
        <v>6.2194566832782835E-2</v>
      </c>
      <c r="AC272" s="8">
        <f t="shared" si="43"/>
        <v>0.21766501571797775</v>
      </c>
      <c r="AD272" s="9"/>
      <c r="AE272" s="10"/>
      <c r="AF272" s="9"/>
      <c r="AG272" s="9"/>
      <c r="AH272" s="9"/>
      <c r="AI272" s="9"/>
      <c r="AJ272" s="9"/>
      <c r="AK272" s="10"/>
      <c r="AL272" s="9"/>
      <c r="AM272" s="10"/>
    </row>
    <row r="273" spans="1:39" ht="15.75" customHeight="1">
      <c r="A273" s="6">
        <v>254</v>
      </c>
      <c r="B273" s="6">
        <v>2019</v>
      </c>
      <c r="C273" s="6" t="s">
        <v>261</v>
      </c>
      <c r="D273" s="7" t="s">
        <v>262</v>
      </c>
      <c r="E273" s="6" t="s">
        <v>263</v>
      </c>
      <c r="F273" s="6" t="s">
        <v>264</v>
      </c>
      <c r="G273" s="6"/>
      <c r="H273" s="10">
        <f>56000000000+70433000000</f>
        <v>126433000000</v>
      </c>
      <c r="I273" s="8">
        <v>10707724000000</v>
      </c>
      <c r="J273" s="8">
        <v>26650895000000</v>
      </c>
      <c r="K273" s="9">
        <v>7012123000000</v>
      </c>
      <c r="L273" s="8">
        <v>14754081000000</v>
      </c>
      <c r="M273" s="8">
        <v>11896814000000</v>
      </c>
      <c r="N273" s="8">
        <v>100000000000</v>
      </c>
      <c r="O273" s="8">
        <v>38872084000000</v>
      </c>
      <c r="P273" s="8">
        <v>31000234000000</v>
      </c>
      <c r="Q273" s="6"/>
      <c r="R273" s="6"/>
      <c r="S273" s="11"/>
      <c r="T273" s="10">
        <f>1048302000000+2895713000000+160828000000</f>
        <v>4104843000000</v>
      </c>
      <c r="U273" s="12">
        <v>1883857000000</v>
      </c>
      <c r="V273" s="13">
        <f t="shared" si="10"/>
        <v>11896814000000</v>
      </c>
      <c r="W273" s="13">
        <f t="shared" si="40"/>
        <v>0.55360546052956194</v>
      </c>
      <c r="X273" s="13">
        <f t="shared" si="41"/>
        <v>1.2401707717713331</v>
      </c>
      <c r="Y273" s="8">
        <f t="shared" si="37"/>
        <v>7.0686444113790547E-2</v>
      </c>
      <c r="Z273" s="8">
        <f t="shared" si="38"/>
        <v>0.15834970606416138</v>
      </c>
      <c r="AA273" s="8">
        <f t="shared" si="42"/>
        <v>0.20250650826953348</v>
      </c>
      <c r="AB273" s="8">
        <f t="shared" si="39"/>
        <v>4.8462979242378669E-2</v>
      </c>
      <c r="AC273" s="8">
        <f t="shared" si="43"/>
        <v>0.20250650826953348</v>
      </c>
      <c r="AD273" s="9"/>
      <c r="AE273" s="9"/>
      <c r="AF273" s="9"/>
      <c r="AG273" s="9"/>
      <c r="AH273" s="9"/>
      <c r="AI273" s="9"/>
      <c r="AJ273" s="9"/>
      <c r="AK273" s="9"/>
      <c r="AL273" s="9"/>
      <c r="AM273" s="10"/>
    </row>
    <row r="274" spans="1:39" ht="15.75" customHeight="1">
      <c r="A274" s="6">
        <v>255</v>
      </c>
      <c r="B274" s="6">
        <v>2020</v>
      </c>
      <c r="C274" s="6" t="s">
        <v>261</v>
      </c>
      <c r="D274" s="7" t="s">
        <v>262</v>
      </c>
      <c r="E274" s="6" t="s">
        <v>263</v>
      </c>
      <c r="F274" s="6" t="s">
        <v>264</v>
      </c>
      <c r="G274" s="6"/>
      <c r="H274" s="9">
        <f>46000000000+81202000000</f>
        <v>127202000000</v>
      </c>
      <c r="I274" s="8">
        <v>11143803000000</v>
      </c>
      <c r="J274" s="8">
        <v>25951760000000</v>
      </c>
      <c r="K274" s="10">
        <v>8532111000000</v>
      </c>
      <c r="L274" s="8">
        <v>14539790000000</v>
      </c>
      <c r="M274" s="8">
        <v>11411970000000</v>
      </c>
      <c r="N274" s="8">
        <v>100000000000</v>
      </c>
      <c r="O274" s="8">
        <v>36964948000000</v>
      </c>
      <c r="P274" s="8">
        <v>29535739000000</v>
      </c>
      <c r="Q274" s="6"/>
      <c r="R274" s="6"/>
      <c r="S274" s="11"/>
      <c r="T274" s="10">
        <f>1549972000000+3244208000000+236681000000</f>
        <v>5030861000000</v>
      </c>
      <c r="U274" s="12">
        <v>1002376000000</v>
      </c>
      <c r="V274" s="13">
        <f t="shared" si="10"/>
        <v>11411970000000</v>
      </c>
      <c r="W274" s="13">
        <f t="shared" si="40"/>
        <v>0.56026219416332457</v>
      </c>
      <c r="X274" s="13">
        <f t="shared" si="41"/>
        <v>1.2740823889302197</v>
      </c>
      <c r="Y274" s="8">
        <f t="shared" si="37"/>
        <v>3.8624586540566032E-2</v>
      </c>
      <c r="Z274" s="8">
        <f t="shared" si="38"/>
        <v>8.7835492031612422E-2</v>
      </c>
      <c r="AA274" s="8">
        <f t="shared" si="42"/>
        <v>0.20097983094687433</v>
      </c>
      <c r="AB274" s="8">
        <f t="shared" si="39"/>
        <v>2.7116932505897209E-2</v>
      </c>
      <c r="AC274" s="8">
        <f t="shared" si="43"/>
        <v>0.20097983094687433</v>
      </c>
      <c r="AD274" s="9"/>
      <c r="AE274" s="10"/>
      <c r="AF274" s="9"/>
      <c r="AG274" s="9"/>
      <c r="AH274" s="9"/>
      <c r="AI274" s="9"/>
      <c r="AJ274" s="9"/>
      <c r="AK274" s="10"/>
      <c r="AL274" s="9"/>
      <c r="AM274" s="10"/>
    </row>
    <row r="275" spans="1:39" ht="15.75" customHeight="1">
      <c r="A275" s="6">
        <v>145</v>
      </c>
      <c r="B275" s="6">
        <v>2018</v>
      </c>
      <c r="C275" s="6" t="s">
        <v>265</v>
      </c>
      <c r="D275" s="7" t="s">
        <v>266</v>
      </c>
      <c r="E275" s="6" t="s">
        <v>196</v>
      </c>
      <c r="F275" s="6" t="s">
        <v>267</v>
      </c>
      <c r="G275" s="6"/>
      <c r="H275" s="9">
        <v>8111076647</v>
      </c>
      <c r="I275" s="8">
        <v>256898006885</v>
      </c>
      <c r="J275" s="8">
        <v>491382035136</v>
      </c>
      <c r="K275" s="8">
        <v>21627543807</v>
      </c>
      <c r="L275" s="8">
        <v>102703457308</v>
      </c>
      <c r="M275" s="8">
        <v>388678577828</v>
      </c>
      <c r="N275" s="8">
        <v>2000000000</v>
      </c>
      <c r="O275" s="8">
        <v>370390736433</v>
      </c>
      <c r="P275" s="8">
        <v>256947701878</v>
      </c>
      <c r="Q275" s="6"/>
      <c r="R275" s="6"/>
      <c r="S275" s="11"/>
      <c r="T275" s="9">
        <f>58584770961+3331144467+33706922995</f>
        <v>95622838423</v>
      </c>
      <c r="U275" s="12">
        <v>13554152161</v>
      </c>
      <c r="V275" s="13">
        <f t="shared" si="10"/>
        <v>388678577828</v>
      </c>
      <c r="W275" s="13">
        <f t="shared" si="40"/>
        <v>0.20900938570042496</v>
      </c>
      <c r="X275" s="13">
        <f t="shared" si="41"/>
        <v>0.2642375041143864</v>
      </c>
      <c r="Y275" s="8">
        <f t="shared" si="37"/>
        <v>2.7583735651321911E-2</v>
      </c>
      <c r="Z275" s="8">
        <f t="shared" si="38"/>
        <v>3.4872393113978231E-2</v>
      </c>
      <c r="AA275" s="8">
        <f t="shared" si="42"/>
        <v>0.30627935149647223</v>
      </c>
      <c r="AB275" s="8">
        <f t="shared" si="39"/>
        <v>3.6594198579401598E-2</v>
      </c>
      <c r="AC275" s="8">
        <f t="shared" si="43"/>
        <v>0.30627935149647223</v>
      </c>
      <c r="AD275" s="9"/>
      <c r="AE275" s="9">
        <v>1007595602</v>
      </c>
      <c r="AF275" s="9"/>
      <c r="AG275" s="9"/>
      <c r="AH275" s="9"/>
      <c r="AI275" s="9"/>
      <c r="AJ275" s="9"/>
      <c r="AK275" s="9">
        <v>512211045</v>
      </c>
      <c r="AL275" s="9"/>
      <c r="AM275" s="10">
        <v>9889026984</v>
      </c>
    </row>
    <row r="276" spans="1:39" ht="15.75" customHeight="1">
      <c r="A276" s="6">
        <v>146</v>
      </c>
      <c r="B276" s="6">
        <v>2019</v>
      </c>
      <c r="C276" s="6" t="s">
        <v>265</v>
      </c>
      <c r="D276" s="7" t="s">
        <v>266</v>
      </c>
      <c r="E276" s="6" t="s">
        <v>196</v>
      </c>
      <c r="F276" s="6" t="s">
        <v>267</v>
      </c>
      <c r="G276" s="6"/>
      <c r="H276" s="6"/>
      <c r="I276" s="8">
        <v>249614390323</v>
      </c>
      <c r="J276" s="8">
        <v>521493784876</v>
      </c>
      <c r="K276" s="8">
        <v>26345627806</v>
      </c>
      <c r="L276" s="8">
        <v>131822380207</v>
      </c>
      <c r="M276" s="8">
        <v>389671404669</v>
      </c>
      <c r="N276" s="8">
        <v>2000000000</v>
      </c>
      <c r="O276" s="8">
        <v>407452029013</v>
      </c>
      <c r="P276" s="8">
        <v>292192033789</v>
      </c>
      <c r="Q276" s="6"/>
      <c r="R276" s="6"/>
      <c r="S276" s="11"/>
      <c r="T276" s="9">
        <f>60822934424+4618458062+38111785637</f>
        <v>103553178123</v>
      </c>
      <c r="U276" s="12">
        <v>7221065916</v>
      </c>
      <c r="V276" s="13">
        <f t="shared" si="10"/>
        <v>389671404669</v>
      </c>
      <c r="W276" s="13">
        <f t="shared" si="40"/>
        <v>0.25277843002164357</v>
      </c>
      <c r="X276" s="13">
        <f t="shared" si="41"/>
        <v>0.33829113100812302</v>
      </c>
      <c r="Y276" s="8">
        <f t="shared" si="37"/>
        <v>1.3846887777803553E-2</v>
      </c>
      <c r="Z276" s="8">
        <f t="shared" si="38"/>
        <v>1.8531167105099274E-2</v>
      </c>
      <c r="AA276" s="8">
        <f t="shared" si="42"/>
        <v>0.28287991473058183</v>
      </c>
      <c r="AB276" s="8">
        <f t="shared" si="39"/>
        <v>1.7722493451541033E-2</v>
      </c>
      <c r="AC276" s="8">
        <f t="shared" si="43"/>
        <v>0.28287991473058183</v>
      </c>
      <c r="AD276" s="9"/>
      <c r="AE276" s="9">
        <v>837297752</v>
      </c>
      <c r="AF276" s="9"/>
      <c r="AG276" s="9"/>
      <c r="AH276" s="9"/>
      <c r="AI276" s="9"/>
      <c r="AJ276" s="9"/>
      <c r="AK276" s="9">
        <v>343352099</v>
      </c>
      <c r="AL276" s="9"/>
      <c r="AM276" s="10">
        <v>12916958346</v>
      </c>
    </row>
    <row r="277" spans="1:39" ht="15.75" customHeight="1">
      <c r="A277" s="6">
        <v>147</v>
      </c>
      <c r="B277" s="6">
        <v>2020</v>
      </c>
      <c r="C277" s="6" t="s">
        <v>265</v>
      </c>
      <c r="D277" s="7" t="s">
        <v>266</v>
      </c>
      <c r="E277" s="6" t="s">
        <v>196</v>
      </c>
      <c r="F277" s="6" t="s">
        <v>267</v>
      </c>
      <c r="G277" s="6"/>
      <c r="H277" s="6"/>
      <c r="I277" s="8">
        <v>239840874085</v>
      </c>
      <c r="J277" s="8">
        <v>498020612974</v>
      </c>
      <c r="K277" s="8">
        <v>18075450551</v>
      </c>
      <c r="L277" s="8">
        <v>112663245901</v>
      </c>
      <c r="M277" s="8">
        <v>385357367073</v>
      </c>
      <c r="N277" s="8">
        <v>2000000000</v>
      </c>
      <c r="O277" s="8">
        <v>330675687019</v>
      </c>
      <c r="P277" s="8">
        <v>233761111651</v>
      </c>
      <c r="Q277" s="6"/>
      <c r="R277" s="6"/>
      <c r="S277" s="11"/>
      <c r="T277" s="9">
        <f>30572099655+56246224164+6860466956</f>
        <v>93678790775</v>
      </c>
      <c r="U277" s="12">
        <v>249076655</v>
      </c>
      <c r="V277" s="13">
        <f t="shared" si="10"/>
        <v>385357367073</v>
      </c>
      <c r="W277" s="13">
        <f t="shared" si="40"/>
        <v>0.22622205379856791</v>
      </c>
      <c r="X277" s="13">
        <f t="shared" si="41"/>
        <v>0.2923604309338601</v>
      </c>
      <c r="Y277" s="8">
        <f t="shared" si="37"/>
        <v>5.0013322443142217E-4</v>
      </c>
      <c r="Z277" s="8">
        <f t="shared" si="38"/>
        <v>6.4635238945053377E-4</v>
      </c>
      <c r="AA277" s="8">
        <f t="shared" si="42"/>
        <v>0.29308043854591426</v>
      </c>
      <c r="AB277" s="8">
        <f t="shared" si="39"/>
        <v>7.5323546537513816E-4</v>
      </c>
      <c r="AC277" s="8">
        <f t="shared" si="43"/>
        <v>0.29308043854591426</v>
      </c>
      <c r="AD277" s="9"/>
      <c r="AE277" s="9">
        <v>666999902</v>
      </c>
      <c r="AF277" s="9"/>
      <c r="AG277" s="9"/>
      <c r="AH277" s="9"/>
      <c r="AI277" s="9"/>
      <c r="AJ277" s="9"/>
      <c r="AK277" s="9">
        <v>611975105</v>
      </c>
      <c r="AL277" s="9"/>
      <c r="AM277" s="9">
        <v>6759898531</v>
      </c>
    </row>
    <row r="278" spans="1:39" ht="15.75" customHeight="1">
      <c r="A278" s="6">
        <v>172</v>
      </c>
      <c r="B278" s="6">
        <v>2018</v>
      </c>
      <c r="C278" s="6" t="s">
        <v>268</v>
      </c>
      <c r="D278" s="7" t="s">
        <v>269</v>
      </c>
      <c r="E278" s="6" t="s">
        <v>270</v>
      </c>
      <c r="F278" s="6" t="s">
        <v>271</v>
      </c>
      <c r="G278" s="8"/>
      <c r="H278" s="9">
        <v>100000000</v>
      </c>
      <c r="I278" s="8">
        <v>1215546692942</v>
      </c>
      <c r="J278" s="8">
        <v>8322960974230</v>
      </c>
      <c r="K278" s="8">
        <v>92250390844</v>
      </c>
      <c r="L278" s="8">
        <v>2535106096057</v>
      </c>
      <c r="M278" s="8">
        <v>5787854878173</v>
      </c>
      <c r="N278" s="8">
        <v>9120000000</v>
      </c>
      <c r="O278" s="8">
        <v>20604487293751</v>
      </c>
      <c r="P278" s="8">
        <v>18207487072775</v>
      </c>
      <c r="Q278" s="6"/>
      <c r="R278" s="6"/>
      <c r="S278" s="11"/>
      <c r="T278" s="9">
        <f>1362204479737+206695250349+22161406875+5391026594</f>
        <v>1596452163555</v>
      </c>
      <c r="U278" s="12">
        <v>653250886056</v>
      </c>
      <c r="V278" s="13">
        <f t="shared" si="10"/>
        <v>5787854878173</v>
      </c>
      <c r="W278" s="13">
        <f t="shared" si="40"/>
        <v>0.30459185185492665</v>
      </c>
      <c r="X278" s="13">
        <f t="shared" si="41"/>
        <v>0.43800443332076672</v>
      </c>
      <c r="Y278" s="8">
        <f t="shared" si="37"/>
        <v>7.8487798762799751E-2</v>
      </c>
      <c r="Z278" s="8">
        <f t="shared" si="38"/>
        <v>0.11286580258249423</v>
      </c>
      <c r="AA278" s="8">
        <f t="shared" si="42"/>
        <v>0.11633389304003554</v>
      </c>
      <c r="AB278" s="8">
        <f t="shared" si="39"/>
        <v>3.170430191942316E-2</v>
      </c>
      <c r="AC278" s="8">
        <f t="shared" si="43"/>
        <v>0.11633389304003554</v>
      </c>
      <c r="AD278" s="9"/>
      <c r="AE278" s="9">
        <v>68337567115</v>
      </c>
      <c r="AF278" s="9"/>
      <c r="AG278" s="9"/>
      <c r="AH278" s="9"/>
      <c r="AI278" s="10"/>
      <c r="AJ278" s="9"/>
      <c r="AK278" s="10"/>
      <c r="AL278" s="9">
        <v>4765325768</v>
      </c>
      <c r="AM278" s="10">
        <v>12587677148</v>
      </c>
    </row>
    <row r="279" spans="1:39" ht="15.75" customHeight="1">
      <c r="A279" s="6">
        <v>173</v>
      </c>
      <c r="B279" s="6">
        <v>2019</v>
      </c>
      <c r="C279" s="6" t="s">
        <v>268</v>
      </c>
      <c r="D279" s="7" t="s">
        <v>269</v>
      </c>
      <c r="E279" s="6" t="s">
        <v>270</v>
      </c>
      <c r="F279" s="6" t="s">
        <v>271</v>
      </c>
      <c r="G279" s="8"/>
      <c r="H279" s="9">
        <v>100000000</v>
      </c>
      <c r="I279" s="8">
        <v>1433166129304</v>
      </c>
      <c r="J279" s="8">
        <v>8704958834283</v>
      </c>
      <c r="K279" s="8">
        <v>111696870012</v>
      </c>
      <c r="L279" s="8">
        <v>2575650387235</v>
      </c>
      <c r="M279" s="8">
        <v>6129308447048</v>
      </c>
      <c r="N279" s="8">
        <v>9120000000</v>
      </c>
      <c r="O279" s="8">
        <v>22226912485948</v>
      </c>
      <c r="P279" s="8">
        <v>19771990916170</v>
      </c>
      <c r="Q279" s="6"/>
      <c r="R279" s="6"/>
      <c r="S279" s="11"/>
      <c r="T279" s="9">
        <f>1504815891702+222490672344+6161028189+2683149488</f>
        <v>1736150741723</v>
      </c>
      <c r="U279" s="12">
        <v>580814677453</v>
      </c>
      <c r="V279" s="13">
        <f t="shared" si="10"/>
        <v>6129308447048</v>
      </c>
      <c r="W279" s="13">
        <f t="shared" si="40"/>
        <v>0.29588312090474672</v>
      </c>
      <c r="X279" s="13">
        <f t="shared" si="41"/>
        <v>0.4202187586881006</v>
      </c>
      <c r="Y279" s="8">
        <f t="shared" si="37"/>
        <v>6.6722277326063867E-2</v>
      </c>
      <c r="Z279" s="8">
        <f t="shared" si="38"/>
        <v>9.4760229880865632E-2</v>
      </c>
      <c r="AA279" s="8">
        <f t="shared" si="42"/>
        <v>0.1104481592452401</v>
      </c>
      <c r="AB279" s="8">
        <f t="shared" si="39"/>
        <v>2.6131145197075611E-2</v>
      </c>
      <c r="AC279" s="8">
        <f t="shared" si="43"/>
        <v>0.1104481592452401</v>
      </c>
      <c r="AD279" s="9"/>
      <c r="AE279" s="9">
        <v>75894354957</v>
      </c>
      <c r="AF279" s="9"/>
      <c r="AG279" s="9"/>
      <c r="AH279" s="9"/>
      <c r="AI279" s="10"/>
      <c r="AJ279" s="9"/>
      <c r="AK279" s="10"/>
      <c r="AL279" s="9">
        <v>2430387959</v>
      </c>
      <c r="AM279" s="10">
        <v>12753712629</v>
      </c>
    </row>
    <row r="280" spans="1:39" ht="15.75" customHeight="1">
      <c r="A280" s="6">
        <v>174</v>
      </c>
      <c r="B280" s="6">
        <v>2020</v>
      </c>
      <c r="C280" s="6" t="s">
        <v>268</v>
      </c>
      <c r="D280" s="7" t="s">
        <v>269</v>
      </c>
      <c r="E280" s="6" t="s">
        <v>270</v>
      </c>
      <c r="F280" s="6" t="s">
        <v>271</v>
      </c>
      <c r="G280" s="6"/>
      <c r="H280" s="9">
        <v>100000000</v>
      </c>
      <c r="I280" s="8">
        <v>1531423663540</v>
      </c>
      <c r="J280" s="8">
        <v>9211731059218</v>
      </c>
      <c r="K280" s="8">
        <v>118288329421</v>
      </c>
      <c r="L280" s="8">
        <v>2652274698711</v>
      </c>
      <c r="M280" s="8">
        <v>6559456360507</v>
      </c>
      <c r="N280" s="8">
        <v>9120000000</v>
      </c>
      <c r="O280" s="8">
        <v>22545419368639</v>
      </c>
      <c r="P280" s="8">
        <v>20086788571564</v>
      </c>
      <c r="Q280" s="6"/>
      <c r="R280" s="6"/>
      <c r="S280" s="11"/>
      <c r="T280" s="9">
        <f>1478722246303+231348697736+10852235264+12082117088</f>
        <v>1733005296391</v>
      </c>
      <c r="U280" s="12">
        <v>679870547997</v>
      </c>
      <c r="V280" s="13">
        <f t="shared" si="10"/>
        <v>6559456360507</v>
      </c>
      <c r="W280" s="13">
        <f t="shared" si="40"/>
        <v>0.28792359239113047</v>
      </c>
      <c r="X280" s="13">
        <f t="shared" si="41"/>
        <v>0.40434367620459294</v>
      </c>
      <c r="Y280" s="8">
        <f t="shared" si="37"/>
        <v>7.3804862910827898E-2</v>
      </c>
      <c r="Z280" s="8">
        <f t="shared" si="38"/>
        <v>0.10364739250196807</v>
      </c>
      <c r="AA280" s="8">
        <f t="shared" si="42"/>
        <v>0.10905234260113122</v>
      </c>
      <c r="AB280" s="8">
        <f t="shared" si="39"/>
        <v>3.0155595550496152E-2</v>
      </c>
      <c r="AC280" s="8">
        <f t="shared" si="43"/>
        <v>0.10905234260113122</v>
      </c>
      <c r="AD280" s="9"/>
      <c r="AE280" s="9">
        <v>85243091450</v>
      </c>
      <c r="AF280" s="9"/>
      <c r="AG280" s="9"/>
      <c r="AH280" s="9"/>
      <c r="AI280" s="9"/>
      <c r="AJ280" s="9"/>
      <c r="AK280" s="9"/>
      <c r="AL280" s="10">
        <v>2659791099</v>
      </c>
      <c r="AM280" s="10">
        <v>20869953268</v>
      </c>
    </row>
    <row r="281" spans="1:39" ht="15.75" customHeight="1">
      <c r="A281" s="6">
        <v>211</v>
      </c>
      <c r="B281" s="6">
        <v>2018</v>
      </c>
      <c r="C281" s="6" t="s">
        <v>272</v>
      </c>
      <c r="D281" s="7" t="s">
        <v>273</v>
      </c>
      <c r="E281" s="6" t="s">
        <v>270</v>
      </c>
      <c r="F281" s="6" t="s">
        <v>271</v>
      </c>
      <c r="G281" s="8"/>
      <c r="H281" s="6"/>
      <c r="I281" s="22">
        <v>33931351</v>
      </c>
      <c r="J281" s="22">
        <v>283350512</v>
      </c>
      <c r="K281" s="22">
        <v>9889254</v>
      </c>
      <c r="L281" s="22">
        <v>133047144</v>
      </c>
      <c r="M281" s="22">
        <v>150303368</v>
      </c>
      <c r="N281" s="13">
        <v>1680000000</v>
      </c>
      <c r="O281" s="22">
        <v>343228140</v>
      </c>
      <c r="P281" s="22">
        <v>272719324</v>
      </c>
      <c r="Q281" s="6"/>
      <c r="R281" s="6"/>
      <c r="S281" s="11"/>
      <c r="T281" s="26">
        <f>24818529+14936978+1642242</f>
        <v>41397749</v>
      </c>
      <c r="U281" s="26">
        <v>22549481</v>
      </c>
      <c r="V281" s="21">
        <f t="shared" si="10"/>
        <v>150303368</v>
      </c>
      <c r="W281" s="13">
        <f t="shared" si="40"/>
        <v>0.46954968622043641</v>
      </c>
      <c r="X281" s="13">
        <f t="shared" si="41"/>
        <v>0.88519070311185577</v>
      </c>
      <c r="Y281" s="8">
        <f t="shared" ref="Y281:Y282" si="44">U282/J281</f>
        <v>0.13269846147304651</v>
      </c>
      <c r="Z281" s="8">
        <f t="shared" ref="Z281:Z282" si="45">U282/M281</f>
        <v>0.25016190588623405</v>
      </c>
      <c r="AA281" s="8">
        <f t="shared" si="42"/>
        <v>0.20542842437103204</v>
      </c>
      <c r="AB281" s="8">
        <f t="shared" ref="AB281:AB282" si="46">U282/O281</f>
        <v>0.10954864306871809</v>
      </c>
      <c r="AC281" s="8">
        <f t="shared" si="43"/>
        <v>0.20542842437103204</v>
      </c>
      <c r="AD281" s="9"/>
      <c r="AF281" s="9"/>
      <c r="AG281" s="9"/>
      <c r="AH281" s="9"/>
      <c r="AI281" s="9"/>
      <c r="AJ281" s="9"/>
      <c r="AK281" s="9"/>
      <c r="AL281" s="9"/>
      <c r="AM281" s="10"/>
    </row>
    <row r="282" spans="1:39" ht="15.75" customHeight="1">
      <c r="A282" s="6">
        <v>212</v>
      </c>
      <c r="B282" s="6">
        <v>2019</v>
      </c>
      <c r="C282" s="6" t="s">
        <v>272</v>
      </c>
      <c r="D282" s="7" t="s">
        <v>273</v>
      </c>
      <c r="E282" s="6" t="s">
        <v>270</v>
      </c>
      <c r="F282" s="6" t="s">
        <v>271</v>
      </c>
      <c r="G282" s="8"/>
      <c r="H282" s="6"/>
      <c r="I282" s="22">
        <v>32395945</v>
      </c>
      <c r="J282" s="22">
        <v>346312450</v>
      </c>
      <c r="K282" s="22">
        <v>11149711</v>
      </c>
      <c r="L282" s="22">
        <v>177023250</v>
      </c>
      <c r="M282" s="22">
        <v>169289200</v>
      </c>
      <c r="N282" s="13">
        <v>1680000000</v>
      </c>
      <c r="O282" s="22">
        <v>461333111</v>
      </c>
      <c r="P282" s="22">
        <v>364810934</v>
      </c>
      <c r="Q282" s="6"/>
      <c r="R282" s="6"/>
      <c r="S282" s="11"/>
      <c r="T282" s="22">
        <f>28314962+15621674+3812225</f>
        <v>47748861</v>
      </c>
      <c r="U282" s="22">
        <v>37600177</v>
      </c>
      <c r="V282" s="21">
        <f t="shared" si="10"/>
        <v>169289200</v>
      </c>
      <c r="W282" s="13">
        <f t="shared" si="40"/>
        <v>0.5111662892858746</v>
      </c>
      <c r="X282" s="13">
        <f t="shared" si="41"/>
        <v>1.0456854306122305</v>
      </c>
      <c r="Y282" s="8">
        <f t="shared" si="44"/>
        <v>0.11098880793918901</v>
      </c>
      <c r="Z282" s="8">
        <f t="shared" si="45"/>
        <v>0.22704818736221802</v>
      </c>
      <c r="AA282" s="8">
        <f t="shared" si="42"/>
        <v>0.20922447294271926</v>
      </c>
      <c r="AB282" s="8">
        <f t="shared" si="46"/>
        <v>8.3316816164968485E-2</v>
      </c>
      <c r="AC282" s="8">
        <f t="shared" si="43"/>
        <v>0.20922447294271926</v>
      </c>
      <c r="AD282" s="9"/>
      <c r="AE282" s="9">
        <v>114191</v>
      </c>
      <c r="AF282" s="9"/>
      <c r="AG282" s="9"/>
      <c r="AH282" s="9"/>
      <c r="AI282" s="9"/>
      <c r="AJ282" s="9"/>
      <c r="AK282" s="10"/>
      <c r="AL282" s="10"/>
      <c r="AM282" s="10"/>
    </row>
    <row r="283" spans="1:39" ht="15.75" customHeight="1">
      <c r="A283" s="6">
        <v>213</v>
      </c>
      <c r="B283" s="6">
        <v>2020</v>
      </c>
      <c r="C283" s="6" t="s">
        <v>272</v>
      </c>
      <c r="D283" s="7" t="s">
        <v>273</v>
      </c>
      <c r="E283" s="6" t="s">
        <v>270</v>
      </c>
      <c r="F283" s="6" t="s">
        <v>271</v>
      </c>
      <c r="G283" s="8"/>
      <c r="H283" s="6"/>
      <c r="I283" s="22">
        <v>32253909</v>
      </c>
      <c r="J283" s="22">
        <v>266022591</v>
      </c>
      <c r="K283" s="22">
        <v>10039504</v>
      </c>
      <c r="L283" s="22">
        <v>87695831</v>
      </c>
      <c r="M283" s="22">
        <v>178326760</v>
      </c>
      <c r="N283" s="13">
        <v>1680000000</v>
      </c>
      <c r="O283" s="22">
        <v>424431271</v>
      </c>
      <c r="P283" s="22">
        <v>316530893</v>
      </c>
      <c r="Q283" s="6"/>
      <c r="R283" s="6"/>
      <c r="S283" s="11"/>
      <c r="T283" s="22">
        <f>28766111+19868641+9990238</f>
        <v>58624990</v>
      </c>
      <c r="U283" s="26">
        <v>38436806</v>
      </c>
      <c r="V283" s="21">
        <f t="shared" si="10"/>
        <v>178326760</v>
      </c>
      <c r="W283" s="13">
        <f t="shared" si="40"/>
        <v>0.32965557801066603</v>
      </c>
      <c r="X283" s="13">
        <f t="shared" si="41"/>
        <v>0.49177044993135072</v>
      </c>
      <c r="Y283" s="8">
        <f t="shared" ref="Y283:Y411" si="47">U283/J283</f>
        <v>0.14448699960222552</v>
      </c>
      <c r="Z283" s="8">
        <f t="shared" ref="Z283:Z411" si="48">U283/M283</f>
        <v>0.21554143640584283</v>
      </c>
      <c r="AA283" s="8">
        <f t="shared" si="42"/>
        <v>0.25422344057207791</v>
      </c>
      <c r="AB283" s="8">
        <f t="shared" ref="AB283:AB411" si="49">U283/O283</f>
        <v>9.056073062062385E-2</v>
      </c>
      <c r="AC283" s="8">
        <f t="shared" si="43"/>
        <v>0.25422344057207791</v>
      </c>
      <c r="AD283" s="9"/>
      <c r="AE283" s="10">
        <v>114790</v>
      </c>
      <c r="AF283" s="9"/>
      <c r="AG283" s="9"/>
      <c r="AH283" s="9"/>
      <c r="AI283" s="9"/>
      <c r="AJ283" s="10"/>
      <c r="AK283" s="10"/>
      <c r="AL283" s="10"/>
      <c r="AM283" s="10"/>
    </row>
    <row r="284" spans="1:39" ht="15.75" customHeight="1">
      <c r="A284" s="6">
        <v>298</v>
      </c>
      <c r="B284" s="6">
        <v>2018</v>
      </c>
      <c r="C284" s="6" t="s">
        <v>274</v>
      </c>
      <c r="D284" s="7" t="s">
        <v>275</v>
      </c>
      <c r="E284" s="6" t="s">
        <v>270</v>
      </c>
      <c r="F284" s="6" t="s">
        <v>271</v>
      </c>
      <c r="G284" s="8"/>
      <c r="H284" s="9">
        <v>753799000000</v>
      </c>
      <c r="I284" s="10">
        <v>1901953000000</v>
      </c>
      <c r="J284" s="10">
        <v>6318441000000</v>
      </c>
      <c r="K284" s="10">
        <v>1205919000000</v>
      </c>
      <c r="L284" s="10">
        <v>4193399000000</v>
      </c>
      <c r="M284" s="10">
        <v>2125042000000</v>
      </c>
      <c r="N284" s="8">
        <v>4800000000</v>
      </c>
      <c r="O284" s="10">
        <v>7076493000000</v>
      </c>
      <c r="P284" s="10">
        <v>5787390000000</v>
      </c>
      <c r="Q284" s="6"/>
      <c r="R284" s="6"/>
      <c r="S284" s="11"/>
      <c r="T284" s="8">
        <f>838800000000+57067000000</f>
        <v>895867000000</v>
      </c>
      <c r="U284" s="19">
        <v>233141000000</v>
      </c>
      <c r="V284" s="9">
        <f t="shared" si="10"/>
        <v>2125042000000</v>
      </c>
      <c r="W284" s="13">
        <f t="shared" si="40"/>
        <v>0.66367621380020803</v>
      </c>
      <c r="X284" s="13">
        <f t="shared" si="41"/>
        <v>1.9733252331012752</v>
      </c>
      <c r="Y284" s="8">
        <f t="shared" si="47"/>
        <v>3.689850075358779E-2</v>
      </c>
      <c r="Z284" s="8">
        <f t="shared" si="48"/>
        <v>0.10971124335424901</v>
      </c>
      <c r="AA284" s="8">
        <f t="shared" si="42"/>
        <v>0.1821669292967576</v>
      </c>
      <c r="AB284" s="8">
        <f t="shared" si="49"/>
        <v>3.2945839132462927E-2</v>
      </c>
      <c r="AC284" s="8">
        <f t="shared" si="43"/>
        <v>0.1821669292967576</v>
      </c>
      <c r="AD284" s="9"/>
      <c r="AE284" s="9"/>
      <c r="AF284" s="9"/>
      <c r="AG284" s="9"/>
      <c r="AH284" s="9"/>
      <c r="AI284" s="9"/>
      <c r="AJ284" s="10"/>
      <c r="AK284" s="10"/>
      <c r="AL284" s="9"/>
      <c r="AM284" s="10"/>
    </row>
    <row r="285" spans="1:39" ht="15.75" customHeight="1">
      <c r="A285" s="6">
        <v>299</v>
      </c>
      <c r="B285" s="6">
        <v>2019</v>
      </c>
      <c r="C285" s="6" t="s">
        <v>274</v>
      </c>
      <c r="D285" s="7" t="s">
        <v>275</v>
      </c>
      <c r="E285" s="6" t="s">
        <v>270</v>
      </c>
      <c r="F285" s="6" t="s">
        <v>271</v>
      </c>
      <c r="G285" s="8"/>
      <c r="H285" s="9">
        <v>821200000000</v>
      </c>
      <c r="I285" s="10">
        <v>1880861000000</v>
      </c>
      <c r="J285" s="10">
        <v>5863204000000</v>
      </c>
      <c r="K285" s="10">
        <v>731430000000</v>
      </c>
      <c r="L285" s="10">
        <v>3703024000000</v>
      </c>
      <c r="M285" s="10">
        <v>2160180000000</v>
      </c>
      <c r="N285" s="8">
        <v>4800000000</v>
      </c>
      <c r="O285" s="10">
        <v>6534734000000</v>
      </c>
      <c r="P285" s="10">
        <v>5253452000000</v>
      </c>
      <c r="Q285" s="6"/>
      <c r="R285" s="6"/>
      <c r="S285" s="11"/>
      <c r="T285" s="8">
        <f>873976000000+5811000000</f>
        <v>879787000000</v>
      </c>
      <c r="U285" s="12">
        <v>225747000000</v>
      </c>
      <c r="V285" s="9">
        <f t="shared" si="10"/>
        <v>2160180000000</v>
      </c>
      <c r="W285" s="13">
        <f t="shared" si="40"/>
        <v>0.63157004259104754</v>
      </c>
      <c r="X285" s="13">
        <f t="shared" si="41"/>
        <v>1.7142201112870223</v>
      </c>
      <c r="Y285" s="8">
        <f t="shared" si="47"/>
        <v>3.8502327396420115E-2</v>
      </c>
      <c r="Z285" s="8">
        <f t="shared" si="48"/>
        <v>0.10450379135072077</v>
      </c>
      <c r="AA285" s="8">
        <f t="shared" si="42"/>
        <v>0.19607255628155637</v>
      </c>
      <c r="AB285" s="8">
        <f t="shared" si="49"/>
        <v>3.4545706068525514E-2</v>
      </c>
      <c r="AC285" s="8">
        <f t="shared" si="43"/>
        <v>0.19607255628155637</v>
      </c>
      <c r="AD285" s="9"/>
      <c r="AE285" s="9"/>
      <c r="AF285" s="9"/>
      <c r="AG285" s="9"/>
      <c r="AH285" s="9"/>
      <c r="AI285" s="9"/>
      <c r="AJ285" s="10"/>
      <c r="AK285" s="10"/>
      <c r="AL285" s="9"/>
      <c r="AM285" s="10"/>
    </row>
    <row r="286" spans="1:39" ht="15.75" customHeight="1">
      <c r="A286" s="6">
        <v>300</v>
      </c>
      <c r="B286" s="6">
        <v>2020</v>
      </c>
      <c r="C286" s="6" t="s">
        <v>274</v>
      </c>
      <c r="D286" s="7" t="s">
        <v>275</v>
      </c>
      <c r="E286" s="6" t="s">
        <v>270</v>
      </c>
      <c r="F286" s="6" t="s">
        <v>271</v>
      </c>
      <c r="G286" s="6"/>
      <c r="H286" s="9">
        <f>(812498+114343)*1000000</f>
        <v>926841000000</v>
      </c>
      <c r="I286" s="10">
        <v>1828809000000</v>
      </c>
      <c r="J286" s="10">
        <v>5524302000000</v>
      </c>
      <c r="K286" s="9">
        <v>1091250000000</v>
      </c>
      <c r="L286" s="10">
        <v>3281180000000</v>
      </c>
      <c r="M286" s="10">
        <v>2243122000000</v>
      </c>
      <c r="N286" s="8">
        <v>4800000000</v>
      </c>
      <c r="O286" s="10">
        <v>5592338000000</v>
      </c>
      <c r="P286" s="10">
        <v>4417520000000</v>
      </c>
      <c r="Q286" s="6"/>
      <c r="R286" s="6"/>
      <c r="S286" s="11"/>
      <c r="T286" s="8">
        <f>775644000000+87519000000</f>
        <v>863163000000</v>
      </c>
      <c r="U286" s="12">
        <v>118196000000</v>
      </c>
      <c r="V286" s="9">
        <f t="shared" si="10"/>
        <v>2243122000000</v>
      </c>
      <c r="W286" s="13">
        <f t="shared" si="40"/>
        <v>0.59395377008715311</v>
      </c>
      <c r="X286" s="13">
        <f t="shared" si="41"/>
        <v>1.4627737590732917</v>
      </c>
      <c r="Y286" s="8">
        <f t="shared" si="47"/>
        <v>2.1395644191791109E-2</v>
      </c>
      <c r="Z286" s="8">
        <f t="shared" si="48"/>
        <v>5.2692631074012022E-2</v>
      </c>
      <c r="AA286" s="8">
        <f t="shared" si="42"/>
        <v>0.21007635804559738</v>
      </c>
      <c r="AB286" s="8">
        <f t="shared" si="49"/>
        <v>2.1135346254106957E-2</v>
      </c>
      <c r="AC286" s="8">
        <f t="shared" si="43"/>
        <v>0.21007635804559738</v>
      </c>
      <c r="AD286" s="9"/>
      <c r="AE286" s="9"/>
      <c r="AF286" s="9"/>
      <c r="AG286" s="9"/>
      <c r="AH286" s="9"/>
      <c r="AI286" s="9"/>
      <c r="AJ286" s="9"/>
      <c r="AK286" s="9"/>
      <c r="AL286" s="9"/>
      <c r="AM286" s="10"/>
    </row>
    <row r="287" spans="1:39" ht="15.75" customHeight="1">
      <c r="A287" s="6">
        <v>316</v>
      </c>
      <c r="B287" s="6">
        <v>2018</v>
      </c>
      <c r="C287" s="6" t="s">
        <v>276</v>
      </c>
      <c r="D287" s="7" t="s">
        <v>277</v>
      </c>
      <c r="E287" s="6" t="s">
        <v>270</v>
      </c>
      <c r="F287" s="6" t="s">
        <v>271</v>
      </c>
      <c r="G287" s="8"/>
      <c r="H287" s="9">
        <v>5424000000</v>
      </c>
      <c r="I287" s="10">
        <v>396613573360</v>
      </c>
      <c r="J287" s="10">
        <v>928832007829</v>
      </c>
      <c r="K287" s="10">
        <v>72924681977</v>
      </c>
      <c r="L287" s="10">
        <v>291120011408</v>
      </c>
      <c r="M287" s="10">
        <v>637711996421</v>
      </c>
      <c r="N287" s="8">
        <v>2000000000</v>
      </c>
      <c r="O287" s="10">
        <v>28935125276</v>
      </c>
      <c r="P287" s="10">
        <v>23917401115</v>
      </c>
      <c r="Q287" s="6"/>
      <c r="R287" s="6"/>
      <c r="S287" s="11"/>
      <c r="T287" s="8">
        <f>314144918983+1364477909</f>
        <v>315509396892</v>
      </c>
      <c r="U287" s="12">
        <v>32997196204</v>
      </c>
      <c r="V287" s="9">
        <f t="shared" si="10"/>
        <v>637711996421</v>
      </c>
      <c r="W287" s="13">
        <f t="shared" si="40"/>
        <v>0.31342590366631273</v>
      </c>
      <c r="X287" s="13">
        <f t="shared" si="41"/>
        <v>0.45650703302092271</v>
      </c>
      <c r="Y287" s="8">
        <f t="shared" si="47"/>
        <v>3.5525472772117102E-2</v>
      </c>
      <c r="Z287" s="8">
        <f t="shared" si="48"/>
        <v>5.1743100943981858E-2</v>
      </c>
      <c r="AA287" s="8">
        <f t="shared" si="42"/>
        <v>0.17341290604889517</v>
      </c>
      <c r="AB287" s="8">
        <f t="shared" si="49"/>
        <v>1.1403854619343656</v>
      </c>
      <c r="AC287" s="8">
        <f t="shared" si="43"/>
        <v>0.17341290604889517</v>
      </c>
      <c r="AD287" s="9"/>
      <c r="AE287" s="10"/>
      <c r="AF287" s="9"/>
      <c r="AG287" s="9"/>
      <c r="AH287" s="9"/>
      <c r="AI287" s="9"/>
      <c r="AJ287" s="9"/>
      <c r="AK287" s="10"/>
      <c r="AL287" s="9"/>
      <c r="AM287" s="10"/>
    </row>
    <row r="288" spans="1:39" ht="15.75" customHeight="1">
      <c r="A288" s="6">
        <v>317</v>
      </c>
      <c r="B288" s="6">
        <v>2019</v>
      </c>
      <c r="C288" s="6" t="s">
        <v>276</v>
      </c>
      <c r="D288" s="7" t="s">
        <v>277</v>
      </c>
      <c r="E288" s="6" t="s">
        <v>270</v>
      </c>
      <c r="F288" s="6" t="s">
        <v>271</v>
      </c>
      <c r="G288" s="8"/>
      <c r="H288" s="9">
        <v>5136000000</v>
      </c>
      <c r="I288" s="10">
        <v>441663263719</v>
      </c>
      <c r="J288" s="10">
        <v>1044252437786</v>
      </c>
      <c r="K288" s="10">
        <v>61600581292</v>
      </c>
      <c r="L288" s="10">
        <v>365397404361</v>
      </c>
      <c r="M288" s="10">
        <v>678855033425</v>
      </c>
      <c r="N288" s="8">
        <v>2000000000</v>
      </c>
      <c r="O288" s="10">
        <v>704897521423</v>
      </c>
      <c r="P288" s="10">
        <v>325702387052</v>
      </c>
      <c r="Q288" s="6"/>
      <c r="R288" s="6"/>
      <c r="S288" s="11"/>
      <c r="T288" s="8">
        <f>359462091901+4452173918</f>
        <v>363914265819</v>
      </c>
      <c r="U288" s="12">
        <v>34333566183</v>
      </c>
      <c r="V288" s="9">
        <f t="shared" si="10"/>
        <v>678855033425</v>
      </c>
      <c r="W288" s="13">
        <f t="shared" si="40"/>
        <v>0.3499129052891724</v>
      </c>
      <c r="X288" s="13">
        <f t="shared" si="41"/>
        <v>0.53825542475169574</v>
      </c>
      <c r="Y288" s="8">
        <f t="shared" si="47"/>
        <v>3.287860764375445E-2</v>
      </c>
      <c r="Z288" s="8">
        <f t="shared" si="48"/>
        <v>5.0575696566287853E-2</v>
      </c>
      <c r="AA288" s="8">
        <f t="shared" si="42"/>
        <v>0.53794363414061408</v>
      </c>
      <c r="AB288" s="8">
        <f t="shared" si="49"/>
        <v>4.8707173935992415E-2</v>
      </c>
      <c r="AC288" s="8">
        <f t="shared" si="43"/>
        <v>0.53794363414061408</v>
      </c>
      <c r="AD288" s="9"/>
      <c r="AE288" s="10"/>
      <c r="AF288" s="9"/>
      <c r="AG288" s="9"/>
      <c r="AH288" s="9"/>
      <c r="AI288" s="9"/>
      <c r="AJ288" s="9"/>
      <c r="AK288" s="10"/>
      <c r="AL288" s="9"/>
      <c r="AM288" s="10"/>
    </row>
    <row r="289" spans="1:39" ht="15.75" customHeight="1">
      <c r="A289" s="6">
        <v>318</v>
      </c>
      <c r="B289" s="6">
        <v>2020</v>
      </c>
      <c r="C289" s="6" t="s">
        <v>276</v>
      </c>
      <c r="D289" s="7" t="s">
        <v>277</v>
      </c>
      <c r="E289" s="6" t="s">
        <v>270</v>
      </c>
      <c r="F289" s="6" t="s">
        <v>271</v>
      </c>
      <c r="G289" s="6"/>
      <c r="H289" s="9">
        <v>1224000000</v>
      </c>
      <c r="I289" s="10">
        <v>425497809009</v>
      </c>
      <c r="J289" s="10">
        <v>1000283894657</v>
      </c>
      <c r="K289" s="10">
        <v>54270499572</v>
      </c>
      <c r="L289" s="10">
        <v>319572184920</v>
      </c>
      <c r="M289" s="10">
        <v>680711709737</v>
      </c>
      <c r="N289" s="8">
        <v>2000000000</v>
      </c>
      <c r="O289" s="10">
        <v>654285313569</v>
      </c>
      <c r="P289" s="10">
        <v>282419815086</v>
      </c>
      <c r="Q289" s="6"/>
      <c r="R289" s="6"/>
      <c r="S289" s="11"/>
      <c r="T289" s="8">
        <f>339163629799+26439740478</f>
        <v>365603370277</v>
      </c>
      <c r="U289" s="12">
        <v>2701416962</v>
      </c>
      <c r="V289" s="9">
        <f t="shared" si="10"/>
        <v>680711709737</v>
      </c>
      <c r="W289" s="13">
        <f t="shared" si="40"/>
        <v>0.31948148583316155</v>
      </c>
      <c r="X289" s="13">
        <f t="shared" si="41"/>
        <v>0.46946773553149251</v>
      </c>
      <c r="Y289" s="8">
        <f t="shared" si="47"/>
        <v>2.7006502618202436E-3</v>
      </c>
      <c r="Z289" s="8">
        <f t="shared" si="48"/>
        <v>3.9685184246995254E-3</v>
      </c>
      <c r="AA289" s="8">
        <f t="shared" si="42"/>
        <v>0.56835373004866263</v>
      </c>
      <c r="AB289" s="8">
        <f t="shared" si="49"/>
        <v>4.128805745714041E-3</v>
      </c>
      <c r="AC289" s="8">
        <f t="shared" si="43"/>
        <v>0.56835373004866263</v>
      </c>
      <c r="AD289" s="9"/>
      <c r="AE289" s="10"/>
      <c r="AF289" s="9"/>
      <c r="AG289" s="9"/>
      <c r="AH289" s="9"/>
      <c r="AI289" s="9"/>
      <c r="AJ289" s="9"/>
      <c r="AK289" s="10"/>
      <c r="AL289" s="9"/>
      <c r="AM289" s="10"/>
    </row>
    <row r="290" spans="1:39" ht="15.75" customHeight="1">
      <c r="A290" s="6">
        <v>406</v>
      </c>
      <c r="B290" s="6">
        <v>2018</v>
      </c>
      <c r="C290" s="6" t="s">
        <v>278</v>
      </c>
      <c r="D290" s="7" t="s">
        <v>279</v>
      </c>
      <c r="E290" s="6" t="s">
        <v>270</v>
      </c>
      <c r="F290" s="6" t="s">
        <v>271</v>
      </c>
      <c r="G290" s="6"/>
      <c r="H290" s="9"/>
      <c r="I290" s="10">
        <v>19895955091</v>
      </c>
      <c r="J290" s="10">
        <v>1192891220453</v>
      </c>
      <c r="K290" s="10">
        <v>24856461000</v>
      </c>
      <c r="L290" s="10">
        <v>960783279869</v>
      </c>
      <c r="M290" s="10">
        <v>232107940584</v>
      </c>
      <c r="N290" s="8">
        <v>2184000000</v>
      </c>
      <c r="O290" s="9">
        <v>2376182739151</v>
      </c>
      <c r="P290" s="10">
        <v>2166026999864</v>
      </c>
      <c r="Q290" s="6"/>
      <c r="R290" s="6"/>
      <c r="S290" s="11"/>
      <c r="T290" s="10">
        <f>42305260589+102159744732+2830832908</f>
        <v>147295838229</v>
      </c>
      <c r="U290" s="12">
        <v>19444262069</v>
      </c>
      <c r="V290" s="9">
        <f t="shared" si="10"/>
        <v>232107940584</v>
      </c>
      <c r="W290" s="13">
        <f t="shared" si="40"/>
        <v>0.80542405157793262</v>
      </c>
      <c r="X290" s="13">
        <f t="shared" si="41"/>
        <v>4.1393813475385688</v>
      </c>
      <c r="Y290" s="8">
        <f t="shared" si="47"/>
        <v>1.6300113317638511E-2</v>
      </c>
      <c r="Z290" s="8">
        <f t="shared" si="48"/>
        <v>8.3772498347436372E-2</v>
      </c>
      <c r="AA290" s="8">
        <f t="shared" si="42"/>
        <v>8.8442583065849456E-2</v>
      </c>
      <c r="AB290" s="8">
        <f t="shared" si="49"/>
        <v>8.1829826252956261E-3</v>
      </c>
      <c r="AC290" s="8">
        <f t="shared" si="43"/>
        <v>8.8442583065849456E-2</v>
      </c>
      <c r="AD290" s="9"/>
      <c r="AE290" s="10"/>
      <c r="AF290" s="9"/>
      <c r="AG290" s="9"/>
      <c r="AH290" s="9"/>
      <c r="AI290" s="9"/>
      <c r="AJ290" s="9"/>
      <c r="AK290" s="10"/>
      <c r="AL290" s="9"/>
      <c r="AM290" s="9"/>
    </row>
    <row r="291" spans="1:39" ht="15.75" customHeight="1">
      <c r="A291" s="6">
        <v>407</v>
      </c>
      <c r="B291" s="6">
        <v>2019</v>
      </c>
      <c r="C291" s="6" t="s">
        <v>278</v>
      </c>
      <c r="D291" s="7" t="s">
        <v>279</v>
      </c>
      <c r="E291" s="6" t="s">
        <v>270</v>
      </c>
      <c r="F291" s="6" t="s">
        <v>271</v>
      </c>
      <c r="G291" s="6"/>
      <c r="H291" s="9"/>
      <c r="I291" s="10">
        <v>24821572603</v>
      </c>
      <c r="J291" s="10">
        <v>1230844175984</v>
      </c>
      <c r="K291" s="10">
        <v>29062791000</v>
      </c>
      <c r="L291" s="10">
        <v>995406359608</v>
      </c>
      <c r="M291" s="10">
        <v>235437816376</v>
      </c>
      <c r="N291" s="8">
        <v>2184000000</v>
      </c>
      <c r="O291" s="10">
        <v>2726755413484</v>
      </c>
      <c r="P291" s="10">
        <v>2497998546107</v>
      </c>
      <c r="Q291" s="6"/>
      <c r="R291" s="6"/>
      <c r="S291" s="11"/>
      <c r="T291" s="10">
        <f>50968036953+113057481128+1343858926</f>
        <v>165369377007</v>
      </c>
      <c r="U291" s="12">
        <v>7880007292</v>
      </c>
      <c r="V291" s="9">
        <f t="shared" ref="V291:V491" si="50">M291</f>
        <v>235437816376</v>
      </c>
      <c r="W291" s="13">
        <f t="shared" si="40"/>
        <v>0.80871842190114851</v>
      </c>
      <c r="X291" s="13">
        <f t="shared" si="41"/>
        <v>4.227894970017525</v>
      </c>
      <c r="Y291" s="8">
        <f t="shared" si="47"/>
        <v>6.4021160807787207E-3</v>
      </c>
      <c r="Z291" s="8">
        <f t="shared" si="48"/>
        <v>3.3469590456171386E-2</v>
      </c>
      <c r="AA291" s="8">
        <f t="shared" si="42"/>
        <v>8.3893431088751483E-2</v>
      </c>
      <c r="AB291" s="8">
        <f t="shared" si="49"/>
        <v>2.8898841652730575E-3</v>
      </c>
      <c r="AC291" s="8">
        <f t="shared" si="43"/>
        <v>8.3893431088751483E-2</v>
      </c>
      <c r="AD291" s="9"/>
      <c r="AE291" s="10"/>
      <c r="AF291" s="9"/>
      <c r="AG291" s="9"/>
      <c r="AH291" s="9"/>
      <c r="AI291" s="9"/>
      <c r="AJ291" s="9"/>
      <c r="AK291" s="10"/>
      <c r="AL291" s="9"/>
      <c r="AM291" s="9"/>
    </row>
    <row r="292" spans="1:39" ht="15.75" customHeight="1">
      <c r="A292" s="6">
        <v>408</v>
      </c>
      <c r="B292" s="6">
        <v>2020</v>
      </c>
      <c r="C292" s="6" t="s">
        <v>278</v>
      </c>
      <c r="D292" s="7" t="s">
        <v>279</v>
      </c>
      <c r="E292" s="6" t="s">
        <v>270</v>
      </c>
      <c r="F292" s="6" t="s">
        <v>271</v>
      </c>
      <c r="G292" s="6"/>
      <c r="H292" s="9"/>
      <c r="I292" s="10">
        <v>21788531959</v>
      </c>
      <c r="J292" s="10">
        <v>1164826486522</v>
      </c>
      <c r="K292" s="10">
        <v>32371714072</v>
      </c>
      <c r="L292" s="10">
        <v>935629997936</v>
      </c>
      <c r="M292" s="10">
        <v>229196488586</v>
      </c>
      <c r="N292" s="8">
        <v>2184000000</v>
      </c>
      <c r="O292" s="10">
        <v>2643626505412</v>
      </c>
      <c r="P292" s="10">
        <v>2421934897535</v>
      </c>
      <c r="Q292" s="6"/>
      <c r="R292" s="6"/>
      <c r="S292" s="11"/>
      <c r="T292" s="10">
        <f>50801392553+113456884154+4661838637</f>
        <v>168920115344</v>
      </c>
      <c r="U292" s="19">
        <v>2804331066</v>
      </c>
      <c r="V292" s="9">
        <f t="shared" si="50"/>
        <v>229196488586</v>
      </c>
      <c r="W292" s="13">
        <f t="shared" si="40"/>
        <v>0.80323551083531175</v>
      </c>
      <c r="X292" s="13">
        <f t="shared" si="41"/>
        <v>4.0822178546811783</v>
      </c>
      <c r="Y292" s="8">
        <f t="shared" si="47"/>
        <v>2.4075097007566497E-3</v>
      </c>
      <c r="Z292" s="8">
        <f t="shared" si="48"/>
        <v>1.2235488786503585E-2</v>
      </c>
      <c r="AA292" s="8">
        <f t="shared" si="42"/>
        <v>8.3858898911459562E-2</v>
      </c>
      <c r="AB292" s="8">
        <f t="shared" si="49"/>
        <v>1.060789434611511E-3</v>
      </c>
      <c r="AC292" s="8">
        <f t="shared" si="43"/>
        <v>8.3858898911459562E-2</v>
      </c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spans="1:39" ht="15.75" customHeight="1">
      <c r="A293" s="6">
        <v>445</v>
      </c>
      <c r="B293" s="6">
        <v>2018</v>
      </c>
      <c r="C293" s="6" t="s">
        <v>280</v>
      </c>
      <c r="D293" s="7" t="s">
        <v>281</v>
      </c>
      <c r="E293" s="6" t="s">
        <v>270</v>
      </c>
      <c r="F293" s="6" t="s">
        <v>271</v>
      </c>
      <c r="G293" s="8"/>
      <c r="H293" s="9"/>
      <c r="I293" s="10">
        <v>94064002067</v>
      </c>
      <c r="J293" s="10">
        <v>3485510411961</v>
      </c>
      <c r="K293" s="15">
        <v>308958990481</v>
      </c>
      <c r="L293" s="10">
        <v>2237657909077</v>
      </c>
      <c r="M293" s="10">
        <v>1247852502884</v>
      </c>
      <c r="N293" s="8">
        <v>2000000000</v>
      </c>
      <c r="O293" s="10">
        <v>12940108219350</v>
      </c>
      <c r="P293" s="10">
        <v>11524839503101</v>
      </c>
      <c r="Q293" s="6"/>
      <c r="R293" s="6"/>
      <c r="S293" s="11"/>
      <c r="T293" s="10">
        <f>791086675772+190832440112</f>
        <v>981919115884</v>
      </c>
      <c r="U293" s="12">
        <v>318607055495</v>
      </c>
      <c r="V293" s="9">
        <f t="shared" si="50"/>
        <v>1247852502884</v>
      </c>
      <c r="W293" s="13">
        <f t="shared" si="40"/>
        <v>0.6419885883565789</v>
      </c>
      <c r="X293" s="13">
        <f t="shared" si="41"/>
        <v>1.7932070528410937</v>
      </c>
      <c r="Y293" s="8">
        <f t="shared" si="47"/>
        <v>9.140900982583694E-2</v>
      </c>
      <c r="Z293" s="8">
        <f t="shared" si="48"/>
        <v>0.25532429093874859</v>
      </c>
      <c r="AA293" s="8">
        <f t="shared" si="42"/>
        <v>0.10937070171736871</v>
      </c>
      <c r="AB293" s="8">
        <f t="shared" si="49"/>
        <v>2.4621668543588431E-2</v>
      </c>
      <c r="AC293" s="8">
        <f t="shared" si="43"/>
        <v>0.10937070171736871</v>
      </c>
      <c r="AD293" s="9"/>
      <c r="AE293" s="10"/>
      <c r="AF293" s="9"/>
      <c r="AG293" s="9"/>
      <c r="AH293" s="9"/>
      <c r="AI293" s="9"/>
      <c r="AJ293" s="9"/>
      <c r="AK293" s="10"/>
      <c r="AL293" s="9"/>
      <c r="AM293" s="10"/>
    </row>
    <row r="294" spans="1:39" ht="15.75" customHeight="1">
      <c r="A294" s="6">
        <v>446</v>
      </c>
      <c r="B294" s="6">
        <v>2019</v>
      </c>
      <c r="C294" s="6" t="s">
        <v>280</v>
      </c>
      <c r="D294" s="7" t="s">
        <v>281</v>
      </c>
      <c r="E294" s="6" t="s">
        <v>270</v>
      </c>
      <c r="F294" s="6" t="s">
        <v>271</v>
      </c>
      <c r="G294" s="6"/>
      <c r="H294" s="9"/>
      <c r="I294" s="10">
        <v>86888676915</v>
      </c>
      <c r="J294" s="10">
        <v>2995872438975</v>
      </c>
      <c r="K294" s="15">
        <v>322779610313</v>
      </c>
      <c r="L294" s="10">
        <v>1603873392263</v>
      </c>
      <c r="M294" s="10">
        <v>1391999046712</v>
      </c>
      <c r="N294" s="8">
        <v>2000000000</v>
      </c>
      <c r="O294" s="10">
        <v>13372043554341</v>
      </c>
      <c r="P294" s="10">
        <v>11691107341759</v>
      </c>
      <c r="Q294" s="6"/>
      <c r="R294" s="6"/>
      <c r="S294" s="11"/>
      <c r="T294" s="10">
        <f>927876755512+212932735867</f>
        <v>1140809491379</v>
      </c>
      <c r="U294" s="12">
        <v>428418484105</v>
      </c>
      <c r="V294" s="9">
        <f t="shared" si="50"/>
        <v>1391999046712</v>
      </c>
      <c r="W294" s="13">
        <f t="shared" si="40"/>
        <v>0.53536104254550476</v>
      </c>
      <c r="X294" s="13">
        <f t="shared" si="41"/>
        <v>1.1522086858115759</v>
      </c>
      <c r="Y294" s="8">
        <f t="shared" si="47"/>
        <v>0.14300291245096469</v>
      </c>
      <c r="Z294" s="8">
        <f t="shared" si="48"/>
        <v>0.30777211027331858</v>
      </c>
      <c r="AA294" s="8">
        <f t="shared" si="42"/>
        <v>0.125705260063733</v>
      </c>
      <c r="AB294" s="8">
        <f t="shared" si="49"/>
        <v>3.2038370378020598E-2</v>
      </c>
      <c r="AC294" s="8">
        <f t="shared" si="43"/>
        <v>0.125705260063733</v>
      </c>
      <c r="AD294" s="9"/>
      <c r="AE294" s="10"/>
      <c r="AF294" s="9"/>
      <c r="AG294" s="9"/>
      <c r="AH294" s="9"/>
      <c r="AI294" s="9"/>
      <c r="AJ294" s="9"/>
      <c r="AK294" s="10"/>
      <c r="AL294" s="9"/>
      <c r="AM294" s="9"/>
    </row>
    <row r="295" spans="1:39" ht="15.75" customHeight="1">
      <c r="A295" s="6">
        <v>447</v>
      </c>
      <c r="B295" s="6">
        <v>2020</v>
      </c>
      <c r="C295" s="6" t="s">
        <v>280</v>
      </c>
      <c r="D295" s="7" t="s">
        <v>281</v>
      </c>
      <c r="E295" s="6" t="s">
        <v>270</v>
      </c>
      <c r="F295" s="6" t="s">
        <v>271</v>
      </c>
      <c r="G295" s="6"/>
      <c r="H295" s="9">
        <v>65240035403</v>
      </c>
      <c r="I295" s="10">
        <v>75635303975</v>
      </c>
      <c r="J295" s="10">
        <v>3361956197960</v>
      </c>
      <c r="K295" s="10">
        <v>356992629183</v>
      </c>
      <c r="L295" s="10">
        <v>1763283969693</v>
      </c>
      <c r="M295" s="10">
        <v>1598672228267</v>
      </c>
      <c r="N295" s="8">
        <v>2000000000</v>
      </c>
      <c r="O295" s="10">
        <v>12488883541697</v>
      </c>
      <c r="P295" s="10">
        <v>10806684751704</v>
      </c>
      <c r="Q295" s="6"/>
      <c r="R295" s="6"/>
      <c r="S295" s="11"/>
      <c r="T295" s="10">
        <f>782823289521+242980385483</f>
        <v>1025803675004</v>
      </c>
      <c r="U295" s="12">
        <v>478561152411</v>
      </c>
      <c r="V295" s="9">
        <f t="shared" si="50"/>
        <v>1598672228267</v>
      </c>
      <c r="W295" s="13">
        <f t="shared" si="40"/>
        <v>0.52448154165808059</v>
      </c>
      <c r="X295" s="13">
        <f t="shared" si="41"/>
        <v>1.1029677869643379</v>
      </c>
      <c r="Y295" s="8">
        <f t="shared" si="47"/>
        <v>0.1423460402908836</v>
      </c>
      <c r="Z295" s="8">
        <f t="shared" si="48"/>
        <v>0.29934913733365598</v>
      </c>
      <c r="AA295" s="8">
        <f t="shared" si="42"/>
        <v>0.13469569032144418</v>
      </c>
      <c r="AB295" s="8">
        <f t="shared" si="49"/>
        <v>3.8318969891360896E-2</v>
      </c>
      <c r="AC295" s="8">
        <f t="shared" si="43"/>
        <v>0.13469569032144418</v>
      </c>
      <c r="AD295" s="9"/>
      <c r="AE295" s="10"/>
      <c r="AF295" s="9"/>
      <c r="AG295" s="9"/>
      <c r="AH295" s="9"/>
      <c r="AI295" s="9"/>
      <c r="AJ295" s="9"/>
      <c r="AK295" s="10"/>
      <c r="AL295" s="9"/>
      <c r="AM295" s="9"/>
    </row>
    <row r="296" spans="1:39" ht="15.75" customHeight="1">
      <c r="A296" s="6">
        <v>478</v>
      </c>
      <c r="B296" s="6">
        <v>2018</v>
      </c>
      <c r="C296" s="6" t="s">
        <v>282</v>
      </c>
      <c r="D296" s="7" t="s">
        <v>283</v>
      </c>
      <c r="E296" s="6" t="s">
        <v>270</v>
      </c>
      <c r="F296" s="6" t="s">
        <v>271</v>
      </c>
      <c r="G296" s="8"/>
      <c r="H296" s="10"/>
      <c r="I296" s="10">
        <v>48379981073</v>
      </c>
      <c r="J296" s="10">
        <v>386108236920</v>
      </c>
      <c r="K296" s="9">
        <v>26423708521</v>
      </c>
      <c r="L296" s="10">
        <v>108423948358</v>
      </c>
      <c r="M296" s="10">
        <v>277684288562</v>
      </c>
      <c r="N296" s="8">
        <v>1800000000</v>
      </c>
      <c r="O296" s="10">
        <v>972305391346</v>
      </c>
      <c r="P296" s="10">
        <v>872653118697</v>
      </c>
      <c r="Q296" s="6"/>
      <c r="R296" s="6"/>
      <c r="S296" s="11"/>
      <c r="T296" s="8">
        <f>35555045193+98161336450</f>
        <v>133716381643</v>
      </c>
      <c r="U296" s="12">
        <v>-21172048346</v>
      </c>
      <c r="V296" s="9">
        <f t="shared" si="50"/>
        <v>277684288562</v>
      </c>
      <c r="W296" s="13">
        <f t="shared" si="40"/>
        <v>0.28081231631550246</v>
      </c>
      <c r="X296" s="13">
        <f t="shared" si="41"/>
        <v>0.39045762696722264</v>
      </c>
      <c r="Y296" s="8">
        <f t="shared" si="47"/>
        <v>-5.4834490232299186E-2</v>
      </c>
      <c r="Z296" s="8">
        <f t="shared" si="48"/>
        <v>-7.624503516436007E-2</v>
      </c>
      <c r="AA296" s="8">
        <f t="shared" si="42"/>
        <v>0.10249071283153897</v>
      </c>
      <c r="AB296" s="8">
        <f t="shared" si="49"/>
        <v>-2.1775101253620237E-2</v>
      </c>
      <c r="AC296" s="8">
        <f t="shared" si="43"/>
        <v>0.10249071283153897</v>
      </c>
      <c r="AD296" s="9"/>
      <c r="AE296" s="9"/>
      <c r="AF296" s="9"/>
      <c r="AG296" s="9"/>
      <c r="AH296" s="9"/>
      <c r="AI296" s="9"/>
      <c r="AJ296" s="10"/>
      <c r="AK296" s="10"/>
      <c r="AL296" s="9"/>
      <c r="AM296" s="10"/>
    </row>
    <row r="297" spans="1:39" ht="15.75" customHeight="1">
      <c r="A297" s="6">
        <v>479</v>
      </c>
      <c r="B297" s="6">
        <v>2019</v>
      </c>
      <c r="C297" s="6" t="s">
        <v>282</v>
      </c>
      <c r="D297" s="7" t="s">
        <v>283</v>
      </c>
      <c r="E297" s="6" t="s">
        <v>270</v>
      </c>
      <c r="F297" s="6" t="s">
        <v>271</v>
      </c>
      <c r="G297" s="8"/>
      <c r="H297" s="10"/>
      <c r="I297" s="10">
        <v>47881444521</v>
      </c>
      <c r="J297" s="10">
        <v>695853450844</v>
      </c>
      <c r="K297" s="9">
        <v>27188829231</v>
      </c>
      <c r="L297" s="9">
        <v>448318588707</v>
      </c>
      <c r="M297" s="10">
        <v>247534862137</v>
      </c>
      <c r="N297" s="8">
        <v>1800000000</v>
      </c>
      <c r="O297" s="10">
        <v>1855354419901</v>
      </c>
      <c r="P297" s="10">
        <v>1693554680390</v>
      </c>
      <c r="Q297" s="6"/>
      <c r="R297" s="6"/>
      <c r="S297" s="11"/>
      <c r="T297" s="8">
        <f>49620223178+151316722585</f>
        <v>200936945763</v>
      </c>
      <c r="U297" s="12">
        <v>-27568919425</v>
      </c>
      <c r="V297" s="9">
        <f t="shared" si="50"/>
        <v>247534862137</v>
      </c>
      <c r="W297" s="13">
        <f t="shared" si="40"/>
        <v>0.64427156057534074</v>
      </c>
      <c r="X297" s="13">
        <f t="shared" si="41"/>
        <v>1.8111331262053696</v>
      </c>
      <c r="Y297" s="8">
        <f t="shared" si="47"/>
        <v>-3.9618858527699592E-2</v>
      </c>
      <c r="Z297" s="8">
        <f t="shared" si="48"/>
        <v>-0.11137388562966043</v>
      </c>
      <c r="AA297" s="8">
        <f t="shared" si="42"/>
        <v>8.7206917328298647E-2</v>
      </c>
      <c r="AB297" s="8">
        <f t="shared" si="49"/>
        <v>-1.4859112161692025E-2</v>
      </c>
      <c r="AC297" s="8">
        <f t="shared" si="43"/>
        <v>8.7206917328298647E-2</v>
      </c>
      <c r="AD297" s="9"/>
      <c r="AE297" s="9"/>
      <c r="AF297" s="9"/>
      <c r="AG297" s="9"/>
      <c r="AH297" s="9"/>
      <c r="AI297" s="9"/>
      <c r="AJ297" s="10"/>
      <c r="AK297" s="10"/>
      <c r="AL297" s="10"/>
      <c r="AM297" s="10"/>
    </row>
    <row r="298" spans="1:39" ht="15.75" customHeight="1">
      <c r="A298" s="6">
        <v>480</v>
      </c>
      <c r="B298" s="6">
        <v>2020</v>
      </c>
      <c r="C298" s="6" t="s">
        <v>282</v>
      </c>
      <c r="D298" s="7" t="s">
        <v>283</v>
      </c>
      <c r="E298" s="6" t="s">
        <v>270</v>
      </c>
      <c r="F298" s="6" t="s">
        <v>271</v>
      </c>
      <c r="G298" s="8"/>
      <c r="H298" s="10"/>
      <c r="I298" s="10">
        <v>61258028492</v>
      </c>
      <c r="J298" s="9">
        <v>677619067915</v>
      </c>
      <c r="K298" s="9">
        <v>22494563659</v>
      </c>
      <c r="L298" s="10">
        <v>468948589068</v>
      </c>
      <c r="M298" s="9">
        <v>208670478847</v>
      </c>
      <c r="N298" s="8">
        <v>1800000000</v>
      </c>
      <c r="O298" s="10">
        <v>3097194461934</v>
      </c>
      <c r="P298" s="10">
        <v>2842951459588</v>
      </c>
      <c r="Q298" s="6"/>
      <c r="R298" s="6"/>
      <c r="S298" s="11"/>
      <c r="T298" s="8">
        <f>85221384316+226404617260</f>
        <v>311626001576</v>
      </c>
      <c r="U298" s="12">
        <v>-41008773290</v>
      </c>
      <c r="V298" s="9">
        <f t="shared" si="50"/>
        <v>208670478847</v>
      </c>
      <c r="W298" s="13">
        <f t="shared" si="40"/>
        <v>0.69205341359553441</v>
      </c>
      <c r="X298" s="13">
        <f t="shared" si="41"/>
        <v>2.2473163988464293</v>
      </c>
      <c r="Y298" s="8">
        <f t="shared" si="47"/>
        <v>-6.0518918713698459E-2</v>
      </c>
      <c r="Z298" s="8">
        <f t="shared" si="48"/>
        <v>-0.19652407717944703</v>
      </c>
      <c r="AA298" s="8">
        <f t="shared" si="42"/>
        <v>8.2088162519586033E-2</v>
      </c>
      <c r="AB298" s="8">
        <f t="shared" si="49"/>
        <v>-1.3240619468366426E-2</v>
      </c>
      <c r="AC298" s="8">
        <f t="shared" si="43"/>
        <v>8.2088162519586033E-2</v>
      </c>
      <c r="AD298" s="9"/>
      <c r="AE298" s="9"/>
      <c r="AF298" s="9"/>
      <c r="AG298" s="9"/>
      <c r="AH298" s="9"/>
      <c r="AI298" s="9"/>
      <c r="AJ298" s="10"/>
      <c r="AK298" s="10"/>
      <c r="AL298" s="10"/>
      <c r="AM298" s="10"/>
    </row>
    <row r="299" spans="1:39" ht="15.75" customHeight="1">
      <c r="A299" s="6">
        <v>4</v>
      </c>
      <c r="B299" s="6">
        <v>2018</v>
      </c>
      <c r="C299" s="6" t="s">
        <v>284</v>
      </c>
      <c r="D299" s="20" t="s">
        <v>285</v>
      </c>
      <c r="E299" s="6" t="s">
        <v>286</v>
      </c>
      <c r="F299" s="6" t="s">
        <v>287</v>
      </c>
      <c r="G299" s="6"/>
      <c r="H299" s="16"/>
      <c r="I299" s="16">
        <v>413836506054</v>
      </c>
      <c r="J299" s="16">
        <v>5857570698119</v>
      </c>
      <c r="K299" s="16">
        <v>896465230114</v>
      </c>
      <c r="L299" s="16">
        <v>1675318615677</v>
      </c>
      <c r="M299" s="16">
        <v>4182252082442</v>
      </c>
      <c r="N299" s="8">
        <v>48000000000</v>
      </c>
      <c r="O299" s="16">
        <v>7239754268263</v>
      </c>
      <c r="P299" s="16">
        <v>3796596070656</v>
      </c>
      <c r="Q299" s="6"/>
      <c r="R299" s="6"/>
      <c r="S299" s="11"/>
      <c r="T299" s="10">
        <f>2370738606721+1280358948</f>
        <v>2372018965669</v>
      </c>
      <c r="U299" s="12">
        <v>1044485235597</v>
      </c>
      <c r="V299" s="17">
        <f t="shared" si="50"/>
        <v>4182252082442</v>
      </c>
      <c r="W299" s="13">
        <f t="shared" si="40"/>
        <v>0.2860091157269315</v>
      </c>
      <c r="X299" s="13">
        <f t="shared" si="41"/>
        <v>0.40057810544475558</v>
      </c>
      <c r="Y299" s="8">
        <f t="shared" si="47"/>
        <v>0.17831372243315954</v>
      </c>
      <c r="Z299" s="8">
        <f t="shared" si="48"/>
        <v>0.24974229554023661</v>
      </c>
      <c r="AA299" s="8">
        <f t="shared" si="42"/>
        <v>0.47559047863002962</v>
      </c>
      <c r="AB299" s="8">
        <f t="shared" si="49"/>
        <v>0.14427081319261384</v>
      </c>
      <c r="AC299" s="8">
        <f t="shared" si="43"/>
        <v>0.47559047863002962</v>
      </c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spans="1:39" ht="15.75" customHeight="1">
      <c r="A300" s="6">
        <v>5</v>
      </c>
      <c r="B300" s="6">
        <v>2019</v>
      </c>
      <c r="C300" s="6" t="s">
        <v>284</v>
      </c>
      <c r="D300" s="20" t="s">
        <v>285</v>
      </c>
      <c r="E300" s="6" t="s">
        <v>286</v>
      </c>
      <c r="F300" s="6" t="s">
        <v>287</v>
      </c>
      <c r="G300" s="6"/>
      <c r="H300" s="16"/>
      <c r="I300" s="16">
        <v>471979028144</v>
      </c>
      <c r="J300" s="16">
        <v>6641808005145</v>
      </c>
      <c r="K300" s="16">
        <v>1182131278030</v>
      </c>
      <c r="L300" s="16">
        <v>1965506710879</v>
      </c>
      <c r="M300" s="16">
        <v>4676301294266</v>
      </c>
      <c r="N300" s="8">
        <v>48000000000</v>
      </c>
      <c r="O300" s="16">
        <v>8142717045655</v>
      </c>
      <c r="P300" s="16">
        <v>4255626726811</v>
      </c>
      <c r="Q300" s="6"/>
      <c r="R300" s="6"/>
      <c r="S300" s="11"/>
      <c r="T300" s="10">
        <f>2724515688299+17528968515</f>
        <v>2742044656814</v>
      </c>
      <c r="U300" s="12">
        <v>990585488760</v>
      </c>
      <c r="V300" s="17">
        <f t="shared" si="50"/>
        <v>4676301294266</v>
      </c>
      <c r="W300" s="13">
        <f t="shared" si="40"/>
        <v>0.29592946820450738</v>
      </c>
      <c r="X300" s="13">
        <f t="shared" si="41"/>
        <v>0.42031224833375697</v>
      </c>
      <c r="Y300" s="8">
        <f t="shared" si="47"/>
        <v>0.14914395116399848</v>
      </c>
      <c r="Z300" s="8">
        <f t="shared" si="48"/>
        <v>0.21183098060311872</v>
      </c>
      <c r="AA300" s="8">
        <f t="shared" si="42"/>
        <v>0.47737018209642607</v>
      </c>
      <c r="AB300" s="8">
        <f t="shared" si="49"/>
        <v>0.12165294252593267</v>
      </c>
      <c r="AC300" s="8">
        <f t="shared" si="43"/>
        <v>0.47737018209642607</v>
      </c>
      <c r="AD300" s="9"/>
      <c r="AE300" s="9">
        <v>6058272540</v>
      </c>
      <c r="AF300" s="9"/>
      <c r="AG300" s="9"/>
      <c r="AH300" s="9"/>
      <c r="AI300" s="9"/>
      <c r="AJ300" s="9"/>
      <c r="AK300" s="9">
        <v>9736364613</v>
      </c>
      <c r="AL300" s="9"/>
      <c r="AM300" s="9">
        <v>65962279995</v>
      </c>
    </row>
    <row r="301" spans="1:39" ht="15.75" customHeight="1">
      <c r="A301" s="6">
        <v>6</v>
      </c>
      <c r="B301" s="6">
        <v>2020</v>
      </c>
      <c r="C301" s="6" t="s">
        <v>284</v>
      </c>
      <c r="D301" s="20" t="s">
        <v>285</v>
      </c>
      <c r="E301" s="6" t="s">
        <v>286</v>
      </c>
      <c r="F301" s="6" t="s">
        <v>287</v>
      </c>
      <c r="G301" s="6"/>
      <c r="H301" s="16"/>
      <c r="I301" s="16">
        <v>511639035778</v>
      </c>
      <c r="J301" s="16">
        <v>7247063894294</v>
      </c>
      <c r="K301" s="16">
        <v>1179893285690</v>
      </c>
      <c r="L301" s="16">
        <v>2024821339896</v>
      </c>
      <c r="M301" s="16">
        <v>5222242554398</v>
      </c>
      <c r="N301" s="8">
        <v>48000000000</v>
      </c>
      <c r="O301" s="16">
        <v>7412766872302</v>
      </c>
      <c r="P301" s="16">
        <v>3753585066580</v>
      </c>
      <c r="Q301" s="6"/>
      <c r="R301" s="6"/>
      <c r="S301" s="11"/>
      <c r="T301" s="9">
        <f>2806097154344+5423065820</f>
        <v>2811520220164</v>
      </c>
      <c r="U301" s="12">
        <v>833806976851</v>
      </c>
      <c r="V301" s="17">
        <f t="shared" si="50"/>
        <v>5222242554398</v>
      </c>
      <c r="W301" s="13">
        <f t="shared" si="40"/>
        <v>0.27939885302932815</v>
      </c>
      <c r="X301" s="13">
        <f t="shared" si="41"/>
        <v>0.38773023635042814</v>
      </c>
      <c r="Y301" s="8">
        <f t="shared" si="47"/>
        <v>0.11505445363983899</v>
      </c>
      <c r="Z301" s="8">
        <f t="shared" si="48"/>
        <v>0.15966454414278314</v>
      </c>
      <c r="AA301" s="8">
        <f t="shared" si="42"/>
        <v>0.49363238703683371</v>
      </c>
      <c r="AB301" s="8">
        <f t="shared" si="49"/>
        <v>0.11248255762184318</v>
      </c>
      <c r="AC301" s="8">
        <f t="shared" si="43"/>
        <v>0.49363238703683371</v>
      </c>
      <c r="AD301" s="9"/>
      <c r="AE301" s="9">
        <v>3597685357</v>
      </c>
      <c r="AF301" s="9"/>
      <c r="AG301" s="9"/>
      <c r="AH301" s="9"/>
      <c r="AI301" s="9"/>
      <c r="AJ301" s="9"/>
      <c r="AK301" s="9">
        <v>15470338441</v>
      </c>
      <c r="AL301" s="9"/>
      <c r="AM301" s="9">
        <v>41672688868</v>
      </c>
    </row>
    <row r="302" spans="1:39" ht="15.75" customHeight="1">
      <c r="A302" s="6">
        <v>139</v>
      </c>
      <c r="B302" s="6">
        <v>2018</v>
      </c>
      <c r="C302" s="6" t="s">
        <v>288</v>
      </c>
      <c r="D302" s="7" t="s">
        <v>289</v>
      </c>
      <c r="E302" s="6" t="s">
        <v>286</v>
      </c>
      <c r="F302" s="6" t="s">
        <v>287</v>
      </c>
      <c r="G302" s="6"/>
      <c r="H302" s="6"/>
      <c r="I302" s="8">
        <v>2601811000000</v>
      </c>
      <c r="J302" s="8">
        <v>5207342000000</v>
      </c>
      <c r="K302" s="8">
        <v>1389948000000</v>
      </c>
      <c r="L302" s="8">
        <v>2168918000000</v>
      </c>
      <c r="M302" s="8">
        <v>3038424000000</v>
      </c>
      <c r="N302" s="8">
        <v>35000000000</v>
      </c>
      <c r="O302" s="8">
        <v>801161000000</v>
      </c>
      <c r="P302" s="8">
        <v>398416000000</v>
      </c>
      <c r="Q302" s="6"/>
      <c r="R302" s="6"/>
      <c r="S302" s="11"/>
      <c r="T302" s="9">
        <f>216629000000+168708000000</f>
        <v>385337000000</v>
      </c>
      <c r="U302" s="12">
        <v>35637000000</v>
      </c>
      <c r="V302" s="13">
        <f t="shared" si="50"/>
        <v>3038424000000</v>
      </c>
      <c r="W302" s="13">
        <f t="shared" si="40"/>
        <v>0.41651153313917155</v>
      </c>
      <c r="X302" s="13">
        <f t="shared" si="41"/>
        <v>0.71382993288625951</v>
      </c>
      <c r="Y302" s="8">
        <f t="shared" si="47"/>
        <v>6.8436065847029062E-3</v>
      </c>
      <c r="Z302" s="8">
        <f t="shared" si="48"/>
        <v>1.1728777813761344E-2</v>
      </c>
      <c r="AA302" s="8">
        <f t="shared" si="42"/>
        <v>0.50270170415184967</v>
      </c>
      <c r="AB302" s="8">
        <f t="shared" si="49"/>
        <v>4.4481695938768863E-2</v>
      </c>
      <c r="AC302" s="8">
        <f t="shared" si="43"/>
        <v>0.50270170415184967</v>
      </c>
      <c r="AD302" s="9"/>
      <c r="AE302" s="9">
        <v>1604000000</v>
      </c>
      <c r="AF302" s="9"/>
      <c r="AG302" s="9"/>
      <c r="AH302" s="9"/>
      <c r="AI302" s="9"/>
      <c r="AJ302" s="9"/>
      <c r="AK302" s="9"/>
      <c r="AL302" s="9"/>
      <c r="AM302" s="9"/>
    </row>
    <row r="303" spans="1:39" ht="15.75" customHeight="1">
      <c r="A303" s="6">
        <v>140</v>
      </c>
      <c r="B303" s="6">
        <v>2019</v>
      </c>
      <c r="C303" s="6" t="s">
        <v>288</v>
      </c>
      <c r="D303" s="7" t="s">
        <v>289</v>
      </c>
      <c r="E303" s="6" t="s">
        <v>286</v>
      </c>
      <c r="F303" s="6" t="s">
        <v>287</v>
      </c>
      <c r="G303" s="6"/>
      <c r="H303" s="6"/>
      <c r="I303" s="8">
        <v>2896487000000</v>
      </c>
      <c r="J303" s="8">
        <v>5729085000000</v>
      </c>
      <c r="K303" s="8">
        <v>1458216000000</v>
      </c>
      <c r="L303" s="8">
        <v>2714193000000</v>
      </c>
      <c r="M303" s="8">
        <v>3014892000000</v>
      </c>
      <c r="N303" s="8">
        <v>35000000000</v>
      </c>
      <c r="O303" s="8">
        <v>831777000000</v>
      </c>
      <c r="P303" s="8">
        <v>400255000000</v>
      </c>
      <c r="Q303" s="6"/>
      <c r="R303" s="6"/>
      <c r="S303" s="11"/>
      <c r="T303" s="9">
        <f>153353000000+230643000000</f>
        <v>383996000000</v>
      </c>
      <c r="U303" s="12">
        <v>8912000000</v>
      </c>
      <c r="V303" s="13">
        <f t="shared" si="50"/>
        <v>3014892000000</v>
      </c>
      <c r="W303" s="13">
        <f t="shared" si="40"/>
        <v>0.47375680409698934</v>
      </c>
      <c r="X303" s="13">
        <f t="shared" si="41"/>
        <v>0.90026209894085762</v>
      </c>
      <c r="Y303" s="8">
        <f t="shared" si="47"/>
        <v>1.5555712648703938E-3</v>
      </c>
      <c r="Z303" s="8">
        <f t="shared" si="48"/>
        <v>2.9559931168346991E-3</v>
      </c>
      <c r="AA303" s="8">
        <f t="shared" si="42"/>
        <v>0.51879530210621361</v>
      </c>
      <c r="AB303" s="8">
        <f t="shared" si="49"/>
        <v>1.0714410232550311E-2</v>
      </c>
      <c r="AC303" s="8">
        <f t="shared" si="43"/>
        <v>0.51879530210621361</v>
      </c>
      <c r="AD303" s="9"/>
      <c r="AE303" s="9">
        <v>2378000000</v>
      </c>
      <c r="AF303" s="9"/>
      <c r="AG303" s="9"/>
      <c r="AH303" s="9"/>
      <c r="AI303" s="9"/>
      <c r="AJ303" s="9"/>
      <c r="AK303" s="9"/>
      <c r="AL303" s="9"/>
      <c r="AM303" s="9"/>
    </row>
    <row r="304" spans="1:39" ht="15.75" customHeight="1">
      <c r="A304" s="6">
        <v>141</v>
      </c>
      <c r="B304" s="6">
        <v>2020</v>
      </c>
      <c r="C304" s="6" t="s">
        <v>288</v>
      </c>
      <c r="D304" s="7" t="s">
        <v>289</v>
      </c>
      <c r="E304" s="6" t="s">
        <v>286</v>
      </c>
      <c r="F304" s="6" t="s">
        <v>287</v>
      </c>
      <c r="G304" s="6"/>
      <c r="H304" s="6"/>
      <c r="I304" s="8">
        <v>4540432000000</v>
      </c>
      <c r="J304" s="8">
        <v>7629153000000</v>
      </c>
      <c r="K304" s="8">
        <v>174026000000</v>
      </c>
      <c r="L304" s="13">
        <v>5157414000000</v>
      </c>
      <c r="M304" s="8">
        <v>2471739000000</v>
      </c>
      <c r="N304" s="8">
        <v>35000000000</v>
      </c>
      <c r="O304" s="8">
        <v>1096044000000</v>
      </c>
      <c r="P304" s="8">
        <v>518577000000</v>
      </c>
      <c r="Q304" s="6"/>
      <c r="R304" s="6"/>
      <c r="S304" s="11"/>
      <c r="T304" s="9">
        <f>512197000000+495354000000</f>
        <v>1007551000000</v>
      </c>
      <c r="U304" s="12">
        <v>-509181000000</v>
      </c>
      <c r="V304" s="13">
        <f t="shared" si="50"/>
        <v>2471739000000</v>
      </c>
      <c r="W304" s="13">
        <f t="shared" si="40"/>
        <v>0.67601396904741584</v>
      </c>
      <c r="X304" s="13">
        <f t="shared" si="41"/>
        <v>2.0865528277864289</v>
      </c>
      <c r="Y304" s="8">
        <f t="shared" si="47"/>
        <v>-6.6741484932862138E-2</v>
      </c>
      <c r="Z304" s="8">
        <f t="shared" si="48"/>
        <v>-0.20600111905019097</v>
      </c>
      <c r="AA304" s="8">
        <f t="shared" si="42"/>
        <v>0.52686479739864456</v>
      </c>
      <c r="AB304" s="8">
        <f t="shared" si="49"/>
        <v>-0.46456255405804875</v>
      </c>
      <c r="AC304" s="8">
        <f t="shared" si="43"/>
        <v>0.52686479739864456</v>
      </c>
      <c r="AD304" s="9"/>
      <c r="AE304" s="9">
        <v>3303000000</v>
      </c>
      <c r="AF304" s="9"/>
      <c r="AG304" s="9"/>
      <c r="AH304" s="9"/>
      <c r="AI304" s="9"/>
      <c r="AJ304" s="9"/>
      <c r="AK304" s="9"/>
      <c r="AL304" s="9"/>
      <c r="AM304" s="9"/>
    </row>
    <row r="305" spans="1:39" ht="15.75" customHeight="1">
      <c r="A305" s="6">
        <v>163</v>
      </c>
      <c r="B305" s="6">
        <v>2018</v>
      </c>
      <c r="C305" s="6" t="s">
        <v>290</v>
      </c>
      <c r="D305" s="7" t="s">
        <v>291</v>
      </c>
      <c r="E305" s="6" t="s">
        <v>286</v>
      </c>
      <c r="F305" s="6" t="s">
        <v>287</v>
      </c>
      <c r="G305" s="6"/>
      <c r="H305" s="9">
        <f>112300000000+82512441563</f>
        <v>194812441563</v>
      </c>
      <c r="I305" s="8">
        <v>595947250015</v>
      </c>
      <c r="J305" s="8">
        <v>1751622687179</v>
      </c>
      <c r="K305" s="8">
        <v>51884263504</v>
      </c>
      <c r="L305" s="8">
        <v>405075371341</v>
      </c>
      <c r="M305" s="8">
        <v>1346547315838</v>
      </c>
      <c r="N305" s="8">
        <v>1334333000</v>
      </c>
      <c r="O305" s="8">
        <v>2003208506432</v>
      </c>
      <c r="P305" s="8">
        <v>1680758856692</v>
      </c>
      <c r="Q305" s="6"/>
      <c r="R305" s="6"/>
      <c r="S305" s="11"/>
      <c r="T305" s="9">
        <v>311685274501</v>
      </c>
      <c r="U305" s="12">
        <v>9325792298</v>
      </c>
      <c r="V305" s="13">
        <f t="shared" si="50"/>
        <v>1346547315838</v>
      </c>
      <c r="W305" s="13">
        <f t="shared" si="40"/>
        <v>0.23125720756299212</v>
      </c>
      <c r="X305" s="13">
        <f t="shared" si="41"/>
        <v>0.30082520426614828</v>
      </c>
      <c r="Y305" s="8">
        <f t="shared" si="47"/>
        <v>5.3240874112102593E-3</v>
      </c>
      <c r="Z305" s="8">
        <f t="shared" si="48"/>
        <v>6.925707094218414E-3</v>
      </c>
      <c r="AA305" s="8">
        <f t="shared" si="42"/>
        <v>0.1609665936943972</v>
      </c>
      <c r="AB305" s="8">
        <f t="shared" si="49"/>
        <v>4.6554276641978549E-3</v>
      </c>
      <c r="AC305" s="8">
        <f t="shared" si="43"/>
        <v>0.1609665936943972</v>
      </c>
      <c r="AD305" s="9">
        <v>32381596642</v>
      </c>
      <c r="AE305" s="9"/>
      <c r="AF305" s="9"/>
      <c r="AG305" s="9"/>
      <c r="AH305" s="9"/>
      <c r="AI305" s="9"/>
      <c r="AJ305" s="9"/>
      <c r="AK305" s="9"/>
      <c r="AL305" s="9"/>
      <c r="AM305" s="9">
        <v>18497083720</v>
      </c>
    </row>
    <row r="306" spans="1:39" ht="15.75" customHeight="1">
      <c r="A306" s="6">
        <v>164</v>
      </c>
      <c r="B306" s="6">
        <v>2019</v>
      </c>
      <c r="C306" s="6" t="s">
        <v>290</v>
      </c>
      <c r="D306" s="7" t="s">
        <v>291</v>
      </c>
      <c r="E306" s="6" t="s">
        <v>286</v>
      </c>
      <c r="F306" s="6" t="s">
        <v>287</v>
      </c>
      <c r="G306" s="6"/>
      <c r="H306" s="9">
        <v>70231918120</v>
      </c>
      <c r="I306" s="8">
        <v>635301490253</v>
      </c>
      <c r="J306" s="8">
        <v>1845324374750</v>
      </c>
      <c r="K306" s="8">
        <v>65484325206</v>
      </c>
      <c r="L306" s="8">
        <v>465328532936</v>
      </c>
      <c r="M306" s="8">
        <v>1379995841814</v>
      </c>
      <c r="N306" s="8">
        <v>1334333000</v>
      </c>
      <c r="O306" s="8">
        <v>1978631967708</v>
      </c>
      <c r="P306" s="8">
        <v>1631941216390</v>
      </c>
      <c r="Q306" s="6"/>
      <c r="R306" s="6"/>
      <c r="S306" s="11"/>
      <c r="T306" s="9">
        <v>336739921456</v>
      </c>
      <c r="U306" s="12">
        <v>33269247689</v>
      </c>
      <c r="V306" s="13">
        <f t="shared" si="50"/>
        <v>1379995841814</v>
      </c>
      <c r="W306" s="13">
        <f t="shared" si="40"/>
        <v>0.25216625288388206</v>
      </c>
      <c r="X306" s="13">
        <f t="shared" si="41"/>
        <v>0.33719560511452495</v>
      </c>
      <c r="Y306" s="8">
        <f t="shared" si="47"/>
        <v>1.8028942848331061E-2</v>
      </c>
      <c r="Z306" s="8">
        <f t="shared" si="48"/>
        <v>2.4108223141649242E-2</v>
      </c>
      <c r="AA306" s="8">
        <f t="shared" si="42"/>
        <v>0.17521740120250776</v>
      </c>
      <c r="AB306" s="8">
        <f t="shared" si="49"/>
        <v>1.6814267752652507E-2</v>
      </c>
      <c r="AC306" s="8">
        <f t="shared" si="43"/>
        <v>0.17521740120250776</v>
      </c>
      <c r="AD306" s="9">
        <v>34290138835</v>
      </c>
      <c r="AE306" s="18"/>
      <c r="AF306" s="9"/>
      <c r="AG306" s="9"/>
      <c r="AH306" s="9"/>
      <c r="AI306" s="9"/>
      <c r="AJ306" s="9"/>
      <c r="AK306" s="9"/>
      <c r="AL306" s="9"/>
      <c r="AM306" s="9">
        <v>18681507271</v>
      </c>
    </row>
    <row r="307" spans="1:39" ht="15.75" customHeight="1">
      <c r="A307" s="6">
        <v>165</v>
      </c>
      <c r="B307" s="6">
        <v>2020</v>
      </c>
      <c r="C307" s="6" t="s">
        <v>290</v>
      </c>
      <c r="D307" s="7" t="s">
        <v>291</v>
      </c>
      <c r="E307" s="6" t="s">
        <v>286</v>
      </c>
      <c r="F307" s="6" t="s">
        <v>287</v>
      </c>
      <c r="G307" s="6"/>
      <c r="H307" s="9">
        <v>268228515327</v>
      </c>
      <c r="I307" s="8">
        <v>649791168201</v>
      </c>
      <c r="J307" s="8">
        <v>1730596456562</v>
      </c>
      <c r="K307" s="8">
        <v>80268968169</v>
      </c>
      <c r="L307" s="8">
        <v>477783003641</v>
      </c>
      <c r="M307" s="8">
        <v>1252813452921</v>
      </c>
      <c r="N307" s="8">
        <v>1334333000</v>
      </c>
      <c r="O307" s="8">
        <v>1618490505399</v>
      </c>
      <c r="P307" s="8">
        <v>1340438220353</v>
      </c>
      <c r="Q307" s="6"/>
      <c r="R307" s="6"/>
      <c r="S307" s="11"/>
      <c r="T307" s="9">
        <f>307355207331+3439979352+725615310</f>
        <v>311520801993</v>
      </c>
      <c r="U307" s="12">
        <v>-20502166781</v>
      </c>
      <c r="V307" s="13">
        <f t="shared" si="50"/>
        <v>1252813452921</v>
      </c>
      <c r="W307" s="13">
        <f t="shared" si="40"/>
        <v>0.2760799618127977</v>
      </c>
      <c r="X307" s="13">
        <f t="shared" si="41"/>
        <v>0.38136803410517661</v>
      </c>
      <c r="Y307" s="8">
        <f t="shared" si="47"/>
        <v>-1.1846878978204757E-2</v>
      </c>
      <c r="Z307" s="8">
        <f t="shared" si="48"/>
        <v>-1.6364899924404649E-2</v>
      </c>
      <c r="AA307" s="8">
        <f t="shared" si="42"/>
        <v>0.17179729143820519</v>
      </c>
      <c r="AB307" s="8">
        <f t="shared" si="49"/>
        <v>-1.2667461880442531E-2</v>
      </c>
      <c r="AC307" s="8">
        <f t="shared" si="43"/>
        <v>0.17179729143820519</v>
      </c>
      <c r="AD307" s="9">
        <v>35192913624</v>
      </c>
      <c r="AE307" s="9"/>
      <c r="AF307" s="9"/>
      <c r="AG307" s="9"/>
      <c r="AH307" s="9"/>
      <c r="AI307" s="9"/>
      <c r="AJ307" s="9"/>
      <c r="AK307" s="9"/>
      <c r="AL307" s="9"/>
      <c r="AM307" s="9">
        <v>8855844234</v>
      </c>
    </row>
    <row r="308" spans="1:39" ht="15.75" customHeight="1">
      <c r="A308" s="6">
        <v>175</v>
      </c>
      <c r="B308" s="6">
        <v>2018</v>
      </c>
      <c r="C308" s="6" t="s">
        <v>292</v>
      </c>
      <c r="D308" s="7" t="s">
        <v>293</v>
      </c>
      <c r="E308" s="6" t="s">
        <v>286</v>
      </c>
      <c r="F308" s="6" t="s">
        <v>287</v>
      </c>
      <c r="G308" s="6"/>
      <c r="H308" s="9">
        <v>16616204000</v>
      </c>
      <c r="I308" s="8">
        <v>553675716000</v>
      </c>
      <c r="J308" s="8">
        <v>12682902626000</v>
      </c>
      <c r="K308" s="8">
        <v>116692469000</v>
      </c>
      <c r="L308" s="8">
        <v>7857284389000</v>
      </c>
      <c r="M308" s="8">
        <v>4825618237000</v>
      </c>
      <c r="N308" s="8">
        <v>7800000000</v>
      </c>
      <c r="O308" s="8">
        <v>34744177481000</v>
      </c>
      <c r="P308" s="8">
        <v>31574695864000</v>
      </c>
      <c r="Q308" s="6"/>
      <c r="R308" s="6"/>
      <c r="S308" s="11"/>
      <c r="T308" s="9">
        <f>1080320007000+771635051000+6170369000</f>
        <v>1858125427000</v>
      </c>
      <c r="U308" s="12">
        <v>889340783000</v>
      </c>
      <c r="V308" s="13">
        <f t="shared" si="50"/>
        <v>4825618237000</v>
      </c>
      <c r="W308" s="13">
        <f t="shared" si="40"/>
        <v>0.61951783599540822</v>
      </c>
      <c r="X308" s="13">
        <f t="shared" si="41"/>
        <v>1.6282440929029505</v>
      </c>
      <c r="Y308" s="8">
        <f t="shared" si="47"/>
        <v>7.0121234012855069E-2</v>
      </c>
      <c r="Z308" s="8">
        <f t="shared" si="48"/>
        <v>0.18429571908135178</v>
      </c>
      <c r="AA308" s="8">
        <f t="shared" si="42"/>
        <v>9.1223388975987252E-2</v>
      </c>
      <c r="AB308" s="8">
        <f t="shared" si="49"/>
        <v>2.5596829382026377E-2</v>
      </c>
      <c r="AC308" s="8">
        <f t="shared" si="43"/>
        <v>9.1223388975987252E-2</v>
      </c>
      <c r="AD308" s="9"/>
      <c r="AE308" s="10">
        <v>12149522000</v>
      </c>
      <c r="AF308" s="9"/>
      <c r="AG308" s="9"/>
      <c r="AH308" s="9"/>
      <c r="AI308" s="9">
        <v>92868737000</v>
      </c>
      <c r="AJ308" s="9"/>
      <c r="AK308" s="10"/>
      <c r="AL308" s="9"/>
      <c r="AM308" s="10">
        <f>13392139000+254325758000</f>
        <v>267717897000</v>
      </c>
    </row>
    <row r="309" spans="1:39" ht="15.75" customHeight="1">
      <c r="A309" s="6">
        <v>176</v>
      </c>
      <c r="B309" s="6">
        <v>2019</v>
      </c>
      <c r="C309" s="6" t="s">
        <v>292</v>
      </c>
      <c r="D309" s="7" t="s">
        <v>293</v>
      </c>
      <c r="E309" s="6" t="s">
        <v>286</v>
      </c>
      <c r="F309" s="6" t="s">
        <v>287</v>
      </c>
      <c r="G309" s="6"/>
      <c r="H309" s="9">
        <v>28573260000</v>
      </c>
      <c r="I309" s="8">
        <v>614540334000</v>
      </c>
      <c r="J309" s="8">
        <v>9747703198000</v>
      </c>
      <c r="K309" s="8">
        <v>153455511000</v>
      </c>
      <c r="L309" s="8">
        <v>4768986646000</v>
      </c>
      <c r="M309" s="8">
        <v>4978716552000</v>
      </c>
      <c r="N309" s="8">
        <v>7800000000</v>
      </c>
      <c r="O309" s="8">
        <v>32944902671000</v>
      </c>
      <c r="P309" s="8">
        <v>30095879138000</v>
      </c>
      <c r="Q309" s="6"/>
      <c r="R309" s="6"/>
      <c r="S309" s="11"/>
      <c r="T309" s="9">
        <f>1363502575000+972931223000+7228447000</f>
        <v>2343662245000</v>
      </c>
      <c r="U309" s="12">
        <v>325583191000</v>
      </c>
      <c r="V309" s="13">
        <f t="shared" si="50"/>
        <v>4978716552000</v>
      </c>
      <c r="W309" s="13">
        <f t="shared" si="40"/>
        <v>0.48924208596938856</v>
      </c>
      <c r="X309" s="13">
        <f t="shared" si="41"/>
        <v>0.95787470449271728</v>
      </c>
      <c r="Y309" s="8">
        <f t="shared" si="47"/>
        <v>3.3401016053381888E-2</v>
      </c>
      <c r="Z309" s="8">
        <f t="shared" si="48"/>
        <v>6.5395004435271575E-2</v>
      </c>
      <c r="AA309" s="8">
        <f t="shared" si="42"/>
        <v>8.6478432231274258E-2</v>
      </c>
      <c r="AB309" s="8">
        <f t="shared" si="49"/>
        <v>9.8826575464919207E-3</v>
      </c>
      <c r="AC309" s="8">
        <f t="shared" si="43"/>
        <v>8.6478432231274258E-2</v>
      </c>
      <c r="AD309" s="9"/>
      <c r="AE309" s="9">
        <v>8682294000</v>
      </c>
      <c r="AF309" s="9"/>
      <c r="AG309" s="9"/>
      <c r="AH309" s="9"/>
      <c r="AI309" s="9">
        <v>92868737000</v>
      </c>
      <c r="AJ309" s="9"/>
      <c r="AK309" s="9"/>
      <c r="AL309" s="10"/>
      <c r="AM309" s="10">
        <f>24648644000+278504792000</f>
        <v>303153436000</v>
      </c>
    </row>
    <row r="310" spans="1:39" ht="15.75" customHeight="1">
      <c r="A310" s="6">
        <v>177</v>
      </c>
      <c r="B310" s="6">
        <v>2020</v>
      </c>
      <c r="C310" s="6" t="s">
        <v>292</v>
      </c>
      <c r="D310" s="7" t="s">
        <v>293</v>
      </c>
      <c r="E310" s="6" t="s">
        <v>286</v>
      </c>
      <c r="F310" s="6" t="s">
        <v>287</v>
      </c>
      <c r="G310" s="6"/>
      <c r="H310" s="9">
        <v>35487768000</v>
      </c>
      <c r="I310" s="8">
        <v>716457366000</v>
      </c>
      <c r="J310" s="8">
        <v>11211369042000</v>
      </c>
      <c r="K310" s="8">
        <v>380422147000</v>
      </c>
      <c r="L310" s="8">
        <v>5523372852000</v>
      </c>
      <c r="M310" s="8">
        <v>5687996190000</v>
      </c>
      <c r="N310" s="8">
        <v>7800000000</v>
      </c>
      <c r="O310" s="8">
        <v>34113454845000</v>
      </c>
      <c r="P310" s="8">
        <v>30703442235000</v>
      </c>
      <c r="Q310" s="6"/>
      <c r="R310" s="6"/>
      <c r="S310" s="11"/>
      <c r="T310" s="9">
        <f>1473722276000+1078462146000+47152494000</f>
        <v>2599336916000</v>
      </c>
      <c r="U310" s="12">
        <v>671172137000</v>
      </c>
      <c r="V310" s="13">
        <f t="shared" si="50"/>
        <v>5687996190000</v>
      </c>
      <c r="W310" s="13">
        <f t="shared" si="40"/>
        <v>0.4926581964529359</v>
      </c>
      <c r="X310" s="13">
        <f t="shared" si="41"/>
        <v>0.97105776225915508</v>
      </c>
      <c r="Y310" s="8">
        <f t="shared" si="47"/>
        <v>5.9865314796583427E-2</v>
      </c>
      <c r="Z310" s="8">
        <f t="shared" si="48"/>
        <v>0.11799799341989363</v>
      </c>
      <c r="AA310" s="8">
        <f t="shared" si="42"/>
        <v>9.9960928187835085E-2</v>
      </c>
      <c r="AB310" s="8">
        <f t="shared" si="49"/>
        <v>1.9674704308009234E-2</v>
      </c>
      <c r="AC310" s="8">
        <f t="shared" si="43"/>
        <v>9.9960928187835085E-2</v>
      </c>
      <c r="AD310" s="9"/>
      <c r="AE310" s="10">
        <v>6349503000</v>
      </c>
      <c r="AF310" s="9"/>
      <c r="AG310" s="9"/>
      <c r="AH310" s="9"/>
      <c r="AI310" s="9">
        <v>92868737000</v>
      </c>
      <c r="AJ310" s="9"/>
      <c r="AK310" s="10"/>
      <c r="AL310" s="10"/>
      <c r="AM310" s="10">
        <f>30263666000+320805603000</f>
        <v>351069269000</v>
      </c>
    </row>
    <row r="311" spans="1:39" ht="15.75" customHeight="1">
      <c r="A311" s="6">
        <v>205</v>
      </c>
      <c r="B311" s="6">
        <v>2018</v>
      </c>
      <c r="C311" s="6" t="s">
        <v>294</v>
      </c>
      <c r="D311" s="7" t="s">
        <v>295</v>
      </c>
      <c r="E311" s="6" t="s">
        <v>286</v>
      </c>
      <c r="F311" s="6" t="s">
        <v>287</v>
      </c>
      <c r="G311" s="8"/>
      <c r="H311" s="6"/>
      <c r="I311" s="8">
        <v>2809271072</v>
      </c>
      <c r="J311" s="8">
        <v>37180128513</v>
      </c>
      <c r="K311" s="8">
        <v>484071843890</v>
      </c>
      <c r="L311" s="8">
        <v>742492407888</v>
      </c>
      <c r="M311" s="8">
        <v>-705312279375</v>
      </c>
      <c r="N311" s="13">
        <v>4000000000</v>
      </c>
      <c r="O311" s="8">
        <v>514434171115</v>
      </c>
      <c r="P311" s="8">
        <v>479607062647</v>
      </c>
      <c r="Q311" s="6"/>
      <c r="R311" s="6"/>
      <c r="S311" s="11"/>
      <c r="T311" s="10">
        <f>24087854625+12622132656</f>
        <v>36709987281</v>
      </c>
      <c r="U311" s="19">
        <v>-21385174417</v>
      </c>
      <c r="V311" s="13">
        <f t="shared" si="50"/>
        <v>-705312279375</v>
      </c>
      <c r="W311" s="13">
        <f t="shared" si="40"/>
        <v>19.970140975397332</v>
      </c>
      <c r="X311" s="13">
        <f t="shared" si="41"/>
        <v>-1.0527144211156318</v>
      </c>
      <c r="Y311" s="8">
        <f t="shared" si="47"/>
        <v>-0.57517752821975032</v>
      </c>
      <c r="Z311" s="8">
        <f t="shared" si="48"/>
        <v>3.0320150438824196E-2</v>
      </c>
      <c r="AA311" s="8">
        <f t="shared" si="42"/>
        <v>6.7699834932260977E-2</v>
      </c>
      <c r="AB311" s="8">
        <f t="shared" si="49"/>
        <v>-4.1570283658741283E-2</v>
      </c>
      <c r="AC311" s="8">
        <f t="shared" si="43"/>
        <v>6.7699834932260977E-2</v>
      </c>
      <c r="AD311" s="9"/>
      <c r="AE311" s="9"/>
      <c r="AF311" s="9"/>
      <c r="AG311" s="9"/>
      <c r="AH311" s="9"/>
      <c r="AI311" s="9"/>
      <c r="AJ311" s="9"/>
      <c r="AK311" s="9"/>
      <c r="AL311" s="9"/>
      <c r="AM311" s="10">
        <v>515739322</v>
      </c>
    </row>
    <row r="312" spans="1:39" ht="15.75" customHeight="1">
      <c r="A312" s="6">
        <v>206</v>
      </c>
      <c r="B312" s="6">
        <v>2019</v>
      </c>
      <c r="C312" s="6" t="s">
        <v>294</v>
      </c>
      <c r="D312" s="7" t="s">
        <v>295</v>
      </c>
      <c r="E312" s="6" t="s">
        <v>286</v>
      </c>
      <c r="F312" s="6" t="s">
        <v>287</v>
      </c>
      <c r="G312" s="8"/>
      <c r="H312" s="6"/>
      <c r="I312" s="8">
        <v>1350165824</v>
      </c>
      <c r="J312" s="8">
        <v>8278414392</v>
      </c>
      <c r="K312" s="8">
        <v>452441152549</v>
      </c>
      <c r="L312" s="8">
        <v>753250620180</v>
      </c>
      <c r="M312" s="8">
        <v>-744972205788</v>
      </c>
      <c r="N312" s="13">
        <v>4000000000</v>
      </c>
      <c r="O312" s="8">
        <v>238615469362</v>
      </c>
      <c r="P312" s="8">
        <v>227423967638</v>
      </c>
      <c r="Q312" s="6"/>
      <c r="R312" s="6"/>
      <c r="S312" s="11"/>
      <c r="T312" s="10">
        <f>13753763369+5491231060</f>
        <v>19244994429</v>
      </c>
      <c r="U312" s="12">
        <v>-39725601460</v>
      </c>
      <c r="V312" s="13">
        <f t="shared" si="50"/>
        <v>-744972205788</v>
      </c>
      <c r="W312" s="13">
        <f t="shared" si="40"/>
        <v>90.989721522990891</v>
      </c>
      <c r="X312" s="13">
        <f t="shared" si="41"/>
        <v>-1.0111123802038271</v>
      </c>
      <c r="Y312" s="8">
        <f t="shared" si="47"/>
        <v>-4.798696897607539</v>
      </c>
      <c r="Z312" s="8">
        <f t="shared" si="48"/>
        <v>5.3324944409140665E-2</v>
      </c>
      <c r="AA312" s="8">
        <f t="shared" si="42"/>
        <v>4.6901828091545639E-2</v>
      </c>
      <c r="AB312" s="8">
        <f t="shared" si="49"/>
        <v>-0.16648376388260427</v>
      </c>
      <c r="AC312" s="8">
        <f t="shared" si="43"/>
        <v>4.6901828091545639E-2</v>
      </c>
      <c r="AD312" s="9"/>
      <c r="AE312" s="9"/>
      <c r="AF312" s="9"/>
      <c r="AG312" s="9"/>
      <c r="AH312" s="9"/>
      <c r="AI312" s="9"/>
      <c r="AJ312" s="9"/>
      <c r="AK312" s="9"/>
      <c r="AL312" s="9"/>
      <c r="AM312" s="10">
        <v>56521409</v>
      </c>
    </row>
    <row r="313" spans="1:39" ht="15.75" customHeight="1">
      <c r="A313" s="6">
        <v>207</v>
      </c>
      <c r="B313" s="6">
        <v>2020</v>
      </c>
      <c r="C313" s="6" t="s">
        <v>294</v>
      </c>
      <c r="D313" s="7" t="s">
        <v>295</v>
      </c>
      <c r="E313" s="6" t="s">
        <v>286</v>
      </c>
      <c r="F313" s="6" t="s">
        <v>287</v>
      </c>
      <c r="G313" s="8"/>
      <c r="H313" s="6"/>
      <c r="I313" s="8">
        <v>777340368</v>
      </c>
      <c r="J313" s="8">
        <v>10616363611</v>
      </c>
      <c r="K313" s="8">
        <v>397440428209</v>
      </c>
      <c r="L313" s="8">
        <v>806179231356</v>
      </c>
      <c r="M313" s="8">
        <v>-795562867745</v>
      </c>
      <c r="N313" s="13">
        <v>4000000000</v>
      </c>
      <c r="O313" s="8">
        <v>30671505593</v>
      </c>
      <c r="P313" s="8">
        <v>28603624638</v>
      </c>
      <c r="Q313" s="6"/>
      <c r="R313" s="6"/>
      <c r="S313" s="11"/>
      <c r="T313" s="10">
        <f>3843034228+4417158562</f>
        <v>8260192790</v>
      </c>
      <c r="U313" s="19">
        <v>-50608122770</v>
      </c>
      <c r="V313" s="13">
        <f t="shared" si="50"/>
        <v>-795562867745</v>
      </c>
      <c r="W313" s="13">
        <f t="shared" si="40"/>
        <v>75.937417075719637</v>
      </c>
      <c r="X313" s="13">
        <f t="shared" si="41"/>
        <v>-1.0133444684781376</v>
      </c>
      <c r="Y313" s="8">
        <f t="shared" si="47"/>
        <v>-4.7669922229833093</v>
      </c>
      <c r="Z313" s="8">
        <f t="shared" si="48"/>
        <v>6.3612977455128422E-2</v>
      </c>
      <c r="AA313" s="8">
        <f t="shared" si="42"/>
        <v>6.7420262390769037E-2</v>
      </c>
      <c r="AB313" s="8">
        <f t="shared" si="49"/>
        <v>-1.6500045169465052</v>
      </c>
      <c r="AC313" s="8">
        <f t="shared" si="43"/>
        <v>6.7420262390769037E-2</v>
      </c>
      <c r="AD313" s="9"/>
      <c r="AE313" s="9"/>
      <c r="AF313" s="9"/>
      <c r="AG313" s="9"/>
      <c r="AH313" s="9"/>
      <c r="AI313" s="9"/>
      <c r="AJ313" s="9"/>
      <c r="AK313" s="9"/>
      <c r="AL313" s="9"/>
      <c r="AM313" s="10">
        <v>355193074</v>
      </c>
    </row>
    <row r="314" spans="1:39" ht="15.75" customHeight="1">
      <c r="A314" s="6">
        <v>208</v>
      </c>
      <c r="B314" s="6">
        <v>2018</v>
      </c>
      <c r="C314" s="6" t="s">
        <v>296</v>
      </c>
      <c r="D314" s="7" t="s">
        <v>297</v>
      </c>
      <c r="E314" s="6" t="s">
        <v>286</v>
      </c>
      <c r="F314" s="6" t="s">
        <v>287</v>
      </c>
      <c r="G314" s="8"/>
      <c r="H314" s="6"/>
      <c r="I314" s="8">
        <v>2782800000000</v>
      </c>
      <c r="J314" s="8">
        <v>6271858000000</v>
      </c>
      <c r="K314" s="8">
        <v>163211000000</v>
      </c>
      <c r="L314" s="8">
        <v>2330370000000</v>
      </c>
      <c r="M314" s="8">
        <v>3941488000000</v>
      </c>
      <c r="N314" s="13">
        <v>9000000000</v>
      </c>
      <c r="O314" s="8">
        <v>12970389000000</v>
      </c>
      <c r="P314" s="8">
        <v>9275890000000</v>
      </c>
      <c r="Q314" s="6"/>
      <c r="R314" s="6"/>
      <c r="S314" s="11"/>
      <c r="T314" s="8">
        <f>3844363000000+1380487000000</f>
        <v>5224850000000</v>
      </c>
      <c r="U314" s="19">
        <v>-1250189000000</v>
      </c>
      <c r="V314" s="13">
        <f t="shared" si="50"/>
        <v>3941488000000</v>
      </c>
      <c r="W314" s="13">
        <f t="shared" si="40"/>
        <v>0.37155975151223131</v>
      </c>
      <c r="X314" s="13">
        <f t="shared" si="41"/>
        <v>0.59124117592137793</v>
      </c>
      <c r="Y314" s="8">
        <f t="shared" si="47"/>
        <v>-0.19933311627909944</v>
      </c>
      <c r="Z314" s="8">
        <f t="shared" si="48"/>
        <v>-0.31718706234802696</v>
      </c>
      <c r="AA314" s="8">
        <f t="shared" si="42"/>
        <v>0.2848410329096529</v>
      </c>
      <c r="AB314" s="8">
        <f t="shared" si="49"/>
        <v>-9.6387934085862811E-2</v>
      </c>
      <c r="AC314" s="8">
        <f t="shared" si="43"/>
        <v>0.2848410329096529</v>
      </c>
      <c r="AD314" s="9"/>
      <c r="AE314" s="9"/>
      <c r="AF314" s="9"/>
      <c r="AG314" s="9"/>
      <c r="AH314" s="9"/>
      <c r="AI314" s="9"/>
      <c r="AJ314" s="9"/>
      <c r="AK314" s="9">
        <v>30282000000</v>
      </c>
      <c r="AL314" s="9"/>
      <c r="AM314" s="10">
        <v>313617000000</v>
      </c>
    </row>
    <row r="315" spans="1:39" ht="15.75" customHeight="1">
      <c r="A315" s="6">
        <v>209</v>
      </c>
      <c r="B315" s="6">
        <v>2019</v>
      </c>
      <c r="C315" s="6" t="s">
        <v>296</v>
      </c>
      <c r="D315" s="7" t="s">
        <v>297</v>
      </c>
      <c r="E315" s="6" t="s">
        <v>286</v>
      </c>
      <c r="F315" s="6" t="s">
        <v>287</v>
      </c>
      <c r="G315" s="8"/>
      <c r="H315" s="6"/>
      <c r="I315" s="8">
        <v>2782800000000</v>
      </c>
      <c r="J315" s="8">
        <v>6054384000000</v>
      </c>
      <c r="K315" s="8">
        <v>126159000000</v>
      </c>
      <c r="L315" s="13">
        <v>2387822000000</v>
      </c>
      <c r="M315" s="8">
        <v>3666562000000</v>
      </c>
      <c r="N315" s="13">
        <v>9000000000</v>
      </c>
      <c r="O315" s="8">
        <v>12181025000000</v>
      </c>
      <c r="P315" s="8">
        <v>8733377000000</v>
      </c>
      <c r="Q315" s="6"/>
      <c r="R315" s="6"/>
      <c r="S315" s="11"/>
      <c r="T315" s="8">
        <f>3488590000000+239351000000</f>
        <v>3727941000000</v>
      </c>
      <c r="U315" s="12">
        <v>-28216000000</v>
      </c>
      <c r="V315" s="13">
        <f t="shared" si="50"/>
        <v>3666562000000</v>
      </c>
      <c r="W315" s="13">
        <f t="shared" si="40"/>
        <v>0.39439553222920781</v>
      </c>
      <c r="X315" s="13">
        <f t="shared" si="41"/>
        <v>0.65124277183912338</v>
      </c>
      <c r="Y315" s="8">
        <f t="shared" si="47"/>
        <v>-4.6604245782890545E-3</v>
      </c>
      <c r="Z315" s="8">
        <f t="shared" si="48"/>
        <v>-7.6954923986011963E-3</v>
      </c>
      <c r="AA315" s="8">
        <f t="shared" si="42"/>
        <v>0.28303430951007819</v>
      </c>
      <c r="AB315" s="8">
        <f t="shared" si="49"/>
        <v>-2.3163896305934844E-3</v>
      </c>
      <c r="AC315" s="8">
        <f t="shared" si="43"/>
        <v>0.28303430951007819</v>
      </c>
      <c r="AD315" s="9"/>
      <c r="AE315" s="9"/>
      <c r="AF315" s="9"/>
      <c r="AG315" s="9"/>
      <c r="AH315" s="9"/>
      <c r="AI315" s="9"/>
      <c r="AJ315" s="9"/>
      <c r="AK315" s="9">
        <v>21563000000</v>
      </c>
      <c r="AL315" s="9"/>
      <c r="AM315" s="10">
        <v>296938000000</v>
      </c>
    </row>
    <row r="316" spans="1:39" ht="15.75" customHeight="1">
      <c r="A316" s="6">
        <v>210</v>
      </c>
      <c r="B316" s="6">
        <v>2020</v>
      </c>
      <c r="C316" s="6" t="s">
        <v>296</v>
      </c>
      <c r="D316" s="7" t="s">
        <v>297</v>
      </c>
      <c r="E316" s="6" t="s">
        <v>286</v>
      </c>
      <c r="F316" s="6" t="s">
        <v>287</v>
      </c>
      <c r="G316" s="8"/>
      <c r="H316" s="6"/>
      <c r="I316" s="8">
        <v>2933236000000</v>
      </c>
      <c r="J316" s="8">
        <v>4838417000000</v>
      </c>
      <c r="K316" s="8">
        <v>705687000000</v>
      </c>
      <c r="L316" s="8">
        <v>2983729000000</v>
      </c>
      <c r="M316" s="8">
        <v>1854688000000</v>
      </c>
      <c r="N316" s="13">
        <v>9000000000</v>
      </c>
      <c r="O316" s="8">
        <v>8893785000000</v>
      </c>
      <c r="P316" s="8">
        <v>6493920000000</v>
      </c>
      <c r="Q316" s="6"/>
      <c r="R316" s="6"/>
      <c r="S316" s="11"/>
      <c r="T316" s="8">
        <f>3554440000000</f>
        <v>3554440000000</v>
      </c>
      <c r="U316" s="12">
        <v>-1214602000000</v>
      </c>
      <c r="V316" s="13">
        <f t="shared" si="50"/>
        <v>1854688000000</v>
      </c>
      <c r="W316" s="13">
        <f t="shared" si="40"/>
        <v>0.61667462725928746</v>
      </c>
      <c r="X316" s="13">
        <f t="shared" si="41"/>
        <v>1.608749827464242</v>
      </c>
      <c r="Y316" s="8">
        <f t="shared" si="47"/>
        <v>-0.25103293081187505</v>
      </c>
      <c r="Z316" s="8">
        <f t="shared" si="48"/>
        <v>-0.65488211494332205</v>
      </c>
      <c r="AA316" s="8">
        <f t="shared" si="42"/>
        <v>0.26983618335725451</v>
      </c>
      <c r="AB316" s="8">
        <f t="shared" si="49"/>
        <v>-0.13656750191285263</v>
      </c>
      <c r="AC316" s="8">
        <f t="shared" si="43"/>
        <v>0.26983618335725451</v>
      </c>
      <c r="AD316" s="9"/>
      <c r="AE316" s="9"/>
      <c r="AF316" s="9"/>
      <c r="AG316" s="9"/>
      <c r="AH316" s="9"/>
      <c r="AI316" s="9"/>
      <c r="AJ316" s="9"/>
      <c r="AK316" s="9">
        <v>19883000000</v>
      </c>
      <c r="AL316" s="9"/>
      <c r="AM316" s="10">
        <v>151293000000</v>
      </c>
    </row>
    <row r="317" spans="1:39" ht="15.75" customHeight="1">
      <c r="A317" s="6">
        <v>274</v>
      </c>
      <c r="B317" s="6">
        <v>2018</v>
      </c>
      <c r="C317" s="6" t="s">
        <v>298</v>
      </c>
      <c r="D317" s="7" t="s">
        <v>299</v>
      </c>
      <c r="E317" s="6" t="s">
        <v>286</v>
      </c>
      <c r="F317" s="6" t="s">
        <v>287</v>
      </c>
      <c r="G317" s="6"/>
      <c r="H317" s="6"/>
      <c r="I317" s="8">
        <v>23434425176</v>
      </c>
      <c r="J317" s="8">
        <v>855572807455</v>
      </c>
      <c r="K317" s="8">
        <v>17989355076</v>
      </c>
      <c r="L317" s="8">
        <v>752493177515</v>
      </c>
      <c r="M317" s="8">
        <v>103079629940</v>
      </c>
      <c r="N317" s="8">
        <v>2400000000</v>
      </c>
      <c r="O317" s="8">
        <v>1750649236912</v>
      </c>
      <c r="P317" s="8">
        <v>1506613211796</v>
      </c>
      <c r="Q317" s="6"/>
      <c r="R317" s="6"/>
      <c r="S317" s="11"/>
      <c r="T317" s="10">
        <f>154436007434+91582145434+3045332990</f>
        <v>249063485858</v>
      </c>
      <c r="U317" s="12">
        <v>-9993012908</v>
      </c>
      <c r="V317" s="13">
        <f t="shared" si="50"/>
        <v>103079629940</v>
      </c>
      <c r="W317" s="13">
        <f t="shared" si="40"/>
        <v>0.87951974508560848</v>
      </c>
      <c r="X317" s="13">
        <f t="shared" si="41"/>
        <v>7.3001152405475933</v>
      </c>
      <c r="Y317" s="8">
        <f t="shared" si="47"/>
        <v>-1.1679909437193743E-2</v>
      </c>
      <c r="Z317" s="8">
        <f t="shared" si="48"/>
        <v>-9.694459432786745E-2</v>
      </c>
      <c r="AA317" s="8">
        <f t="shared" si="42"/>
        <v>0.13939744180076832</v>
      </c>
      <c r="AB317" s="8">
        <f t="shared" si="49"/>
        <v>-5.708175399902979E-3</v>
      </c>
      <c r="AC317" s="8">
        <f t="shared" si="43"/>
        <v>0.13939744180076832</v>
      </c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spans="1:39" ht="15.75" customHeight="1">
      <c r="A318" s="6">
        <v>275</v>
      </c>
      <c r="B318" s="6">
        <v>2019</v>
      </c>
      <c r="C318" s="6" t="s">
        <v>298</v>
      </c>
      <c r="D318" s="7" t="s">
        <v>299</v>
      </c>
      <c r="E318" s="6" t="s">
        <v>286</v>
      </c>
      <c r="F318" s="6" t="s">
        <v>287</v>
      </c>
      <c r="G318" s="6"/>
      <c r="H318" s="9"/>
      <c r="I318" s="9">
        <v>28228320173</v>
      </c>
      <c r="J318" s="10">
        <v>652346214673</v>
      </c>
      <c r="K318" s="10">
        <v>12452213573</v>
      </c>
      <c r="L318" s="10">
        <v>566317879403</v>
      </c>
      <c r="M318" s="10">
        <v>86028335270</v>
      </c>
      <c r="N318" s="8">
        <v>2400000000</v>
      </c>
      <c r="O318" s="10">
        <v>1618048001660</v>
      </c>
      <c r="P318" s="10">
        <v>1437005463891</v>
      </c>
      <c r="Q318" s="6"/>
      <c r="R318" s="6"/>
      <c r="S318" s="11"/>
      <c r="T318" s="10">
        <f>94135654872+568970135+6512798532</f>
        <v>101217423539</v>
      </c>
      <c r="U318" s="12">
        <v>-18643690989</v>
      </c>
      <c r="V318" s="9">
        <f t="shared" si="50"/>
        <v>86028335270</v>
      </c>
      <c r="W318" s="13">
        <f t="shared" si="40"/>
        <v>0.86812472681684338</v>
      </c>
      <c r="X318" s="13">
        <f t="shared" si="41"/>
        <v>6.5829226803658454</v>
      </c>
      <c r="Y318" s="8">
        <f t="shared" si="47"/>
        <v>-2.8579442280270574E-2</v>
      </c>
      <c r="Z318" s="8">
        <f t="shared" si="48"/>
        <v>-0.21671570105927029</v>
      </c>
      <c r="AA318" s="8">
        <f t="shared" si="42"/>
        <v>0.11188947273706558</v>
      </c>
      <c r="AB318" s="8">
        <f t="shared" si="49"/>
        <v>-1.1522334918292241E-2</v>
      </c>
      <c r="AC318" s="8">
        <f t="shared" si="43"/>
        <v>0.11188947273706558</v>
      </c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 spans="1:39" ht="15.75" customHeight="1">
      <c r="A319" s="6">
        <v>276</v>
      </c>
      <c r="B319" s="6">
        <v>2020</v>
      </c>
      <c r="C319" s="6" t="s">
        <v>298</v>
      </c>
      <c r="D319" s="7" t="s">
        <v>299</v>
      </c>
      <c r="E319" s="6" t="s">
        <v>286</v>
      </c>
      <c r="F319" s="6" t="s">
        <v>287</v>
      </c>
      <c r="G319" s="6"/>
      <c r="H319" s="9"/>
      <c r="I319" s="9">
        <v>32005744503</v>
      </c>
      <c r="J319" s="10">
        <v>675863759206</v>
      </c>
      <c r="K319" s="10">
        <v>19653074898</v>
      </c>
      <c r="L319" s="10">
        <v>549267273182</v>
      </c>
      <c r="M319" s="10">
        <v>126596486024</v>
      </c>
      <c r="N319" s="8">
        <v>2400000000</v>
      </c>
      <c r="O319" s="10">
        <v>1446474839632</v>
      </c>
      <c r="P319" s="10">
        <v>1283821135165</v>
      </c>
      <c r="Q319" s="6"/>
      <c r="R319" s="6"/>
      <c r="S319" s="11"/>
      <c r="T319" s="10">
        <f>69372687390+80714831225+2457853119</f>
        <v>152545371734</v>
      </c>
      <c r="U319" s="12">
        <v>41124681020</v>
      </c>
      <c r="V319" s="9">
        <f t="shared" si="50"/>
        <v>126596486024</v>
      </c>
      <c r="W319" s="13">
        <f t="shared" si="40"/>
        <v>0.81268934115845382</v>
      </c>
      <c r="X319" s="13">
        <f t="shared" si="41"/>
        <v>4.3387244814826111</v>
      </c>
      <c r="Y319" s="8">
        <f t="shared" si="47"/>
        <v>6.0847590153839566E-2</v>
      </c>
      <c r="Z319" s="8">
        <f t="shared" si="48"/>
        <v>0.32484851919352353</v>
      </c>
      <c r="AA319" s="8">
        <f t="shared" si="42"/>
        <v>0.11244834684326828</v>
      </c>
      <c r="AB319" s="8">
        <f t="shared" si="49"/>
        <v>2.8430968789241156E-2</v>
      </c>
      <c r="AC319" s="8">
        <f t="shared" si="43"/>
        <v>0.11244834684326828</v>
      </c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spans="1:39" ht="15.75" customHeight="1">
      <c r="A320" s="6">
        <v>331</v>
      </c>
      <c r="B320" s="6">
        <v>2018</v>
      </c>
      <c r="C320" s="6" t="s">
        <v>300</v>
      </c>
      <c r="D320" s="7" t="s">
        <v>301</v>
      </c>
      <c r="E320" s="6" t="s">
        <v>286</v>
      </c>
      <c r="F320" s="6" t="s">
        <v>287</v>
      </c>
      <c r="G320" s="8"/>
      <c r="H320" s="9"/>
      <c r="I320" s="9">
        <v>1097913000000</v>
      </c>
      <c r="J320" s="10">
        <v>4808545000000</v>
      </c>
      <c r="K320" s="10">
        <v>771786000000</v>
      </c>
      <c r="L320" s="10">
        <v>3659302000000</v>
      </c>
      <c r="M320" s="10">
        <v>1149243000000</v>
      </c>
      <c r="N320" s="13">
        <v>10800000000</v>
      </c>
      <c r="O320" s="10">
        <v>10692363000000</v>
      </c>
      <c r="P320" s="10">
        <v>9210950000000</v>
      </c>
      <c r="Q320" s="6"/>
      <c r="R320" s="6"/>
      <c r="S320" s="11"/>
      <c r="T320" s="10">
        <f>419089000000+1672033000000+431072000000</f>
        <v>2522194000000</v>
      </c>
      <c r="U320" s="12">
        <v>-826004000000</v>
      </c>
      <c r="V320" s="9">
        <f t="shared" si="50"/>
        <v>1149243000000</v>
      </c>
      <c r="W320" s="13">
        <f t="shared" si="40"/>
        <v>0.76099984506747886</v>
      </c>
      <c r="X320" s="13">
        <f t="shared" si="41"/>
        <v>3.1840977060552031</v>
      </c>
      <c r="Y320" s="8">
        <f t="shared" si="47"/>
        <v>-0.17177836538911459</v>
      </c>
      <c r="Z320" s="8">
        <f t="shared" si="48"/>
        <v>-0.71873746457450682</v>
      </c>
      <c r="AA320" s="8">
        <f t="shared" si="42"/>
        <v>0.13854870060060626</v>
      </c>
      <c r="AB320" s="8">
        <f t="shared" si="49"/>
        <v>-7.725177306456954E-2</v>
      </c>
      <c r="AC320" s="8">
        <f t="shared" si="43"/>
        <v>0.13854870060060626</v>
      </c>
      <c r="AD320" s="9"/>
      <c r="AE320" s="10"/>
      <c r="AF320" s="9"/>
      <c r="AG320" s="9"/>
      <c r="AH320" s="9"/>
      <c r="AI320" s="9"/>
      <c r="AJ320" s="9"/>
      <c r="AK320" s="10"/>
      <c r="AL320" s="9"/>
      <c r="AM320" s="10"/>
    </row>
    <row r="321" spans="1:39" ht="15.75" customHeight="1">
      <c r="A321" s="6">
        <v>332</v>
      </c>
      <c r="B321" s="6">
        <v>2019</v>
      </c>
      <c r="C321" s="6" t="s">
        <v>300</v>
      </c>
      <c r="D321" s="7" t="s">
        <v>301</v>
      </c>
      <c r="E321" s="6" t="s">
        <v>286</v>
      </c>
      <c r="F321" s="6" t="s">
        <v>287</v>
      </c>
      <c r="G321" s="8"/>
      <c r="H321" s="9"/>
      <c r="I321" s="10">
        <v>926287000000</v>
      </c>
      <c r="J321" s="10">
        <v>3820809000000</v>
      </c>
      <c r="K321" s="10">
        <v>671738000000</v>
      </c>
      <c r="L321" s="10">
        <v>3290128000000</v>
      </c>
      <c r="M321" s="10">
        <v>530681000000</v>
      </c>
      <c r="N321" s="13">
        <v>10800000000</v>
      </c>
      <c r="O321" s="10">
        <v>8654646000000</v>
      </c>
      <c r="P321" s="10">
        <v>7074249000000</v>
      </c>
      <c r="Q321" s="6"/>
      <c r="R321" s="6"/>
      <c r="S321" s="11"/>
      <c r="T321" s="10">
        <f>359499000000+1432633000000+88573000000</f>
        <v>1880705000000</v>
      </c>
      <c r="U321" s="12">
        <v>-618562000000</v>
      </c>
      <c r="V321" s="9">
        <f t="shared" si="50"/>
        <v>530681000000</v>
      </c>
      <c r="W321" s="13">
        <f t="shared" si="40"/>
        <v>0.86110768687992512</v>
      </c>
      <c r="X321" s="13">
        <f t="shared" si="41"/>
        <v>6.1998224922316796</v>
      </c>
      <c r="Y321" s="8">
        <f t="shared" si="47"/>
        <v>-0.16189293942722602</v>
      </c>
      <c r="Z321" s="8">
        <f t="shared" si="48"/>
        <v>-1.1656004266216426</v>
      </c>
      <c r="AA321" s="8">
        <f t="shared" si="42"/>
        <v>0.1826067755977541</v>
      </c>
      <c r="AB321" s="8">
        <f t="shared" si="49"/>
        <v>-7.1471669667367094E-2</v>
      </c>
      <c r="AC321" s="8">
        <f t="shared" si="43"/>
        <v>0.1826067755977541</v>
      </c>
      <c r="AD321" s="9"/>
      <c r="AE321" s="10"/>
      <c r="AF321" s="9"/>
      <c r="AG321" s="9"/>
      <c r="AH321" s="9"/>
      <c r="AI321" s="9"/>
      <c r="AJ321" s="9"/>
      <c r="AK321" s="10"/>
      <c r="AL321" s="9"/>
      <c r="AM321" s="10"/>
    </row>
    <row r="322" spans="1:39" ht="15.75" customHeight="1">
      <c r="A322" s="6">
        <v>333</v>
      </c>
      <c r="B322" s="6">
        <v>2020</v>
      </c>
      <c r="C322" s="6" t="s">
        <v>300</v>
      </c>
      <c r="D322" s="7" t="s">
        <v>301</v>
      </c>
      <c r="E322" s="6" t="s">
        <v>286</v>
      </c>
      <c r="F322" s="6" t="s">
        <v>287</v>
      </c>
      <c r="G322" s="6"/>
      <c r="H322" s="9"/>
      <c r="I322" s="10">
        <v>789871000000</v>
      </c>
      <c r="J322" s="10">
        <v>4510511000000</v>
      </c>
      <c r="K322" s="10">
        <v>1562678000000</v>
      </c>
      <c r="L322" s="10">
        <v>4325777000000</v>
      </c>
      <c r="M322" s="10">
        <v>184734000000</v>
      </c>
      <c r="N322" s="13">
        <v>10800000000</v>
      </c>
      <c r="O322" s="10">
        <v>6746594000000</v>
      </c>
      <c r="P322" s="10">
        <v>5439936000000</v>
      </c>
      <c r="Q322" s="6"/>
      <c r="R322" s="6"/>
      <c r="S322" s="11"/>
      <c r="T322" s="9">
        <f>279376000000+1239746000000+5841000000</f>
        <v>1524963000000</v>
      </c>
      <c r="U322" s="12">
        <v>405307000000</v>
      </c>
      <c r="V322" s="9">
        <f t="shared" si="50"/>
        <v>184734000000</v>
      </c>
      <c r="W322" s="13">
        <f t="shared" si="40"/>
        <v>0.9590436648973919</v>
      </c>
      <c r="X322" s="13">
        <f t="shared" si="41"/>
        <v>23.416247144542965</v>
      </c>
      <c r="Y322" s="8">
        <f t="shared" si="47"/>
        <v>8.9858333124561721E-2</v>
      </c>
      <c r="Z322" s="8">
        <f t="shared" si="48"/>
        <v>2.1940032695659704</v>
      </c>
      <c r="AA322" s="8">
        <f t="shared" si="42"/>
        <v>0.19367669078649166</v>
      </c>
      <c r="AB322" s="8">
        <f t="shared" si="49"/>
        <v>6.0075795282775277E-2</v>
      </c>
      <c r="AC322" s="8">
        <f t="shared" si="43"/>
        <v>0.19367669078649166</v>
      </c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 spans="1:39" ht="15.75" customHeight="1">
      <c r="A323" s="6">
        <v>391</v>
      </c>
      <c r="B323" s="6">
        <v>2018</v>
      </c>
      <c r="C323" s="6" t="s">
        <v>302</v>
      </c>
      <c r="D323" s="7" t="s">
        <v>303</v>
      </c>
      <c r="E323" s="6" t="s">
        <v>286</v>
      </c>
      <c r="F323" s="6" t="s">
        <v>287</v>
      </c>
      <c r="G323" s="6"/>
      <c r="H323" s="10">
        <v>86068000000</v>
      </c>
      <c r="I323" s="10">
        <v>1164225000000</v>
      </c>
      <c r="J323" s="10">
        <v>5243047000000</v>
      </c>
      <c r="K323" s="9">
        <v>322487000000</v>
      </c>
      <c r="L323" s="10">
        <v>1415582000000</v>
      </c>
      <c r="M323" s="10">
        <v>3827465000000</v>
      </c>
      <c r="N323" s="8">
        <v>28000000000</v>
      </c>
      <c r="O323" s="10">
        <v>5739553000000</v>
      </c>
      <c r="P323" s="9">
        <v>3232948000000</v>
      </c>
      <c r="Q323" s="6"/>
      <c r="R323" s="6"/>
      <c r="S323" s="11"/>
      <c r="T323" s="10">
        <f>425171000000+1473612000000+19295000000</f>
        <v>1918078000000</v>
      </c>
      <c r="U323" s="12">
        <v>587105000000</v>
      </c>
      <c r="V323" s="9">
        <f t="shared" si="50"/>
        <v>3827465000000</v>
      </c>
      <c r="W323" s="13">
        <f t="shared" si="40"/>
        <v>0.26999223924561422</v>
      </c>
      <c r="X323" s="13">
        <f t="shared" si="41"/>
        <v>0.36984845060634125</v>
      </c>
      <c r="Y323" s="8">
        <f t="shared" si="47"/>
        <v>0.11197782510818614</v>
      </c>
      <c r="Z323" s="8">
        <f t="shared" si="48"/>
        <v>0.15339265022671664</v>
      </c>
      <c r="AA323" s="8">
        <f t="shared" si="42"/>
        <v>0.43672477630226603</v>
      </c>
      <c r="AB323" s="8">
        <f t="shared" si="49"/>
        <v>0.10229106691758051</v>
      </c>
      <c r="AC323" s="8">
        <f t="shared" si="43"/>
        <v>0.43672477630226603</v>
      </c>
      <c r="AD323" s="10"/>
      <c r="AE323" s="9"/>
      <c r="AF323" s="9"/>
      <c r="AG323" s="9"/>
      <c r="AH323" s="9"/>
      <c r="AI323" s="9"/>
      <c r="AJ323" s="9"/>
      <c r="AK323" s="10"/>
      <c r="AL323" s="9"/>
      <c r="AM323" s="10"/>
    </row>
    <row r="324" spans="1:39" ht="15.75" customHeight="1">
      <c r="A324" s="6">
        <v>392</v>
      </c>
      <c r="B324" s="6">
        <v>2019</v>
      </c>
      <c r="C324" s="6" t="s">
        <v>302</v>
      </c>
      <c r="D324" s="7" t="s">
        <v>303</v>
      </c>
      <c r="E324" s="6" t="s">
        <v>286</v>
      </c>
      <c r="F324" s="6" t="s">
        <v>287</v>
      </c>
      <c r="G324" s="6"/>
      <c r="H324" s="10">
        <v>110093000000</v>
      </c>
      <c r="I324" s="10">
        <v>1107325000000</v>
      </c>
      <c r="J324" s="10">
        <v>5649823000000</v>
      </c>
      <c r="K324" s="9">
        <v>345255000000</v>
      </c>
      <c r="L324" s="10">
        <v>1480893000000</v>
      </c>
      <c r="M324" s="10">
        <v>4168930000000</v>
      </c>
      <c r="N324" s="8">
        <v>28000000000</v>
      </c>
      <c r="O324" s="10">
        <v>5596398000000</v>
      </c>
      <c r="P324" s="10">
        <v>3102317000000</v>
      </c>
      <c r="Q324" s="6"/>
      <c r="R324" s="6"/>
      <c r="S324" s="11"/>
      <c r="T324" s="10">
        <f>405125000000+1571474000000+7316000000</f>
        <v>1983915000000</v>
      </c>
      <c r="U324" s="12">
        <v>647898000000</v>
      </c>
      <c r="V324" s="9">
        <f t="shared" si="50"/>
        <v>4168930000000</v>
      </c>
      <c r="W324" s="13">
        <f t="shared" si="40"/>
        <v>0.26211316708505733</v>
      </c>
      <c r="X324" s="13">
        <f t="shared" si="41"/>
        <v>0.35522136375520819</v>
      </c>
      <c r="Y324" s="8">
        <f t="shared" si="47"/>
        <v>0.11467580488804693</v>
      </c>
      <c r="Z324" s="8">
        <f t="shared" si="48"/>
        <v>0.15541110069010514</v>
      </c>
      <c r="AA324" s="8">
        <f t="shared" si="42"/>
        <v>0.44565826090281641</v>
      </c>
      <c r="AB324" s="8">
        <f t="shared" si="49"/>
        <v>0.1157705366916363</v>
      </c>
      <c r="AC324" s="8">
        <f t="shared" si="43"/>
        <v>0.44565826090281641</v>
      </c>
      <c r="AD324" s="10"/>
      <c r="AE324" s="9"/>
      <c r="AF324" s="9"/>
      <c r="AG324" s="9"/>
      <c r="AH324" s="9"/>
      <c r="AI324" s="9"/>
      <c r="AJ324" s="9"/>
      <c r="AK324" s="10"/>
      <c r="AL324" s="9"/>
      <c r="AM324" s="10"/>
    </row>
    <row r="325" spans="1:39" ht="15.75" customHeight="1">
      <c r="A325" s="6">
        <v>393</v>
      </c>
      <c r="B325" s="6">
        <v>2020</v>
      </c>
      <c r="C325" s="6" t="s">
        <v>302</v>
      </c>
      <c r="D325" s="7" t="s">
        <v>303</v>
      </c>
      <c r="E325" s="6" t="s">
        <v>286</v>
      </c>
      <c r="F325" s="6" t="s">
        <v>287</v>
      </c>
      <c r="G325" s="6"/>
      <c r="H325" s="9">
        <v>79261000000</v>
      </c>
      <c r="I325" s="10">
        <v>1002168000000</v>
      </c>
      <c r="J325" s="10">
        <v>5285218000000</v>
      </c>
      <c r="K325" s="10">
        <v>640816000000</v>
      </c>
      <c r="L325" s="10">
        <v>1566474000000</v>
      </c>
      <c r="M325" s="10">
        <v>3718744000000</v>
      </c>
      <c r="N325" s="8">
        <v>28000000000</v>
      </c>
      <c r="O325" s="10">
        <v>2527951000000</v>
      </c>
      <c r="P325" s="10">
        <v>1450362000000</v>
      </c>
      <c r="Q325" s="6"/>
      <c r="R325" s="6"/>
      <c r="S325" s="11"/>
      <c r="T325" s="10">
        <f>106968000000+1266663000000+36303000000</f>
        <v>1409934000000</v>
      </c>
      <c r="U325" s="12">
        <v>138874000000</v>
      </c>
      <c r="V325" s="9">
        <f t="shared" si="50"/>
        <v>3718744000000</v>
      </c>
      <c r="W325" s="13">
        <f t="shared" si="40"/>
        <v>0.29638777435481373</v>
      </c>
      <c r="X325" s="13">
        <f t="shared" si="41"/>
        <v>0.4212373855258657</v>
      </c>
      <c r="Y325" s="8">
        <f t="shared" si="47"/>
        <v>2.6275926555915007E-2</v>
      </c>
      <c r="Z325" s="8">
        <f t="shared" si="48"/>
        <v>3.7344329160598308E-2</v>
      </c>
      <c r="AA325" s="8">
        <f t="shared" si="42"/>
        <v>0.42626973386746814</v>
      </c>
      <c r="AB325" s="8">
        <f t="shared" si="49"/>
        <v>5.4935400251033349E-2</v>
      </c>
      <c r="AC325" s="8">
        <f t="shared" si="43"/>
        <v>0.42626973386746814</v>
      </c>
      <c r="AD325" s="10"/>
      <c r="AE325" s="10"/>
      <c r="AF325" s="9"/>
      <c r="AG325" s="9"/>
      <c r="AH325" s="9"/>
      <c r="AI325" s="9"/>
      <c r="AJ325" s="9"/>
      <c r="AK325" s="10"/>
      <c r="AL325" s="9"/>
      <c r="AM325" s="10"/>
    </row>
    <row r="326" spans="1:39" ht="15.75" customHeight="1">
      <c r="A326" s="6">
        <v>394</v>
      </c>
      <c r="B326" s="6">
        <v>2018</v>
      </c>
      <c r="C326" s="6" t="s">
        <v>304</v>
      </c>
      <c r="D326" s="7" t="s">
        <v>305</v>
      </c>
      <c r="E326" s="6" t="s">
        <v>286</v>
      </c>
      <c r="F326" s="6" t="s">
        <v>287</v>
      </c>
      <c r="G326" s="6"/>
      <c r="H326" s="9">
        <v>28187148206</v>
      </c>
      <c r="I326" s="10">
        <v>255260217838</v>
      </c>
      <c r="J326" s="10">
        <v>904003739438</v>
      </c>
      <c r="K326" s="10">
        <v>51292877616</v>
      </c>
      <c r="L326" s="10">
        <v>399959714997</v>
      </c>
      <c r="M326" s="10">
        <v>504044024441</v>
      </c>
      <c r="N326" s="8">
        <v>5000000000</v>
      </c>
      <c r="O326" s="10">
        <v>2355625271907</v>
      </c>
      <c r="P326" s="10">
        <v>1760399334375</v>
      </c>
      <c r="Q326" s="6"/>
      <c r="R326" s="6"/>
      <c r="S326" s="11"/>
      <c r="T326" s="10">
        <f>350121343001+234627546530</f>
        <v>584748889531</v>
      </c>
      <c r="U326" s="12">
        <v>49966984744</v>
      </c>
      <c r="V326" s="9">
        <f t="shared" si="50"/>
        <v>504044024441</v>
      </c>
      <c r="W326" s="13">
        <f t="shared" si="40"/>
        <v>0.44243148291139428</v>
      </c>
      <c r="X326" s="13">
        <f t="shared" si="41"/>
        <v>0.79350155066428452</v>
      </c>
      <c r="Y326" s="8">
        <f t="shared" si="47"/>
        <v>5.5272984573120701E-2</v>
      </c>
      <c r="Z326" s="8">
        <f t="shared" si="48"/>
        <v>9.9132183541735044E-2</v>
      </c>
      <c r="AA326" s="8">
        <f t="shared" si="42"/>
        <v>0.25268277795735056</v>
      </c>
      <c r="AB326" s="8">
        <f t="shared" si="49"/>
        <v>2.1211771388217938E-2</v>
      </c>
      <c r="AC326" s="8">
        <f t="shared" si="43"/>
        <v>0.25268277795735056</v>
      </c>
      <c r="AD326" s="10"/>
      <c r="AE326" s="10"/>
      <c r="AF326" s="9"/>
      <c r="AG326" s="9"/>
      <c r="AH326" s="9"/>
      <c r="AI326" s="9"/>
      <c r="AJ326" s="9"/>
      <c r="AK326" s="10"/>
      <c r="AL326" s="9"/>
      <c r="AM326" s="10"/>
    </row>
    <row r="327" spans="1:39" ht="15.75" customHeight="1">
      <c r="A327" s="6">
        <v>395</v>
      </c>
      <c r="B327" s="6">
        <v>2019</v>
      </c>
      <c r="C327" s="6" t="s">
        <v>304</v>
      </c>
      <c r="D327" s="7" t="s">
        <v>305</v>
      </c>
      <c r="E327" s="6" t="s">
        <v>286</v>
      </c>
      <c r="F327" s="6" t="s">
        <v>287</v>
      </c>
      <c r="G327" s="6"/>
      <c r="H327" s="9">
        <v>28955180375</v>
      </c>
      <c r="I327" s="10">
        <v>257452233884</v>
      </c>
      <c r="J327" s="10">
        <v>952496300846</v>
      </c>
      <c r="K327" s="9">
        <v>56067821742</v>
      </c>
      <c r="L327" s="10">
        <v>404693066101</v>
      </c>
      <c r="M327" s="10">
        <v>547803234745</v>
      </c>
      <c r="N327" s="8">
        <v>5000000000</v>
      </c>
      <c r="O327" s="10">
        <v>2397792415330</v>
      </c>
      <c r="P327" s="10">
        <v>1748429029000</v>
      </c>
      <c r="Q327" s="6"/>
      <c r="R327" s="6"/>
      <c r="S327" s="11"/>
      <c r="T327" s="10">
        <f>382756148310+266706597134</f>
        <v>649462745444</v>
      </c>
      <c r="U327" s="12">
        <v>55464434251</v>
      </c>
      <c r="V327" s="9">
        <f t="shared" si="50"/>
        <v>547803234745</v>
      </c>
      <c r="W327" s="13">
        <f t="shared" si="40"/>
        <v>0.42487626014038554</v>
      </c>
      <c r="X327" s="13">
        <f t="shared" si="41"/>
        <v>0.73875625486107765</v>
      </c>
      <c r="Y327" s="8">
        <f t="shared" si="47"/>
        <v>5.8230603312303585E-2</v>
      </c>
      <c r="Z327" s="8">
        <f t="shared" si="48"/>
        <v>0.10124882573360205</v>
      </c>
      <c r="AA327" s="8">
        <f t="shared" si="42"/>
        <v>0.27081718257943121</v>
      </c>
      <c r="AB327" s="8">
        <f t="shared" si="49"/>
        <v>2.3131457876167574E-2</v>
      </c>
      <c r="AC327" s="8">
        <f t="shared" si="43"/>
        <v>0.27081718257943121</v>
      </c>
      <c r="AD327" s="10"/>
      <c r="AE327" s="9"/>
      <c r="AF327" s="9"/>
      <c r="AG327" s="9"/>
      <c r="AH327" s="9"/>
      <c r="AI327" s="9"/>
      <c r="AJ327" s="9"/>
      <c r="AK327" s="10"/>
      <c r="AL327" s="9"/>
      <c r="AM327" s="10"/>
    </row>
    <row r="328" spans="1:39" ht="15.75" customHeight="1">
      <c r="A328" s="6">
        <v>396</v>
      </c>
      <c r="B328" s="6">
        <v>2020</v>
      </c>
      <c r="C328" s="6" t="s">
        <v>304</v>
      </c>
      <c r="D328" s="7" t="s">
        <v>305</v>
      </c>
      <c r="E328" s="6" t="s">
        <v>286</v>
      </c>
      <c r="F328" s="6" t="s">
        <v>287</v>
      </c>
      <c r="G328" s="6"/>
      <c r="H328" s="9">
        <v>31511192686</v>
      </c>
      <c r="I328" s="10">
        <v>329542756308</v>
      </c>
      <c r="J328" s="10">
        <v>1319134443995</v>
      </c>
      <c r="K328" s="9">
        <v>261664232698</v>
      </c>
      <c r="L328" s="10">
        <v>774629825055</v>
      </c>
      <c r="M328" s="10">
        <v>544504618940</v>
      </c>
      <c r="N328" s="8">
        <v>5000000000</v>
      </c>
      <c r="O328" s="10">
        <v>3011422750334</v>
      </c>
      <c r="P328" s="10">
        <v>2225048462226</v>
      </c>
      <c r="Q328" s="6"/>
      <c r="R328" s="6"/>
      <c r="S328" s="11"/>
      <c r="T328" s="10">
        <f>428548630896+295584403379</f>
        <v>724133034275</v>
      </c>
      <c r="U328" s="12">
        <v>76002689458</v>
      </c>
      <c r="V328" s="9">
        <f t="shared" si="50"/>
        <v>544504618940</v>
      </c>
      <c r="W328" s="13">
        <f t="shared" si="40"/>
        <v>0.58722583477468204</v>
      </c>
      <c r="X328" s="13">
        <f t="shared" si="41"/>
        <v>1.4226322387549075</v>
      </c>
      <c r="Y328" s="8">
        <f t="shared" si="47"/>
        <v>5.7615574973408912E-2</v>
      </c>
      <c r="Z328" s="8">
        <f t="shared" si="48"/>
        <v>0.13958134938498085</v>
      </c>
      <c r="AA328" s="8">
        <f t="shared" si="42"/>
        <v>0.26113048658504767</v>
      </c>
      <c r="AB328" s="8">
        <f t="shared" si="49"/>
        <v>2.5238133519968415E-2</v>
      </c>
      <c r="AC328" s="8">
        <f t="shared" si="43"/>
        <v>0.26113048658504767</v>
      </c>
      <c r="AD328" s="10"/>
      <c r="AE328" s="10"/>
      <c r="AF328" s="9"/>
      <c r="AG328" s="9"/>
      <c r="AH328" s="9"/>
      <c r="AI328" s="9"/>
      <c r="AJ328" s="9"/>
      <c r="AK328" s="10"/>
      <c r="AL328" s="9"/>
      <c r="AM328" s="10"/>
    </row>
    <row r="329" spans="1:39" ht="15.75" customHeight="1">
      <c r="A329" s="6">
        <v>277</v>
      </c>
      <c r="B329" s="6">
        <v>2018</v>
      </c>
      <c r="C329" s="6" t="s">
        <v>306</v>
      </c>
      <c r="D329" s="7" t="s">
        <v>307</v>
      </c>
      <c r="E329" s="6" t="s">
        <v>308</v>
      </c>
      <c r="F329" s="6" t="s">
        <v>309</v>
      </c>
      <c r="G329" s="6"/>
      <c r="H329" s="9">
        <v>1731278635205</v>
      </c>
      <c r="I329" s="10">
        <v>129982985527</v>
      </c>
      <c r="J329" s="10">
        <v>3515345289422</v>
      </c>
      <c r="K329" s="10">
        <v>131677076857</v>
      </c>
      <c r="L329" s="10">
        <v>906039302482</v>
      </c>
      <c r="M329" s="10">
        <v>2609305986940</v>
      </c>
      <c r="N329" s="8">
        <v>21200000000</v>
      </c>
      <c r="O329" s="10">
        <v>7213057131051</v>
      </c>
      <c r="P329" s="10">
        <v>6461202302249</v>
      </c>
      <c r="Q329" s="6"/>
      <c r="R329" s="6"/>
      <c r="S329" s="11"/>
      <c r="T329" s="10">
        <f>18015823193</f>
        <v>18015823193</v>
      </c>
      <c r="U329" s="12">
        <v>728819902558</v>
      </c>
      <c r="V329" s="9">
        <f t="shared" si="50"/>
        <v>2609305986940</v>
      </c>
      <c r="W329" s="13">
        <f t="shared" si="40"/>
        <v>0.25773835224902553</v>
      </c>
      <c r="X329" s="13">
        <f t="shared" si="41"/>
        <v>0.34723382654885004</v>
      </c>
      <c r="Y329" s="8">
        <f t="shared" si="47"/>
        <v>0.20732526752097061</v>
      </c>
      <c r="Z329" s="8">
        <f t="shared" si="48"/>
        <v>0.27931561350254125</v>
      </c>
      <c r="AA329" s="8">
        <f t="shared" si="42"/>
        <v>0.10423525214647077</v>
      </c>
      <c r="AB329" s="8">
        <f t="shared" si="49"/>
        <v>0.10104174822358646</v>
      </c>
      <c r="AC329" s="8">
        <f t="shared" si="43"/>
        <v>0.10423525214647077</v>
      </c>
      <c r="AD329" s="9"/>
      <c r="AE329" s="10"/>
      <c r="AF329" s="9"/>
      <c r="AG329" s="9"/>
      <c r="AH329" s="9"/>
      <c r="AI329" s="9"/>
      <c r="AJ329" s="9"/>
      <c r="AK329" s="10"/>
      <c r="AL329" s="9"/>
      <c r="AM329" s="10"/>
    </row>
    <row r="330" spans="1:39" ht="15.75" customHeight="1">
      <c r="A330" s="6">
        <v>278</v>
      </c>
      <c r="B330" s="6">
        <v>2019</v>
      </c>
      <c r="C330" s="6" t="s">
        <v>306</v>
      </c>
      <c r="D330" s="7" t="s">
        <v>307</v>
      </c>
      <c r="E330" s="6" t="s">
        <v>308</v>
      </c>
      <c r="F330" s="6" t="s">
        <v>309</v>
      </c>
      <c r="G330" s="6"/>
      <c r="H330" s="9">
        <v>2010632133732</v>
      </c>
      <c r="I330" s="10">
        <v>165398640010</v>
      </c>
      <c r="J330" s="10">
        <v>4294469995451</v>
      </c>
      <c r="K330" s="10">
        <v>128663699197</v>
      </c>
      <c r="L330" s="10">
        <v>846319092092</v>
      </c>
      <c r="M330" s="10">
        <v>3458497030687</v>
      </c>
      <c r="N330" s="8">
        <v>21200000000</v>
      </c>
      <c r="O330" s="10">
        <v>11616266890062</v>
      </c>
      <c r="P330" s="10">
        <v>11169141316644</v>
      </c>
      <c r="Q330" s="6"/>
      <c r="R330" s="6"/>
      <c r="S330" s="11"/>
      <c r="T330" s="10">
        <f>20281693902+7436476533</f>
        <v>27718170435</v>
      </c>
      <c r="U330" s="12">
        <v>233745615045</v>
      </c>
      <c r="V330" s="9">
        <f t="shared" si="50"/>
        <v>3458497030687</v>
      </c>
      <c r="W330" s="13">
        <f t="shared" si="40"/>
        <v>0.19707183726710858</v>
      </c>
      <c r="X330" s="13">
        <f t="shared" si="41"/>
        <v>0.24470719060408913</v>
      </c>
      <c r="Y330" s="8">
        <f t="shared" si="47"/>
        <v>5.4429444213744543E-2</v>
      </c>
      <c r="Z330" s="8">
        <f t="shared" si="48"/>
        <v>6.7585894384465758E-2</v>
      </c>
      <c r="AA330" s="8">
        <f t="shared" si="42"/>
        <v>3.8491330962835128E-2</v>
      </c>
      <c r="AB330" s="8">
        <f t="shared" si="49"/>
        <v>2.0122266237268972E-2</v>
      </c>
      <c r="AC330" s="8">
        <f t="shared" si="43"/>
        <v>3.8491330962835128E-2</v>
      </c>
      <c r="AD330" s="9"/>
      <c r="AE330" s="10"/>
      <c r="AF330" s="9"/>
      <c r="AG330" s="9"/>
      <c r="AH330" s="9"/>
      <c r="AI330" s="9"/>
      <c r="AJ330" s="9"/>
      <c r="AK330" s="10"/>
      <c r="AL330" s="9"/>
      <c r="AM330" s="10"/>
    </row>
    <row r="331" spans="1:39" ht="15.75" customHeight="1">
      <c r="A331" s="6">
        <v>279</v>
      </c>
      <c r="B331" s="6">
        <v>2020</v>
      </c>
      <c r="C331" s="6" t="s">
        <v>306</v>
      </c>
      <c r="D331" s="7" t="s">
        <v>307</v>
      </c>
      <c r="E331" s="6" t="s">
        <v>308</v>
      </c>
      <c r="F331" s="6" t="s">
        <v>309</v>
      </c>
      <c r="G331" s="6"/>
      <c r="H331" s="9">
        <v>1391290461658</v>
      </c>
      <c r="I331" s="10">
        <v>318492288295</v>
      </c>
      <c r="J331" s="10">
        <v>3330804739111</v>
      </c>
      <c r="K331" s="10">
        <v>167516266780</v>
      </c>
      <c r="L331" s="10">
        <v>585507980261</v>
      </c>
      <c r="M331" s="10">
        <v>2745296758850</v>
      </c>
      <c r="N331" s="8">
        <v>21200000000</v>
      </c>
      <c r="O331" s="10">
        <v>11181911606407</v>
      </c>
      <c r="P331" s="10">
        <v>11388888093613</v>
      </c>
      <c r="Q331" s="6"/>
      <c r="R331" s="6"/>
      <c r="S331" s="11"/>
      <c r="T331" s="10">
        <f>22516501266</f>
        <v>22516501266</v>
      </c>
      <c r="U331" s="12">
        <v>-240407734912</v>
      </c>
      <c r="V331" s="9">
        <f t="shared" si="50"/>
        <v>2745296758850</v>
      </c>
      <c r="W331" s="13">
        <f t="shared" si="40"/>
        <v>0.17578574132126207</v>
      </c>
      <c r="X331" s="13">
        <f t="shared" si="41"/>
        <v>0.2132767535507776</v>
      </c>
      <c r="Y331" s="8">
        <f t="shared" si="47"/>
        <v>-7.217707243210103E-2</v>
      </c>
      <c r="Z331" s="8">
        <f t="shared" si="48"/>
        <v>-8.7570764121218864E-2</v>
      </c>
      <c r="AA331" s="8">
        <f t="shared" si="42"/>
        <v>-1.8509937700402393E-2</v>
      </c>
      <c r="AB331" s="8">
        <f t="shared" si="49"/>
        <v>-2.1499699101024141E-2</v>
      </c>
      <c r="AC331" s="8">
        <f t="shared" si="43"/>
        <v>-1.8509937700402393E-2</v>
      </c>
      <c r="AD331" s="9"/>
      <c r="AE331" s="10"/>
      <c r="AF331" s="9"/>
      <c r="AG331" s="9"/>
      <c r="AH331" s="9"/>
      <c r="AI331" s="9"/>
      <c r="AJ331" s="9"/>
      <c r="AK331" s="10"/>
      <c r="AL331" s="9"/>
      <c r="AM331" s="10"/>
    </row>
    <row r="332" spans="1:39" ht="15.75" customHeight="1">
      <c r="A332" s="6">
        <v>349</v>
      </c>
      <c r="B332" s="6">
        <v>2018</v>
      </c>
      <c r="C332" s="6" t="s">
        <v>310</v>
      </c>
      <c r="D332" s="7" t="s">
        <v>311</v>
      </c>
      <c r="E332" s="6" t="s">
        <v>308</v>
      </c>
      <c r="F332" s="6" t="s">
        <v>309</v>
      </c>
      <c r="G332" s="6"/>
      <c r="H332" s="9"/>
      <c r="I332" s="10">
        <v>99983631</v>
      </c>
      <c r="J332" s="10">
        <v>68800234353</v>
      </c>
      <c r="K332" s="10"/>
      <c r="L332" s="10">
        <v>235869583657</v>
      </c>
      <c r="M332" s="10">
        <v>167069349304</v>
      </c>
      <c r="N332" s="8">
        <v>1092800000</v>
      </c>
      <c r="O332" s="10">
        <v>9765067232</v>
      </c>
      <c r="P332" s="10">
        <v>27018023486</v>
      </c>
      <c r="Q332" s="6"/>
      <c r="R332" s="6"/>
      <c r="S332" s="11"/>
      <c r="T332" s="10">
        <f>17391088599+1466976255+599344494</f>
        <v>19457409348</v>
      </c>
      <c r="U332" s="12">
        <v>-26782111219</v>
      </c>
      <c r="V332" s="9">
        <f t="shared" si="50"/>
        <v>167069349304</v>
      </c>
      <c r="W332" s="13">
        <f t="shared" si="40"/>
        <v>3.4283252938761977</v>
      </c>
      <c r="X332" s="13">
        <f t="shared" si="41"/>
        <v>1.4118064422924808</v>
      </c>
      <c r="Y332" s="8">
        <f t="shared" si="47"/>
        <v>-0.38927354638919454</v>
      </c>
      <c r="Z332" s="8">
        <f t="shared" si="48"/>
        <v>-0.1603053542171112</v>
      </c>
      <c r="AA332" s="8">
        <f t="shared" si="42"/>
        <v>-1.7668036321820995</v>
      </c>
      <c r="AB332" s="8">
        <f t="shared" si="49"/>
        <v>-2.7426448362009599</v>
      </c>
      <c r="AC332" s="8">
        <f t="shared" si="43"/>
        <v>-1.7668036321820995</v>
      </c>
      <c r="AD332" s="10"/>
      <c r="AE332" s="9"/>
      <c r="AF332" s="9"/>
      <c r="AG332" s="9"/>
      <c r="AH332" s="9"/>
      <c r="AI332" s="9"/>
      <c r="AJ332" s="9"/>
      <c r="AK332" s="10"/>
      <c r="AL332" s="9"/>
      <c r="AM332" s="9"/>
    </row>
    <row r="333" spans="1:39" ht="15.75" customHeight="1">
      <c r="A333" s="6">
        <v>350</v>
      </c>
      <c r="B333" s="6">
        <v>2019</v>
      </c>
      <c r="C333" s="6" t="s">
        <v>310</v>
      </c>
      <c r="D333" s="7" t="s">
        <v>311</v>
      </c>
      <c r="E333" s="6" t="s">
        <v>308</v>
      </c>
      <c r="F333" s="6" t="s">
        <v>309</v>
      </c>
      <c r="G333" s="6"/>
      <c r="H333" s="9"/>
      <c r="I333" s="10">
        <v>131730906</v>
      </c>
      <c r="J333" s="10">
        <v>49860989732</v>
      </c>
      <c r="K333" s="10"/>
      <c r="L333" s="10">
        <v>217942154093</v>
      </c>
      <c r="M333" s="10">
        <v>168081164361</v>
      </c>
      <c r="N333" s="8">
        <v>1092800000</v>
      </c>
      <c r="O333" s="10">
        <v>10578187572</v>
      </c>
      <c r="P333" s="10">
        <v>21771102806</v>
      </c>
      <c r="Q333" s="6"/>
      <c r="R333" s="6"/>
      <c r="S333" s="11"/>
      <c r="T333" s="9">
        <f>14467118153+1352693152+548259211</f>
        <v>16368070516</v>
      </c>
      <c r="U333" s="12">
        <v>-1090334633</v>
      </c>
      <c r="V333" s="9">
        <f t="shared" si="50"/>
        <v>168081164361</v>
      </c>
      <c r="W333" s="13">
        <f t="shared" si="40"/>
        <v>4.3709953465510161</v>
      </c>
      <c r="X333" s="13">
        <f t="shared" si="41"/>
        <v>1.2966482884715742</v>
      </c>
      <c r="Y333" s="8">
        <f t="shared" si="47"/>
        <v>-2.1867488769486666E-2</v>
      </c>
      <c r="Z333" s="8">
        <f t="shared" si="48"/>
        <v>-6.4869531166395896E-3</v>
      </c>
      <c r="AA333" s="8">
        <f t="shared" si="42"/>
        <v>-1.0581127587137098</v>
      </c>
      <c r="AB333" s="8">
        <f t="shared" si="49"/>
        <v>-0.10307386077044692</v>
      </c>
      <c r="AC333" s="8">
        <f t="shared" si="43"/>
        <v>-1.0581127587137098</v>
      </c>
      <c r="AD333" s="10"/>
      <c r="AE333" s="9"/>
      <c r="AF333" s="9"/>
      <c r="AG333" s="9"/>
      <c r="AH333" s="9"/>
      <c r="AI333" s="9"/>
      <c r="AJ333" s="9"/>
      <c r="AK333" s="10"/>
      <c r="AL333" s="9"/>
      <c r="AM333" s="10"/>
    </row>
    <row r="334" spans="1:39" ht="15.75" customHeight="1">
      <c r="A334" s="6">
        <v>351</v>
      </c>
      <c r="B334" s="6">
        <v>2020</v>
      </c>
      <c r="C334" s="6" t="s">
        <v>310</v>
      </c>
      <c r="D334" s="7" t="s">
        <v>311</v>
      </c>
      <c r="E334" s="6" t="s">
        <v>308</v>
      </c>
      <c r="F334" s="6" t="s">
        <v>309</v>
      </c>
      <c r="G334" s="6"/>
      <c r="H334" s="9"/>
      <c r="I334" s="10">
        <v>1876610647</v>
      </c>
      <c r="J334" s="10">
        <v>24258481093</v>
      </c>
      <c r="K334" s="10"/>
      <c r="L334" s="10">
        <v>210043138412</v>
      </c>
      <c r="M334" s="10">
        <v>185784657319</v>
      </c>
      <c r="N334" s="8">
        <v>1092800000</v>
      </c>
      <c r="O334" s="10">
        <v>5279536653</v>
      </c>
      <c r="P334" s="10">
        <v>19614712471</v>
      </c>
      <c r="Q334" s="6"/>
      <c r="R334" s="6"/>
      <c r="S334" s="11"/>
      <c r="T334" s="10">
        <f>13321412150+1244346818+446817463</f>
        <v>15012576431</v>
      </c>
      <c r="U334" s="12">
        <v>-17671603290</v>
      </c>
      <c r="V334" s="9">
        <f t="shared" si="50"/>
        <v>185784657319</v>
      </c>
      <c r="W334" s="13">
        <f t="shared" si="40"/>
        <v>8.6585445150813598</v>
      </c>
      <c r="X334" s="13">
        <f t="shared" si="41"/>
        <v>1.1305731132111043</v>
      </c>
      <c r="Y334" s="8">
        <f t="shared" si="47"/>
        <v>-0.72847113643480743</v>
      </c>
      <c r="Z334" s="8">
        <f t="shared" si="48"/>
        <v>-9.5118744168723901E-2</v>
      </c>
      <c r="AA334" s="8">
        <f t="shared" si="42"/>
        <v>-2.7152336957172745</v>
      </c>
      <c r="AB334" s="8">
        <f t="shared" si="49"/>
        <v>-3.3471882953892242</v>
      </c>
      <c r="AC334" s="8">
        <f t="shared" si="43"/>
        <v>-2.7152336957172745</v>
      </c>
      <c r="AD334" s="10"/>
      <c r="AE334" s="9"/>
      <c r="AF334" s="9"/>
      <c r="AG334" s="9"/>
      <c r="AH334" s="9"/>
      <c r="AI334" s="9"/>
      <c r="AJ334" s="9"/>
      <c r="AK334" s="10"/>
      <c r="AL334" s="9"/>
      <c r="AM334" s="10"/>
    </row>
    <row r="335" spans="1:39" ht="15.75" customHeight="1">
      <c r="A335" s="6">
        <v>358</v>
      </c>
      <c r="B335" s="6">
        <v>2018</v>
      </c>
      <c r="C335" s="6" t="s">
        <v>312</v>
      </c>
      <c r="D335" s="7" t="s">
        <v>313</v>
      </c>
      <c r="E335" s="6" t="s">
        <v>308</v>
      </c>
      <c r="F335" s="6" t="s">
        <v>309</v>
      </c>
      <c r="G335" s="8"/>
      <c r="H335" s="9">
        <f>625000000+1275000000</f>
        <v>1900000000</v>
      </c>
      <c r="I335" s="10">
        <v>509613931</v>
      </c>
      <c r="J335" s="10">
        <v>734832394463</v>
      </c>
      <c r="K335" s="10">
        <v>769628000</v>
      </c>
      <c r="L335" s="10">
        <v>224929575561</v>
      </c>
      <c r="M335" s="10">
        <v>509902818902</v>
      </c>
      <c r="N335" s="8">
        <v>110000000000</v>
      </c>
      <c r="O335" s="10">
        <v>57326630087</v>
      </c>
      <c r="P335" s="10">
        <v>17724445540</v>
      </c>
      <c r="Q335" s="6"/>
      <c r="R335" s="6"/>
      <c r="S335" s="11"/>
      <c r="T335" s="9">
        <v>4415001145</v>
      </c>
      <c r="U335" s="12">
        <v>55935490175</v>
      </c>
      <c r="V335" s="9">
        <f t="shared" si="50"/>
        <v>509902818902</v>
      </c>
      <c r="W335" s="13">
        <f t="shared" si="40"/>
        <v>0.30609643403836839</v>
      </c>
      <c r="X335" s="13">
        <f t="shared" si="41"/>
        <v>0.44112243985109251</v>
      </c>
      <c r="Y335" s="8">
        <f t="shared" si="47"/>
        <v>7.612006574080947E-2</v>
      </c>
      <c r="Z335" s="8">
        <f t="shared" si="48"/>
        <v>0.10969833486202091</v>
      </c>
      <c r="AA335" s="8">
        <f t="shared" si="42"/>
        <v>0.6908165452408237</v>
      </c>
      <c r="AB335" s="8">
        <f t="shared" si="49"/>
        <v>0.97573309455154122</v>
      </c>
      <c r="AC335" s="8">
        <f t="shared" si="43"/>
        <v>0.6908165452408237</v>
      </c>
      <c r="AD335" s="10"/>
      <c r="AE335" s="9"/>
      <c r="AF335" s="9"/>
      <c r="AG335" s="9"/>
      <c r="AH335" s="9"/>
      <c r="AI335" s="9"/>
      <c r="AJ335" s="9"/>
      <c r="AK335" s="10"/>
      <c r="AL335" s="9"/>
      <c r="AM335" s="10"/>
    </row>
    <row r="336" spans="1:39" ht="15.75" customHeight="1">
      <c r="A336" s="6">
        <v>359</v>
      </c>
      <c r="B336" s="6">
        <v>2019</v>
      </c>
      <c r="C336" s="6" t="s">
        <v>312</v>
      </c>
      <c r="D336" s="7" t="s">
        <v>313</v>
      </c>
      <c r="E336" s="6" t="s">
        <v>308</v>
      </c>
      <c r="F336" s="6" t="s">
        <v>309</v>
      </c>
      <c r="G336" s="8"/>
      <c r="H336" s="9">
        <f t="shared" ref="H336:H337" si="51">625000000+25000000</f>
        <v>650000000</v>
      </c>
      <c r="I336" s="10">
        <v>213688610</v>
      </c>
      <c r="J336" s="10">
        <v>658448835411</v>
      </c>
      <c r="K336" s="10">
        <v>1440968000</v>
      </c>
      <c r="L336" s="10">
        <v>138074123392</v>
      </c>
      <c r="M336" s="10">
        <v>520374712019</v>
      </c>
      <c r="N336" s="8">
        <v>110000000000</v>
      </c>
      <c r="O336" s="10">
        <v>28141197331</v>
      </c>
      <c r="P336" s="10">
        <v>25133872408</v>
      </c>
      <c r="Q336" s="6"/>
      <c r="R336" s="6"/>
      <c r="S336" s="11"/>
      <c r="T336" s="9">
        <v>13588611</v>
      </c>
      <c r="U336" s="12">
        <v>33021669565</v>
      </c>
      <c r="V336" s="9">
        <f t="shared" si="50"/>
        <v>520374712019</v>
      </c>
      <c r="W336" s="13">
        <f t="shared" si="40"/>
        <v>0.20969605528395371</v>
      </c>
      <c r="X336" s="13">
        <f t="shared" si="41"/>
        <v>0.26533595926728781</v>
      </c>
      <c r="Y336" s="8">
        <f t="shared" si="47"/>
        <v>5.0150699324098678E-2</v>
      </c>
      <c r="Z336" s="8">
        <f t="shared" si="48"/>
        <v>6.3457483237183726E-2</v>
      </c>
      <c r="AA336" s="8">
        <f t="shared" si="42"/>
        <v>0.10686556394980279</v>
      </c>
      <c r="AB336" s="8">
        <f t="shared" si="49"/>
        <v>1.1734280235696912</v>
      </c>
      <c r="AC336" s="8">
        <f t="shared" si="43"/>
        <v>0.10686556394980279</v>
      </c>
      <c r="AD336" s="10"/>
      <c r="AE336" s="9"/>
      <c r="AF336" s="9"/>
      <c r="AG336" s="9"/>
      <c r="AH336" s="9"/>
      <c r="AI336" s="9"/>
      <c r="AJ336" s="9"/>
      <c r="AK336" s="10"/>
      <c r="AL336" s="9"/>
      <c r="AM336" s="10"/>
    </row>
    <row r="337" spans="1:39" ht="15.75" customHeight="1">
      <c r="A337" s="6">
        <v>360</v>
      </c>
      <c r="B337" s="6">
        <v>2020</v>
      </c>
      <c r="C337" s="6" t="s">
        <v>312</v>
      </c>
      <c r="D337" s="7" t="s">
        <v>313</v>
      </c>
      <c r="E337" s="6" t="s">
        <v>308</v>
      </c>
      <c r="F337" s="6" t="s">
        <v>309</v>
      </c>
      <c r="G337" s="8"/>
      <c r="H337" s="9">
        <f t="shared" si="51"/>
        <v>650000000</v>
      </c>
      <c r="I337" s="10">
        <v>135899411</v>
      </c>
      <c r="J337" s="10">
        <v>527339461710</v>
      </c>
      <c r="K337" s="10">
        <v>2485727000</v>
      </c>
      <c r="L337" s="10">
        <v>31439864770</v>
      </c>
      <c r="M337" s="10">
        <v>495899596940</v>
      </c>
      <c r="N337" s="8">
        <v>110000000000</v>
      </c>
      <c r="O337" s="10">
        <v>5034067841</v>
      </c>
      <c r="P337" s="10">
        <v>14852210800</v>
      </c>
      <c r="Q337" s="6"/>
      <c r="R337" s="6"/>
      <c r="S337" s="11"/>
      <c r="T337" s="18">
        <v>14595820664</v>
      </c>
      <c r="U337" s="12">
        <v>-7262901743</v>
      </c>
      <c r="V337" s="9">
        <f t="shared" si="50"/>
        <v>495899596940</v>
      </c>
      <c r="W337" s="13">
        <f t="shared" si="40"/>
        <v>5.9619783939647092E-2</v>
      </c>
      <c r="X337" s="13">
        <f t="shared" si="41"/>
        <v>6.3399657842036883E-2</v>
      </c>
      <c r="Y337" s="8">
        <f t="shared" si="47"/>
        <v>-1.3772725673608113E-2</v>
      </c>
      <c r="Z337" s="8">
        <f t="shared" si="48"/>
        <v>-1.4645911768867105E-2</v>
      </c>
      <c r="AA337" s="8">
        <f t="shared" si="42"/>
        <v>-1.9503398184339249</v>
      </c>
      <c r="AB337" s="8">
        <f t="shared" si="49"/>
        <v>-1.4427500725848879</v>
      </c>
      <c r="AC337" s="8">
        <f t="shared" si="43"/>
        <v>-1.9503398184339249</v>
      </c>
      <c r="AD337" s="10"/>
      <c r="AE337" s="9"/>
      <c r="AF337" s="9"/>
      <c r="AG337" s="9"/>
      <c r="AH337" s="9"/>
      <c r="AI337" s="9"/>
      <c r="AJ337" s="9"/>
      <c r="AK337" s="10"/>
      <c r="AL337" s="9"/>
      <c r="AM337" s="10"/>
    </row>
    <row r="338" spans="1:39" ht="15.75" customHeight="1">
      <c r="A338" s="6">
        <v>454</v>
      </c>
      <c r="B338" s="6">
        <v>2018</v>
      </c>
      <c r="C338" s="6" t="s">
        <v>314</v>
      </c>
      <c r="D338" s="7" t="s">
        <v>315</v>
      </c>
      <c r="E338" s="6" t="s">
        <v>308</v>
      </c>
      <c r="F338" s="6" t="s">
        <v>309</v>
      </c>
      <c r="G338" s="8"/>
      <c r="H338" s="9">
        <f>307646666000+435000000</f>
        <v>308081666000</v>
      </c>
      <c r="I338" s="10">
        <v>12036147000</v>
      </c>
      <c r="J338" s="10">
        <v>2672016838000</v>
      </c>
      <c r="K338" s="10"/>
      <c r="L338" s="10">
        <v>1879745517000</v>
      </c>
      <c r="M338" s="10">
        <v>792271321000</v>
      </c>
      <c r="N338" s="8">
        <v>13600000000</v>
      </c>
      <c r="O338" s="10">
        <v>448528942000</v>
      </c>
      <c r="P338" s="10">
        <v>313657709000</v>
      </c>
      <c r="Q338" s="6"/>
      <c r="R338" s="6"/>
      <c r="S338" s="11"/>
      <c r="T338" s="10">
        <f>10690946000+2796903000</f>
        <v>13487849000</v>
      </c>
      <c r="U338" s="12">
        <v>59745134000</v>
      </c>
      <c r="V338" s="9">
        <f t="shared" si="50"/>
        <v>792271321000</v>
      </c>
      <c r="W338" s="13">
        <f t="shared" si="40"/>
        <v>0.7034931405623126</v>
      </c>
      <c r="X338" s="13">
        <f t="shared" si="41"/>
        <v>2.3726032574641183</v>
      </c>
      <c r="Y338" s="8">
        <f t="shared" si="47"/>
        <v>2.2359564936244612E-2</v>
      </c>
      <c r="Z338" s="8">
        <f t="shared" si="48"/>
        <v>7.5409941539459055E-2</v>
      </c>
      <c r="AA338" s="8">
        <f t="shared" si="42"/>
        <v>0.30069683440851402</v>
      </c>
      <c r="AB338" s="8">
        <f t="shared" si="49"/>
        <v>0.13320240547598822</v>
      </c>
      <c r="AC338" s="8">
        <f t="shared" si="43"/>
        <v>0.30069683440851402</v>
      </c>
      <c r="AD338" s="10"/>
      <c r="AE338" s="9"/>
      <c r="AF338" s="9"/>
      <c r="AG338" s="9"/>
      <c r="AH338" s="9"/>
      <c r="AI338" s="9"/>
      <c r="AJ338" s="9"/>
      <c r="AK338" s="10"/>
      <c r="AL338" s="9"/>
      <c r="AM338" s="9"/>
    </row>
    <row r="339" spans="1:39" ht="15.75" customHeight="1">
      <c r="A339" s="6">
        <v>455</v>
      </c>
      <c r="B339" s="6">
        <v>2019</v>
      </c>
      <c r="C339" s="6" t="s">
        <v>314</v>
      </c>
      <c r="D339" s="7" t="s">
        <v>315</v>
      </c>
      <c r="E339" s="6" t="s">
        <v>308</v>
      </c>
      <c r="F339" s="6" t="s">
        <v>309</v>
      </c>
      <c r="G339" s="8"/>
      <c r="H339" s="9">
        <v>344348013000</v>
      </c>
      <c r="I339" s="9">
        <v>9392519000</v>
      </c>
      <c r="J339" s="10">
        <v>3050556600000</v>
      </c>
      <c r="K339" s="10"/>
      <c r="L339" s="10">
        <v>2193136067000</v>
      </c>
      <c r="M339" s="10">
        <v>857420533000</v>
      </c>
      <c r="N339" s="8">
        <v>13600000000</v>
      </c>
      <c r="O339" s="10">
        <v>443009177000</v>
      </c>
      <c r="P339" s="10">
        <v>299322290000</v>
      </c>
      <c r="Q339" s="6"/>
      <c r="R339" s="6"/>
      <c r="S339" s="11"/>
      <c r="T339" s="10">
        <f>11569006000+7390488000</f>
        <v>18959494000</v>
      </c>
      <c r="U339" s="12">
        <v>64871448000</v>
      </c>
      <c r="V339" s="9">
        <f t="shared" si="50"/>
        <v>857420533000</v>
      </c>
      <c r="W339" s="13">
        <f t="shared" si="40"/>
        <v>0.71892980677690099</v>
      </c>
      <c r="X339" s="13">
        <f t="shared" si="41"/>
        <v>2.5578301225496776</v>
      </c>
      <c r="Y339" s="8">
        <f t="shared" si="47"/>
        <v>2.1265446443445763E-2</v>
      </c>
      <c r="Z339" s="8">
        <f t="shared" si="48"/>
        <v>7.5658845925958243E-2</v>
      </c>
      <c r="AA339" s="8">
        <f t="shared" si="42"/>
        <v>0.32434291310403263</v>
      </c>
      <c r="AB339" s="8">
        <f t="shared" si="49"/>
        <v>0.14643364374368253</v>
      </c>
      <c r="AC339" s="8">
        <f t="shared" si="43"/>
        <v>0.32434291310403263</v>
      </c>
      <c r="AD339" s="10"/>
      <c r="AE339" s="10"/>
      <c r="AF339" s="9"/>
      <c r="AG339" s="9"/>
      <c r="AH339" s="9"/>
      <c r="AI339" s="9"/>
      <c r="AJ339" s="9"/>
      <c r="AK339" s="10"/>
      <c r="AL339" s="9"/>
      <c r="AM339" s="9"/>
    </row>
    <row r="340" spans="1:39" ht="15.75" customHeight="1">
      <c r="A340" s="6">
        <v>456</v>
      </c>
      <c r="B340" s="6">
        <v>2020</v>
      </c>
      <c r="C340" s="6" t="s">
        <v>314</v>
      </c>
      <c r="D340" s="7" t="s">
        <v>315</v>
      </c>
      <c r="E340" s="6" t="s">
        <v>308</v>
      </c>
      <c r="F340" s="6" t="s">
        <v>309</v>
      </c>
      <c r="G340" s="8"/>
      <c r="H340" s="9">
        <v>273833120000</v>
      </c>
      <c r="I340" s="10">
        <v>52675284000</v>
      </c>
      <c r="J340" s="10">
        <v>2676388593000</v>
      </c>
      <c r="K340" s="10"/>
      <c r="L340" s="10">
        <v>1854045110000</v>
      </c>
      <c r="M340" s="10">
        <v>822343483000</v>
      </c>
      <c r="N340" s="8">
        <v>13600000000</v>
      </c>
      <c r="O340" s="10">
        <v>424019104000</v>
      </c>
      <c r="P340" s="10">
        <v>309524073000</v>
      </c>
      <c r="Q340" s="6"/>
      <c r="R340" s="6"/>
      <c r="S340" s="11"/>
      <c r="T340" s="10">
        <f>12402190000+6648575000</f>
        <v>19050765000</v>
      </c>
      <c r="U340" s="12">
        <v>28284898000</v>
      </c>
      <c r="V340" s="9">
        <f t="shared" si="50"/>
        <v>822343483000</v>
      </c>
      <c r="W340" s="13">
        <f t="shared" si="40"/>
        <v>0.69274137352445364</v>
      </c>
      <c r="X340" s="13">
        <f t="shared" si="41"/>
        <v>2.2545872233780444</v>
      </c>
      <c r="Y340" s="8">
        <f t="shared" si="47"/>
        <v>1.0568307634391415E-2</v>
      </c>
      <c r="Z340" s="8">
        <f t="shared" si="48"/>
        <v>3.4395478999618943E-2</v>
      </c>
      <c r="AA340" s="8">
        <f t="shared" si="42"/>
        <v>0.27002328413957499</v>
      </c>
      <c r="AB340" s="8">
        <f t="shared" si="49"/>
        <v>6.6706659518812619E-2</v>
      </c>
      <c r="AC340" s="8">
        <f t="shared" si="43"/>
        <v>0.27002328413957499</v>
      </c>
      <c r="AD340" s="10"/>
      <c r="AE340" s="9"/>
      <c r="AF340" s="9"/>
      <c r="AG340" s="9"/>
      <c r="AH340" s="9"/>
      <c r="AI340" s="9"/>
      <c r="AJ340" s="9"/>
      <c r="AK340" s="10"/>
      <c r="AL340" s="9"/>
      <c r="AM340" s="9"/>
    </row>
    <row r="341" spans="1:39" ht="15.75" customHeight="1">
      <c r="A341" s="6">
        <v>1</v>
      </c>
      <c r="B341" s="6">
        <v>2018</v>
      </c>
      <c r="C341" s="6" t="s">
        <v>316</v>
      </c>
      <c r="D341" s="7" t="s">
        <v>317</v>
      </c>
      <c r="E341" s="6" t="s">
        <v>318</v>
      </c>
      <c r="F341" s="6" t="s">
        <v>319</v>
      </c>
      <c r="G341" s="6"/>
      <c r="H341" s="27">
        <v>139480</v>
      </c>
      <c r="I341" s="27">
        <v>401024694</v>
      </c>
      <c r="J341" s="27">
        <v>851949796</v>
      </c>
      <c r="K341" s="27">
        <v>381325050</v>
      </c>
      <c r="L341" s="27">
        <v>604121359</v>
      </c>
      <c r="M341" s="27">
        <v>247828437</v>
      </c>
      <c r="N341" s="8">
        <v>9360000000</v>
      </c>
      <c r="O341" s="27">
        <v>773057131</v>
      </c>
      <c r="P341" s="27">
        <v>598842999</v>
      </c>
      <c r="Q341" s="27"/>
      <c r="R341" s="27"/>
      <c r="S341" s="28"/>
      <c r="T341" s="27">
        <f>65276308+26843017</f>
        <v>92119325</v>
      </c>
      <c r="U341" s="22">
        <v>6825289</v>
      </c>
      <c r="V341" s="29">
        <f t="shared" si="50"/>
        <v>247828437</v>
      </c>
      <c r="W341" s="13">
        <f t="shared" si="40"/>
        <v>0.70910441182851103</v>
      </c>
      <c r="X341" s="13">
        <f t="shared" si="41"/>
        <v>2.4376595612391325</v>
      </c>
      <c r="Y341" s="8">
        <f t="shared" si="47"/>
        <v>8.0113746514706603E-3</v>
      </c>
      <c r="Z341" s="8">
        <f t="shared" si="48"/>
        <v>2.7540378669296938E-2</v>
      </c>
      <c r="AA341" s="8">
        <f t="shared" si="42"/>
        <v>0.22535738306254624</v>
      </c>
      <c r="AB341" s="8">
        <f t="shared" si="49"/>
        <v>8.8289580760622984E-3</v>
      </c>
      <c r="AC341" s="8">
        <f t="shared" si="43"/>
        <v>0.22535738306254624</v>
      </c>
      <c r="AD341" s="9"/>
      <c r="AE341" s="21">
        <v>3171492</v>
      </c>
      <c r="AF341" s="9"/>
      <c r="AG341" s="9"/>
      <c r="AH341" s="9"/>
      <c r="AI341" s="9"/>
      <c r="AJ341" s="9"/>
      <c r="AK341" s="21"/>
      <c r="AL341" s="21"/>
      <c r="AM341" s="21"/>
    </row>
    <row r="342" spans="1:39" ht="15.75" customHeight="1">
      <c r="A342" s="6">
        <v>2</v>
      </c>
      <c r="B342" s="6">
        <v>2019</v>
      </c>
      <c r="C342" s="6" t="s">
        <v>316</v>
      </c>
      <c r="D342" s="7" t="s">
        <v>317</v>
      </c>
      <c r="E342" s="6" t="s">
        <v>318</v>
      </c>
      <c r="F342" s="6" t="s">
        <v>319</v>
      </c>
      <c r="G342" s="6"/>
      <c r="H342" s="27">
        <v>60139480</v>
      </c>
      <c r="I342" s="27">
        <v>369711104</v>
      </c>
      <c r="J342" s="27">
        <v>854228765</v>
      </c>
      <c r="K342" s="27">
        <v>392432418</v>
      </c>
      <c r="L342" s="27">
        <v>309035054</v>
      </c>
      <c r="M342" s="27">
        <v>245193711</v>
      </c>
      <c r="N342" s="8">
        <v>9360000000</v>
      </c>
      <c r="O342" s="27">
        <v>592394952</v>
      </c>
      <c r="P342" s="27">
        <v>484564191</v>
      </c>
      <c r="Q342" s="27"/>
      <c r="R342" s="27"/>
      <c r="S342" s="28"/>
      <c r="T342" s="27">
        <f>58340764+6540725</f>
        <v>64881489</v>
      </c>
      <c r="U342" s="22">
        <v>4852704</v>
      </c>
      <c r="V342" s="29">
        <f t="shared" si="50"/>
        <v>245193711</v>
      </c>
      <c r="W342" s="13">
        <f t="shared" si="40"/>
        <v>0.36177083547403138</v>
      </c>
      <c r="X342" s="13">
        <f t="shared" si="41"/>
        <v>1.260371045976787</v>
      </c>
      <c r="Y342" s="8">
        <f t="shared" si="47"/>
        <v>5.6808014419884346E-3</v>
      </c>
      <c r="Z342" s="8">
        <f t="shared" si="48"/>
        <v>1.9791306963823391E-2</v>
      </c>
      <c r="AA342" s="8">
        <f t="shared" si="42"/>
        <v>0.18202511793179493</v>
      </c>
      <c r="AB342" s="8">
        <f t="shared" si="49"/>
        <v>8.1916700735154141E-3</v>
      </c>
      <c r="AC342" s="8">
        <f t="shared" si="43"/>
        <v>0.18202511793179493</v>
      </c>
      <c r="AD342" s="9"/>
      <c r="AE342" s="21">
        <v>17406099</v>
      </c>
      <c r="AF342" s="9"/>
      <c r="AG342" s="9"/>
      <c r="AH342" s="9"/>
      <c r="AI342" s="9"/>
      <c r="AJ342" s="9"/>
      <c r="AK342" s="21">
        <v>3336440</v>
      </c>
      <c r="AL342" s="21"/>
      <c r="AM342" s="21"/>
    </row>
    <row r="343" spans="1:39" ht="15.75" customHeight="1">
      <c r="A343" s="6">
        <v>3</v>
      </c>
      <c r="B343" s="6">
        <v>2020</v>
      </c>
      <c r="C343" s="6" t="s">
        <v>316</v>
      </c>
      <c r="D343" s="7" t="s">
        <v>317</v>
      </c>
      <c r="E343" s="6" t="s">
        <v>318</v>
      </c>
      <c r="F343" s="6" t="s">
        <v>319</v>
      </c>
      <c r="G343" s="6"/>
      <c r="H343" s="27">
        <v>20028870</v>
      </c>
      <c r="I343" s="27">
        <v>330689753</v>
      </c>
      <c r="J343" s="27">
        <v>827237179</v>
      </c>
      <c r="K343" s="27">
        <v>402796549</v>
      </c>
      <c r="L343" s="27">
        <v>665488035</v>
      </c>
      <c r="M343" s="27">
        <v>161749144</v>
      </c>
      <c r="N343" s="8">
        <v>9360000000</v>
      </c>
      <c r="O343" s="27">
        <v>606407376</v>
      </c>
      <c r="P343" s="27">
        <v>504892863</v>
      </c>
      <c r="Q343" s="27"/>
      <c r="R343" s="27"/>
      <c r="S343" s="28"/>
      <c r="T343" s="27">
        <f>54081458+19761503</f>
        <v>73842961</v>
      </c>
      <c r="U343" s="22">
        <v>-58459398</v>
      </c>
      <c r="V343" s="29">
        <f t="shared" si="50"/>
        <v>161749144</v>
      </c>
      <c r="W343" s="13">
        <f t="shared" si="40"/>
        <v>0.80447065472138313</v>
      </c>
      <c r="X343" s="13">
        <f t="shared" si="41"/>
        <v>4.1143218352982442</v>
      </c>
      <c r="Y343" s="8">
        <f t="shared" si="47"/>
        <v>-7.0668243019091873E-2</v>
      </c>
      <c r="Z343" s="8">
        <f t="shared" si="48"/>
        <v>-0.36142013833470427</v>
      </c>
      <c r="AA343" s="8">
        <f t="shared" si="42"/>
        <v>0.16740316331508473</v>
      </c>
      <c r="AB343" s="8">
        <f t="shared" si="49"/>
        <v>-9.6402847843987963E-2</v>
      </c>
      <c r="AC343" s="8">
        <f t="shared" si="43"/>
        <v>0.16740316331508473</v>
      </c>
      <c r="AD343" s="9"/>
      <c r="AE343" s="21">
        <v>16997468</v>
      </c>
      <c r="AF343" s="9"/>
      <c r="AG343" s="9"/>
      <c r="AH343" s="9"/>
      <c r="AI343" s="9"/>
      <c r="AJ343" s="9"/>
      <c r="AK343" s="21">
        <v>3396164</v>
      </c>
      <c r="AL343" s="21"/>
      <c r="AM343" s="21"/>
    </row>
    <row r="344" spans="1:39" ht="15.75" customHeight="1">
      <c r="A344" s="6">
        <v>106</v>
      </c>
      <c r="B344" s="6">
        <v>2018</v>
      </c>
      <c r="C344" s="6" t="s">
        <v>320</v>
      </c>
      <c r="D344" s="7" t="s">
        <v>321</v>
      </c>
      <c r="E344" s="6" t="s">
        <v>318</v>
      </c>
      <c r="F344" s="6" t="s">
        <v>319</v>
      </c>
      <c r="G344" s="8"/>
      <c r="H344" s="17">
        <f>x!A50</f>
        <v>653015000000</v>
      </c>
      <c r="I344" s="8">
        <v>2328449000000</v>
      </c>
      <c r="J344" s="8">
        <v>14335108000000</v>
      </c>
      <c r="K344" s="8">
        <v>988497000000</v>
      </c>
      <c r="L344" s="8">
        <v>11656069000000</v>
      </c>
      <c r="M344" s="8">
        <v>2679039000000</v>
      </c>
      <c r="N344" s="8">
        <v>293715580156</v>
      </c>
      <c r="O344" s="8">
        <v>3340451000000</v>
      </c>
      <c r="P344" s="8">
        <v>2664887000000</v>
      </c>
      <c r="Q344" s="6"/>
      <c r="R344" s="6"/>
      <c r="S344" s="11"/>
      <c r="T344" s="9">
        <v>591417000000</v>
      </c>
      <c r="U344" s="12">
        <v>-1250213000000</v>
      </c>
      <c r="V344" s="13">
        <f t="shared" si="50"/>
        <v>2679039000000</v>
      </c>
      <c r="W344" s="13">
        <f t="shared" si="40"/>
        <v>0.81311344148924447</v>
      </c>
      <c r="X344" s="13">
        <f t="shared" si="41"/>
        <v>4.3508396107708771</v>
      </c>
      <c r="Y344" s="8">
        <f t="shared" si="47"/>
        <v>-8.7213364559234577E-2</v>
      </c>
      <c r="Z344" s="8">
        <f t="shared" si="48"/>
        <v>-0.46666472567215334</v>
      </c>
      <c r="AA344" s="8">
        <f t="shared" si="42"/>
        <v>0.20223736255972621</v>
      </c>
      <c r="AB344" s="8">
        <f t="shared" si="49"/>
        <v>-0.37426473251665721</v>
      </c>
      <c r="AC344" s="8">
        <f t="shared" si="43"/>
        <v>0.20223736255972621</v>
      </c>
      <c r="AD344" s="9"/>
      <c r="AE344" s="9"/>
      <c r="AF344" s="9"/>
      <c r="AG344" s="9"/>
      <c r="AH344" s="9"/>
      <c r="AI344" s="9"/>
      <c r="AJ344" s="10"/>
      <c r="AK344" s="10"/>
      <c r="AL344" s="9">
        <v>12042000000</v>
      </c>
      <c r="AM344" s="10"/>
    </row>
    <row r="345" spans="1:39" ht="15.75" customHeight="1">
      <c r="A345" s="6">
        <v>107</v>
      </c>
      <c r="B345" s="6">
        <v>2019</v>
      </c>
      <c r="C345" s="6" t="s">
        <v>320</v>
      </c>
      <c r="D345" s="7" t="s">
        <v>321</v>
      </c>
      <c r="E345" s="6" t="s">
        <v>318</v>
      </c>
      <c r="F345" s="6" t="s">
        <v>319</v>
      </c>
      <c r="G345" s="8"/>
      <c r="H345" s="17">
        <f>x!A54</f>
        <v>273067000000</v>
      </c>
      <c r="I345" s="8">
        <v>2108395000000</v>
      </c>
      <c r="J345" s="8">
        <v>14364538000000</v>
      </c>
      <c r="K345" s="8">
        <v>894617000000</v>
      </c>
      <c r="L345" s="8">
        <v>12009860000000</v>
      </c>
      <c r="M345" s="8">
        <v>2354678000000</v>
      </c>
      <c r="N345" s="8">
        <v>293715580156</v>
      </c>
      <c r="O345" s="8">
        <v>3235677000000</v>
      </c>
      <c r="P345" s="8">
        <v>2557420000000</v>
      </c>
      <c r="Q345" s="6"/>
      <c r="R345" s="6"/>
      <c r="S345" s="11"/>
      <c r="T345" s="9">
        <v>540588000000</v>
      </c>
      <c r="U345" s="12">
        <v>863270000000</v>
      </c>
      <c r="V345" s="13">
        <f t="shared" si="50"/>
        <v>2354678000000</v>
      </c>
      <c r="W345" s="13">
        <f t="shared" si="40"/>
        <v>0.8360770113177326</v>
      </c>
      <c r="X345" s="13">
        <f t="shared" si="41"/>
        <v>5.1004256208279859</v>
      </c>
      <c r="Y345" s="8">
        <f t="shared" si="47"/>
        <v>6.0097303512302309E-2</v>
      </c>
      <c r="Z345" s="8">
        <f t="shared" si="48"/>
        <v>0.36661913008912472</v>
      </c>
      <c r="AA345" s="8">
        <f t="shared" si="42"/>
        <v>0.20961826535837785</v>
      </c>
      <c r="AB345" s="8">
        <f t="shared" si="49"/>
        <v>0.26679733483904605</v>
      </c>
      <c r="AC345" s="8">
        <f t="shared" si="43"/>
        <v>0.20961826535837785</v>
      </c>
      <c r="AD345" s="9"/>
      <c r="AE345" s="10"/>
      <c r="AF345" s="9"/>
      <c r="AG345" s="9"/>
      <c r="AH345" s="9"/>
      <c r="AI345" s="9"/>
      <c r="AJ345" s="10"/>
      <c r="AK345" s="10"/>
      <c r="AL345" s="9">
        <v>7227000000</v>
      </c>
      <c r="AM345" s="10"/>
    </row>
    <row r="346" spans="1:39" ht="15.75" customHeight="1">
      <c r="A346" s="6">
        <v>108</v>
      </c>
      <c r="B346" s="6">
        <v>2020</v>
      </c>
      <c r="C346" s="6" t="s">
        <v>320</v>
      </c>
      <c r="D346" s="7" t="s">
        <v>321</v>
      </c>
      <c r="E346" s="6" t="s">
        <v>318</v>
      </c>
      <c r="F346" s="6" t="s">
        <v>319</v>
      </c>
      <c r="G346" s="8"/>
      <c r="H346" s="17">
        <f>x!A58</f>
        <v>1002718000000</v>
      </c>
      <c r="I346" s="8">
        <v>1881875000000</v>
      </c>
      <c r="J346" s="8">
        <v>13991786000000</v>
      </c>
      <c r="K346" s="8">
        <v>693678000000</v>
      </c>
      <c r="L346" s="8">
        <v>12547099000000</v>
      </c>
      <c r="M346" s="8">
        <v>1444687000000</v>
      </c>
      <c r="N346" s="8">
        <v>293715580156</v>
      </c>
      <c r="O346" s="8">
        <v>2454947000000</v>
      </c>
      <c r="P346" s="8">
        <v>2209020000000</v>
      </c>
      <c r="Q346" s="6"/>
      <c r="R346" s="6"/>
      <c r="S346" s="11"/>
      <c r="T346" s="9">
        <v>525031000000</v>
      </c>
      <c r="U346" s="12">
        <v>-930325000000</v>
      </c>
      <c r="V346" s="13">
        <f t="shared" si="50"/>
        <v>1444687000000</v>
      </c>
      <c r="W346" s="13">
        <f t="shared" si="40"/>
        <v>0.89674749170692003</v>
      </c>
      <c r="X346" s="13">
        <f t="shared" si="41"/>
        <v>8.6849947428058805</v>
      </c>
      <c r="Y346" s="8">
        <f t="shared" si="47"/>
        <v>-6.6490796814645398E-2</v>
      </c>
      <c r="Z346" s="8">
        <f t="shared" si="48"/>
        <v>-0.64396301759481467</v>
      </c>
      <c r="AA346" s="8">
        <f t="shared" si="42"/>
        <v>0.10017609341464398</v>
      </c>
      <c r="AB346" s="8">
        <f t="shared" si="49"/>
        <v>-0.37895930136169947</v>
      </c>
      <c r="AC346" s="8">
        <f t="shared" si="43"/>
        <v>0.10017609341464398</v>
      </c>
      <c r="AD346" s="9"/>
      <c r="AE346" s="10"/>
      <c r="AF346" s="9"/>
      <c r="AG346" s="9"/>
      <c r="AH346" s="9"/>
      <c r="AI346" s="9"/>
      <c r="AJ346" s="10"/>
      <c r="AK346" s="10"/>
      <c r="AL346" s="9">
        <v>16239000000</v>
      </c>
      <c r="AM346" s="10"/>
    </row>
    <row r="347" spans="1:39" ht="15.75" customHeight="1">
      <c r="A347" s="6">
        <v>322</v>
      </c>
      <c r="B347" s="6">
        <v>2018</v>
      </c>
      <c r="C347" s="6" t="s">
        <v>322</v>
      </c>
      <c r="D347" s="7" t="s">
        <v>323</v>
      </c>
      <c r="E347" s="6" t="s">
        <v>318</v>
      </c>
      <c r="F347" s="6" t="s">
        <v>319</v>
      </c>
      <c r="G347" s="6"/>
      <c r="H347" s="9">
        <f>(2679200+1831478)*1000000</f>
        <v>4510678000000</v>
      </c>
      <c r="I347" s="9">
        <v>2558373000000</v>
      </c>
      <c r="J347" s="10">
        <v>17548120000000</v>
      </c>
      <c r="K347" s="10">
        <v>4973530000000</v>
      </c>
      <c r="L347" s="10">
        <v>10934580000000</v>
      </c>
      <c r="M347" s="10">
        <v>6613540000000</v>
      </c>
      <c r="N347" s="8">
        <v>23620710440</v>
      </c>
      <c r="O347" s="9">
        <v>14982244000000</v>
      </c>
      <c r="P347" s="10">
        <v>12171996000000</v>
      </c>
      <c r="Q347" s="6"/>
      <c r="R347" s="6"/>
      <c r="S347" s="11"/>
      <c r="T347" s="9">
        <f>3361054000000+693275000000</f>
        <v>4054329000000</v>
      </c>
      <c r="U347" s="12">
        <v>-1620165000000</v>
      </c>
      <c r="V347" s="9">
        <f t="shared" si="50"/>
        <v>6613540000000</v>
      </c>
      <c r="W347" s="13">
        <f t="shared" si="40"/>
        <v>0.62311974160194938</v>
      </c>
      <c r="X347" s="13">
        <f t="shared" si="41"/>
        <v>1.6533626469334124</v>
      </c>
      <c r="Y347" s="8">
        <f t="shared" si="47"/>
        <v>-9.232698431512891E-2</v>
      </c>
      <c r="Z347" s="8">
        <f t="shared" si="48"/>
        <v>-0.24497697148577011</v>
      </c>
      <c r="AA347" s="8">
        <f t="shared" si="42"/>
        <v>0.18757190177919944</v>
      </c>
      <c r="AB347" s="8">
        <f t="shared" si="49"/>
        <v>-0.10813900774810502</v>
      </c>
      <c r="AC347" s="8">
        <f t="shared" si="43"/>
        <v>0.18757190177919944</v>
      </c>
      <c r="AD347" s="9"/>
      <c r="AE347" s="10"/>
      <c r="AF347" s="9"/>
      <c r="AG347" s="9"/>
      <c r="AH347" s="9"/>
      <c r="AI347" s="9"/>
      <c r="AJ347" s="9"/>
      <c r="AK347" s="10"/>
      <c r="AL347" s="9"/>
      <c r="AM347" s="10"/>
    </row>
    <row r="348" spans="1:39" ht="15.75" customHeight="1">
      <c r="A348" s="6">
        <v>323</v>
      </c>
      <c r="B348" s="6">
        <v>2019</v>
      </c>
      <c r="C348" s="6" t="s">
        <v>322</v>
      </c>
      <c r="D348" s="7" t="s">
        <v>323</v>
      </c>
      <c r="E348" s="6" t="s">
        <v>318</v>
      </c>
      <c r="F348" s="6" t="s">
        <v>319</v>
      </c>
      <c r="G348" s="8"/>
      <c r="H348" s="9">
        <f>(2321452+1860153)*1000000</f>
        <v>4181605000000</v>
      </c>
      <c r="I348" s="9">
        <v>2351877000000</v>
      </c>
      <c r="J348" s="10">
        <v>15283901000000</v>
      </c>
      <c r="K348" s="10">
        <v>4159940000000</v>
      </c>
      <c r="L348" s="10">
        <v>9665922000000</v>
      </c>
      <c r="M348" s="10">
        <v>5617979000000</v>
      </c>
      <c r="N348" s="8">
        <v>23620710440</v>
      </c>
      <c r="O348" s="10">
        <v>12322341000000</v>
      </c>
      <c r="P348" s="10">
        <v>9815045000000</v>
      </c>
      <c r="Q348" s="6"/>
      <c r="R348" s="6"/>
      <c r="S348" s="11"/>
      <c r="T348" s="10">
        <f>2686256000000+1262077000000</f>
        <v>3948333000000</v>
      </c>
      <c r="U348" s="12">
        <v>-1041543000000</v>
      </c>
      <c r="V348" s="9">
        <f t="shared" si="50"/>
        <v>5617979000000</v>
      </c>
      <c r="W348" s="13">
        <f t="shared" si="40"/>
        <v>0.63242505954468042</v>
      </c>
      <c r="X348" s="13">
        <f t="shared" si="41"/>
        <v>1.7205336652201797</v>
      </c>
      <c r="Y348" s="8">
        <f t="shared" si="47"/>
        <v>-6.814641105042489E-2</v>
      </c>
      <c r="Z348" s="8">
        <f t="shared" si="48"/>
        <v>-0.18539460542661337</v>
      </c>
      <c r="AA348" s="8">
        <f t="shared" si="42"/>
        <v>0.20347562204292188</v>
      </c>
      <c r="AB348" s="8">
        <f t="shared" si="49"/>
        <v>-8.4524766844222207E-2</v>
      </c>
      <c r="AC348" s="8">
        <f t="shared" si="43"/>
        <v>0.20347562204292188</v>
      </c>
      <c r="AD348" s="9"/>
      <c r="AE348" s="10"/>
      <c r="AF348" s="9"/>
      <c r="AG348" s="9"/>
      <c r="AH348" s="9"/>
      <c r="AI348" s="9"/>
      <c r="AJ348" s="9"/>
      <c r="AK348" s="10"/>
      <c r="AL348" s="9"/>
      <c r="AM348" s="10"/>
    </row>
    <row r="349" spans="1:39" ht="15.75" customHeight="1">
      <c r="A349" s="6">
        <v>324</v>
      </c>
      <c r="B349" s="6">
        <v>2020</v>
      </c>
      <c r="C349" s="6" t="s">
        <v>322</v>
      </c>
      <c r="D349" s="7" t="s">
        <v>323</v>
      </c>
      <c r="E349" s="6" t="s">
        <v>318</v>
      </c>
      <c r="F349" s="6" t="s">
        <v>319</v>
      </c>
      <c r="G349" s="6"/>
      <c r="H349" s="9">
        <f>(2179194+2291638)*1000000</f>
        <v>4470832000000</v>
      </c>
      <c r="I349" s="9">
        <v>2189754000000</v>
      </c>
      <c r="J349" s="10">
        <v>15682406000000</v>
      </c>
      <c r="K349" s="10">
        <v>5903398000000</v>
      </c>
      <c r="L349" s="10">
        <v>11719043000000</v>
      </c>
      <c r="M349" s="10">
        <v>3963363000000</v>
      </c>
      <c r="N349" s="8">
        <v>23620710440</v>
      </c>
      <c r="O349" s="10">
        <v>10277387000000</v>
      </c>
      <c r="P349" s="10">
        <v>8249951000000</v>
      </c>
      <c r="Q349" s="6"/>
      <c r="R349" s="6"/>
      <c r="S349" s="11"/>
      <c r="T349" s="10">
        <f>656562000000+2113378000000</f>
        <v>2769940000000</v>
      </c>
      <c r="U349" s="12">
        <v>-989536000000</v>
      </c>
      <c r="V349" s="9">
        <f t="shared" si="50"/>
        <v>3963363000000</v>
      </c>
      <c r="W349" s="13">
        <f t="shared" si="40"/>
        <v>0.74727328191860354</v>
      </c>
      <c r="X349" s="13">
        <f t="shared" si="41"/>
        <v>2.9568432162282385</v>
      </c>
      <c r="Y349" s="8">
        <f t="shared" si="47"/>
        <v>-6.3098481189684794E-2</v>
      </c>
      <c r="Z349" s="8">
        <f t="shared" si="48"/>
        <v>-0.24967079724970939</v>
      </c>
      <c r="AA349" s="8">
        <f t="shared" si="42"/>
        <v>0.19727154382723935</v>
      </c>
      <c r="AB349" s="8">
        <f t="shared" si="49"/>
        <v>-9.6282839208059398E-2</v>
      </c>
      <c r="AC349" s="8">
        <f t="shared" si="43"/>
        <v>0.19727154382723935</v>
      </c>
      <c r="AD349" s="9"/>
      <c r="AE349" s="10"/>
      <c r="AF349" s="9"/>
      <c r="AG349" s="9"/>
      <c r="AH349" s="9"/>
      <c r="AI349" s="9"/>
      <c r="AJ349" s="9"/>
      <c r="AK349" s="10"/>
      <c r="AL349" s="9"/>
      <c r="AM349" s="10"/>
    </row>
    <row r="350" spans="1:39" ht="15.75" customHeight="1">
      <c r="A350" s="6">
        <v>376</v>
      </c>
      <c r="B350" s="6">
        <v>2018</v>
      </c>
      <c r="C350" s="6" t="s">
        <v>324</v>
      </c>
      <c r="D350" s="7" t="s">
        <v>325</v>
      </c>
      <c r="E350" s="6" t="s">
        <v>318</v>
      </c>
      <c r="F350" s="6" t="s">
        <v>319</v>
      </c>
      <c r="G350" s="8"/>
      <c r="H350" s="9"/>
      <c r="I350" s="10">
        <v>61909949131</v>
      </c>
      <c r="J350" s="10">
        <v>1290793639423</v>
      </c>
      <c r="K350" s="10">
        <v>2701944620</v>
      </c>
      <c r="L350" s="10">
        <v>340969937804</v>
      </c>
      <c r="M350" s="10">
        <v>949823701619</v>
      </c>
      <c r="N350" s="8">
        <v>7000000000</v>
      </c>
      <c r="O350" s="10">
        <v>298410987</v>
      </c>
      <c r="P350" s="10">
        <v>49741039827</v>
      </c>
      <c r="Q350" s="6"/>
      <c r="R350" s="6"/>
      <c r="S350" s="11"/>
      <c r="T350" s="9">
        <v>49741039827</v>
      </c>
      <c r="U350" s="12">
        <v>-60865054994</v>
      </c>
      <c r="V350" s="9">
        <f t="shared" si="50"/>
        <v>949823701619</v>
      </c>
      <c r="W350" s="13">
        <f t="shared" si="40"/>
        <v>0.26415526648893123</v>
      </c>
      <c r="X350" s="13">
        <f t="shared" si="41"/>
        <v>0.35898234295775899</v>
      </c>
      <c r="Y350" s="8">
        <f t="shared" si="47"/>
        <v>-4.7153203374326665E-2</v>
      </c>
      <c r="Z350" s="8">
        <f t="shared" si="48"/>
        <v>-6.4080370799606157E-2</v>
      </c>
      <c r="AA350" s="8">
        <f t="shared" si="42"/>
        <v>-165.68635537538034</v>
      </c>
      <c r="AB350" s="8">
        <f t="shared" si="49"/>
        <v>-203.96385403195626</v>
      </c>
      <c r="AC350" s="8">
        <f t="shared" si="43"/>
        <v>-165.68635537538034</v>
      </c>
      <c r="AD350" s="10"/>
      <c r="AE350" s="9"/>
      <c r="AF350" s="9"/>
      <c r="AG350" s="9"/>
      <c r="AH350" s="9"/>
      <c r="AI350" s="9"/>
      <c r="AJ350" s="9"/>
      <c r="AK350" s="10"/>
      <c r="AL350" s="10"/>
      <c r="AM350" s="9"/>
    </row>
    <row r="351" spans="1:39" ht="15.75" customHeight="1">
      <c r="A351" s="6">
        <v>377</v>
      </c>
      <c r="B351" s="6">
        <v>2019</v>
      </c>
      <c r="C351" s="6" t="s">
        <v>324</v>
      </c>
      <c r="D351" s="7" t="s">
        <v>325</v>
      </c>
      <c r="E351" s="6" t="s">
        <v>318</v>
      </c>
      <c r="F351" s="6" t="s">
        <v>319</v>
      </c>
      <c r="G351" s="8"/>
      <c r="H351" s="9"/>
      <c r="I351" s="10">
        <v>61833748863</v>
      </c>
      <c r="J351" s="10">
        <v>619362141121</v>
      </c>
      <c r="K351" s="10">
        <v>5298643578</v>
      </c>
      <c r="L351" s="10">
        <v>58505519419</v>
      </c>
      <c r="M351" s="10">
        <v>560856621702</v>
      </c>
      <c r="N351" s="8">
        <v>7000000000</v>
      </c>
      <c r="O351" s="10">
        <v>-309993361316</v>
      </c>
      <c r="P351" s="10">
        <v>104089837077</v>
      </c>
      <c r="Q351" s="6"/>
      <c r="R351" s="6"/>
      <c r="S351" s="11"/>
      <c r="T351" s="9">
        <v>104089837077</v>
      </c>
      <c r="U351" s="12">
        <v>-418776253252</v>
      </c>
      <c r="V351" s="9">
        <f t="shared" si="50"/>
        <v>560856621702</v>
      </c>
      <c r="W351" s="13">
        <f t="shared" si="40"/>
        <v>9.4460922834433025E-2</v>
      </c>
      <c r="X351" s="13">
        <f t="shared" si="41"/>
        <v>0.10431457373447174</v>
      </c>
      <c r="Y351" s="8">
        <f t="shared" si="47"/>
        <v>-0.67614118695412306</v>
      </c>
      <c r="Z351" s="8">
        <f t="shared" si="48"/>
        <v>-0.74667256665556214</v>
      </c>
      <c r="AA351" s="8">
        <f t="shared" si="42"/>
        <v>1.3357808587742408</v>
      </c>
      <c r="AB351" s="8">
        <f t="shared" si="49"/>
        <v>1.3509200696240371</v>
      </c>
      <c r="AC351" s="8">
        <f t="shared" si="43"/>
        <v>1.3357808587742408</v>
      </c>
      <c r="AD351" s="10"/>
      <c r="AE351" s="9"/>
      <c r="AF351" s="9"/>
      <c r="AG351" s="9"/>
      <c r="AH351" s="9"/>
      <c r="AI351" s="9"/>
      <c r="AJ351" s="9"/>
      <c r="AK351" s="10"/>
      <c r="AL351" s="10"/>
      <c r="AM351" s="9"/>
    </row>
    <row r="352" spans="1:39" ht="15.75" customHeight="1">
      <c r="A352" s="6">
        <v>378</v>
      </c>
      <c r="B352" s="6">
        <v>2020</v>
      </c>
      <c r="C352" s="6" t="s">
        <v>324</v>
      </c>
      <c r="D352" s="7" t="s">
        <v>325</v>
      </c>
      <c r="E352" s="6" t="s">
        <v>318</v>
      </c>
      <c r="F352" s="6" t="s">
        <v>319</v>
      </c>
      <c r="G352" s="8"/>
      <c r="H352" s="9"/>
      <c r="I352" s="10">
        <v>46487782159</v>
      </c>
      <c r="J352" s="10">
        <v>490564390959</v>
      </c>
      <c r="K352" s="10">
        <v>2434025457</v>
      </c>
      <c r="L352" s="10">
        <v>11273787231</v>
      </c>
      <c r="M352" s="10">
        <v>479290603728</v>
      </c>
      <c r="N352" s="8">
        <v>7000000000</v>
      </c>
      <c r="O352" s="10">
        <v>34354878512</v>
      </c>
      <c r="P352" s="10">
        <v>124404643511</v>
      </c>
      <c r="Q352" s="6"/>
      <c r="R352" s="6"/>
      <c r="S352" s="11"/>
      <c r="T352" s="9">
        <v>124404643511</v>
      </c>
      <c r="U352" s="12">
        <v>-82274208700</v>
      </c>
      <c r="V352" s="9">
        <f t="shared" si="50"/>
        <v>479290603728</v>
      </c>
      <c r="W352" s="13">
        <f t="shared" si="40"/>
        <v>2.298125880877936E-2</v>
      </c>
      <c r="X352" s="13">
        <f t="shared" si="41"/>
        <v>2.3521819838132972E-2</v>
      </c>
      <c r="Y352" s="8">
        <f t="shared" si="47"/>
        <v>-0.16771337303786538</v>
      </c>
      <c r="Z352" s="8">
        <f t="shared" si="48"/>
        <v>-0.17165829678290764</v>
      </c>
      <c r="AA352" s="8">
        <f t="shared" si="42"/>
        <v>-2.6211638317261414</v>
      </c>
      <c r="AB352" s="8">
        <f t="shared" si="49"/>
        <v>-2.3948333472133223</v>
      </c>
      <c r="AC352" s="8">
        <f t="shared" si="43"/>
        <v>-2.6211638317261414</v>
      </c>
      <c r="AD352" s="10"/>
      <c r="AE352" s="9"/>
      <c r="AF352" s="9"/>
      <c r="AG352" s="9"/>
      <c r="AH352" s="9"/>
      <c r="AI352" s="9"/>
      <c r="AJ352" s="9"/>
      <c r="AK352" s="10"/>
      <c r="AL352" s="10"/>
      <c r="AM352" s="10"/>
    </row>
    <row r="353" spans="1:39" ht="15.75" customHeight="1">
      <c r="A353" s="6">
        <v>118</v>
      </c>
      <c r="B353" s="6">
        <v>2018</v>
      </c>
      <c r="C353" s="6" t="s">
        <v>326</v>
      </c>
      <c r="D353" s="7" t="s">
        <v>327</v>
      </c>
      <c r="E353" s="6" t="s">
        <v>328</v>
      </c>
      <c r="F353" s="6" t="s">
        <v>329</v>
      </c>
      <c r="G353" s="8"/>
      <c r="H353" s="9">
        <v>3995141000</v>
      </c>
      <c r="I353" s="8">
        <v>1504942584000</v>
      </c>
      <c r="J353" s="8">
        <v>2461326183000</v>
      </c>
      <c r="K353" s="8">
        <v>512974818000</v>
      </c>
      <c r="L353" s="8">
        <v>1338054621000</v>
      </c>
      <c r="M353" s="8">
        <v>1123271562000</v>
      </c>
      <c r="N353" s="8">
        <v>1500000000</v>
      </c>
      <c r="O353" s="8">
        <v>1319344703000</v>
      </c>
      <c r="P353" s="13">
        <v>1234896910000</v>
      </c>
      <c r="Q353" s="6"/>
      <c r="R353" s="6"/>
      <c r="S353" s="11"/>
      <c r="T353" s="9">
        <f>39278885000+79606932000+88859686000+36124864000</f>
        <v>243870367000</v>
      </c>
      <c r="U353" s="12">
        <v>-23662406000</v>
      </c>
      <c r="V353" s="13">
        <f t="shared" si="50"/>
        <v>1123271562000</v>
      </c>
      <c r="W353" s="13">
        <f t="shared" si="40"/>
        <v>0.54363157156566111</v>
      </c>
      <c r="X353" s="13">
        <f t="shared" si="41"/>
        <v>1.1912120508219544</v>
      </c>
      <c r="Y353" s="8">
        <f t="shared" si="47"/>
        <v>-9.6136815036676516E-3</v>
      </c>
      <c r="Z353" s="8">
        <f t="shared" si="48"/>
        <v>-2.1065614763600683E-2</v>
      </c>
      <c r="AA353" s="8">
        <f t="shared" si="42"/>
        <v>6.4007376395249754E-2</v>
      </c>
      <c r="AB353" s="8">
        <f t="shared" si="49"/>
        <v>-1.7934968735763362E-2</v>
      </c>
      <c r="AC353" s="8">
        <f t="shared" si="43"/>
        <v>6.4007376395249754E-2</v>
      </c>
      <c r="AD353" s="9"/>
      <c r="AE353" s="9">
        <v>51255686000</v>
      </c>
      <c r="AF353" s="9"/>
      <c r="AG353" s="9"/>
      <c r="AH353" s="9"/>
      <c r="AI353" s="9"/>
      <c r="AJ353" s="9"/>
      <c r="AK353" s="9"/>
      <c r="AL353" s="9"/>
      <c r="AM353" s="9"/>
    </row>
    <row r="354" spans="1:39" ht="15.75" customHeight="1">
      <c r="A354" s="6">
        <v>119</v>
      </c>
      <c r="B354" s="6">
        <v>2019</v>
      </c>
      <c r="C354" s="6" t="s">
        <v>326</v>
      </c>
      <c r="D354" s="7" t="s">
        <v>327</v>
      </c>
      <c r="E354" s="6" t="s">
        <v>328</v>
      </c>
      <c r="F354" s="6" t="s">
        <v>329</v>
      </c>
      <c r="G354" s="8"/>
      <c r="H354" s="9">
        <v>177515000</v>
      </c>
      <c r="I354" s="8">
        <v>1498164523000</v>
      </c>
      <c r="J354" s="8">
        <v>2263112918000</v>
      </c>
      <c r="K354" s="8">
        <v>469039379000</v>
      </c>
      <c r="L354" s="8">
        <v>1309332127000</v>
      </c>
      <c r="M354" s="8">
        <v>953780791000</v>
      </c>
      <c r="N354" s="8">
        <v>1500000000</v>
      </c>
      <c r="O354" s="8">
        <v>1221535436000</v>
      </c>
      <c r="P354" s="8">
        <v>1156300343000</v>
      </c>
      <c r="Q354" s="6"/>
      <c r="R354" s="6"/>
      <c r="S354" s="11"/>
      <c r="T354" s="9">
        <f>45842222000+86481046000+95426650000+22232558000</f>
        <v>249982476000</v>
      </c>
      <c r="U354" s="12">
        <v>-163083992000</v>
      </c>
      <c r="V354" s="13">
        <f t="shared" si="50"/>
        <v>953780791000</v>
      </c>
      <c r="W354" s="13">
        <f t="shared" si="40"/>
        <v>0.57855360047924931</v>
      </c>
      <c r="X354" s="13">
        <f t="shared" si="41"/>
        <v>1.3727809779301794</v>
      </c>
      <c r="Y354" s="8">
        <f t="shared" si="47"/>
        <v>-7.2061800674145596E-2</v>
      </c>
      <c r="Z354" s="8">
        <f t="shared" si="48"/>
        <v>-0.17098686987500883</v>
      </c>
      <c r="AA354" s="8">
        <f t="shared" si="42"/>
        <v>5.3404175660770596E-2</v>
      </c>
      <c r="AB354" s="8">
        <f t="shared" si="49"/>
        <v>-0.13350737702217588</v>
      </c>
      <c r="AC354" s="8">
        <f t="shared" si="43"/>
        <v>5.3404175660770596E-2</v>
      </c>
      <c r="AD354" s="9"/>
      <c r="AE354" s="9">
        <v>44017314000</v>
      </c>
      <c r="AF354" s="9"/>
      <c r="AG354" s="9"/>
      <c r="AH354" s="9"/>
      <c r="AI354" s="9"/>
      <c r="AJ354" s="10"/>
      <c r="AK354" s="10"/>
      <c r="AL354" s="9"/>
      <c r="AM354" s="10"/>
    </row>
    <row r="355" spans="1:39" ht="15.75" customHeight="1">
      <c r="A355" s="6">
        <v>120</v>
      </c>
      <c r="B355" s="6">
        <v>2020</v>
      </c>
      <c r="C355" s="6" t="s">
        <v>326</v>
      </c>
      <c r="D355" s="7" t="s">
        <v>327</v>
      </c>
      <c r="E355" s="6" t="s">
        <v>328</v>
      </c>
      <c r="F355" s="6" t="s">
        <v>329</v>
      </c>
      <c r="G355" s="8"/>
      <c r="H355" s="6" t="s">
        <v>330</v>
      </c>
      <c r="I355" s="8">
        <v>1128612367000</v>
      </c>
      <c r="J355" s="8">
        <v>1965718547000</v>
      </c>
      <c r="K355" s="8">
        <v>456317176000</v>
      </c>
      <c r="L355" s="8">
        <v>1198995029000</v>
      </c>
      <c r="M355" s="8">
        <v>766723518000</v>
      </c>
      <c r="N355" s="8">
        <v>1500000000</v>
      </c>
      <c r="O355" s="8">
        <v>1123569559000</v>
      </c>
      <c r="P355" s="8">
        <v>1076231623000</v>
      </c>
      <c r="Q355" s="6"/>
      <c r="R355" s="6"/>
      <c r="S355" s="11"/>
      <c r="T355" s="9">
        <f>45713079000+73205588000+95818580000+60972709000</f>
        <v>275709956000</v>
      </c>
      <c r="U355" s="12">
        <v>-187053341000</v>
      </c>
      <c r="V355" s="13">
        <f t="shared" si="50"/>
        <v>766723518000</v>
      </c>
      <c r="W355" s="13">
        <f t="shared" si="40"/>
        <v>0.60995254423877598</v>
      </c>
      <c r="X355" s="13">
        <f t="shared" si="41"/>
        <v>1.5637905983731675</v>
      </c>
      <c r="Y355" s="8">
        <f t="shared" si="47"/>
        <v>-9.5157743353173951E-2</v>
      </c>
      <c r="Z355" s="8">
        <f t="shared" si="48"/>
        <v>-0.24396452777127414</v>
      </c>
      <c r="AA355" s="8">
        <f t="shared" si="42"/>
        <v>4.2131735966691494E-2</v>
      </c>
      <c r="AB355" s="8">
        <f t="shared" si="49"/>
        <v>-0.16648131795817014</v>
      </c>
      <c r="AC355" s="8">
        <f t="shared" si="43"/>
        <v>4.2131735966691494E-2</v>
      </c>
      <c r="AD355" s="9"/>
      <c r="AE355" s="9">
        <v>36855971000</v>
      </c>
      <c r="AF355" s="9"/>
      <c r="AG355" s="9"/>
      <c r="AH355" s="9"/>
      <c r="AI355" s="9"/>
      <c r="AJ355" s="10"/>
      <c r="AK355" s="10"/>
      <c r="AL355" s="9"/>
      <c r="AM355" s="10"/>
    </row>
    <row r="356" spans="1:39" ht="15.75" customHeight="1">
      <c r="A356" s="6">
        <v>190</v>
      </c>
      <c r="B356" s="6">
        <v>2018</v>
      </c>
      <c r="C356" s="6" t="s">
        <v>331</v>
      </c>
      <c r="D356" s="7" t="s">
        <v>332</v>
      </c>
      <c r="E356" s="6" t="s">
        <v>328</v>
      </c>
      <c r="F356" s="6" t="s">
        <v>329</v>
      </c>
      <c r="G356" s="8"/>
      <c r="H356" s="6"/>
      <c r="I356" s="22">
        <v>85121000</v>
      </c>
      <c r="J356" s="22">
        <v>195826000</v>
      </c>
      <c r="K356" s="22">
        <v>14092000</v>
      </c>
      <c r="L356" s="22">
        <v>93291000</v>
      </c>
      <c r="M356" s="22">
        <v>102535000</v>
      </c>
      <c r="N356" s="8">
        <v>8000000000</v>
      </c>
      <c r="O356" s="22">
        <v>433868000</v>
      </c>
      <c r="P356" s="22">
        <v>415763000</v>
      </c>
      <c r="Q356" s="6"/>
      <c r="R356" s="6"/>
      <c r="S356" s="11"/>
      <c r="T356" s="22">
        <f>4837000+4316000+64000</f>
        <v>9217000</v>
      </c>
      <c r="U356" s="22">
        <v>6125000</v>
      </c>
      <c r="V356" s="21">
        <f t="shared" si="50"/>
        <v>102535000</v>
      </c>
      <c r="W356" s="13">
        <f t="shared" si="40"/>
        <v>0.47639741403082331</v>
      </c>
      <c r="X356" s="13">
        <f t="shared" si="41"/>
        <v>0.90984541863753843</v>
      </c>
      <c r="Y356" s="8">
        <f t="shared" si="47"/>
        <v>3.127776699723224E-2</v>
      </c>
      <c r="Z356" s="8">
        <f t="shared" si="48"/>
        <v>5.9735700004876387E-2</v>
      </c>
      <c r="AA356" s="8">
        <f t="shared" si="42"/>
        <v>4.1729281717019923E-2</v>
      </c>
      <c r="AB356" s="8">
        <f t="shared" si="49"/>
        <v>1.4117196935473463E-2</v>
      </c>
      <c r="AC356" s="8">
        <f t="shared" si="43"/>
        <v>4.1729281717019923E-2</v>
      </c>
      <c r="AD356" s="9"/>
      <c r="AE356" s="21">
        <v>2091000</v>
      </c>
      <c r="AF356" s="9"/>
      <c r="AG356" s="9"/>
      <c r="AH356" s="9"/>
      <c r="AI356" s="9"/>
      <c r="AJ356" s="9"/>
      <c r="AK356" s="9"/>
      <c r="AL356" s="10"/>
      <c r="AM356" s="10"/>
    </row>
    <row r="357" spans="1:39" ht="15.75" customHeight="1">
      <c r="A357" s="6">
        <v>191</v>
      </c>
      <c r="B357" s="6">
        <v>2019</v>
      </c>
      <c r="C357" s="6" t="s">
        <v>331</v>
      </c>
      <c r="D357" s="7" t="s">
        <v>332</v>
      </c>
      <c r="E357" s="6" t="s">
        <v>328</v>
      </c>
      <c r="F357" s="6" t="s">
        <v>329</v>
      </c>
      <c r="G357" s="6"/>
      <c r="H357" s="6"/>
      <c r="I357" s="22">
        <v>69087000</v>
      </c>
      <c r="J357" s="22">
        <v>165728000</v>
      </c>
      <c r="K357" s="22">
        <v>12426000</v>
      </c>
      <c r="L357" s="22">
        <v>66532000</v>
      </c>
      <c r="M357" s="22">
        <v>99196000</v>
      </c>
      <c r="N357" s="8">
        <v>8000000000</v>
      </c>
      <c r="O357" s="22">
        <v>331945000</v>
      </c>
      <c r="P357" s="22">
        <v>327289000</v>
      </c>
      <c r="Q357" s="6"/>
      <c r="R357" s="6"/>
      <c r="S357" s="11"/>
      <c r="T357" s="22">
        <f>5420000+4761000+52000+256000</f>
        <v>10489000</v>
      </c>
      <c r="U357" s="22">
        <v>-3286000</v>
      </c>
      <c r="V357" s="21">
        <f t="shared" si="50"/>
        <v>99196000</v>
      </c>
      <c r="W357" s="13">
        <f t="shared" si="40"/>
        <v>0.40145298320139022</v>
      </c>
      <c r="X357" s="13">
        <f t="shared" si="41"/>
        <v>0.67071252873099718</v>
      </c>
      <c r="Y357" s="8">
        <f t="shared" si="47"/>
        <v>-1.9827669434253715E-2</v>
      </c>
      <c r="Z357" s="8">
        <f t="shared" si="48"/>
        <v>-3.3126335739344329E-2</v>
      </c>
      <c r="AA357" s="8">
        <f t="shared" si="42"/>
        <v>1.4026420039464369E-2</v>
      </c>
      <c r="AB357" s="8">
        <f t="shared" si="49"/>
        <v>-9.8992302941752399E-3</v>
      </c>
      <c r="AC357" s="8">
        <f t="shared" si="43"/>
        <v>1.4026420039464369E-2</v>
      </c>
      <c r="AD357" s="9"/>
      <c r="AE357" s="21">
        <v>2091000</v>
      </c>
      <c r="AF357" s="9"/>
      <c r="AG357" s="9"/>
      <c r="AH357" s="9"/>
      <c r="AI357" s="9"/>
      <c r="AJ357" s="9"/>
      <c r="AK357" s="10"/>
      <c r="AL357" s="10"/>
      <c r="AM357" s="10"/>
    </row>
    <row r="358" spans="1:39" ht="15.75" customHeight="1">
      <c r="A358" s="6">
        <v>192</v>
      </c>
      <c r="B358" s="6">
        <v>2020</v>
      </c>
      <c r="C358" s="6" t="s">
        <v>331</v>
      </c>
      <c r="D358" s="7" t="s">
        <v>332</v>
      </c>
      <c r="E358" s="6" t="s">
        <v>328</v>
      </c>
      <c r="F358" s="6" t="s">
        <v>329</v>
      </c>
      <c r="G358" s="8"/>
      <c r="H358" s="6"/>
      <c r="I358" s="21">
        <v>60206000</v>
      </c>
      <c r="J358" s="22">
        <v>149377000</v>
      </c>
      <c r="K358" s="22">
        <v>9051000</v>
      </c>
      <c r="L358" s="22">
        <v>54215000</v>
      </c>
      <c r="M358" s="22">
        <v>95162000</v>
      </c>
      <c r="N358" s="8">
        <v>8000000000</v>
      </c>
      <c r="O358" s="22">
        <v>309367000</v>
      </c>
      <c r="P358" s="22">
        <v>307424000</v>
      </c>
      <c r="Q358" s="6"/>
      <c r="R358" s="6"/>
      <c r="S358" s="11"/>
      <c r="T358" s="22">
        <f>5961000+4955000+101000+12665000</f>
        <v>23682000</v>
      </c>
      <c r="U358" s="22">
        <v>-4172000</v>
      </c>
      <c r="V358" s="21">
        <f t="shared" si="50"/>
        <v>95162000</v>
      </c>
      <c r="W358" s="13">
        <f t="shared" si="40"/>
        <v>0.3629407472368571</v>
      </c>
      <c r="X358" s="13">
        <f t="shared" si="41"/>
        <v>0.56971270044765765</v>
      </c>
      <c r="Y358" s="8">
        <f t="shared" si="47"/>
        <v>-2.7929333163740067E-2</v>
      </c>
      <c r="Z358" s="8">
        <f t="shared" si="48"/>
        <v>-4.3841028982156742E-2</v>
      </c>
      <c r="AA358" s="8">
        <f t="shared" si="42"/>
        <v>6.2805664469707499E-3</v>
      </c>
      <c r="AB358" s="8">
        <f t="shared" si="49"/>
        <v>-1.3485601243830143E-2</v>
      </c>
      <c r="AC358" s="8">
        <f t="shared" si="43"/>
        <v>6.2805664469707499E-3</v>
      </c>
      <c r="AD358" s="9"/>
      <c r="AE358" s="22">
        <v>2340000</v>
      </c>
      <c r="AF358" s="9"/>
      <c r="AG358" s="9"/>
      <c r="AH358" s="9"/>
      <c r="AI358" s="9"/>
      <c r="AJ358" s="9"/>
      <c r="AK358" s="10"/>
      <c r="AL358" s="10"/>
      <c r="AM358" s="10"/>
    </row>
    <row r="359" spans="1:39" ht="15.75" customHeight="1">
      <c r="A359" s="6">
        <v>220</v>
      </c>
      <c r="B359" s="6">
        <v>2018</v>
      </c>
      <c r="C359" s="6" t="s">
        <v>333</v>
      </c>
      <c r="D359" s="7" t="s">
        <v>334</v>
      </c>
      <c r="E359" s="6" t="s">
        <v>328</v>
      </c>
      <c r="F359" s="6" t="s">
        <v>329</v>
      </c>
      <c r="G359" s="8"/>
      <c r="H359" s="6"/>
      <c r="I359" s="8">
        <v>129189294974</v>
      </c>
      <c r="J359" s="8">
        <v>570197810698</v>
      </c>
      <c r="K359" s="8">
        <v>15059589263</v>
      </c>
      <c r="L359" s="8">
        <v>87283567361</v>
      </c>
      <c r="M359" s="8">
        <v>482914243337</v>
      </c>
      <c r="N359" s="8">
        <v>1750000000</v>
      </c>
      <c r="O359" s="8">
        <v>777316506801</v>
      </c>
      <c r="P359" s="8">
        <v>676188716685</v>
      </c>
      <c r="Q359" s="6"/>
      <c r="R359" s="6"/>
      <c r="S359" s="11"/>
      <c r="T359" s="10">
        <f>49302815633+3829961076</f>
        <v>53132776709</v>
      </c>
      <c r="U359" s="12">
        <v>44672438405</v>
      </c>
      <c r="V359" s="13">
        <f t="shared" si="50"/>
        <v>482914243337</v>
      </c>
      <c r="W359" s="13">
        <f t="shared" si="40"/>
        <v>0.15307594263498309</v>
      </c>
      <c r="X359" s="13">
        <f t="shared" si="41"/>
        <v>0.18074341058540588</v>
      </c>
      <c r="Y359" s="8">
        <f t="shared" si="47"/>
        <v>7.8345510219190131E-2</v>
      </c>
      <c r="Z359" s="8">
        <f t="shared" si="48"/>
        <v>9.2505944940260335E-2</v>
      </c>
      <c r="AA359" s="8">
        <f t="shared" si="42"/>
        <v>0.13009860106044244</v>
      </c>
      <c r="AB359" s="8">
        <f t="shared" si="49"/>
        <v>5.7470075592305082E-2</v>
      </c>
      <c r="AC359" s="8">
        <f t="shared" si="43"/>
        <v>0.13009860106044244</v>
      </c>
      <c r="AD359" s="9"/>
      <c r="AE359" s="9"/>
      <c r="AF359" s="9"/>
      <c r="AG359" s="9"/>
      <c r="AH359" s="9"/>
      <c r="AI359" s="9"/>
      <c r="AJ359" s="10"/>
      <c r="AK359" s="10"/>
      <c r="AL359" s="10"/>
      <c r="AM359" s="10"/>
    </row>
    <row r="360" spans="1:39" ht="15.75" customHeight="1">
      <c r="A360" s="6">
        <v>221</v>
      </c>
      <c r="B360" s="6">
        <v>2019</v>
      </c>
      <c r="C360" s="6" t="s">
        <v>333</v>
      </c>
      <c r="D360" s="7" t="s">
        <v>334</v>
      </c>
      <c r="E360" s="6" t="s">
        <v>328</v>
      </c>
      <c r="F360" s="6" t="s">
        <v>329</v>
      </c>
      <c r="G360" s="6"/>
      <c r="H360" s="6"/>
      <c r="I360" s="8">
        <v>144745920744</v>
      </c>
      <c r="J360" s="8">
        <v>617594780669</v>
      </c>
      <c r="K360" s="8">
        <v>22815734567</v>
      </c>
      <c r="L360" s="8">
        <v>80669409164</v>
      </c>
      <c r="M360" s="8">
        <v>536295371505</v>
      </c>
      <c r="N360" s="8">
        <v>1750000000</v>
      </c>
      <c r="O360" s="8">
        <v>776541441414</v>
      </c>
      <c r="P360" s="8">
        <v>652946761824</v>
      </c>
      <c r="Q360" s="6"/>
      <c r="R360" s="6"/>
      <c r="S360" s="11"/>
      <c r="T360" s="10">
        <f>53355998377+806685924</f>
        <v>54162684301</v>
      </c>
      <c r="U360" s="12">
        <v>60836752751</v>
      </c>
      <c r="V360" s="13">
        <f t="shared" si="50"/>
        <v>536295371505</v>
      </c>
      <c r="W360" s="13">
        <f t="shared" si="40"/>
        <v>0.13061867050854301</v>
      </c>
      <c r="X360" s="13">
        <f t="shared" si="41"/>
        <v>0.15041973779788234</v>
      </c>
      <c r="Y360" s="8">
        <f t="shared" si="47"/>
        <v>9.8505937315563979E-2</v>
      </c>
      <c r="Z360" s="8">
        <f t="shared" si="48"/>
        <v>0.11343889204241027</v>
      </c>
      <c r="AA360" s="8">
        <f t="shared" si="42"/>
        <v>0.1591604426995514</v>
      </c>
      <c r="AB360" s="8">
        <f t="shared" si="49"/>
        <v>7.8343214549145876E-2</v>
      </c>
      <c r="AC360" s="8">
        <f t="shared" si="43"/>
        <v>0.1591604426995514</v>
      </c>
      <c r="AD360" s="9"/>
      <c r="AE360" s="9"/>
      <c r="AF360" s="9"/>
      <c r="AG360" s="9"/>
      <c r="AH360" s="9"/>
      <c r="AI360" s="9"/>
      <c r="AJ360" s="9"/>
      <c r="AK360" s="9"/>
      <c r="AL360" s="9"/>
      <c r="AM360" s="10"/>
    </row>
    <row r="361" spans="1:39" ht="15.75" customHeight="1">
      <c r="A361" s="6">
        <v>222</v>
      </c>
      <c r="B361" s="6">
        <v>2020</v>
      </c>
      <c r="C361" s="6" t="s">
        <v>333</v>
      </c>
      <c r="D361" s="7" t="s">
        <v>334</v>
      </c>
      <c r="E361" s="6" t="s">
        <v>328</v>
      </c>
      <c r="F361" s="6" t="s">
        <v>329</v>
      </c>
      <c r="G361" s="8"/>
      <c r="H361" s="6"/>
      <c r="I361" s="8">
        <v>140087552996</v>
      </c>
      <c r="J361" s="8">
        <v>665586417235</v>
      </c>
      <c r="K361" s="8">
        <v>23641182035</v>
      </c>
      <c r="L361" s="8">
        <v>72281042233</v>
      </c>
      <c r="M361" s="8">
        <v>593582375012</v>
      </c>
      <c r="N361" s="8">
        <v>1750000000</v>
      </c>
      <c r="O361" s="8">
        <v>739402296030</v>
      </c>
      <c r="P361" s="8">
        <v>610537250674</v>
      </c>
      <c r="Q361" s="6"/>
      <c r="R361" s="6"/>
      <c r="S361" s="11"/>
      <c r="T361" s="10">
        <f>16696318068+35104646560+1722272231+3440944756</f>
        <v>56964181615</v>
      </c>
      <c r="U361" s="12">
        <v>60770710445</v>
      </c>
      <c r="V361" s="13">
        <f t="shared" si="50"/>
        <v>593582375012</v>
      </c>
      <c r="W361" s="13">
        <f t="shared" si="40"/>
        <v>0.10859753198280725</v>
      </c>
      <c r="X361" s="13">
        <f t="shared" si="41"/>
        <v>0.12177087001873792</v>
      </c>
      <c r="Y361" s="8">
        <f t="shared" si="47"/>
        <v>9.1304012328640355E-2</v>
      </c>
      <c r="Z361" s="8">
        <f t="shared" si="48"/>
        <v>0.10237957359123313</v>
      </c>
      <c r="AA361" s="8">
        <f t="shared" si="42"/>
        <v>0.17428272274498255</v>
      </c>
      <c r="AB361" s="8">
        <f t="shared" si="49"/>
        <v>8.2188966373637456E-2</v>
      </c>
      <c r="AC361" s="8">
        <f t="shared" si="43"/>
        <v>0.17428272274498255</v>
      </c>
      <c r="AD361" s="9"/>
      <c r="AE361" s="9"/>
      <c r="AF361" s="9"/>
      <c r="AG361" s="9"/>
      <c r="AH361" s="9"/>
      <c r="AI361" s="9"/>
      <c r="AJ361" s="9"/>
      <c r="AK361" s="9"/>
      <c r="AL361" s="9"/>
      <c r="AM361" s="10"/>
    </row>
    <row r="362" spans="1:39" ht="15.75" customHeight="1">
      <c r="A362" s="6">
        <v>226</v>
      </c>
      <c r="B362" s="6">
        <v>2018</v>
      </c>
      <c r="C362" s="6" t="s">
        <v>335</v>
      </c>
      <c r="D362" s="7" t="s">
        <v>336</v>
      </c>
      <c r="E362" s="6" t="s">
        <v>328</v>
      </c>
      <c r="F362" s="6" t="s">
        <v>329</v>
      </c>
      <c r="G362" s="8"/>
      <c r="H362" s="30"/>
      <c r="I362" s="8">
        <v>757379485281</v>
      </c>
      <c r="J362" s="8">
        <v>2370198817803</v>
      </c>
      <c r="K362" s="8">
        <v>655646584965</v>
      </c>
      <c r="L362" s="8">
        <v>997975486781</v>
      </c>
      <c r="M362" s="8">
        <v>1372223331022</v>
      </c>
      <c r="N362" s="13">
        <v>17000000000</v>
      </c>
      <c r="O362" s="8">
        <v>1395298815177</v>
      </c>
      <c r="P362" s="8">
        <v>978652263708</v>
      </c>
      <c r="Q362" s="6"/>
      <c r="R362" s="6"/>
      <c r="S362" s="11"/>
      <c r="T362" s="10">
        <f>257005280578+15979424352</f>
        <v>272984704930</v>
      </c>
      <c r="U362" s="12">
        <v>105523929164</v>
      </c>
      <c r="V362" s="13">
        <f t="shared" si="50"/>
        <v>1372223331022</v>
      </c>
      <c r="W362" s="13">
        <f t="shared" si="40"/>
        <v>0.42105138154867949</v>
      </c>
      <c r="X362" s="13">
        <f t="shared" si="41"/>
        <v>0.72726899785163335</v>
      </c>
      <c r="Y362" s="8">
        <f t="shared" si="47"/>
        <v>4.4521129776704943E-2</v>
      </c>
      <c r="Z362" s="8">
        <f t="shared" si="48"/>
        <v>7.6899967212631662E-2</v>
      </c>
      <c r="AA362" s="8">
        <f t="shared" si="42"/>
        <v>0.29860740003290726</v>
      </c>
      <c r="AB362" s="8">
        <f t="shared" si="49"/>
        <v>7.5628193771965474E-2</v>
      </c>
      <c r="AC362" s="8">
        <f t="shared" si="43"/>
        <v>0.29860740003290726</v>
      </c>
      <c r="AD362" s="9"/>
      <c r="AE362" s="9"/>
      <c r="AF362" s="9"/>
      <c r="AG362" s="9"/>
      <c r="AH362" s="9"/>
      <c r="AI362" s="9"/>
      <c r="AJ362" s="9"/>
      <c r="AK362" s="9"/>
      <c r="AL362" s="9"/>
      <c r="AM362" s="10"/>
    </row>
    <row r="363" spans="1:39" ht="15.75" customHeight="1">
      <c r="A363" s="6">
        <v>227</v>
      </c>
      <c r="B363" s="6">
        <v>2019</v>
      </c>
      <c r="C363" s="6" t="s">
        <v>335</v>
      </c>
      <c r="D363" s="7" t="s">
        <v>336</v>
      </c>
      <c r="E363" s="6" t="s">
        <v>328</v>
      </c>
      <c r="F363" s="6" t="s">
        <v>329</v>
      </c>
      <c r="G363" s="8"/>
      <c r="H363" s="30"/>
      <c r="I363" s="8">
        <v>851624396191</v>
      </c>
      <c r="J363" s="8">
        <v>2501132856219</v>
      </c>
      <c r="K363" s="8">
        <v>613765478165</v>
      </c>
      <c r="L363" s="8">
        <v>1092845023431</v>
      </c>
      <c r="M363" s="8">
        <v>1408287832788</v>
      </c>
      <c r="N363" s="13">
        <v>17000000000</v>
      </c>
      <c r="O363" s="8">
        <v>1495759701262</v>
      </c>
      <c r="P363" s="8">
        <v>1001042927237</v>
      </c>
      <c r="Q363" s="6"/>
      <c r="R363" s="6"/>
      <c r="S363" s="11"/>
      <c r="T363" s="10">
        <f>279134329437+70965395209+23904990387</f>
        <v>374004715033</v>
      </c>
      <c r="U363" s="12">
        <v>93145200039</v>
      </c>
      <c r="V363" s="13">
        <f t="shared" si="50"/>
        <v>1408287832788</v>
      </c>
      <c r="W363" s="13">
        <f t="shared" si="40"/>
        <v>0.43694001328784676</v>
      </c>
      <c r="X363" s="13">
        <f t="shared" si="41"/>
        <v>0.77600970340522291</v>
      </c>
      <c r="Y363" s="8">
        <f t="shared" si="47"/>
        <v>3.7241204443577217E-2</v>
      </c>
      <c r="Z363" s="8">
        <f t="shared" si="48"/>
        <v>6.6140740458290839E-2</v>
      </c>
      <c r="AA363" s="8">
        <f t="shared" si="42"/>
        <v>0.33074615769337706</v>
      </c>
      <c r="AB363" s="8">
        <f t="shared" si="49"/>
        <v>6.2272836980707312E-2</v>
      </c>
      <c r="AC363" s="8">
        <f t="shared" si="43"/>
        <v>0.33074615769337706</v>
      </c>
      <c r="AD363" s="10"/>
      <c r="AE363" s="9"/>
      <c r="AF363" s="9"/>
      <c r="AG363" s="9"/>
      <c r="AH363" s="9"/>
      <c r="AI363" s="9"/>
      <c r="AJ363" s="9"/>
      <c r="AK363" s="10"/>
      <c r="AL363" s="9"/>
      <c r="AM363" s="10"/>
    </row>
    <row r="364" spans="1:39" ht="15.75" customHeight="1">
      <c r="A364" s="6">
        <v>228</v>
      </c>
      <c r="B364" s="6">
        <v>2020</v>
      </c>
      <c r="C364" s="6" t="s">
        <v>335</v>
      </c>
      <c r="D364" s="7" t="s">
        <v>336</v>
      </c>
      <c r="E364" s="6" t="s">
        <v>328</v>
      </c>
      <c r="F364" s="6" t="s">
        <v>329</v>
      </c>
      <c r="G364" s="8"/>
      <c r="H364" s="30"/>
      <c r="I364" s="8">
        <v>907748683255</v>
      </c>
      <c r="J364" s="8">
        <v>2697100062756</v>
      </c>
      <c r="K364" s="8">
        <v>622838614595</v>
      </c>
      <c r="L364" s="8">
        <v>1231192233990</v>
      </c>
      <c r="M364" s="8">
        <v>1465907828766</v>
      </c>
      <c r="N364" s="13">
        <v>17000000000</v>
      </c>
      <c r="O364" s="8">
        <v>1797514877242</v>
      </c>
      <c r="P364" s="8">
        <v>1146328782026</v>
      </c>
      <c r="Q364" s="6"/>
      <c r="R364" s="6"/>
      <c r="S364" s="11"/>
      <c r="T364" s="10">
        <f>413457936700+66391570721+25729951405</f>
        <v>505579458826</v>
      </c>
      <c r="U364" s="12">
        <v>115805324362</v>
      </c>
      <c r="V364" s="13">
        <f t="shared" si="50"/>
        <v>1465907828766</v>
      </c>
      <c r="W364" s="13">
        <f t="shared" si="40"/>
        <v>0.45648741438681389</v>
      </c>
      <c r="X364" s="13">
        <f t="shared" si="41"/>
        <v>0.83988379748706066</v>
      </c>
      <c r="Y364" s="8">
        <f t="shared" si="47"/>
        <v>4.2936977371045584E-2</v>
      </c>
      <c r="Z364" s="8">
        <f t="shared" si="48"/>
        <v>7.8999048978055347E-2</v>
      </c>
      <c r="AA364" s="8">
        <f t="shared" si="42"/>
        <v>0.362270211757658</v>
      </c>
      <c r="AB364" s="8">
        <f t="shared" si="49"/>
        <v>6.4425238326641723E-2</v>
      </c>
      <c r="AC364" s="8">
        <f t="shared" si="43"/>
        <v>0.362270211757658</v>
      </c>
      <c r="AD364" s="10"/>
      <c r="AE364" s="9"/>
      <c r="AF364" s="9"/>
      <c r="AG364" s="9"/>
      <c r="AH364" s="9"/>
      <c r="AI364" s="9"/>
      <c r="AJ364" s="9"/>
      <c r="AK364" s="10"/>
      <c r="AL364" s="9"/>
      <c r="AM364" s="10"/>
    </row>
    <row r="365" spans="1:39" ht="15.75" customHeight="1">
      <c r="A365" s="6">
        <v>79</v>
      </c>
      <c r="B365" s="6">
        <v>2018</v>
      </c>
      <c r="C365" s="6" t="s">
        <v>337</v>
      </c>
      <c r="D365" s="7" t="s">
        <v>338</v>
      </c>
      <c r="E365" s="6" t="s">
        <v>339</v>
      </c>
      <c r="F365" s="6" t="s">
        <v>340</v>
      </c>
      <c r="G365" s="6"/>
      <c r="H365" s="16"/>
      <c r="I365" s="16">
        <v>33696815824</v>
      </c>
      <c r="J365" s="16">
        <v>849799701091</v>
      </c>
      <c r="K365" s="16">
        <v>235154667857</v>
      </c>
      <c r="L365" s="16">
        <v>439430278693</v>
      </c>
      <c r="M365" s="16">
        <v>410369422397</v>
      </c>
      <c r="N365" s="8">
        <v>2800000000</v>
      </c>
      <c r="O365" s="16">
        <v>200658519501</v>
      </c>
      <c r="P365" s="16">
        <v>90382621588</v>
      </c>
      <c r="Q365" s="6"/>
      <c r="R365" s="6"/>
      <c r="S365" s="11"/>
      <c r="T365" s="9">
        <f>42837978596+838722643</f>
        <v>43676701239</v>
      </c>
      <c r="U365" s="12">
        <v>50247119273</v>
      </c>
      <c r="V365" s="17">
        <f t="shared" si="50"/>
        <v>410369422397</v>
      </c>
      <c r="W365" s="13">
        <f t="shared" si="40"/>
        <v>0.51709865057477122</v>
      </c>
      <c r="X365" s="13">
        <f t="shared" si="41"/>
        <v>1.0708163296530557</v>
      </c>
      <c r="Y365" s="8">
        <f t="shared" si="47"/>
        <v>5.9128191276710436E-2</v>
      </c>
      <c r="Z365" s="8">
        <f t="shared" si="48"/>
        <v>0.1224436240388054</v>
      </c>
      <c r="AA365" s="8">
        <f t="shared" si="42"/>
        <v>0.54956997683046516</v>
      </c>
      <c r="AB365" s="8">
        <f t="shared" si="49"/>
        <v>0.25041109342356921</v>
      </c>
      <c r="AC365" s="8">
        <f t="shared" si="43"/>
        <v>0.54956997683046516</v>
      </c>
      <c r="AD365" s="9"/>
      <c r="AE365" s="9">
        <v>121600000</v>
      </c>
      <c r="AF365" s="9"/>
      <c r="AG365" s="9"/>
      <c r="AH365" s="9"/>
      <c r="AI365" s="9"/>
      <c r="AJ365" s="9"/>
      <c r="AK365" s="9">
        <v>213152211</v>
      </c>
      <c r="AL365" s="9"/>
      <c r="AM365" s="9">
        <v>313287674</v>
      </c>
    </row>
    <row r="366" spans="1:39" ht="15.75" customHeight="1">
      <c r="A366" s="6">
        <v>80</v>
      </c>
      <c r="B366" s="6">
        <v>2019</v>
      </c>
      <c r="C366" s="6" t="s">
        <v>337</v>
      </c>
      <c r="D366" s="7" t="s">
        <v>338</v>
      </c>
      <c r="E366" s="6" t="s">
        <v>339</v>
      </c>
      <c r="F366" s="6" t="s">
        <v>340</v>
      </c>
      <c r="G366" s="6"/>
      <c r="H366" s="16"/>
      <c r="I366" s="16">
        <v>34992765408</v>
      </c>
      <c r="J366" s="16">
        <v>467065425451</v>
      </c>
      <c r="K366" s="16">
        <v>150449955614</v>
      </c>
      <c r="L366" s="16">
        <v>433530491804</v>
      </c>
      <c r="M366" s="16">
        <v>433534933647</v>
      </c>
      <c r="N366" s="8">
        <v>2800000000</v>
      </c>
      <c r="O366" s="16">
        <v>131094399577</v>
      </c>
      <c r="P366" s="16">
        <v>65808695362</v>
      </c>
      <c r="Q366" s="6"/>
      <c r="R366" s="6"/>
      <c r="S366" s="11"/>
      <c r="T366" s="9">
        <f>44178083086+68572459</f>
        <v>44246655545</v>
      </c>
      <c r="U366" s="12">
        <v>23201520208</v>
      </c>
      <c r="V366" s="17">
        <f t="shared" si="50"/>
        <v>433534933647</v>
      </c>
      <c r="W366" s="13">
        <f t="shared" si="40"/>
        <v>0.92820077912078691</v>
      </c>
      <c r="X366" s="13">
        <f t="shared" si="41"/>
        <v>0.99998975435967152</v>
      </c>
      <c r="Y366" s="8">
        <f t="shared" si="47"/>
        <v>4.9675096771713577E-2</v>
      </c>
      <c r="Z366" s="8">
        <f t="shared" si="48"/>
        <v>5.3517071883511756E-2</v>
      </c>
      <c r="AA366" s="8">
        <f t="shared" si="42"/>
        <v>0.49800528798832167</v>
      </c>
      <c r="AB366" s="8">
        <f t="shared" si="49"/>
        <v>0.17698330579234459</v>
      </c>
      <c r="AC366" s="8">
        <f t="shared" si="43"/>
        <v>0.49800528798832167</v>
      </c>
      <c r="AD366" s="9"/>
      <c r="AE366" s="9">
        <v>60800000</v>
      </c>
      <c r="AF366" s="9"/>
      <c r="AG366" s="9"/>
      <c r="AH366" s="9"/>
      <c r="AI366" s="9"/>
      <c r="AJ366" s="9"/>
      <c r="AK366" s="9">
        <v>245539100</v>
      </c>
      <c r="AL366" s="9"/>
      <c r="AM366" s="9">
        <v>188644037</v>
      </c>
    </row>
    <row r="367" spans="1:39" ht="15.75" customHeight="1">
      <c r="A367" s="6">
        <v>81</v>
      </c>
      <c r="B367" s="6">
        <v>2020</v>
      </c>
      <c r="C367" s="6" t="s">
        <v>337</v>
      </c>
      <c r="D367" s="7" t="s">
        <v>338</v>
      </c>
      <c r="E367" s="6" t="s">
        <v>339</v>
      </c>
      <c r="F367" s="6" t="s">
        <v>340</v>
      </c>
      <c r="G367" s="6"/>
      <c r="H367" s="16"/>
      <c r="I367" s="16">
        <v>39270240610</v>
      </c>
      <c r="J367" s="16">
        <v>909264462663</v>
      </c>
      <c r="K367" s="16">
        <v>154371558000</v>
      </c>
      <c r="L367" s="16">
        <v>462672453925</v>
      </c>
      <c r="M367" s="16">
        <v>446592008738</v>
      </c>
      <c r="N367" s="8">
        <v>2800000000</v>
      </c>
      <c r="O367" s="16">
        <v>73155228143</v>
      </c>
      <c r="P367" s="16">
        <v>37845260341</v>
      </c>
      <c r="Q367" s="6"/>
      <c r="R367" s="6"/>
      <c r="S367" s="11"/>
      <c r="T367" s="9">
        <f>39469729585+216954228</f>
        <v>39686683813</v>
      </c>
      <c r="U367" s="12">
        <v>12990816748</v>
      </c>
      <c r="V367" s="17">
        <f t="shared" si="50"/>
        <v>446592008738</v>
      </c>
      <c r="W367" s="13">
        <f t="shared" si="40"/>
        <v>0.50884255672981249</v>
      </c>
      <c r="X367" s="13">
        <f t="shared" si="41"/>
        <v>1.036007015066035</v>
      </c>
      <c r="Y367" s="8">
        <f t="shared" si="47"/>
        <v>1.4287170874305661E-2</v>
      </c>
      <c r="Z367" s="8">
        <f t="shared" si="48"/>
        <v>2.908878012553346E-2</v>
      </c>
      <c r="AA367" s="8">
        <f t="shared" si="42"/>
        <v>0.48267182945527731</v>
      </c>
      <c r="AB367" s="8">
        <f t="shared" si="49"/>
        <v>0.17757878797953078</v>
      </c>
      <c r="AC367" s="8">
        <f t="shared" si="43"/>
        <v>0.48267182945527731</v>
      </c>
      <c r="AD367" s="9"/>
      <c r="AE367" s="9"/>
      <c r="AF367" s="9"/>
      <c r="AG367" s="9"/>
      <c r="AH367" s="9"/>
      <c r="AI367" s="9"/>
      <c r="AJ367" s="9"/>
      <c r="AK367" s="9">
        <v>241826128</v>
      </c>
      <c r="AL367" s="9"/>
      <c r="AM367" s="9">
        <v>155873680</v>
      </c>
    </row>
    <row r="368" spans="1:39" ht="15.75" customHeight="1">
      <c r="A368" s="6">
        <v>121</v>
      </c>
      <c r="B368" s="6">
        <v>2018</v>
      </c>
      <c r="C368" s="6" t="s">
        <v>341</v>
      </c>
      <c r="D368" s="7" t="s">
        <v>342</v>
      </c>
      <c r="E368" s="6" t="s">
        <v>339</v>
      </c>
      <c r="F368" s="6" t="s">
        <v>340</v>
      </c>
      <c r="G368" s="8"/>
      <c r="H368" s="9">
        <f>6049638987224+1410603081994</f>
        <v>7460242069218</v>
      </c>
      <c r="I368" s="10">
        <v>676536086022</v>
      </c>
      <c r="J368" s="10">
        <v>52101492204552</v>
      </c>
      <c r="K368" s="10">
        <v>15583360871276</v>
      </c>
      <c r="L368" s="10">
        <v>21814594254302</v>
      </c>
      <c r="M368" s="10">
        <v>30286897950250</v>
      </c>
      <c r="N368" s="8">
        <v>40000000000</v>
      </c>
      <c r="O368" s="10">
        <v>6628782185008</v>
      </c>
      <c r="P368" s="10">
        <v>1874274191288</v>
      </c>
      <c r="Q368" s="6"/>
      <c r="R368" s="6"/>
      <c r="S368" s="11"/>
      <c r="T368" s="18">
        <f>1301675569437+281982923302</f>
        <v>1583658492739</v>
      </c>
      <c r="U368" s="12">
        <v>1701817694927</v>
      </c>
      <c r="V368" s="9">
        <f t="shared" si="50"/>
        <v>30286897950250</v>
      </c>
      <c r="W368" s="13">
        <f t="shared" si="40"/>
        <v>0.41869423180160092</v>
      </c>
      <c r="X368" s="13">
        <f t="shared" si="41"/>
        <v>0.72026505620137082</v>
      </c>
      <c r="Y368" s="8">
        <f t="shared" si="47"/>
        <v>3.2663511598585569E-2</v>
      </c>
      <c r="Z368" s="8">
        <f t="shared" si="48"/>
        <v>5.6189897615874937E-2</v>
      </c>
      <c r="AA368" s="8">
        <f t="shared" si="42"/>
        <v>0.71725210770585335</v>
      </c>
      <c r="AB368" s="8">
        <f t="shared" si="49"/>
        <v>0.2567315756393263</v>
      </c>
      <c r="AC368" s="8">
        <f t="shared" si="43"/>
        <v>0.71725210770585335</v>
      </c>
      <c r="AD368" s="9"/>
      <c r="AE368" s="9"/>
      <c r="AF368" s="9"/>
      <c r="AG368" s="9"/>
      <c r="AH368" s="9"/>
      <c r="AI368" s="9"/>
      <c r="AJ368" s="10"/>
      <c r="AK368" s="10">
        <v>30852914233</v>
      </c>
      <c r="AL368" s="9"/>
      <c r="AM368" s="10">
        <v>367289031130</v>
      </c>
    </row>
    <row r="369" spans="1:39" ht="15.75" customHeight="1">
      <c r="A369" s="6">
        <v>122</v>
      </c>
      <c r="B369" s="6">
        <v>2019</v>
      </c>
      <c r="C369" s="6" t="s">
        <v>341</v>
      </c>
      <c r="D369" s="7" t="s">
        <v>342</v>
      </c>
      <c r="E369" s="6" t="s">
        <v>339</v>
      </c>
      <c r="F369" s="6" t="s">
        <v>340</v>
      </c>
      <c r="G369" s="8"/>
      <c r="H369" s="9">
        <f>5960398577333+1089024083723</f>
        <v>7049422661056</v>
      </c>
      <c r="I369" s="10">
        <v>631541383154</v>
      </c>
      <c r="J369" s="10">
        <v>54444849052447</v>
      </c>
      <c r="K369" s="10">
        <v>14737901627736</v>
      </c>
      <c r="L369" s="10">
        <v>20897343170602</v>
      </c>
      <c r="M369" s="10">
        <v>33547505881845</v>
      </c>
      <c r="N369" s="8">
        <v>40000000000</v>
      </c>
      <c r="O369" s="10">
        <v>7084864038574</v>
      </c>
      <c r="P369" s="10">
        <v>2018798088448</v>
      </c>
      <c r="Q369" s="6"/>
      <c r="R369" s="6"/>
      <c r="S369" s="11"/>
      <c r="T369" s="9">
        <f>1324227647413+299760795937</f>
        <v>1623988443350</v>
      </c>
      <c r="U369" s="12">
        <v>3130076103452</v>
      </c>
      <c r="V369" s="9">
        <f t="shared" si="50"/>
        <v>33547505881845</v>
      </c>
      <c r="W369" s="13">
        <f t="shared" si="40"/>
        <v>0.38382589968192371</v>
      </c>
      <c r="X369" s="13">
        <f t="shared" si="41"/>
        <v>0.62291793745272361</v>
      </c>
      <c r="Y369" s="8">
        <f t="shared" si="47"/>
        <v>5.7490766489898461E-2</v>
      </c>
      <c r="Z369" s="8">
        <f t="shared" si="48"/>
        <v>9.3302796174362171E-2</v>
      </c>
      <c r="AA369" s="8">
        <f t="shared" si="42"/>
        <v>0.71505478757862917</v>
      </c>
      <c r="AB369" s="8">
        <f t="shared" si="49"/>
        <v>0.4417976246841292</v>
      </c>
      <c r="AC369" s="8">
        <f t="shared" si="43"/>
        <v>0.71505478757862917</v>
      </c>
      <c r="AD369" s="9"/>
      <c r="AE369" s="9"/>
      <c r="AF369" s="9"/>
      <c r="AG369" s="9"/>
      <c r="AH369" s="9"/>
      <c r="AI369" s="9"/>
      <c r="AJ369" s="10"/>
      <c r="AK369" s="10">
        <v>45618530378</v>
      </c>
      <c r="AL369" s="9"/>
      <c r="AM369" s="10">
        <v>265516767943</v>
      </c>
    </row>
    <row r="370" spans="1:39" ht="15.75" customHeight="1">
      <c r="A370" s="6">
        <v>123</v>
      </c>
      <c r="B370" s="6">
        <v>2020</v>
      </c>
      <c r="C370" s="6" t="s">
        <v>341</v>
      </c>
      <c r="D370" s="7" t="s">
        <v>342</v>
      </c>
      <c r="E370" s="6" t="s">
        <v>339</v>
      </c>
      <c r="F370" s="6" t="s">
        <v>340</v>
      </c>
      <c r="G370" s="8"/>
      <c r="H370" s="9">
        <f>5364089584896+1325403032171</f>
        <v>6689492617067</v>
      </c>
      <c r="I370" s="10">
        <v>584619322260</v>
      </c>
      <c r="J370" s="10">
        <v>60862926586750</v>
      </c>
      <c r="K370" s="10">
        <v>14426198886396</v>
      </c>
      <c r="L370" s="10">
        <v>26391824110926</v>
      </c>
      <c r="M370" s="10">
        <v>34471102475824</v>
      </c>
      <c r="N370" s="8">
        <v>40000000000</v>
      </c>
      <c r="O370" s="10">
        <v>6180589086059</v>
      </c>
      <c r="P370" s="10">
        <v>1928745848318</v>
      </c>
      <c r="Q370" s="6"/>
      <c r="R370" s="6"/>
      <c r="S370" s="11"/>
      <c r="T370" s="9">
        <f>1235289881113+221931907917</f>
        <v>1457221789030</v>
      </c>
      <c r="U370" s="12">
        <v>486257814158</v>
      </c>
      <c r="V370" s="9">
        <f t="shared" si="50"/>
        <v>34471102475824</v>
      </c>
      <c r="W370" s="13">
        <f t="shared" si="40"/>
        <v>0.43362726032092519</v>
      </c>
      <c r="X370" s="13">
        <f t="shared" si="41"/>
        <v>0.76562170094314996</v>
      </c>
      <c r="Y370" s="8">
        <f t="shared" si="47"/>
        <v>7.9893925814579457E-3</v>
      </c>
      <c r="Z370" s="8">
        <f t="shared" si="48"/>
        <v>1.4106244919176362E-2</v>
      </c>
      <c r="AA370" s="8">
        <f t="shared" si="42"/>
        <v>0.68793494900534657</v>
      </c>
      <c r="AB370" s="8">
        <f t="shared" si="49"/>
        <v>7.8674994792132052E-2</v>
      </c>
      <c r="AC370" s="8">
        <f t="shared" si="43"/>
        <v>0.68793494900534657</v>
      </c>
      <c r="AD370" s="9"/>
      <c r="AE370" s="9"/>
      <c r="AF370" s="9"/>
      <c r="AG370" s="9"/>
      <c r="AH370" s="9"/>
      <c r="AI370" s="9"/>
      <c r="AJ370" s="10"/>
      <c r="AK370" s="10">
        <v>44016987921</v>
      </c>
      <c r="AL370" s="9"/>
      <c r="AM370" s="18">
        <v>234615027356</v>
      </c>
    </row>
    <row r="371" spans="1:39" ht="15.75" customHeight="1">
      <c r="A371" s="6">
        <v>151</v>
      </c>
      <c r="B371" s="6">
        <v>2018</v>
      </c>
      <c r="C371" s="6" t="s">
        <v>343</v>
      </c>
      <c r="D371" s="7" t="s">
        <v>344</v>
      </c>
      <c r="E371" s="6" t="s">
        <v>339</v>
      </c>
      <c r="F371" s="6" t="s">
        <v>340</v>
      </c>
      <c r="G371" s="8"/>
      <c r="H371" s="9">
        <v>317707000000</v>
      </c>
      <c r="I371" s="8">
        <v>3113950000000</v>
      </c>
      <c r="J371" s="8">
        <v>34289017000000</v>
      </c>
      <c r="K371" s="8">
        <v>9649898000000</v>
      </c>
      <c r="L371" s="8">
        <v>17644741000000</v>
      </c>
      <c r="M371" s="8">
        <v>16644276000000</v>
      </c>
      <c r="N371" s="8">
        <v>36000000000</v>
      </c>
      <c r="O371" s="8">
        <v>7670405000000</v>
      </c>
      <c r="P371" s="8">
        <v>4042138000000</v>
      </c>
      <c r="Q371" s="6"/>
      <c r="R371" s="6"/>
      <c r="S371" s="11"/>
      <c r="T371" s="9">
        <f>1210546000000+372585000000+270853000000</f>
        <v>1853984000000</v>
      </c>
      <c r="U371" s="12">
        <v>1302702000000</v>
      </c>
      <c r="V371" s="13">
        <f t="shared" si="50"/>
        <v>16644276000000</v>
      </c>
      <c r="W371" s="13">
        <f t="shared" si="40"/>
        <v>0.51458870926512712</v>
      </c>
      <c r="X371" s="13">
        <f t="shared" si="41"/>
        <v>1.0601086523679373</v>
      </c>
      <c r="Y371" s="8">
        <f t="shared" si="47"/>
        <v>3.7991815280093912E-2</v>
      </c>
      <c r="Z371" s="8">
        <f t="shared" si="48"/>
        <v>7.8267267377685884E-2</v>
      </c>
      <c r="AA371" s="8">
        <f t="shared" si="42"/>
        <v>0.47302156796153527</v>
      </c>
      <c r="AB371" s="8">
        <f t="shared" si="49"/>
        <v>0.16983483922948006</v>
      </c>
      <c r="AC371" s="8">
        <f t="shared" si="43"/>
        <v>0.47302156796153527</v>
      </c>
      <c r="AD371" s="9"/>
      <c r="AE371" s="10"/>
      <c r="AF371" s="9"/>
      <c r="AG371" s="9"/>
      <c r="AH371" s="9"/>
      <c r="AI371" s="9"/>
      <c r="AJ371" s="9"/>
      <c r="AK371" s="10"/>
      <c r="AL371" s="9"/>
      <c r="AM371" s="10">
        <f>1048000000+206237000000</f>
        <v>207285000000</v>
      </c>
    </row>
    <row r="372" spans="1:39" ht="15.75" customHeight="1">
      <c r="A372" s="6">
        <v>152</v>
      </c>
      <c r="B372" s="6">
        <v>2019</v>
      </c>
      <c r="C372" s="6" t="s">
        <v>343</v>
      </c>
      <c r="D372" s="7" t="s">
        <v>344</v>
      </c>
      <c r="E372" s="6" t="s">
        <v>339</v>
      </c>
      <c r="F372" s="6" t="s">
        <v>340</v>
      </c>
      <c r="G372" s="8"/>
      <c r="H372" s="9">
        <v>369140000000</v>
      </c>
      <c r="I372" s="8">
        <v>3089106000000</v>
      </c>
      <c r="J372" s="8">
        <v>36196024000000</v>
      </c>
      <c r="K372" s="8">
        <v>10065767000000</v>
      </c>
      <c r="L372" s="8">
        <v>18434456000000</v>
      </c>
      <c r="M372" s="8">
        <v>17761568000000</v>
      </c>
      <c r="N372" s="8">
        <v>36000000000</v>
      </c>
      <c r="O372" s="8">
        <v>7608237000000</v>
      </c>
      <c r="P372" s="8">
        <v>3816495000000</v>
      </c>
      <c r="Q372" s="6"/>
      <c r="R372" s="6"/>
      <c r="S372" s="11"/>
      <c r="T372" s="9">
        <f>1252875000000+383428000000+372687000000</f>
        <v>2008990000000</v>
      </c>
      <c r="U372" s="12">
        <v>1283281000000</v>
      </c>
      <c r="V372" s="13">
        <f t="shared" si="50"/>
        <v>17761568000000</v>
      </c>
      <c r="W372" s="13">
        <f t="shared" si="40"/>
        <v>0.50929505406450171</v>
      </c>
      <c r="X372" s="13">
        <f t="shared" si="41"/>
        <v>1.0378844930807911</v>
      </c>
      <c r="Y372" s="8">
        <f t="shared" si="47"/>
        <v>3.54536454059153E-2</v>
      </c>
      <c r="Z372" s="8">
        <f t="shared" si="48"/>
        <v>7.2250434195899826E-2</v>
      </c>
      <c r="AA372" s="8">
        <f t="shared" si="42"/>
        <v>0.49837327622680522</v>
      </c>
      <c r="AB372" s="8">
        <f t="shared" si="49"/>
        <v>0.16866995599637602</v>
      </c>
      <c r="AC372" s="8">
        <f t="shared" si="43"/>
        <v>0.49837327622680522</v>
      </c>
      <c r="AD372" s="9"/>
      <c r="AE372" s="9"/>
      <c r="AF372" s="9"/>
      <c r="AG372" s="9"/>
      <c r="AH372" s="9"/>
      <c r="AI372" s="9"/>
      <c r="AJ372" s="9"/>
      <c r="AK372" s="9"/>
      <c r="AL372" s="10"/>
      <c r="AM372" s="10">
        <f>1225000000+194791000000</f>
        <v>196016000000</v>
      </c>
    </row>
    <row r="373" spans="1:39" ht="15.75" customHeight="1">
      <c r="A373" s="6">
        <v>153</v>
      </c>
      <c r="B373" s="6">
        <v>2020</v>
      </c>
      <c r="C373" s="6" t="s">
        <v>343</v>
      </c>
      <c r="D373" s="7" t="s">
        <v>344</v>
      </c>
      <c r="E373" s="6" t="s">
        <v>339</v>
      </c>
      <c r="F373" s="6" t="s">
        <v>340</v>
      </c>
      <c r="G373" s="8"/>
      <c r="H373" s="9">
        <v>493178000000</v>
      </c>
      <c r="I373" s="8">
        <v>2594980000000</v>
      </c>
      <c r="J373" s="8">
        <v>39255187000000</v>
      </c>
      <c r="K373" s="8">
        <v>10188245000000</v>
      </c>
      <c r="L373" s="8">
        <v>21797659000000</v>
      </c>
      <c r="M373" s="8">
        <v>17457528000000</v>
      </c>
      <c r="N373" s="8">
        <v>36000000000</v>
      </c>
      <c r="O373" s="8">
        <v>8070737000000</v>
      </c>
      <c r="P373" s="8">
        <v>3949402000000</v>
      </c>
      <c r="Q373" s="6"/>
      <c r="R373" s="6"/>
      <c r="S373" s="11"/>
      <c r="T373" s="9">
        <f>1166156000000+356561000000+399197000000</f>
        <v>1921914000000</v>
      </c>
      <c r="U373" s="12">
        <v>1370686000000</v>
      </c>
      <c r="V373" s="13">
        <f t="shared" si="50"/>
        <v>17457528000000</v>
      </c>
      <c r="W373" s="13">
        <f t="shared" si="40"/>
        <v>0.55528098745269006</v>
      </c>
      <c r="X373" s="13">
        <f t="shared" si="41"/>
        <v>1.2486108571614492</v>
      </c>
      <c r="Y373" s="8">
        <f t="shared" si="47"/>
        <v>3.4917321881564337E-2</v>
      </c>
      <c r="Z373" s="8">
        <f t="shared" si="48"/>
        <v>7.8515469085886622E-2</v>
      </c>
      <c r="AA373" s="8">
        <f t="shared" si="42"/>
        <v>0.51065162946085341</v>
      </c>
      <c r="AB373" s="8">
        <f t="shared" si="49"/>
        <v>0.16983405604717389</v>
      </c>
      <c r="AC373" s="8">
        <f t="shared" si="43"/>
        <v>0.51065162946085341</v>
      </c>
      <c r="AD373" s="9"/>
      <c r="AE373" s="10"/>
      <c r="AF373" s="9"/>
      <c r="AG373" s="9"/>
      <c r="AH373" s="9"/>
      <c r="AI373" s="9"/>
      <c r="AJ373" s="9"/>
      <c r="AK373" s="10"/>
      <c r="AL373" s="10"/>
      <c r="AM373" s="10">
        <f>1987000000+147365000000</f>
        <v>149352000000</v>
      </c>
    </row>
    <row r="374" spans="1:39" ht="15.75" customHeight="1">
      <c r="A374" s="6">
        <v>187</v>
      </c>
      <c r="B374" s="6">
        <v>2018</v>
      </c>
      <c r="C374" s="6" t="s">
        <v>345</v>
      </c>
      <c r="D374" s="7" t="s">
        <v>346</v>
      </c>
      <c r="E374" s="6" t="s">
        <v>339</v>
      </c>
      <c r="F374" s="6" t="s">
        <v>340</v>
      </c>
      <c r="G374" s="8"/>
      <c r="H374" s="6"/>
      <c r="I374" s="8">
        <v>237016895</v>
      </c>
      <c r="J374" s="8">
        <v>940955391343</v>
      </c>
      <c r="K374" s="8">
        <v>146832593365</v>
      </c>
      <c r="L374" s="8">
        <v>265462614782</v>
      </c>
      <c r="M374" s="8">
        <v>675492776561</v>
      </c>
      <c r="N374" s="8">
        <v>4400000000</v>
      </c>
      <c r="O374" s="8">
        <v>43232413637</v>
      </c>
      <c r="P374" s="8">
        <v>13481206866</v>
      </c>
      <c r="Q374" s="6"/>
      <c r="R374" s="6"/>
      <c r="S374" s="11"/>
      <c r="T374" s="9">
        <f>889425479+10842011194+11832706755+70064</f>
        <v>23564213492</v>
      </c>
      <c r="U374" s="12">
        <v>5908257104</v>
      </c>
      <c r="V374" s="13">
        <f t="shared" si="50"/>
        <v>675492776561</v>
      </c>
      <c r="W374" s="13">
        <f t="shared" si="40"/>
        <v>0.28212029733217475</v>
      </c>
      <c r="X374" s="13">
        <f t="shared" si="41"/>
        <v>0.39299104889543929</v>
      </c>
      <c r="Y374" s="8">
        <f t="shared" si="47"/>
        <v>6.2789980889182279E-3</v>
      </c>
      <c r="Z374" s="8">
        <f t="shared" si="48"/>
        <v>8.7465881338946606E-3</v>
      </c>
      <c r="AA374" s="8">
        <f t="shared" si="42"/>
        <v>0.68816899793764341</v>
      </c>
      <c r="AB374" s="8">
        <f t="shared" si="49"/>
        <v>0.13666267059731038</v>
      </c>
      <c r="AC374" s="8">
        <f t="shared" si="43"/>
        <v>0.68816899793764341</v>
      </c>
      <c r="AD374" s="9"/>
      <c r="AE374" s="9"/>
      <c r="AF374" s="9"/>
      <c r="AG374" s="9"/>
      <c r="AH374" s="9"/>
      <c r="AI374" s="9"/>
      <c r="AJ374" s="9"/>
      <c r="AK374" s="9"/>
      <c r="AL374" s="9"/>
      <c r="AM374" s="10">
        <v>40441873</v>
      </c>
    </row>
    <row r="375" spans="1:39" ht="15.75" customHeight="1">
      <c r="A375" s="6">
        <v>188</v>
      </c>
      <c r="B375" s="6">
        <v>2019</v>
      </c>
      <c r="C375" s="6" t="s">
        <v>345</v>
      </c>
      <c r="D375" s="7" t="s">
        <v>346</v>
      </c>
      <c r="E375" s="6" t="s">
        <v>339</v>
      </c>
      <c r="F375" s="6" t="s">
        <v>340</v>
      </c>
      <c r="G375" s="6"/>
      <c r="H375" s="9">
        <v>295174788901</v>
      </c>
      <c r="I375" s="8">
        <v>152607850</v>
      </c>
      <c r="J375" s="8">
        <v>891866986266</v>
      </c>
      <c r="K375" s="8">
        <v>169794632882</v>
      </c>
      <c r="L375" s="8">
        <v>264399707766</v>
      </c>
      <c r="M375" s="8">
        <v>627467278500</v>
      </c>
      <c r="N375" s="8">
        <v>4400000000</v>
      </c>
      <c r="O375" s="8">
        <v>84249947508</v>
      </c>
      <c r="P375" s="8">
        <v>47767171754</v>
      </c>
      <c r="Q375" s="6"/>
      <c r="R375" s="6"/>
      <c r="S375" s="11"/>
      <c r="T375" s="9">
        <f>504942972+13453467801+18533617026+68378</f>
        <v>32492096177</v>
      </c>
      <c r="U375" s="12">
        <v>2718797575</v>
      </c>
      <c r="V375" s="13">
        <f t="shared" si="50"/>
        <v>627467278500</v>
      </c>
      <c r="W375" s="13">
        <f t="shared" si="40"/>
        <v>0.29645643558684498</v>
      </c>
      <c r="X375" s="13">
        <f t="shared" si="41"/>
        <v>0.42137608896206369</v>
      </c>
      <c r="Y375" s="8">
        <f t="shared" si="47"/>
        <v>3.0484339221735881E-3</v>
      </c>
      <c r="Z375" s="8">
        <f t="shared" si="48"/>
        <v>4.3329710857583784E-3</v>
      </c>
      <c r="AA375" s="8">
        <f t="shared" si="42"/>
        <v>0.43303024907565379</v>
      </c>
      <c r="AB375" s="8">
        <f t="shared" si="49"/>
        <v>3.2270614468238513E-2</v>
      </c>
      <c r="AC375" s="8">
        <f t="shared" si="43"/>
        <v>0.43303024907565379</v>
      </c>
      <c r="AD375" s="9"/>
      <c r="AE375" s="9"/>
      <c r="AF375" s="9"/>
      <c r="AG375" s="9"/>
      <c r="AH375" s="9"/>
      <c r="AI375" s="9"/>
      <c r="AJ375" s="9"/>
      <c r="AK375" s="9"/>
      <c r="AL375" s="10"/>
      <c r="AM375" s="10">
        <v>6302000</v>
      </c>
    </row>
    <row r="376" spans="1:39" ht="15.75" customHeight="1">
      <c r="A376" s="6">
        <v>189</v>
      </c>
      <c r="B376" s="6">
        <v>2020</v>
      </c>
      <c r="C376" s="6" t="s">
        <v>345</v>
      </c>
      <c r="D376" s="7" t="s">
        <v>346</v>
      </c>
      <c r="E376" s="6" t="s">
        <v>339</v>
      </c>
      <c r="F376" s="6" t="s">
        <v>340</v>
      </c>
      <c r="G376" s="6"/>
      <c r="H376" s="9">
        <f>30651794902+295160447776</f>
        <v>325812242678</v>
      </c>
      <c r="I376" s="8">
        <v>342796806</v>
      </c>
      <c r="J376" s="8">
        <v>870707453070</v>
      </c>
      <c r="K376" s="8">
        <v>163890124493</v>
      </c>
      <c r="L376" s="8">
        <v>245524649894</v>
      </c>
      <c r="M376" s="8">
        <v>625182803176</v>
      </c>
      <c r="N376" s="8">
        <v>4400000000</v>
      </c>
      <c r="O376" s="8">
        <v>51320798915</v>
      </c>
      <c r="P376" s="8">
        <v>20047726784</v>
      </c>
      <c r="Q376" s="6"/>
      <c r="R376" s="6"/>
      <c r="S376" s="11"/>
      <c r="T376" s="10">
        <f>794479266+16888104274+16785208334+16635</f>
        <v>34467808509</v>
      </c>
      <c r="U376" s="12">
        <v>-1481751003</v>
      </c>
      <c r="V376" s="13">
        <f t="shared" si="50"/>
        <v>625182803176</v>
      </c>
      <c r="W376" s="13">
        <f t="shared" si="40"/>
        <v>0.28198294275340396</v>
      </c>
      <c r="X376" s="13">
        <f t="shared" si="41"/>
        <v>0.39272457375140002</v>
      </c>
      <c r="Y376" s="8">
        <f t="shared" si="47"/>
        <v>-1.7017782468446098E-3</v>
      </c>
      <c r="Z376" s="8">
        <f t="shared" si="48"/>
        <v>-2.3701083834560639E-3</v>
      </c>
      <c r="AA376" s="8">
        <f t="shared" si="42"/>
        <v>0.60936448364328821</v>
      </c>
      <c r="AB376" s="8">
        <f t="shared" si="49"/>
        <v>-2.887232923739453E-2</v>
      </c>
      <c r="AC376" s="8">
        <f t="shared" si="43"/>
        <v>0.60936448364328821</v>
      </c>
      <c r="AD376" s="9"/>
      <c r="AE376" s="10"/>
      <c r="AF376" s="9"/>
      <c r="AG376" s="9"/>
      <c r="AH376" s="9"/>
      <c r="AI376" s="9"/>
      <c r="AJ376" s="9"/>
      <c r="AK376" s="10"/>
      <c r="AL376" s="10"/>
      <c r="AM376" s="10">
        <v>118662500</v>
      </c>
    </row>
    <row r="377" spans="1:39" ht="15.75" customHeight="1">
      <c r="A377" s="6">
        <v>250</v>
      </c>
      <c r="B377" s="6">
        <v>2018</v>
      </c>
      <c r="C377" s="6" t="s">
        <v>347</v>
      </c>
      <c r="D377" s="7" t="s">
        <v>348</v>
      </c>
      <c r="E377" s="6" t="s">
        <v>349</v>
      </c>
      <c r="F377" s="6" t="s">
        <v>340</v>
      </c>
      <c r="G377" s="6"/>
      <c r="H377" s="6">
        <f>729699534000+656899911000</f>
        <v>1386599445000</v>
      </c>
      <c r="I377" s="8">
        <v>747019235000</v>
      </c>
      <c r="J377" s="8">
        <v>4804256788000</v>
      </c>
      <c r="K377" s="8">
        <v>288129800000</v>
      </c>
      <c r="L377" s="8">
        <v>2221760533000</v>
      </c>
      <c r="M377" s="8">
        <v>2582496255000</v>
      </c>
      <c r="N377" s="8">
        <v>30000000000</v>
      </c>
      <c r="O377" s="8">
        <v>5157266424000</v>
      </c>
      <c r="P377" s="8">
        <v>4292248458000</v>
      </c>
      <c r="Q377" s="6"/>
      <c r="R377" s="6"/>
      <c r="S377" s="11"/>
      <c r="T377" s="10">
        <f>153567236000+382695600000+9373408000</f>
        <v>545636244000</v>
      </c>
      <c r="U377" s="12">
        <v>268229012000</v>
      </c>
      <c r="V377" s="13">
        <f t="shared" si="50"/>
        <v>2582496255000</v>
      </c>
      <c r="W377" s="13">
        <f t="shared" si="40"/>
        <v>0.46245665688592663</v>
      </c>
      <c r="X377" s="13">
        <f t="shared" si="41"/>
        <v>0.86031510353535823</v>
      </c>
      <c r="Y377" s="8">
        <f t="shared" si="47"/>
        <v>5.5831531043465117E-2</v>
      </c>
      <c r="Z377" s="8">
        <f t="shared" si="48"/>
        <v>0.10386424045366137</v>
      </c>
      <c r="AA377" s="8">
        <f t="shared" si="42"/>
        <v>0.16772799674931047</v>
      </c>
      <c r="AB377" s="8">
        <f t="shared" si="49"/>
        <v>5.2009919586810935E-2</v>
      </c>
      <c r="AC377" s="8">
        <f t="shared" si="43"/>
        <v>0.16772799674931047</v>
      </c>
      <c r="AD377" s="9"/>
      <c r="AE377" s="9"/>
      <c r="AF377" s="9"/>
      <c r="AG377" s="9"/>
      <c r="AH377" s="9"/>
      <c r="AI377" s="9"/>
      <c r="AJ377" s="9"/>
      <c r="AK377" s="9"/>
      <c r="AL377" s="9"/>
      <c r="AM377" s="10"/>
    </row>
    <row r="378" spans="1:39" ht="15.75" customHeight="1">
      <c r="A378" s="6">
        <v>251</v>
      </c>
      <c r="B378" s="6">
        <v>2019</v>
      </c>
      <c r="C378" s="6" t="s">
        <v>347</v>
      </c>
      <c r="D378" s="7" t="s">
        <v>348</v>
      </c>
      <c r="E378" s="6" t="s">
        <v>349</v>
      </c>
      <c r="F378" s="6" t="s">
        <v>340</v>
      </c>
      <c r="G378" s="6"/>
      <c r="H378" s="6">
        <f>805340398000+615526899000</f>
        <v>1420867297000</v>
      </c>
      <c r="I378" s="8">
        <v>668140593000</v>
      </c>
      <c r="J378" s="8">
        <v>4928108872000</v>
      </c>
      <c r="K378" s="8">
        <v>258181518000</v>
      </c>
      <c r="L378" s="8">
        <v>2230341912000</v>
      </c>
      <c r="M378" s="8">
        <v>2697766960000</v>
      </c>
      <c r="N378" s="8">
        <v>30000000000</v>
      </c>
      <c r="O378" s="8">
        <v>5470824200000</v>
      </c>
      <c r="P378" s="8">
        <v>4651089971000</v>
      </c>
      <c r="Q378" s="6"/>
      <c r="R378" s="6"/>
      <c r="S378" s="11"/>
      <c r="T378" s="10">
        <f>128597983000+392437420000+14195990000</f>
        <v>535231393000</v>
      </c>
      <c r="U378" s="12">
        <v>202283267000</v>
      </c>
      <c r="V378" s="13">
        <f t="shared" si="50"/>
        <v>2697766960000</v>
      </c>
      <c r="W378" s="13">
        <f t="shared" si="40"/>
        <v>0.45257561671823388</v>
      </c>
      <c r="X378" s="13">
        <f t="shared" si="41"/>
        <v>0.82673631379932089</v>
      </c>
      <c r="Y378" s="8">
        <f t="shared" si="47"/>
        <v>4.1046834039992777E-2</v>
      </c>
      <c r="Z378" s="8">
        <f t="shared" si="48"/>
        <v>7.4981742307348886E-2</v>
      </c>
      <c r="AA378" s="8">
        <f t="shared" si="42"/>
        <v>0.14983742833483846</v>
      </c>
      <c r="AB378" s="8">
        <f t="shared" si="49"/>
        <v>3.6974916320652383E-2</v>
      </c>
      <c r="AC378" s="8">
        <f t="shared" si="43"/>
        <v>0.14983742833483846</v>
      </c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spans="1:39" ht="15.75" customHeight="1">
      <c r="A379" s="6">
        <v>252</v>
      </c>
      <c r="B379" s="6">
        <v>2020</v>
      </c>
      <c r="C379" s="6" t="s">
        <v>347</v>
      </c>
      <c r="D379" s="7" t="s">
        <v>348</v>
      </c>
      <c r="E379" s="6" t="s">
        <v>349</v>
      </c>
      <c r="F379" s="6" t="s">
        <v>340</v>
      </c>
      <c r="G379" s="6"/>
      <c r="H379" s="6">
        <f>621503947000+625057495000</f>
        <v>1246561442000</v>
      </c>
      <c r="I379" s="8">
        <v>563657747000</v>
      </c>
      <c r="J379" s="8">
        <v>4565315258000</v>
      </c>
      <c r="K379" s="8">
        <v>254060046000</v>
      </c>
      <c r="L379" s="8">
        <v>1882247833000</v>
      </c>
      <c r="M379" s="8">
        <v>2683067425000</v>
      </c>
      <c r="N379" s="8">
        <v>30000000000</v>
      </c>
      <c r="O379" s="8">
        <v>3013778917000</v>
      </c>
      <c r="P379" s="8">
        <v>2520797620000</v>
      </c>
      <c r="Q379" s="6"/>
      <c r="R379" s="6"/>
      <c r="S379" s="11"/>
      <c r="T379" s="10">
        <f>86064392000+304157422000+18381721000</f>
        <v>408603535000</v>
      </c>
      <c r="U379" s="12">
        <v>51834425000</v>
      </c>
      <c r="V379" s="13">
        <f t="shared" si="50"/>
        <v>2683067425000</v>
      </c>
      <c r="W379" s="13">
        <f t="shared" si="40"/>
        <v>0.41229306775729352</v>
      </c>
      <c r="X379" s="13">
        <f t="shared" si="41"/>
        <v>0.70152833859551633</v>
      </c>
      <c r="Y379" s="8">
        <f t="shared" si="47"/>
        <v>1.1353963980728009E-2</v>
      </c>
      <c r="Z379" s="8">
        <f t="shared" si="48"/>
        <v>1.9319091468601463E-2</v>
      </c>
      <c r="AA379" s="8">
        <f t="shared" si="42"/>
        <v>0.16357579987676316</v>
      </c>
      <c r="AB379" s="8">
        <f t="shared" si="49"/>
        <v>1.7199146462806049E-2</v>
      </c>
      <c r="AC379" s="8">
        <f t="shared" si="43"/>
        <v>0.16357579987676316</v>
      </c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 spans="1:39" ht="15.75" customHeight="1">
      <c r="A380" s="6">
        <v>292</v>
      </c>
      <c r="B380" s="6">
        <v>2018</v>
      </c>
      <c r="C380" s="6" t="s">
        <v>350</v>
      </c>
      <c r="D380" s="7" t="s">
        <v>351</v>
      </c>
      <c r="E380" s="6" t="s">
        <v>339</v>
      </c>
      <c r="F380" s="6" t="s">
        <v>340</v>
      </c>
      <c r="G380" s="6"/>
      <c r="H380" s="16">
        <v>4846193000000</v>
      </c>
      <c r="I380" s="10">
        <v>5397911000000</v>
      </c>
      <c r="J380" s="10">
        <v>49083460000000</v>
      </c>
      <c r="K380" s="9">
        <v>16131471000000</v>
      </c>
      <c r="L380" s="10">
        <v>24336392000000</v>
      </c>
      <c r="M380" s="10">
        <v>24747068000000</v>
      </c>
      <c r="N380" s="8">
        <v>64000000000</v>
      </c>
      <c r="O380" s="10">
        <v>11452799000000</v>
      </c>
      <c r="P380" s="10">
        <v>177780000000</v>
      </c>
      <c r="Q380" s="6"/>
      <c r="R380" s="6"/>
      <c r="S380" s="11"/>
      <c r="T380" s="10">
        <f>3587467000000+1907422000000</f>
        <v>5494889000000</v>
      </c>
      <c r="U380" s="12">
        <v>1662685000000</v>
      </c>
      <c r="V380" s="9">
        <f t="shared" si="50"/>
        <v>24747068000000</v>
      </c>
      <c r="W380" s="13">
        <f t="shared" si="40"/>
        <v>0.4958165540897076</v>
      </c>
      <c r="X380" s="13">
        <f t="shared" si="41"/>
        <v>0.98340506438985009</v>
      </c>
      <c r="Y380" s="8">
        <f t="shared" si="47"/>
        <v>3.3874649423655138E-2</v>
      </c>
      <c r="Z380" s="8">
        <f t="shared" si="48"/>
        <v>6.7187151221308319E-2</v>
      </c>
      <c r="AA380" s="8">
        <f t="shared" si="42"/>
        <v>0.98447715706876548</v>
      </c>
      <c r="AB380" s="8">
        <f t="shared" si="49"/>
        <v>0.14517717459286589</v>
      </c>
      <c r="AC380" s="8">
        <f t="shared" si="43"/>
        <v>0.98447715706876548</v>
      </c>
      <c r="AD380" s="9"/>
      <c r="AE380" s="9"/>
      <c r="AF380" s="9"/>
      <c r="AG380" s="9"/>
      <c r="AH380" s="9"/>
      <c r="AI380" s="9"/>
      <c r="AJ380" s="10"/>
      <c r="AK380" s="10"/>
      <c r="AL380" s="9"/>
      <c r="AM380" s="10"/>
    </row>
    <row r="381" spans="1:39" ht="15.75" customHeight="1">
      <c r="A381" s="6">
        <v>293</v>
      </c>
      <c r="B381" s="6">
        <v>2019</v>
      </c>
      <c r="C381" s="6" t="s">
        <v>350</v>
      </c>
      <c r="D381" s="7" t="s">
        <v>351</v>
      </c>
      <c r="E381" s="6" t="s">
        <v>339</v>
      </c>
      <c r="F381" s="6" t="s">
        <v>340</v>
      </c>
      <c r="G381" s="6"/>
      <c r="H381" s="16">
        <v>7730709000000</v>
      </c>
      <c r="I381" s="10">
        <v>5369030000000</v>
      </c>
      <c r="J381" s="10">
        <v>55079585000000</v>
      </c>
      <c r="K381" s="10">
        <v>13821995000000</v>
      </c>
      <c r="L381" s="10">
        <v>20703246000000</v>
      </c>
      <c r="M381" s="10">
        <v>34376339000000</v>
      </c>
      <c r="N381" s="31">
        <v>92000000000</v>
      </c>
      <c r="O381" s="10">
        <v>12320248000000</v>
      </c>
      <c r="P381" s="10">
        <v>143075000000</v>
      </c>
      <c r="Q381" s="6"/>
      <c r="R381" s="6"/>
      <c r="S381" s="11"/>
      <c r="T381" s="10">
        <f>4003429000000+2075322000000</f>
        <v>6078751000000</v>
      </c>
      <c r="U381" s="12">
        <v>2061418000000</v>
      </c>
      <c r="V381" s="9">
        <f t="shared" si="50"/>
        <v>34376339000000</v>
      </c>
      <c r="W381" s="13">
        <f t="shared" si="40"/>
        <v>0.37587875798265363</v>
      </c>
      <c r="X381" s="13">
        <f t="shared" si="41"/>
        <v>0.60225278788413161</v>
      </c>
      <c r="Y381" s="8">
        <f t="shared" si="47"/>
        <v>3.7426171602418574E-2</v>
      </c>
      <c r="Z381" s="8">
        <f t="shared" si="48"/>
        <v>5.9966187789805073E-2</v>
      </c>
      <c r="AA381" s="8">
        <f t="shared" si="42"/>
        <v>0.98838700324863593</v>
      </c>
      <c r="AB381" s="8">
        <f t="shared" si="49"/>
        <v>0.16731952149015183</v>
      </c>
      <c r="AC381" s="8">
        <f t="shared" si="43"/>
        <v>0.98838700324863593</v>
      </c>
      <c r="AD381" s="9"/>
      <c r="AE381" s="9"/>
      <c r="AF381" s="9"/>
      <c r="AG381" s="9"/>
      <c r="AH381" s="9"/>
      <c r="AI381" s="9"/>
      <c r="AJ381" s="10"/>
      <c r="AK381" s="10"/>
      <c r="AL381" s="9"/>
      <c r="AM381" s="10"/>
    </row>
    <row r="382" spans="1:39" ht="15.75" customHeight="1">
      <c r="A382" s="6">
        <v>294</v>
      </c>
      <c r="B382" s="6">
        <v>2020</v>
      </c>
      <c r="C382" s="6" t="s">
        <v>350</v>
      </c>
      <c r="D382" s="7" t="s">
        <v>351</v>
      </c>
      <c r="E382" s="6" t="s">
        <v>339</v>
      </c>
      <c r="F382" s="6" t="s">
        <v>340</v>
      </c>
      <c r="G382" s="6"/>
      <c r="H382" s="16">
        <v>4088403000000</v>
      </c>
      <c r="I382" s="10">
        <v>8787101000000</v>
      </c>
      <c r="J382" s="10">
        <v>51865480000000</v>
      </c>
      <c r="K382" s="10">
        <v>17717967000000</v>
      </c>
      <c r="L382" s="10">
        <v>28291825000000</v>
      </c>
      <c r="M382" s="10">
        <v>23573655000000</v>
      </c>
      <c r="N382" s="31">
        <v>92000000000</v>
      </c>
      <c r="O382" s="10">
        <v>11966299000000</v>
      </c>
      <c r="P382" s="10">
        <v>155344000000</v>
      </c>
      <c r="Q382" s="6"/>
      <c r="R382" s="6"/>
      <c r="S382" s="11"/>
      <c r="T382" s="10">
        <f>4069362000000+5612472000000</f>
        <v>9681834000000</v>
      </c>
      <c r="U382" s="12">
        <v>9637220000000</v>
      </c>
      <c r="V382" s="9">
        <f t="shared" si="50"/>
        <v>23573655000000</v>
      </c>
      <c r="W382" s="13">
        <f t="shared" si="40"/>
        <v>0.54548468461103605</v>
      </c>
      <c r="X382" s="13">
        <f t="shared" si="41"/>
        <v>1.2001458831903666</v>
      </c>
      <c r="Y382" s="8">
        <f t="shared" si="47"/>
        <v>0.18581183476948443</v>
      </c>
      <c r="Z382" s="8">
        <f t="shared" si="48"/>
        <v>0.40881314331612983</v>
      </c>
      <c r="AA382" s="8">
        <f t="shared" si="42"/>
        <v>0.98701820838673682</v>
      </c>
      <c r="AB382" s="8">
        <f t="shared" si="49"/>
        <v>0.80536346283842652</v>
      </c>
      <c r="AC382" s="8">
        <f t="shared" si="43"/>
        <v>0.98701820838673682</v>
      </c>
      <c r="AD382" s="9"/>
      <c r="AE382" s="9"/>
      <c r="AF382" s="9"/>
      <c r="AG382" s="9"/>
      <c r="AH382" s="9"/>
      <c r="AI382" s="9"/>
      <c r="AJ382" s="10"/>
      <c r="AK382" s="10"/>
      <c r="AL382" s="9"/>
      <c r="AM382" s="10"/>
    </row>
    <row r="383" spans="1:39" ht="15.75" customHeight="1">
      <c r="A383" s="6">
        <v>379</v>
      </c>
      <c r="B383" s="6">
        <v>2018</v>
      </c>
      <c r="C383" s="6" t="s">
        <v>352</v>
      </c>
      <c r="D383" s="7" t="s">
        <v>353</v>
      </c>
      <c r="E383" s="6" t="s">
        <v>339</v>
      </c>
      <c r="F383" s="6" t="s">
        <v>340</v>
      </c>
      <c r="G383" s="8"/>
      <c r="H383" s="9">
        <f>229188162427+176039797437+13981000000</f>
        <v>419208959864</v>
      </c>
      <c r="I383" s="10">
        <v>2169718612941</v>
      </c>
      <c r="J383" s="10">
        <v>15622688330680</v>
      </c>
      <c r="K383" s="10">
        <v>4971773985836</v>
      </c>
      <c r="L383" s="10">
        <v>11294441373266</v>
      </c>
      <c r="M383" s="10">
        <v>4328246957414</v>
      </c>
      <c r="N383" s="8">
        <v>146112960000</v>
      </c>
      <c r="O383" s="10">
        <v>2556174514577</v>
      </c>
      <c r="P383" s="10">
        <v>1965554651097</v>
      </c>
      <c r="Q383" s="6"/>
      <c r="R383" s="6"/>
      <c r="S383" s="11"/>
      <c r="T383" s="9">
        <v>75999819082</v>
      </c>
      <c r="U383" s="12">
        <v>496783496821</v>
      </c>
      <c r="V383" s="9">
        <f t="shared" si="50"/>
        <v>4328246957414</v>
      </c>
      <c r="W383" s="13">
        <f t="shared" si="40"/>
        <v>0.72295120623291553</v>
      </c>
      <c r="X383" s="13">
        <f t="shared" si="41"/>
        <v>2.609472491840922</v>
      </c>
      <c r="Y383" s="8">
        <f t="shared" si="47"/>
        <v>3.1798848335558953E-2</v>
      </c>
      <c r="Z383" s="8">
        <f t="shared" si="48"/>
        <v>0.11477706833942153</v>
      </c>
      <c r="AA383" s="8">
        <f t="shared" si="42"/>
        <v>0.23105615837725257</v>
      </c>
      <c r="AB383" s="8">
        <f t="shared" si="49"/>
        <v>0.19434647125539023</v>
      </c>
      <c r="AC383" s="8">
        <f t="shared" si="43"/>
        <v>0.23105615837725257</v>
      </c>
      <c r="AD383" s="10"/>
      <c r="AE383" s="10"/>
      <c r="AF383" s="9"/>
      <c r="AG383" s="10"/>
      <c r="AH383" s="9"/>
      <c r="AI383" s="9"/>
      <c r="AJ383" s="9"/>
      <c r="AK383" s="10"/>
      <c r="AL383" s="10"/>
      <c r="AM383" s="10"/>
    </row>
    <row r="384" spans="1:39" ht="15.75" customHeight="1">
      <c r="A384" s="6">
        <v>380</v>
      </c>
      <c r="B384" s="6">
        <v>2019</v>
      </c>
      <c r="C384" s="6" t="s">
        <v>352</v>
      </c>
      <c r="D384" s="7" t="s">
        <v>353</v>
      </c>
      <c r="E384" s="6" t="s">
        <v>339</v>
      </c>
      <c r="F384" s="6" t="s">
        <v>340</v>
      </c>
      <c r="G384" s="8"/>
      <c r="H384" s="9">
        <f>244727325133+176892964117+21134026000</f>
        <v>442754315250</v>
      </c>
      <c r="I384" s="10">
        <v>2481947878357</v>
      </c>
      <c r="J384" s="10">
        <v>18006178568569</v>
      </c>
      <c r="K384" s="10">
        <v>6312184791062</v>
      </c>
      <c r="L384" s="10">
        <v>13485057754312</v>
      </c>
      <c r="M384" s="10">
        <v>4521120814257</v>
      </c>
      <c r="N384" s="8">
        <v>146112960000</v>
      </c>
      <c r="O384" s="10">
        <v>1624169492823</v>
      </c>
      <c r="P384" s="10">
        <v>1183101342252</v>
      </c>
      <c r="Q384" s="6"/>
      <c r="R384" s="6"/>
      <c r="S384" s="11"/>
      <c r="T384" s="9">
        <v>76423480075</v>
      </c>
      <c r="U384" s="12">
        <v>360895336040</v>
      </c>
      <c r="V384" s="9">
        <f t="shared" si="50"/>
        <v>4521120814257</v>
      </c>
      <c r="W384" s="13">
        <f t="shared" si="40"/>
        <v>0.74891280806528704</v>
      </c>
      <c r="X384" s="13">
        <f t="shared" si="41"/>
        <v>2.9826802486206359</v>
      </c>
      <c r="Y384" s="8">
        <f t="shared" si="47"/>
        <v>2.0042861102686563E-2</v>
      </c>
      <c r="Z384" s="8">
        <f t="shared" si="48"/>
        <v>7.9824307039516582E-2</v>
      </c>
      <c r="AA384" s="8">
        <f t="shared" si="42"/>
        <v>0.27156534617847738</v>
      </c>
      <c r="AB384" s="8">
        <f t="shared" si="49"/>
        <v>0.22220300137070112</v>
      </c>
      <c r="AC384" s="8">
        <f t="shared" si="43"/>
        <v>0.27156534617847738</v>
      </c>
      <c r="AD384" s="10"/>
      <c r="AE384" s="10"/>
      <c r="AF384" s="9"/>
      <c r="AG384" s="10"/>
      <c r="AH384" s="9"/>
      <c r="AI384" s="9"/>
      <c r="AJ384" s="9"/>
      <c r="AK384" s="10"/>
      <c r="AL384" s="10"/>
      <c r="AM384" s="10"/>
    </row>
    <row r="385" spans="1:39" ht="15.75" customHeight="1">
      <c r="A385" s="6">
        <v>381</v>
      </c>
      <c r="B385" s="6">
        <v>2020</v>
      </c>
      <c r="C385" s="6" t="s">
        <v>352</v>
      </c>
      <c r="D385" s="7" t="s">
        <v>353</v>
      </c>
      <c r="E385" s="6" t="s">
        <v>339</v>
      </c>
      <c r="F385" s="6" t="s">
        <v>340</v>
      </c>
      <c r="G385" s="8"/>
      <c r="H385" s="9">
        <f>233380687048+175056895055+21234026000</f>
        <v>429671608103</v>
      </c>
      <c r="I385" s="10">
        <v>2694031520761</v>
      </c>
      <c r="J385" s="10">
        <v>18588970471992</v>
      </c>
      <c r="K385" s="10">
        <v>7284558715445</v>
      </c>
      <c r="L385" s="10">
        <v>14044750475360</v>
      </c>
      <c r="M385" s="10">
        <v>4544219996632</v>
      </c>
      <c r="N385" s="8">
        <v>146112960000</v>
      </c>
      <c r="O385" s="10">
        <v>2075242421357</v>
      </c>
      <c r="P385" s="10">
        <v>1747594089122</v>
      </c>
      <c r="Q385" s="6"/>
      <c r="R385" s="6"/>
      <c r="S385" s="11"/>
      <c r="T385" s="9">
        <v>57495202502</v>
      </c>
      <c r="U385" s="12">
        <v>106377057578</v>
      </c>
      <c r="V385" s="9">
        <f t="shared" si="50"/>
        <v>4544219996632</v>
      </c>
      <c r="W385" s="13">
        <f t="shared" si="40"/>
        <v>0.75554213701728257</v>
      </c>
      <c r="X385" s="13">
        <f t="shared" si="41"/>
        <v>3.0906845367894658</v>
      </c>
      <c r="Y385" s="8">
        <f t="shared" si="47"/>
        <v>5.7225900561990945E-3</v>
      </c>
      <c r="Z385" s="8">
        <f t="shared" si="48"/>
        <v>2.3409310653278795E-2</v>
      </c>
      <c r="AA385" s="8">
        <f t="shared" si="42"/>
        <v>0.15788436515322915</v>
      </c>
      <c r="AB385" s="8">
        <f t="shared" si="49"/>
        <v>5.1260063153701386E-2</v>
      </c>
      <c r="AC385" s="8">
        <f t="shared" si="43"/>
        <v>0.15788436515322915</v>
      </c>
      <c r="AD385" s="10"/>
      <c r="AE385" s="10"/>
      <c r="AF385" s="9"/>
      <c r="AG385" s="10"/>
      <c r="AH385" s="9"/>
      <c r="AI385" s="9"/>
      <c r="AJ385" s="9"/>
      <c r="AK385" s="10"/>
      <c r="AL385" s="10"/>
      <c r="AM385" s="10"/>
    </row>
    <row r="386" spans="1:39" ht="15.75" customHeight="1">
      <c r="A386" s="6">
        <v>385</v>
      </c>
      <c r="B386" s="6">
        <v>2018</v>
      </c>
      <c r="C386" s="6" t="s">
        <v>354</v>
      </c>
      <c r="D386" s="7" t="s">
        <v>355</v>
      </c>
      <c r="E386" s="6" t="s">
        <v>349</v>
      </c>
      <c r="F386" s="6" t="s">
        <v>340</v>
      </c>
      <c r="G386" s="8"/>
      <c r="H386" s="9">
        <f>1857806717792+635082637500</f>
        <v>2492889355292</v>
      </c>
      <c r="I386" s="10">
        <v>6605378728189</v>
      </c>
      <c r="J386" s="10">
        <v>52549150902972</v>
      </c>
      <c r="K386" s="10">
        <v>9648009050734</v>
      </c>
      <c r="L386" s="10">
        <v>36233538927553</v>
      </c>
      <c r="M386" s="10">
        <v>16315611975419</v>
      </c>
      <c r="N386" s="8">
        <v>25000000000</v>
      </c>
      <c r="O386" s="10">
        <v>25119560112231</v>
      </c>
      <c r="P386" s="18">
        <v>21647991667959</v>
      </c>
      <c r="Q386" s="6"/>
      <c r="R386" s="6"/>
      <c r="S386" s="11"/>
      <c r="T386" s="9">
        <f>843164199687+64366117108</f>
        <v>907530316795</v>
      </c>
      <c r="U386" s="12">
        <v>1958993059360</v>
      </c>
      <c r="V386" s="9">
        <f t="shared" si="50"/>
        <v>16315611975419</v>
      </c>
      <c r="W386" s="13">
        <f t="shared" si="40"/>
        <v>0.68951711502352275</v>
      </c>
      <c r="X386" s="13">
        <f t="shared" si="41"/>
        <v>2.2207894489120128</v>
      </c>
      <c r="Y386" s="8">
        <f t="shared" si="47"/>
        <v>3.7279252389389339E-2</v>
      </c>
      <c r="Z386" s="8">
        <f t="shared" si="48"/>
        <v>0.12006862275907314</v>
      </c>
      <c r="AA386" s="8">
        <f t="shared" si="42"/>
        <v>0.13820180085803549</v>
      </c>
      <c r="AB386" s="8">
        <f t="shared" si="49"/>
        <v>7.7986758152112062E-2</v>
      </c>
      <c r="AC386" s="8">
        <f t="shared" si="43"/>
        <v>0.13820180085803549</v>
      </c>
      <c r="AD386" s="10"/>
      <c r="AE386" s="10"/>
      <c r="AF386" s="9"/>
      <c r="AG386" s="9"/>
      <c r="AH386" s="9"/>
      <c r="AI386" s="9"/>
      <c r="AJ386" s="9"/>
      <c r="AK386" s="10"/>
      <c r="AL386" s="9"/>
      <c r="AM386" s="10"/>
    </row>
    <row r="387" spans="1:39" ht="15.75" customHeight="1">
      <c r="A387" s="6">
        <v>386</v>
      </c>
      <c r="B387" s="6">
        <v>2019</v>
      </c>
      <c r="C387" s="6" t="s">
        <v>354</v>
      </c>
      <c r="D387" s="7" t="s">
        <v>355</v>
      </c>
      <c r="E387" s="6" t="s">
        <v>349</v>
      </c>
      <c r="F387" s="6" t="s">
        <v>340</v>
      </c>
      <c r="G387" s="8"/>
      <c r="H387" s="9">
        <f>1986032819072+ 1152763572500</f>
        <v>3138796391572</v>
      </c>
      <c r="I387" s="10">
        <v>7424558967269</v>
      </c>
      <c r="J387" s="10">
        <v>59165548433821</v>
      </c>
      <c r="K387" s="10">
        <v>11348422351199</v>
      </c>
      <c r="L387" s="10">
        <v>41839415194726</v>
      </c>
      <c r="M387" s="10">
        <v>17326133239095</v>
      </c>
      <c r="N387" s="8">
        <v>25000000000</v>
      </c>
      <c r="O387" s="10">
        <v>24659998995266</v>
      </c>
      <c r="P387" s="10">
        <v>21174884307780</v>
      </c>
      <c r="Q387" s="6"/>
      <c r="R387" s="6"/>
      <c r="S387" s="11"/>
      <c r="T387" s="9">
        <f>828429133890+125854138690</f>
        <v>954283272580</v>
      </c>
      <c r="U387" s="12">
        <v>1208270555330</v>
      </c>
      <c r="V387" s="9">
        <f t="shared" si="50"/>
        <v>17326133239095</v>
      </c>
      <c r="W387" s="13">
        <f t="shared" si="40"/>
        <v>0.70715841063359763</v>
      </c>
      <c r="X387" s="13">
        <f t="shared" si="41"/>
        <v>2.4148155054192233</v>
      </c>
      <c r="Y387" s="8">
        <f t="shared" si="47"/>
        <v>2.0421860141827272E-2</v>
      </c>
      <c r="Z387" s="8">
        <f t="shared" si="48"/>
        <v>6.9736884661814588E-2</v>
      </c>
      <c r="AA387" s="8">
        <f t="shared" si="42"/>
        <v>0.14132663542099252</v>
      </c>
      <c r="AB387" s="8">
        <f t="shared" si="49"/>
        <v>4.8997185910751764E-2</v>
      </c>
      <c r="AC387" s="8">
        <f t="shared" si="43"/>
        <v>0.14132663542099252</v>
      </c>
      <c r="AD387" s="10"/>
      <c r="AE387" s="10"/>
      <c r="AF387" s="9"/>
      <c r="AG387" s="9"/>
      <c r="AH387" s="9"/>
      <c r="AI387" s="10"/>
      <c r="AJ387" s="9"/>
      <c r="AK387" s="10"/>
      <c r="AL387" s="9"/>
      <c r="AM387" s="10"/>
    </row>
    <row r="388" spans="1:39" ht="15.75" customHeight="1">
      <c r="A388" s="6">
        <v>387</v>
      </c>
      <c r="B388" s="6">
        <v>2020</v>
      </c>
      <c r="C388" s="6" t="s">
        <v>354</v>
      </c>
      <c r="D388" s="7" t="s">
        <v>355</v>
      </c>
      <c r="E388" s="6" t="s">
        <v>349</v>
      </c>
      <c r="F388" s="6" t="s">
        <v>340</v>
      </c>
      <c r="G388" s="8"/>
      <c r="H388" s="9">
        <f>1660869504729+1586466982500</f>
        <v>3247336487229</v>
      </c>
      <c r="I388" s="9">
        <v>7117087116109</v>
      </c>
      <c r="J388" s="10">
        <v>53472450650976</v>
      </c>
      <c r="K388" s="10">
        <v>11478633630784</v>
      </c>
      <c r="L388" s="10">
        <v>39465460560026</v>
      </c>
      <c r="M388" s="10">
        <v>14006990090950</v>
      </c>
      <c r="N388" s="8">
        <v>25000000000</v>
      </c>
      <c r="O388" s="10">
        <v>15831388462166</v>
      </c>
      <c r="P388" s="10">
        <v>13657930676733</v>
      </c>
      <c r="Q388" s="6"/>
      <c r="R388" s="6"/>
      <c r="S388" s="11"/>
      <c r="T388" s="18">
        <f>583708784467+255824310627</f>
        <v>839533095094</v>
      </c>
      <c r="U388" s="12">
        <v>266269870851</v>
      </c>
      <c r="V388" s="9">
        <f t="shared" si="50"/>
        <v>14006990090950</v>
      </c>
      <c r="W388" s="13">
        <f t="shared" si="40"/>
        <v>0.73805221342152305</v>
      </c>
      <c r="X388" s="13">
        <f t="shared" si="41"/>
        <v>2.8175546854655713</v>
      </c>
      <c r="Y388" s="8">
        <f t="shared" si="47"/>
        <v>4.9795711176394333E-3</v>
      </c>
      <c r="Z388" s="8">
        <f t="shared" si="48"/>
        <v>1.900978505175345E-2</v>
      </c>
      <c r="AA388" s="8">
        <f t="shared" si="42"/>
        <v>0.13728788164267144</v>
      </c>
      <c r="AB388" s="8">
        <f t="shared" si="49"/>
        <v>1.681911043288049E-2</v>
      </c>
      <c r="AC388" s="8">
        <f t="shared" si="43"/>
        <v>0.13728788164267144</v>
      </c>
      <c r="AD388" s="10"/>
      <c r="AE388" s="10"/>
      <c r="AF388" s="9"/>
      <c r="AG388" s="9"/>
      <c r="AH388" s="9"/>
      <c r="AI388" s="10"/>
      <c r="AJ388" s="9"/>
      <c r="AK388" s="10"/>
      <c r="AL388" s="9"/>
      <c r="AM388" s="10"/>
    </row>
    <row r="389" spans="1:39" ht="15.75" customHeight="1">
      <c r="A389" s="6">
        <v>400</v>
      </c>
      <c r="B389" s="6">
        <v>2018</v>
      </c>
      <c r="C389" s="6" t="s">
        <v>356</v>
      </c>
      <c r="D389" s="7" t="s">
        <v>357</v>
      </c>
      <c r="E389" s="6" t="s">
        <v>339</v>
      </c>
      <c r="F389" s="6" t="s">
        <v>340</v>
      </c>
      <c r="G389" s="6"/>
      <c r="H389" s="9"/>
      <c r="I389" s="10"/>
      <c r="J389" s="10"/>
      <c r="K389" s="10"/>
      <c r="L389" s="10"/>
      <c r="M389" s="10"/>
      <c r="N389" s="8"/>
      <c r="O389" s="10"/>
      <c r="P389" s="10"/>
      <c r="Q389" s="6"/>
      <c r="R389" s="6"/>
      <c r="S389" s="11"/>
      <c r="T389" s="8"/>
      <c r="U389" s="12"/>
      <c r="V389" s="9">
        <f t="shared" si="50"/>
        <v>0</v>
      </c>
      <c r="W389" s="13" t="e">
        <f t="shared" si="40"/>
        <v>#DIV/0!</v>
      </c>
      <c r="X389" s="13" t="e">
        <f t="shared" si="41"/>
        <v>#DIV/0!</v>
      </c>
      <c r="Y389" s="8" t="e">
        <f t="shared" si="47"/>
        <v>#DIV/0!</v>
      </c>
      <c r="Z389" s="8" t="e">
        <f t="shared" si="48"/>
        <v>#DIV/0!</v>
      </c>
      <c r="AA389" s="8" t="e">
        <f t="shared" si="42"/>
        <v>#DIV/0!</v>
      </c>
      <c r="AB389" s="8" t="e">
        <f t="shared" si="49"/>
        <v>#DIV/0!</v>
      </c>
      <c r="AC389" s="8" t="e">
        <f t="shared" si="43"/>
        <v>#DIV/0!</v>
      </c>
      <c r="AD389" s="9"/>
      <c r="AE389" s="10"/>
      <c r="AF389" s="9"/>
      <c r="AG389" s="9"/>
      <c r="AH389" s="9"/>
      <c r="AI389" s="9"/>
      <c r="AJ389" s="9"/>
      <c r="AK389" s="10"/>
      <c r="AL389" s="9"/>
      <c r="AM389" s="10"/>
    </row>
    <row r="390" spans="1:39" ht="15.75" customHeight="1">
      <c r="A390" s="6">
        <v>401</v>
      </c>
      <c r="B390" s="6">
        <v>2019</v>
      </c>
      <c r="C390" s="6" t="s">
        <v>356</v>
      </c>
      <c r="D390" s="7" t="s">
        <v>357</v>
      </c>
      <c r="E390" s="6" t="s">
        <v>339</v>
      </c>
      <c r="F390" s="6" t="s">
        <v>340</v>
      </c>
      <c r="G390" s="6"/>
      <c r="H390" s="9"/>
      <c r="I390" s="10"/>
      <c r="J390" s="10"/>
      <c r="K390" s="10"/>
      <c r="L390" s="10"/>
      <c r="M390" s="10"/>
      <c r="N390" s="8"/>
      <c r="O390" s="10"/>
      <c r="P390" s="10"/>
      <c r="Q390" s="6"/>
      <c r="R390" s="6"/>
      <c r="S390" s="11"/>
      <c r="T390" s="8"/>
      <c r="U390" s="12"/>
      <c r="V390" s="9">
        <f t="shared" si="50"/>
        <v>0</v>
      </c>
      <c r="W390" s="13" t="e">
        <f t="shared" si="40"/>
        <v>#DIV/0!</v>
      </c>
      <c r="X390" s="13" t="e">
        <f t="shared" si="41"/>
        <v>#DIV/0!</v>
      </c>
      <c r="Y390" s="8" t="e">
        <f t="shared" si="47"/>
        <v>#DIV/0!</v>
      </c>
      <c r="Z390" s="8" t="e">
        <f t="shared" si="48"/>
        <v>#DIV/0!</v>
      </c>
      <c r="AA390" s="8" t="e">
        <f t="shared" si="42"/>
        <v>#DIV/0!</v>
      </c>
      <c r="AB390" s="8" t="e">
        <f t="shared" si="49"/>
        <v>#DIV/0!</v>
      </c>
      <c r="AC390" s="8" t="e">
        <f t="shared" si="43"/>
        <v>#DIV/0!</v>
      </c>
      <c r="AD390" s="9"/>
      <c r="AE390" s="10"/>
      <c r="AF390" s="9"/>
      <c r="AG390" s="9"/>
      <c r="AH390" s="9"/>
      <c r="AI390" s="10"/>
      <c r="AJ390" s="9"/>
      <c r="AK390" s="10"/>
      <c r="AL390" s="9"/>
      <c r="AM390" s="10"/>
    </row>
    <row r="391" spans="1:39" ht="15.75" customHeight="1">
      <c r="A391" s="6">
        <v>402</v>
      </c>
      <c r="B391" s="6">
        <v>2020</v>
      </c>
      <c r="C391" s="6" t="s">
        <v>356</v>
      </c>
      <c r="D391" s="7" t="s">
        <v>357</v>
      </c>
      <c r="E391" s="6" t="s">
        <v>339</v>
      </c>
      <c r="F391" s="6" t="s">
        <v>340</v>
      </c>
      <c r="G391" s="6"/>
      <c r="H391" s="9"/>
      <c r="I391" s="10"/>
      <c r="J391" s="10"/>
      <c r="K391" s="10"/>
      <c r="L391" s="10"/>
      <c r="M391" s="10"/>
      <c r="N391" s="8"/>
      <c r="O391" s="10"/>
      <c r="P391" s="10"/>
      <c r="Q391" s="6"/>
      <c r="R391" s="6"/>
      <c r="S391" s="11"/>
      <c r="T391" s="8"/>
      <c r="U391" s="12"/>
      <c r="V391" s="9">
        <f t="shared" si="50"/>
        <v>0</v>
      </c>
      <c r="W391" s="13" t="e">
        <f t="shared" si="40"/>
        <v>#DIV/0!</v>
      </c>
      <c r="X391" s="13" t="e">
        <f t="shared" si="41"/>
        <v>#DIV/0!</v>
      </c>
      <c r="Y391" s="8" t="e">
        <f t="shared" si="47"/>
        <v>#DIV/0!</v>
      </c>
      <c r="Z391" s="8" t="e">
        <f t="shared" si="48"/>
        <v>#DIV/0!</v>
      </c>
      <c r="AA391" s="8" t="e">
        <f t="shared" si="42"/>
        <v>#DIV/0!</v>
      </c>
      <c r="AB391" s="8" t="e">
        <f t="shared" si="49"/>
        <v>#DIV/0!</v>
      </c>
      <c r="AC391" s="8" t="e">
        <f t="shared" si="43"/>
        <v>#DIV/0!</v>
      </c>
      <c r="AD391" s="9"/>
      <c r="AE391" s="10"/>
      <c r="AF391" s="9"/>
      <c r="AG391" s="9"/>
      <c r="AH391" s="9"/>
      <c r="AI391" s="9"/>
      <c r="AJ391" s="9"/>
      <c r="AK391" s="10"/>
      <c r="AL391" s="9"/>
      <c r="AM391" s="10"/>
    </row>
    <row r="392" spans="1:39" ht="15.75" customHeight="1">
      <c r="A392" s="6">
        <v>451</v>
      </c>
      <c r="B392" s="6">
        <v>2018</v>
      </c>
      <c r="C392" s="6" t="s">
        <v>358</v>
      </c>
      <c r="D392" s="7" t="s">
        <v>359</v>
      </c>
      <c r="E392" s="6" t="s">
        <v>349</v>
      </c>
      <c r="F392" s="6" t="s">
        <v>340</v>
      </c>
      <c r="G392" s="8"/>
      <c r="H392" s="9">
        <f>38630952000+56603514000+158623588000</f>
        <v>253858054000</v>
      </c>
      <c r="I392" s="10">
        <v>165726237000</v>
      </c>
      <c r="J392" s="10">
        <v>3228718157000</v>
      </c>
      <c r="K392" s="10">
        <v>231016074000</v>
      </c>
      <c r="L392" s="10">
        <v>2176607420000</v>
      </c>
      <c r="M392" s="10">
        <v>1052110737000</v>
      </c>
      <c r="N392" s="8">
        <v>5000000000</v>
      </c>
      <c r="O392" s="9">
        <v>2783482031000</v>
      </c>
      <c r="P392" s="10">
        <v>2339551181000</v>
      </c>
      <c r="Q392" s="6"/>
      <c r="R392" s="6"/>
      <c r="S392" s="11"/>
      <c r="T392" s="10">
        <f>193648445000+29028647000</f>
        <v>222677092000</v>
      </c>
      <c r="U392" s="12">
        <v>204418079000</v>
      </c>
      <c r="V392" s="9">
        <f t="shared" si="50"/>
        <v>1052110737000</v>
      </c>
      <c r="W392" s="13">
        <f t="shared" si="40"/>
        <v>0.67413980228686776</v>
      </c>
      <c r="X392" s="13">
        <f t="shared" si="41"/>
        <v>2.0688006912717212</v>
      </c>
      <c r="Y392" s="8">
        <f t="shared" si="47"/>
        <v>6.3312456851277898E-2</v>
      </c>
      <c r="Z392" s="8">
        <f t="shared" si="48"/>
        <v>0.19429331135131264</v>
      </c>
      <c r="AA392" s="8">
        <f t="shared" si="42"/>
        <v>0.15948759325761208</v>
      </c>
      <c r="AB392" s="8">
        <f t="shared" si="49"/>
        <v>7.3439697732325684E-2</v>
      </c>
      <c r="AC392" s="8">
        <f t="shared" si="43"/>
        <v>0.15948759325761208</v>
      </c>
      <c r="AD392" s="10"/>
      <c r="AE392" s="9"/>
      <c r="AF392" s="9"/>
      <c r="AG392" s="9"/>
      <c r="AH392" s="9"/>
      <c r="AI392" s="9"/>
      <c r="AJ392" s="9"/>
      <c r="AK392" s="10"/>
      <c r="AL392" s="9"/>
      <c r="AM392" s="9"/>
    </row>
    <row r="393" spans="1:39" ht="15.75" customHeight="1">
      <c r="A393" s="6">
        <v>452</v>
      </c>
      <c r="B393" s="6">
        <v>2019</v>
      </c>
      <c r="C393" s="6" t="s">
        <v>358</v>
      </c>
      <c r="D393" s="7" t="s">
        <v>359</v>
      </c>
      <c r="E393" s="6" t="s">
        <v>349</v>
      </c>
      <c r="F393" s="6" t="s">
        <v>340</v>
      </c>
      <c r="G393" s="8"/>
      <c r="H393" s="9">
        <f>197767173000+61607572000+196654218000</f>
        <v>456028963000</v>
      </c>
      <c r="I393" s="10">
        <v>163852721000</v>
      </c>
      <c r="J393" s="10">
        <v>2962993701000</v>
      </c>
      <c r="K393" s="10">
        <v>281366520000</v>
      </c>
      <c r="L393" s="9">
        <v>1886089201000</v>
      </c>
      <c r="M393" s="10">
        <v>1076904500000</v>
      </c>
      <c r="N393" s="8">
        <v>5000000000</v>
      </c>
      <c r="O393" s="10">
        <v>2474974774000</v>
      </c>
      <c r="P393" s="10">
        <v>2114668629000</v>
      </c>
      <c r="Q393" s="6"/>
      <c r="R393" s="6"/>
      <c r="S393" s="11"/>
      <c r="T393" s="10">
        <f>191935649000+27579954</f>
        <v>191963228954</v>
      </c>
      <c r="U393" s="12">
        <v>175502010000</v>
      </c>
      <c r="V393" s="9">
        <f t="shared" si="50"/>
        <v>1076904500000</v>
      </c>
      <c r="W393" s="13">
        <f t="shared" si="40"/>
        <v>0.6365485017276451</v>
      </c>
      <c r="X393" s="13">
        <f t="shared" si="41"/>
        <v>1.7513987554142452</v>
      </c>
      <c r="Y393" s="8">
        <f t="shared" si="47"/>
        <v>5.9231313904166819E-2</v>
      </c>
      <c r="Z393" s="8">
        <f t="shared" si="48"/>
        <v>0.16296896335747507</v>
      </c>
      <c r="AA393" s="8">
        <f t="shared" si="42"/>
        <v>0.14557972419964552</v>
      </c>
      <c r="AB393" s="8">
        <f t="shared" si="49"/>
        <v>7.0910625774321528E-2</v>
      </c>
      <c r="AC393" s="8">
        <f t="shared" si="43"/>
        <v>0.14557972419964552</v>
      </c>
      <c r="AD393" s="10"/>
      <c r="AE393" s="9"/>
      <c r="AF393" s="9"/>
      <c r="AG393" s="9"/>
      <c r="AH393" s="9"/>
      <c r="AI393" s="9"/>
      <c r="AJ393" s="9"/>
      <c r="AK393" s="10"/>
      <c r="AL393" s="9"/>
      <c r="AM393" s="9"/>
    </row>
    <row r="394" spans="1:39" ht="15.75" customHeight="1">
      <c r="A394" s="6">
        <v>453</v>
      </c>
      <c r="B394" s="6">
        <v>2020</v>
      </c>
      <c r="C394" s="6" t="s">
        <v>358</v>
      </c>
      <c r="D394" s="7" t="s">
        <v>359</v>
      </c>
      <c r="E394" s="6" t="s">
        <v>349</v>
      </c>
      <c r="F394" s="6" t="s">
        <v>340</v>
      </c>
      <c r="G394" s="8"/>
      <c r="H394" s="9">
        <f>184994344000+94498399000+166959436000</f>
        <v>446452179000</v>
      </c>
      <c r="I394" s="10">
        <v>145403319000</v>
      </c>
      <c r="J394" s="10">
        <v>2889059738000</v>
      </c>
      <c r="K394" s="10">
        <v>273037914000</v>
      </c>
      <c r="L394" s="10">
        <v>1749895710000</v>
      </c>
      <c r="M394" s="10">
        <v>1139164028000</v>
      </c>
      <c r="N394" s="8">
        <v>5000000000</v>
      </c>
      <c r="O394" s="10">
        <v>2292693925000</v>
      </c>
      <c r="P394" s="10">
        <v>2019621678000</v>
      </c>
      <c r="Q394" s="6"/>
      <c r="R394" s="6"/>
      <c r="S394" s="11"/>
      <c r="T394" s="10">
        <f>151100938000+75002575</f>
        <v>151175940575</v>
      </c>
      <c r="U394" s="12">
        <v>108580758000</v>
      </c>
      <c r="V394" s="9">
        <f t="shared" si="50"/>
        <v>1139164028000</v>
      </c>
      <c r="W394" s="13">
        <f t="shared" si="40"/>
        <v>0.60569730939914546</v>
      </c>
      <c r="X394" s="13">
        <f t="shared" si="41"/>
        <v>1.5361226890847715</v>
      </c>
      <c r="Y394" s="8">
        <f t="shared" si="47"/>
        <v>3.7583424313395071E-2</v>
      </c>
      <c r="Z394" s="8">
        <f t="shared" si="48"/>
        <v>9.5316175134701503E-2</v>
      </c>
      <c r="AA394" s="8">
        <f t="shared" si="42"/>
        <v>0.11910540871695292</v>
      </c>
      <c r="AB394" s="8">
        <f t="shared" si="49"/>
        <v>4.7359465132267929E-2</v>
      </c>
      <c r="AC394" s="8">
        <f t="shared" si="43"/>
        <v>0.11910540871695292</v>
      </c>
      <c r="AD394" s="10"/>
      <c r="AE394" s="9"/>
      <c r="AF394" s="9"/>
      <c r="AG394" s="9"/>
      <c r="AH394" s="9"/>
      <c r="AI394" s="9"/>
      <c r="AJ394" s="9"/>
      <c r="AK394" s="10"/>
      <c r="AL394" s="9"/>
      <c r="AM394" s="9"/>
    </row>
    <row r="395" spans="1:39" ht="15.75" customHeight="1">
      <c r="A395" s="6">
        <v>484</v>
      </c>
      <c r="B395" s="6">
        <v>2018</v>
      </c>
      <c r="C395" s="6" t="s">
        <v>360</v>
      </c>
      <c r="D395" s="7" t="s">
        <v>361</v>
      </c>
      <c r="E395" s="6" t="s">
        <v>349</v>
      </c>
      <c r="F395" s="6" t="s">
        <v>340</v>
      </c>
      <c r="G395" s="8"/>
      <c r="H395" s="10">
        <f>6651472170541+ 287622000000</f>
        <v>6939094170541</v>
      </c>
      <c r="I395" s="10">
        <v>7091121159643</v>
      </c>
      <c r="J395" s="10">
        <v>124391581623636</v>
      </c>
      <c r="K395" s="9">
        <v>38704737773426</v>
      </c>
      <c r="L395" s="10">
        <v>95504462872769</v>
      </c>
      <c r="M395" s="10">
        <v>28887118750867</v>
      </c>
      <c r="N395" s="8">
        <f t="shared" ref="N395:N397" si="52">25999999999+1</f>
        <v>26000000000</v>
      </c>
      <c r="O395" s="10">
        <v>31387389629869</v>
      </c>
      <c r="P395" s="10">
        <v>39926332089924</v>
      </c>
      <c r="Q395" s="6"/>
      <c r="R395" s="6"/>
      <c r="S395" s="11"/>
      <c r="T395" s="8">
        <f>51205890476+1616540079059+423475576187</f>
        <v>2091221545722</v>
      </c>
      <c r="U395" s="19">
        <v>4619567705553</v>
      </c>
      <c r="V395" s="9">
        <f t="shared" si="50"/>
        <v>28887118750867</v>
      </c>
      <c r="W395" s="13">
        <f t="shared" si="40"/>
        <v>0.7677727192321665</v>
      </c>
      <c r="X395" s="13">
        <f t="shared" si="41"/>
        <v>3.3061262944371212</v>
      </c>
      <c r="Y395" s="8">
        <f t="shared" si="47"/>
        <v>3.7137301779232482E-2</v>
      </c>
      <c r="Z395" s="8">
        <f t="shared" si="48"/>
        <v>0.1599179116959995</v>
      </c>
      <c r="AA395" s="8">
        <f t="shared" si="42"/>
        <v>-0.27205009912417616</v>
      </c>
      <c r="AB395" s="8">
        <f t="shared" si="49"/>
        <v>0.14717909835856205</v>
      </c>
      <c r="AC395" s="8">
        <f t="shared" si="43"/>
        <v>-0.27205009912417616</v>
      </c>
      <c r="AD395" s="9"/>
      <c r="AE395" s="9"/>
      <c r="AF395" s="9"/>
      <c r="AG395" s="9"/>
      <c r="AH395" s="9"/>
      <c r="AI395" s="9"/>
      <c r="AJ395" s="10"/>
      <c r="AK395" s="10"/>
      <c r="AL395" s="10"/>
      <c r="AM395" s="10"/>
    </row>
    <row r="396" spans="1:39" ht="15.75" customHeight="1">
      <c r="A396" s="6">
        <v>485</v>
      </c>
      <c r="B396" s="6">
        <v>2019</v>
      </c>
      <c r="C396" s="6" t="s">
        <v>360</v>
      </c>
      <c r="D396" s="7" t="s">
        <v>361</v>
      </c>
      <c r="E396" s="6" t="s">
        <v>349</v>
      </c>
      <c r="F396" s="6" t="s">
        <v>340</v>
      </c>
      <c r="G396" s="8"/>
      <c r="H396" s="10">
        <f>5384494191741+446756923000</f>
        <v>5831251114741</v>
      </c>
      <c r="I396" s="10">
        <v>8663216063821</v>
      </c>
      <c r="J396" s="10">
        <v>122589259350571</v>
      </c>
      <c r="K396" s="9">
        <v>48447295021989</v>
      </c>
      <c r="L396" s="10">
        <v>93470790161572</v>
      </c>
      <c r="M396" s="10">
        <v>29118469188999</v>
      </c>
      <c r="N396" s="8">
        <f t="shared" si="52"/>
        <v>26000000000</v>
      </c>
      <c r="O396" s="10">
        <v>16190456515103</v>
      </c>
      <c r="P396" s="10">
        <v>25782746866464</v>
      </c>
      <c r="Q396" s="6"/>
      <c r="R396" s="6"/>
      <c r="S396" s="11"/>
      <c r="T396" s="8">
        <f>51589935546+1319957348117+197802480370</f>
        <v>1569349764033</v>
      </c>
      <c r="U396" s="19">
        <v>1028898367891</v>
      </c>
      <c r="V396" s="9">
        <f t="shared" si="50"/>
        <v>29118469188999</v>
      </c>
      <c r="W396" s="13">
        <f t="shared" si="40"/>
        <v>0.76247128546777232</v>
      </c>
      <c r="X396" s="13">
        <f t="shared" si="41"/>
        <v>3.2100173108305228</v>
      </c>
      <c r="Y396" s="8">
        <f t="shared" si="47"/>
        <v>8.3930547695751905E-3</v>
      </c>
      <c r="Z396" s="8">
        <f t="shared" si="48"/>
        <v>3.5334905870660238E-2</v>
      </c>
      <c r="AA396" s="8">
        <f t="shared" si="42"/>
        <v>-0.59246571228013178</v>
      </c>
      <c r="AB396" s="8">
        <f t="shared" si="49"/>
        <v>6.3549682303967722E-2</v>
      </c>
      <c r="AC396" s="8">
        <f t="shared" si="43"/>
        <v>-0.59246571228013178</v>
      </c>
      <c r="AD396" s="9"/>
      <c r="AE396" s="9"/>
      <c r="AF396" s="9"/>
      <c r="AG396" s="9"/>
      <c r="AH396" s="9"/>
      <c r="AI396" s="9"/>
      <c r="AJ396" s="10"/>
      <c r="AK396" s="10"/>
      <c r="AL396" s="10"/>
      <c r="AM396" s="10"/>
    </row>
    <row r="397" spans="1:39" ht="15.75" customHeight="1">
      <c r="A397" s="6">
        <v>486</v>
      </c>
      <c r="B397" s="6">
        <v>2020</v>
      </c>
      <c r="C397" s="6" t="s">
        <v>360</v>
      </c>
      <c r="D397" s="7" t="s">
        <v>361</v>
      </c>
      <c r="E397" s="6" t="s">
        <v>349</v>
      </c>
      <c r="F397" s="6" t="s">
        <v>340</v>
      </c>
      <c r="G397" s="8"/>
      <c r="H397" s="9">
        <f>780241220616+6866921939346</f>
        <v>7647163159962</v>
      </c>
      <c r="I397" s="10">
        <v>7819654831137</v>
      </c>
      <c r="J397" s="10">
        <v>105588960060005</v>
      </c>
      <c r="K397" s="9">
        <v>40773569381438</v>
      </c>
      <c r="L397" s="10">
        <v>89011405294715</v>
      </c>
      <c r="M397" s="10">
        <v>16577554765290</v>
      </c>
      <c r="N397" s="8">
        <f t="shared" si="52"/>
        <v>26000000000</v>
      </c>
      <c r="O397" s="10">
        <v>48788950838822</v>
      </c>
      <c r="P397" s="10">
        <v>18168339421735</v>
      </c>
      <c r="Q397" s="6"/>
      <c r="R397" s="6"/>
      <c r="S397" s="11"/>
      <c r="T397" s="8">
        <f>45904808574+1656332903229+1384447069286</f>
        <v>3086684781089</v>
      </c>
      <c r="U397" s="12">
        <v>-9495726146546</v>
      </c>
      <c r="V397" s="9">
        <f t="shared" si="50"/>
        <v>16577554765290</v>
      </c>
      <c r="W397" s="13">
        <f t="shared" si="40"/>
        <v>0.84299916623983073</v>
      </c>
      <c r="X397" s="13">
        <f t="shared" si="41"/>
        <v>5.3693929264578051</v>
      </c>
      <c r="Y397" s="8">
        <f t="shared" si="47"/>
        <v>-8.9931050946516447E-2</v>
      </c>
      <c r="Z397" s="8">
        <f t="shared" si="48"/>
        <v>-0.57280619976765834</v>
      </c>
      <c r="AA397" s="8">
        <f t="shared" si="42"/>
        <v>0.62761364798034935</v>
      </c>
      <c r="AB397" s="8">
        <f t="shared" si="49"/>
        <v>-0.19462861945762785</v>
      </c>
      <c r="AC397" s="8">
        <f t="shared" si="43"/>
        <v>0.62761364798034935</v>
      </c>
      <c r="AD397" s="9"/>
      <c r="AE397" s="9"/>
      <c r="AF397" s="9"/>
      <c r="AG397" s="9"/>
      <c r="AH397" s="9"/>
      <c r="AI397" s="9"/>
      <c r="AJ397" s="10"/>
      <c r="AK397" s="10"/>
      <c r="AL397" s="10"/>
      <c r="AM397" s="10"/>
    </row>
    <row r="398" spans="1:39" ht="15.75" customHeight="1">
      <c r="A398" s="6">
        <v>184</v>
      </c>
      <c r="B398" s="6">
        <v>2018</v>
      </c>
      <c r="C398" s="6" t="s">
        <v>362</v>
      </c>
      <c r="D398" s="7" t="s">
        <v>363</v>
      </c>
      <c r="E398" s="6" t="s">
        <v>364</v>
      </c>
      <c r="F398" s="6" t="s">
        <v>365</v>
      </c>
      <c r="G398" s="8"/>
      <c r="H398" s="6"/>
      <c r="I398" s="8">
        <v>7263839935749</v>
      </c>
      <c r="J398" s="8">
        <v>10965118708784</v>
      </c>
      <c r="K398" s="8">
        <v>3666242543034</v>
      </c>
      <c r="L398" s="8">
        <v>6676781411219</v>
      </c>
      <c r="M398" s="8">
        <v>4288337297565</v>
      </c>
      <c r="N398" s="8">
        <v>5000000000</v>
      </c>
      <c r="O398" s="8">
        <v>9938310691326</v>
      </c>
      <c r="P398" s="8">
        <v>6919557020399</v>
      </c>
      <c r="Q398" s="6"/>
      <c r="R398" s="6"/>
      <c r="S398" s="11"/>
      <c r="T398" s="9">
        <f>281725953612+182239191953+319273173872</f>
        <v>783238319437</v>
      </c>
      <c r="U398" s="12">
        <v>1405367771073</v>
      </c>
      <c r="V398" s="13">
        <f t="shared" si="50"/>
        <v>4288337297565</v>
      </c>
      <c r="W398" s="13">
        <f t="shared" si="40"/>
        <v>0.60891100119785535</v>
      </c>
      <c r="X398" s="13">
        <f t="shared" si="41"/>
        <v>1.5569627452136763</v>
      </c>
      <c r="Y398" s="8">
        <f t="shared" si="47"/>
        <v>0.12816712781660813</v>
      </c>
      <c r="Z398" s="8">
        <f t="shared" si="48"/>
        <v>0.32771857098810642</v>
      </c>
      <c r="AA398" s="8">
        <f t="shared" si="42"/>
        <v>0.30374917475277968</v>
      </c>
      <c r="AB398" s="8">
        <f t="shared" si="49"/>
        <v>0.14140912019379537</v>
      </c>
      <c r="AC398" s="8">
        <f t="shared" si="43"/>
        <v>0.30374917475277968</v>
      </c>
      <c r="AD398" s="9"/>
      <c r="AE398" s="9"/>
      <c r="AF398" s="9"/>
      <c r="AG398" s="9"/>
      <c r="AH398" s="9"/>
      <c r="AI398" s="9">
        <v>1676668684</v>
      </c>
      <c r="AJ398" s="9"/>
      <c r="AK398" s="9"/>
      <c r="AL398" s="9"/>
      <c r="AM398" s="10"/>
    </row>
    <row r="399" spans="1:39" ht="15.75" customHeight="1">
      <c r="A399" s="6">
        <v>185</v>
      </c>
      <c r="B399" s="6">
        <v>2019</v>
      </c>
      <c r="C399" s="6" t="s">
        <v>362</v>
      </c>
      <c r="D399" s="7" t="s">
        <v>363</v>
      </c>
      <c r="E399" s="6" t="s">
        <v>364</v>
      </c>
      <c r="F399" s="6" t="s">
        <v>365</v>
      </c>
      <c r="G399" s="8"/>
      <c r="H399" s="6"/>
      <c r="I399" s="8">
        <v>7847119795753</v>
      </c>
      <c r="J399" s="8">
        <v>10751992944302</v>
      </c>
      <c r="K399" s="8">
        <v>2307374824561</v>
      </c>
      <c r="L399" s="8">
        <v>6059395120910</v>
      </c>
      <c r="M399" s="8">
        <v>4692597823392</v>
      </c>
      <c r="N399" s="8">
        <v>5000000000</v>
      </c>
      <c r="O399" s="8">
        <v>8268503880196</v>
      </c>
      <c r="P399" s="8">
        <v>6458698980711</v>
      </c>
      <c r="Q399" s="6"/>
      <c r="R399" s="6"/>
      <c r="S399" s="11"/>
      <c r="T399" s="9">
        <f>238844256097+201342302861+300318863574+752425590</f>
        <v>741257848122</v>
      </c>
      <c r="U399" s="12">
        <v>968833390696</v>
      </c>
      <c r="V399" s="13">
        <f t="shared" si="50"/>
        <v>4692597823392</v>
      </c>
      <c r="W399" s="13">
        <f t="shared" si="40"/>
        <v>0.56356018389327212</v>
      </c>
      <c r="X399" s="13">
        <f t="shared" si="41"/>
        <v>1.2912666605914298</v>
      </c>
      <c r="Y399" s="8">
        <f t="shared" si="47"/>
        <v>9.0107331330554083E-2</v>
      </c>
      <c r="Z399" s="8">
        <f t="shared" si="48"/>
        <v>0.20645992415256417</v>
      </c>
      <c r="AA399" s="8">
        <f t="shared" si="42"/>
        <v>0.21887936750198389</v>
      </c>
      <c r="AB399" s="8">
        <f t="shared" si="49"/>
        <v>0.11717154696104883</v>
      </c>
      <c r="AC399" s="8">
        <f t="shared" si="43"/>
        <v>0.21887936750198389</v>
      </c>
      <c r="AD399" s="9"/>
      <c r="AE399" s="9"/>
      <c r="AF399" s="9"/>
      <c r="AG399" s="9"/>
      <c r="AH399" s="9"/>
      <c r="AI399" s="9">
        <v>1472464447</v>
      </c>
      <c r="AJ399" s="9"/>
      <c r="AK399" s="9"/>
      <c r="AL399" s="9"/>
      <c r="AM399" s="10"/>
    </row>
    <row r="400" spans="1:39" ht="15.75" customHeight="1">
      <c r="A400" s="6">
        <v>186</v>
      </c>
      <c r="B400" s="6">
        <v>2020</v>
      </c>
      <c r="C400" s="6" t="s">
        <v>362</v>
      </c>
      <c r="D400" s="7" t="s">
        <v>363</v>
      </c>
      <c r="E400" s="6" t="s">
        <v>364</v>
      </c>
      <c r="F400" s="6" t="s">
        <v>365</v>
      </c>
      <c r="G400" s="8"/>
      <c r="H400" s="6"/>
      <c r="I400" s="8">
        <v>8485611471915</v>
      </c>
      <c r="J400" s="8">
        <v>11513044288721</v>
      </c>
      <c r="K400" s="8">
        <v>3515037324243</v>
      </c>
      <c r="L400" s="8">
        <v>6930049292233</v>
      </c>
      <c r="M400" s="8">
        <v>4582994996488</v>
      </c>
      <c r="N400" s="8">
        <v>5000000000</v>
      </c>
      <c r="O400" s="8">
        <v>7909812330437</v>
      </c>
      <c r="P400" s="8">
        <v>6677778392949</v>
      </c>
      <c r="Q400" s="6"/>
      <c r="R400" s="6"/>
      <c r="S400" s="11"/>
      <c r="T400" s="9">
        <f>284310273035+172032217272+333048001880+31151795052</f>
        <v>820542287239</v>
      </c>
      <c r="U400" s="12">
        <v>353299343980</v>
      </c>
      <c r="V400" s="13">
        <f t="shared" si="50"/>
        <v>4582994996488</v>
      </c>
      <c r="W400" s="13">
        <f t="shared" si="40"/>
        <v>0.60193022092533521</v>
      </c>
      <c r="X400" s="13">
        <f t="shared" si="41"/>
        <v>1.5121223779523159</v>
      </c>
      <c r="Y400" s="8">
        <f t="shared" si="47"/>
        <v>3.0686874393953061E-2</v>
      </c>
      <c r="Z400" s="8">
        <f t="shared" si="48"/>
        <v>7.7089183874461398E-2</v>
      </c>
      <c r="AA400" s="8">
        <f t="shared" si="42"/>
        <v>0.15576019834846483</v>
      </c>
      <c r="AB400" s="8">
        <f t="shared" si="49"/>
        <v>4.4665957828165181E-2</v>
      </c>
      <c r="AC400" s="8">
        <f t="shared" si="43"/>
        <v>0.15576019834846483</v>
      </c>
      <c r="AD400" s="9"/>
      <c r="AE400" s="9"/>
      <c r="AF400" s="9"/>
      <c r="AG400" s="9"/>
      <c r="AH400" s="9"/>
      <c r="AI400" s="9">
        <v>3299262800</v>
      </c>
      <c r="AJ400" s="9"/>
      <c r="AK400" s="9"/>
      <c r="AL400" s="9"/>
      <c r="AM400" s="10"/>
    </row>
    <row r="401" spans="1:39" ht="15.75" customHeight="1">
      <c r="A401" s="6">
        <v>364</v>
      </c>
      <c r="B401" s="6">
        <v>2018</v>
      </c>
      <c r="C401" s="6" t="s">
        <v>366</v>
      </c>
      <c r="D401" s="7" t="s">
        <v>367</v>
      </c>
      <c r="E401" s="6" t="s">
        <v>368</v>
      </c>
      <c r="F401" s="6" t="s">
        <v>369</v>
      </c>
      <c r="G401" s="6"/>
      <c r="H401" s="9">
        <f>45212239401+648998900893+637755808</f>
        <v>694848896102</v>
      </c>
      <c r="I401" s="10">
        <v>2025977001676</v>
      </c>
      <c r="J401" s="10">
        <v>4361394289871</v>
      </c>
      <c r="K401" s="10">
        <v>1005094075213</v>
      </c>
      <c r="L401" s="10">
        <v>2235763648124</v>
      </c>
      <c r="M401" s="10">
        <v>2125630641747</v>
      </c>
      <c r="N401" s="8">
        <v>5759999998</v>
      </c>
      <c r="O401" s="9">
        <v>1283885459736</v>
      </c>
      <c r="P401" s="9">
        <v>599652649860</v>
      </c>
      <c r="Q401" s="6"/>
      <c r="R401" s="6"/>
      <c r="S401" s="11"/>
      <c r="T401" s="9">
        <f>44461482617+234999319589+8908918645</f>
        <v>288369720851</v>
      </c>
      <c r="U401" s="12">
        <v>222347065822</v>
      </c>
      <c r="V401" s="9">
        <f t="shared" si="50"/>
        <v>2125630641747</v>
      </c>
      <c r="W401" s="13">
        <f t="shared" si="40"/>
        <v>0.512625894273395</v>
      </c>
      <c r="X401" s="13">
        <f t="shared" si="41"/>
        <v>1.0518119207608359</v>
      </c>
      <c r="Y401" s="8">
        <f t="shared" si="47"/>
        <v>5.0980730253713545E-2</v>
      </c>
      <c r="Z401" s="8">
        <f t="shared" si="48"/>
        <v>0.10460287006366203</v>
      </c>
      <c r="AA401" s="8">
        <f t="shared" si="42"/>
        <v>0.53293913774574242</v>
      </c>
      <c r="AB401" s="8">
        <f t="shared" si="49"/>
        <v>0.17318294567158685</v>
      </c>
      <c r="AC401" s="8">
        <f t="shared" si="43"/>
        <v>0.53293913774574242</v>
      </c>
      <c r="AD401" s="10"/>
      <c r="AE401" s="9"/>
      <c r="AF401" s="9"/>
      <c r="AG401" s="9"/>
      <c r="AH401" s="9"/>
      <c r="AI401" s="9"/>
      <c r="AJ401" s="9"/>
      <c r="AK401" s="10"/>
      <c r="AL401" s="9"/>
      <c r="AM401" s="10"/>
    </row>
    <row r="402" spans="1:39" ht="15.75" customHeight="1">
      <c r="A402" s="6">
        <v>365</v>
      </c>
      <c r="B402" s="6">
        <v>2019</v>
      </c>
      <c r="C402" s="6" t="s">
        <v>366</v>
      </c>
      <c r="D402" s="7" t="s">
        <v>367</v>
      </c>
      <c r="E402" s="6" t="s">
        <v>368</v>
      </c>
      <c r="F402" s="6" t="s">
        <v>369</v>
      </c>
      <c r="G402" s="6"/>
      <c r="H402" s="9">
        <f>21162935706+379725316000+637755808</f>
        <v>401526007514</v>
      </c>
      <c r="I402" s="10">
        <v>2443557203189</v>
      </c>
      <c r="J402" s="10">
        <v>4095914945148</v>
      </c>
      <c r="K402" s="9">
        <v>1313276603049</v>
      </c>
      <c r="L402" s="10">
        <v>1945232867688</v>
      </c>
      <c r="M402" s="10">
        <v>2150682077460</v>
      </c>
      <c r="N402" s="8">
        <v>5759999998</v>
      </c>
      <c r="O402" s="10">
        <v>1358598226353</v>
      </c>
      <c r="P402" s="10">
        <v>657223083751</v>
      </c>
      <c r="Q402" s="6"/>
      <c r="R402" s="6"/>
      <c r="S402" s="11"/>
      <c r="T402" s="9">
        <f>45348796643+248768252951+8260819997</f>
        <v>302377869591</v>
      </c>
      <c r="U402" s="12">
        <v>233034221183</v>
      </c>
      <c r="V402" s="9">
        <f t="shared" si="50"/>
        <v>2150682077460</v>
      </c>
      <c r="W402" s="13">
        <f t="shared" si="40"/>
        <v>0.47492022997018357</v>
      </c>
      <c r="X402" s="13">
        <f t="shared" si="41"/>
        <v>0.90447253365562996</v>
      </c>
      <c r="Y402" s="8">
        <f t="shared" si="47"/>
        <v>5.6894301835796454E-2</v>
      </c>
      <c r="Z402" s="8">
        <f t="shared" si="48"/>
        <v>0.10835363516778744</v>
      </c>
      <c r="AA402" s="8">
        <f t="shared" si="42"/>
        <v>0.51624912280708668</v>
      </c>
      <c r="AB402" s="8">
        <f t="shared" si="49"/>
        <v>0.17152548609499768</v>
      </c>
      <c r="AC402" s="8">
        <f t="shared" si="43"/>
        <v>0.51624912280708668</v>
      </c>
      <c r="AD402" s="10"/>
      <c r="AE402" s="9"/>
      <c r="AF402" s="9"/>
      <c r="AG402" s="9"/>
      <c r="AH402" s="9"/>
      <c r="AI402" s="9"/>
      <c r="AJ402" s="9"/>
      <c r="AK402" s="10"/>
      <c r="AL402" s="9"/>
      <c r="AM402" s="10"/>
    </row>
    <row r="403" spans="1:39" ht="15.75" customHeight="1">
      <c r="A403" s="6">
        <v>366</v>
      </c>
      <c r="B403" s="6">
        <v>2020</v>
      </c>
      <c r="C403" s="6" t="s">
        <v>366</v>
      </c>
      <c r="D403" s="7" t="s">
        <v>367</v>
      </c>
      <c r="E403" s="6" t="s">
        <v>368</v>
      </c>
      <c r="F403" s="6" t="s">
        <v>369</v>
      </c>
      <c r="G403" s="6"/>
      <c r="H403" s="9">
        <f>6908173290+374756747333+637755808</f>
        <v>382302676431</v>
      </c>
      <c r="I403" s="10">
        <v>2567399567084</v>
      </c>
      <c r="J403" s="10">
        <v>4042618820057</v>
      </c>
      <c r="K403" s="10">
        <v>710395919487</v>
      </c>
      <c r="L403" s="10">
        <v>2280833275498</v>
      </c>
      <c r="M403" s="10">
        <v>1761785544559</v>
      </c>
      <c r="N403" s="8">
        <v>5759999998</v>
      </c>
      <c r="O403" s="10">
        <v>414179667509</v>
      </c>
      <c r="P403" s="10">
        <v>364170151196</v>
      </c>
      <c r="Q403" s="6"/>
      <c r="R403" s="6"/>
      <c r="S403" s="11"/>
      <c r="T403" s="9">
        <f>11917656142+206716179814+135911196650</f>
        <v>354545032606</v>
      </c>
      <c r="U403" s="12">
        <v>-393866133851</v>
      </c>
      <c r="V403" s="9">
        <f t="shared" si="50"/>
        <v>1761785544559</v>
      </c>
      <c r="W403" s="13">
        <f t="shared" si="40"/>
        <v>0.56419696662517416</v>
      </c>
      <c r="X403" s="13">
        <f t="shared" si="41"/>
        <v>1.2946145928725536</v>
      </c>
      <c r="Y403" s="8">
        <f t="shared" si="47"/>
        <v>-9.7428461940778921E-2</v>
      </c>
      <c r="Z403" s="8">
        <f t="shared" si="48"/>
        <v>-0.22356077053043949</v>
      </c>
      <c r="AA403" s="8">
        <f t="shared" si="42"/>
        <v>0.12074353290631609</v>
      </c>
      <c r="AB403" s="8">
        <f t="shared" si="49"/>
        <v>-0.95095477820007035</v>
      </c>
      <c r="AC403" s="8">
        <f t="shared" si="43"/>
        <v>0.12074353290631609</v>
      </c>
      <c r="AD403" s="10"/>
      <c r="AE403" s="9"/>
      <c r="AF403" s="9"/>
      <c r="AG403" s="9"/>
      <c r="AH403" s="9"/>
      <c r="AI403" s="9"/>
      <c r="AJ403" s="9"/>
      <c r="AK403" s="10"/>
      <c r="AL403" s="9"/>
      <c r="AM403" s="10"/>
    </row>
    <row r="404" spans="1:39" ht="15.75" customHeight="1">
      <c r="A404" s="6">
        <v>373</v>
      </c>
      <c r="B404" s="6">
        <v>2018</v>
      </c>
      <c r="C404" s="6" t="s">
        <v>370</v>
      </c>
      <c r="D404" s="7" t="s">
        <v>371</v>
      </c>
      <c r="E404" s="6" t="s">
        <v>368</v>
      </c>
      <c r="F404" s="6" t="s">
        <v>369</v>
      </c>
      <c r="G404" s="8"/>
      <c r="H404" s="9">
        <f>4478341830+62145600+3455186222</f>
        <v>7995673652</v>
      </c>
      <c r="I404" s="10">
        <v>356274405490</v>
      </c>
      <c r="J404" s="10">
        <v>457477659067</v>
      </c>
      <c r="K404" s="10">
        <v>103731044974</v>
      </c>
      <c r="L404" s="10">
        <v>175029709760</v>
      </c>
      <c r="M404" s="10">
        <v>282447949307</v>
      </c>
      <c r="N404" s="8">
        <v>2480000000</v>
      </c>
      <c r="O404" s="10">
        <v>218406865725</v>
      </c>
      <c r="P404" s="10">
        <v>97595656696</v>
      </c>
      <c r="Q404" s="6"/>
      <c r="R404" s="6"/>
      <c r="S404" s="11"/>
      <c r="T404" s="18">
        <f>69540789739</f>
        <v>69540789739</v>
      </c>
      <c r="U404" s="12">
        <v>-10060854779</v>
      </c>
      <c r="V404" s="9">
        <f t="shared" si="50"/>
        <v>282447949307</v>
      </c>
      <c r="W404" s="13">
        <f t="shared" si="40"/>
        <v>0.38259728380389824</v>
      </c>
      <c r="X404" s="13">
        <f t="shared" si="41"/>
        <v>0.61968837157233414</v>
      </c>
      <c r="Y404" s="8">
        <f t="shared" si="47"/>
        <v>-2.1992013335729987E-2</v>
      </c>
      <c r="Z404" s="8">
        <f t="shared" si="48"/>
        <v>-3.5620208267345556E-2</v>
      </c>
      <c r="AA404" s="8">
        <f t="shared" si="42"/>
        <v>0.55314748750213538</v>
      </c>
      <c r="AB404" s="8">
        <f t="shared" si="49"/>
        <v>-4.6064736772825646E-2</v>
      </c>
      <c r="AC404" s="8">
        <f t="shared" si="43"/>
        <v>0.55314748750213538</v>
      </c>
      <c r="AD404" s="10"/>
      <c r="AE404" s="9"/>
      <c r="AF404" s="9"/>
      <c r="AG404" s="9"/>
      <c r="AH404" s="9"/>
      <c r="AI404" s="9"/>
      <c r="AJ404" s="9"/>
      <c r="AK404" s="10"/>
      <c r="AL404" s="9"/>
      <c r="AM404" s="9"/>
    </row>
    <row r="405" spans="1:39" ht="15.75" customHeight="1">
      <c r="A405" s="6">
        <v>374</v>
      </c>
      <c r="B405" s="6">
        <v>2019</v>
      </c>
      <c r="C405" s="6" t="s">
        <v>370</v>
      </c>
      <c r="D405" s="7" t="s">
        <v>371</v>
      </c>
      <c r="E405" s="6" t="s">
        <v>368</v>
      </c>
      <c r="F405" s="6" t="s">
        <v>369</v>
      </c>
      <c r="G405" s="8"/>
      <c r="H405" s="9">
        <f>4490824605+38841000+3414569353</f>
        <v>7944234958</v>
      </c>
      <c r="I405" s="10">
        <v>346446922566</v>
      </c>
      <c r="J405" s="10">
        <v>460489681549</v>
      </c>
      <c r="K405" s="10">
        <v>129619686431</v>
      </c>
      <c r="L405" s="10">
        <v>197249336258</v>
      </c>
      <c r="M405" s="10">
        <v>263240345291</v>
      </c>
      <c r="N405" s="8">
        <v>2480000000</v>
      </c>
      <c r="O405" s="10">
        <v>215630030028</v>
      </c>
      <c r="P405" s="10">
        <v>97558597627</v>
      </c>
      <c r="Q405" s="6"/>
      <c r="R405" s="6"/>
      <c r="S405" s="11"/>
      <c r="T405" s="9">
        <f>74584569417</f>
        <v>74584569417</v>
      </c>
      <c r="U405" s="12">
        <v>-13701012102</v>
      </c>
      <c r="V405" s="9">
        <f t="shared" si="50"/>
        <v>263240345291</v>
      </c>
      <c r="W405" s="13">
        <f t="shared" si="40"/>
        <v>0.42834691885926873</v>
      </c>
      <c r="X405" s="13">
        <f t="shared" si="41"/>
        <v>0.7493127090376287</v>
      </c>
      <c r="Y405" s="8">
        <f t="shared" si="47"/>
        <v>-2.9753135957167144E-2</v>
      </c>
      <c r="Z405" s="8">
        <f t="shared" si="48"/>
        <v>-5.2047538863596941E-2</v>
      </c>
      <c r="AA405" s="8">
        <f t="shared" si="42"/>
        <v>0.54756488410110682</v>
      </c>
      <c r="AB405" s="8">
        <f t="shared" si="49"/>
        <v>-6.3539443463514311E-2</v>
      </c>
      <c r="AC405" s="8">
        <f t="shared" si="43"/>
        <v>0.54756488410110682</v>
      </c>
      <c r="AD405" s="10"/>
      <c r="AE405" s="9"/>
      <c r="AF405" s="9"/>
      <c r="AG405" s="9"/>
      <c r="AH405" s="9"/>
      <c r="AI405" s="9"/>
      <c r="AJ405" s="9"/>
      <c r="AK405" s="10"/>
      <c r="AL405" s="10"/>
      <c r="AM405" s="9"/>
    </row>
    <row r="406" spans="1:39" ht="15.75" customHeight="1">
      <c r="A406" s="6">
        <v>375</v>
      </c>
      <c r="B406" s="6">
        <v>2020</v>
      </c>
      <c r="C406" s="6" t="s">
        <v>370</v>
      </c>
      <c r="D406" s="7" t="s">
        <v>371</v>
      </c>
      <c r="E406" s="6" t="s">
        <v>368</v>
      </c>
      <c r="F406" s="6" t="s">
        <v>369</v>
      </c>
      <c r="G406" s="8"/>
      <c r="H406" s="9">
        <f>1415825533+2393310342</f>
        <v>3809135875</v>
      </c>
      <c r="I406" s="10">
        <v>333865441675</v>
      </c>
      <c r="J406" s="10">
        <v>403840911977</v>
      </c>
      <c r="K406" s="10">
        <v>130725516118</v>
      </c>
      <c r="L406" s="10">
        <v>188953693217</v>
      </c>
      <c r="M406" s="10">
        <v>214887218760</v>
      </c>
      <c r="N406" s="8">
        <v>2480000000</v>
      </c>
      <c r="O406" s="10">
        <v>76511926328</v>
      </c>
      <c r="P406" s="10">
        <v>54393543162</v>
      </c>
      <c r="Q406" s="6"/>
      <c r="R406" s="6"/>
      <c r="S406" s="11"/>
      <c r="T406" s="9">
        <v>50075500015</v>
      </c>
      <c r="U406" s="12">
        <v>-50604881105</v>
      </c>
      <c r="V406" s="9">
        <f t="shared" si="50"/>
        <v>214887218760</v>
      </c>
      <c r="W406" s="13">
        <f t="shared" si="40"/>
        <v>0.46789140875296337</v>
      </c>
      <c r="X406" s="13">
        <f t="shared" si="41"/>
        <v>0.87931564430565667</v>
      </c>
      <c r="Y406" s="8">
        <f t="shared" si="47"/>
        <v>-0.12530895113440638</v>
      </c>
      <c r="Z406" s="8">
        <f t="shared" si="48"/>
        <v>-0.23549507223842298</v>
      </c>
      <c r="AA406" s="8">
        <f t="shared" si="42"/>
        <v>0.28908412358068736</v>
      </c>
      <c r="AB406" s="8">
        <f t="shared" si="49"/>
        <v>-0.66139860193901356</v>
      </c>
      <c r="AC406" s="8">
        <f t="shared" si="43"/>
        <v>0.28908412358068736</v>
      </c>
      <c r="AD406" s="10"/>
      <c r="AE406" s="9"/>
      <c r="AF406" s="9"/>
      <c r="AG406" s="9"/>
      <c r="AH406" s="9"/>
      <c r="AI406" s="9"/>
      <c r="AJ406" s="9"/>
      <c r="AK406" s="10"/>
      <c r="AL406" s="10"/>
      <c r="AM406" s="9"/>
    </row>
    <row r="407" spans="1:39" ht="15.75" customHeight="1">
      <c r="A407" s="6">
        <v>382</v>
      </c>
      <c r="B407" s="6">
        <v>2018</v>
      </c>
      <c r="C407" s="6" t="s">
        <v>372</v>
      </c>
      <c r="D407" s="7" t="s">
        <v>373</v>
      </c>
      <c r="E407" s="6" t="s">
        <v>368</v>
      </c>
      <c r="F407" s="6" t="s">
        <v>369</v>
      </c>
      <c r="G407" s="8"/>
      <c r="I407" s="10">
        <v>392650226505</v>
      </c>
      <c r="J407" s="9">
        <v>470089120703</v>
      </c>
      <c r="K407" s="10">
        <v>6566532043</v>
      </c>
      <c r="L407" s="10">
        <v>57373972364</v>
      </c>
      <c r="M407" s="10">
        <v>412715148339</v>
      </c>
      <c r="N407" s="8">
        <v>41400000000</v>
      </c>
      <c r="O407" s="10">
        <v>76625195827</v>
      </c>
      <c r="P407" s="10">
        <v>34302559618</v>
      </c>
      <c r="Q407" s="6"/>
      <c r="R407" s="6"/>
      <c r="S407" s="11"/>
      <c r="T407" s="9">
        <v>60471887783</v>
      </c>
      <c r="U407" s="12">
        <v>20166643731</v>
      </c>
      <c r="V407" s="9">
        <f t="shared" si="50"/>
        <v>412715148339</v>
      </c>
      <c r="W407" s="13">
        <f t="shared" si="40"/>
        <v>0.12204913884881968</v>
      </c>
      <c r="X407" s="13">
        <f t="shared" si="41"/>
        <v>0.13901591108275388</v>
      </c>
      <c r="Y407" s="8">
        <f t="shared" si="47"/>
        <v>4.2899618057192154E-2</v>
      </c>
      <c r="Z407" s="8">
        <f t="shared" si="48"/>
        <v>4.8863347546514876E-2</v>
      </c>
      <c r="AA407" s="8">
        <f t="shared" si="42"/>
        <v>0.55233315559223672</v>
      </c>
      <c r="AB407" s="8">
        <f t="shared" si="49"/>
        <v>0.26318554247523357</v>
      </c>
      <c r="AC407" s="8">
        <f t="shared" si="43"/>
        <v>0.55233315559223672</v>
      </c>
      <c r="AD407" s="10"/>
      <c r="AE407" s="10"/>
      <c r="AF407" s="9"/>
      <c r="AG407" s="9"/>
      <c r="AH407" s="9"/>
      <c r="AI407" s="10"/>
      <c r="AJ407" s="9"/>
      <c r="AK407" s="10"/>
      <c r="AL407" s="9"/>
      <c r="AM407" s="9"/>
    </row>
    <row r="408" spans="1:39" ht="15.75" customHeight="1">
      <c r="A408" s="6">
        <v>383</v>
      </c>
      <c r="B408" s="6">
        <v>2019</v>
      </c>
      <c r="C408" s="6" t="s">
        <v>372</v>
      </c>
      <c r="D408" s="7" t="s">
        <v>373</v>
      </c>
      <c r="E408" s="6" t="s">
        <v>368</v>
      </c>
      <c r="F408" s="6" t="s">
        <v>369</v>
      </c>
      <c r="G408" s="8"/>
      <c r="I408" s="10">
        <v>381229582094</v>
      </c>
      <c r="J408" s="10">
        <v>464540146023</v>
      </c>
      <c r="K408" s="10">
        <v>29249557547</v>
      </c>
      <c r="L408" s="10">
        <v>66196469522</v>
      </c>
      <c r="M408" s="10">
        <v>398343676501</v>
      </c>
      <c r="N408" s="8">
        <v>41400000000</v>
      </c>
      <c r="O408" s="10">
        <v>68169528209</v>
      </c>
      <c r="P408" s="10">
        <v>32007382351</v>
      </c>
      <c r="Q408" s="6"/>
      <c r="R408" s="6"/>
      <c r="S408" s="11"/>
      <c r="T408" s="9">
        <v>46302015915</v>
      </c>
      <c r="U408" s="12">
        <v>14268410688</v>
      </c>
      <c r="V408" s="9">
        <f t="shared" si="50"/>
        <v>398343676501</v>
      </c>
      <c r="W408" s="13">
        <f t="shared" si="40"/>
        <v>0.14249892089783459</v>
      </c>
      <c r="X408" s="13">
        <f t="shared" si="41"/>
        <v>0.16617929046460919</v>
      </c>
      <c r="Y408" s="8">
        <f t="shared" si="47"/>
        <v>3.071512938150571E-2</v>
      </c>
      <c r="Z408" s="8">
        <f t="shared" si="48"/>
        <v>3.5819347788652998E-2</v>
      </c>
      <c r="AA408" s="8">
        <f t="shared" si="42"/>
        <v>0.5304737587024364</v>
      </c>
      <c r="AB408" s="8">
        <f t="shared" si="49"/>
        <v>0.20930775176050331</v>
      </c>
      <c r="AC408" s="8">
        <f t="shared" si="43"/>
        <v>0.5304737587024364</v>
      </c>
      <c r="AD408" s="10"/>
      <c r="AE408" s="10"/>
      <c r="AF408" s="9"/>
      <c r="AG408" s="9"/>
      <c r="AH408" s="9"/>
      <c r="AI408" s="10"/>
      <c r="AJ408" s="9"/>
      <c r="AK408" s="10"/>
      <c r="AL408" s="9"/>
      <c r="AM408" s="10"/>
    </row>
    <row r="409" spans="1:39" ht="15.75" customHeight="1">
      <c r="A409" s="6">
        <v>384</v>
      </c>
      <c r="B409" s="6">
        <v>2020</v>
      </c>
      <c r="C409" s="6" t="s">
        <v>372</v>
      </c>
      <c r="D409" s="7" t="s">
        <v>373</v>
      </c>
      <c r="E409" s="6" t="s">
        <v>368</v>
      </c>
      <c r="F409" s="6" t="s">
        <v>369</v>
      </c>
      <c r="G409" s="8"/>
      <c r="H409" s="9"/>
      <c r="I409" s="10">
        <v>375894026701</v>
      </c>
      <c r="J409" s="10">
        <v>436430544368</v>
      </c>
      <c r="K409" s="10">
        <v>33703439111</v>
      </c>
      <c r="L409" s="10">
        <v>67269583952</v>
      </c>
      <c r="M409" s="10">
        <v>369160960416</v>
      </c>
      <c r="N409" s="8">
        <v>41400000000</v>
      </c>
      <c r="O409" s="10">
        <v>42427385926</v>
      </c>
      <c r="P409" s="10">
        <v>21274782785</v>
      </c>
      <c r="Q409" s="6"/>
      <c r="R409" s="6"/>
      <c r="S409" s="11"/>
      <c r="T409" s="9">
        <v>43227161271</v>
      </c>
      <c r="U409" s="12">
        <v>29021708130</v>
      </c>
      <c r="V409" s="9">
        <f t="shared" si="50"/>
        <v>369160960416</v>
      </c>
      <c r="W409" s="13">
        <f t="shared" si="40"/>
        <v>0.15413582944661641</v>
      </c>
      <c r="X409" s="13">
        <f t="shared" si="41"/>
        <v>0.18222290860928325</v>
      </c>
      <c r="Y409" s="8">
        <f t="shared" si="47"/>
        <v>6.6497884954470052E-2</v>
      </c>
      <c r="Z409" s="8">
        <f t="shared" si="48"/>
        <v>7.8615322967239082E-2</v>
      </c>
      <c r="AA409" s="8">
        <f t="shared" si="42"/>
        <v>0.49856013231391277</v>
      </c>
      <c r="AB409" s="8">
        <f t="shared" si="49"/>
        <v>0.68403243557400406</v>
      </c>
      <c r="AC409" s="8">
        <f t="shared" si="43"/>
        <v>0.49856013231391277</v>
      </c>
      <c r="AD409" s="10"/>
      <c r="AE409" s="10"/>
      <c r="AF409" s="9"/>
      <c r="AG409" s="9"/>
      <c r="AH409" s="9"/>
      <c r="AI409" s="10"/>
      <c r="AJ409" s="9"/>
      <c r="AK409" s="10"/>
      <c r="AL409" s="9"/>
      <c r="AM409" s="10"/>
    </row>
    <row r="410" spans="1:39" ht="15.75" customHeight="1">
      <c r="A410" s="6">
        <v>181</v>
      </c>
      <c r="B410" s="6">
        <v>2018</v>
      </c>
      <c r="C410" s="6" t="s">
        <v>374</v>
      </c>
      <c r="D410" s="7" t="s">
        <v>375</v>
      </c>
      <c r="E410" s="6" t="s">
        <v>368</v>
      </c>
      <c r="F410" s="6" t="s">
        <v>376</v>
      </c>
      <c r="G410" s="8"/>
      <c r="H410" s="9">
        <v>33088217000</v>
      </c>
      <c r="I410" s="8">
        <v>487216596000</v>
      </c>
      <c r="J410" s="8">
        <v>2989693223000</v>
      </c>
      <c r="K410" s="8">
        <v>734701578000</v>
      </c>
      <c r="L410" s="8">
        <v>1449199580000</v>
      </c>
      <c r="M410" s="8">
        <v>1540493643000</v>
      </c>
      <c r="N410" s="8">
        <v>7980000000</v>
      </c>
      <c r="O410" s="8">
        <v>6017492356000</v>
      </c>
      <c r="P410" s="8">
        <v>2277401709000</v>
      </c>
      <c r="Q410" s="6"/>
      <c r="R410" s="6"/>
      <c r="S410" s="11"/>
      <c r="T410" s="9">
        <f>2865174513000+646201957000+5887872000</f>
        <v>3517264342000</v>
      </c>
      <c r="U410" s="12">
        <v>212011156000</v>
      </c>
      <c r="V410" s="13">
        <f t="shared" si="50"/>
        <v>1540493643000</v>
      </c>
      <c r="W410" s="13">
        <f t="shared" si="40"/>
        <v>0.48473186775524896</v>
      </c>
      <c r="X410" s="13">
        <f t="shared" si="41"/>
        <v>0.94073713746574672</v>
      </c>
      <c r="Y410" s="8">
        <f t="shared" si="47"/>
        <v>7.0914016986417736E-2</v>
      </c>
      <c r="Z410" s="8">
        <f t="shared" si="48"/>
        <v>0.13762546633241771</v>
      </c>
      <c r="AA410" s="8">
        <f t="shared" si="42"/>
        <v>0.62153641845025054</v>
      </c>
      <c r="AB410" s="8">
        <f t="shared" si="49"/>
        <v>3.5232476164029546E-2</v>
      </c>
      <c r="AC410" s="8">
        <f t="shared" si="43"/>
        <v>0.62153641845025054</v>
      </c>
      <c r="AD410" s="9"/>
      <c r="AE410" s="9"/>
      <c r="AF410" s="9"/>
      <c r="AG410" s="9"/>
      <c r="AH410" s="9"/>
      <c r="AI410" s="9"/>
      <c r="AJ410" s="9"/>
      <c r="AK410" s="9"/>
      <c r="AL410" s="9"/>
      <c r="AM410" s="18">
        <v>379848076000</v>
      </c>
    </row>
    <row r="411" spans="1:39" ht="15.75" customHeight="1">
      <c r="A411" s="6">
        <v>182</v>
      </c>
      <c r="B411" s="6">
        <v>2019</v>
      </c>
      <c r="C411" s="6" t="s">
        <v>374</v>
      </c>
      <c r="D411" s="7" t="s">
        <v>375</v>
      </c>
      <c r="E411" s="6" t="s">
        <v>368</v>
      </c>
      <c r="F411" s="6" t="s">
        <v>376</v>
      </c>
      <c r="G411" s="8"/>
      <c r="H411" s="9">
        <v>40823038000</v>
      </c>
      <c r="I411" s="8">
        <v>595737161000</v>
      </c>
      <c r="J411" s="8">
        <v>3404685424000</v>
      </c>
      <c r="K411" s="8">
        <v>888375641000</v>
      </c>
      <c r="L411" s="8">
        <v>1745112819000</v>
      </c>
      <c r="M411" s="8">
        <v>1659572605000</v>
      </c>
      <c r="N411" s="8">
        <v>7980000000</v>
      </c>
      <c r="O411" s="8">
        <v>6706376352000</v>
      </c>
      <c r="P411" s="8">
        <v>2511932560000</v>
      </c>
      <c r="Q411" s="6"/>
      <c r="R411" s="6"/>
      <c r="S411" s="11"/>
      <c r="T411" s="9">
        <f>3200742623000+753008632000+8694414000</f>
        <v>3962445669000</v>
      </c>
      <c r="U411" s="12">
        <v>241547936000</v>
      </c>
      <c r="V411" s="13">
        <f t="shared" si="50"/>
        <v>1659572605000</v>
      </c>
      <c r="W411" s="13">
        <f t="shared" si="40"/>
        <v>0.5125621317900646</v>
      </c>
      <c r="X411" s="13">
        <f t="shared" si="41"/>
        <v>1.0515435201462608</v>
      </c>
      <c r="Y411" s="8">
        <f t="shared" si="47"/>
        <v>7.0945742680748769E-2</v>
      </c>
      <c r="Z411" s="8">
        <f t="shared" si="48"/>
        <v>0.14554827867865414</v>
      </c>
      <c r="AA411" s="8">
        <f t="shared" si="42"/>
        <v>0.62544115806282141</v>
      </c>
      <c r="AB411" s="8">
        <f t="shared" si="49"/>
        <v>3.6017652950235145E-2</v>
      </c>
      <c r="AC411" s="8">
        <f t="shared" si="43"/>
        <v>0.62544115806282141</v>
      </c>
      <c r="AD411" s="9"/>
      <c r="AE411" s="9"/>
      <c r="AF411" s="9"/>
      <c r="AG411" s="9"/>
      <c r="AH411" s="9"/>
      <c r="AI411" s="9"/>
      <c r="AJ411" s="9"/>
      <c r="AK411" s="9"/>
      <c r="AL411" s="9"/>
      <c r="AM411" s="10">
        <v>425073420000</v>
      </c>
    </row>
    <row r="412" spans="1:39" ht="15.75" customHeight="1">
      <c r="A412" s="6">
        <v>183</v>
      </c>
      <c r="B412" s="6">
        <v>2020</v>
      </c>
      <c r="C412" s="6" t="s">
        <v>374</v>
      </c>
      <c r="D412" s="7" t="s">
        <v>375</v>
      </c>
      <c r="E412" s="6" t="s">
        <v>368</v>
      </c>
      <c r="F412" s="6" t="s">
        <v>376</v>
      </c>
      <c r="G412" s="8"/>
      <c r="H412" s="9">
        <v>44001868000</v>
      </c>
      <c r="I412" s="8">
        <v>666809535000</v>
      </c>
      <c r="J412" s="13">
        <v>3726999660000</v>
      </c>
      <c r="K412" s="13">
        <v>1000076394000</v>
      </c>
      <c r="L412" s="8">
        <v>2480315459000</v>
      </c>
      <c r="M412" s="8">
        <v>1246684201000</v>
      </c>
      <c r="N412" s="8">
        <v>15960000000</v>
      </c>
      <c r="O412" s="8">
        <v>4840363775000</v>
      </c>
      <c r="P412" s="8">
        <v>1971473070000</v>
      </c>
      <c r="Q412" s="6"/>
      <c r="R412" s="6"/>
      <c r="S412" s="11"/>
      <c r="T412" s="12">
        <f>2761245533000+623556437000+17309561000</f>
        <v>3402111531000</v>
      </c>
      <c r="U412" s="18">
        <v>-377184702000</v>
      </c>
      <c r="V412" s="13">
        <f t="shared" si="50"/>
        <v>1246684201000</v>
      </c>
      <c r="W412" s="13">
        <f t="shared" si="40"/>
        <v>0.66549924477320721</v>
      </c>
      <c r="X412" s="13">
        <f t="shared" si="41"/>
        <v>1.9895298721283787</v>
      </c>
      <c r="Y412" s="8">
        <f>T412/J412</f>
        <v>0.91282850586576125</v>
      </c>
      <c r="Z412" s="8">
        <f>T412/M412</f>
        <v>2.7289280864160079</v>
      </c>
      <c r="AA412" s="8">
        <f t="shared" si="42"/>
        <v>0.59270146591409856</v>
      </c>
      <c r="AB412" s="8">
        <f>T412/O412</f>
        <v>0.70286277832496169</v>
      </c>
      <c r="AC412" s="8">
        <f t="shared" si="43"/>
        <v>0.59270146591409856</v>
      </c>
      <c r="AD412" s="9"/>
      <c r="AE412" s="9"/>
      <c r="AF412" s="9"/>
      <c r="AG412" s="9"/>
      <c r="AH412" s="9"/>
      <c r="AI412" s="9"/>
      <c r="AJ412" s="9"/>
      <c r="AK412" s="9"/>
      <c r="AL412" s="9"/>
      <c r="AM412" s="10">
        <v>334714733000</v>
      </c>
    </row>
    <row r="413" spans="1:39" ht="15.75" customHeight="1">
      <c r="A413" s="6">
        <v>247</v>
      </c>
      <c r="B413" s="6">
        <v>2018</v>
      </c>
      <c r="C413" s="6" t="s">
        <v>377</v>
      </c>
      <c r="D413" s="7" t="s">
        <v>378</v>
      </c>
      <c r="E413" s="6" t="s">
        <v>368</v>
      </c>
      <c r="F413" s="6" t="s">
        <v>376</v>
      </c>
      <c r="G413" s="6"/>
      <c r="H413" s="6"/>
      <c r="I413" s="8"/>
      <c r="J413" s="8">
        <v>6606689000000</v>
      </c>
      <c r="K413" s="8">
        <v>845715000000</v>
      </c>
      <c r="L413" s="8">
        <v>1607367000000</v>
      </c>
      <c r="M413" s="8">
        <v>4999322000000</v>
      </c>
      <c r="N413" s="8">
        <v>2329040482</v>
      </c>
      <c r="O413" s="8">
        <v>1457372000000</v>
      </c>
      <c r="P413" s="8">
        <f>O413-1068643000000</f>
        <v>388729000000</v>
      </c>
      <c r="Q413" s="6"/>
      <c r="R413" s="6"/>
      <c r="S413" s="11"/>
      <c r="T413" s="10">
        <v>1013215399000</v>
      </c>
      <c r="U413" s="12">
        <v>158378702000</v>
      </c>
      <c r="V413" s="13">
        <f t="shared" si="50"/>
        <v>4999322000000</v>
      </c>
      <c r="W413" s="13">
        <f t="shared" si="40"/>
        <v>0.24329387988446255</v>
      </c>
      <c r="X413" s="13">
        <f t="shared" si="41"/>
        <v>0.32151699770488879</v>
      </c>
      <c r="Y413" s="8">
        <f t="shared" ref="Y413:Y487" si="53">U413/J413</f>
        <v>2.3972477287791207E-2</v>
      </c>
      <c r="Z413" s="8">
        <f t="shared" ref="Z413:Z487" si="54">U413/M413</f>
        <v>3.1680036212910469E-2</v>
      </c>
      <c r="AA413" s="8">
        <f t="shared" si="42"/>
        <v>0.73326714112800295</v>
      </c>
      <c r="AB413" s="8">
        <f t="shared" ref="AB413:AB433" si="55">U413/O413</f>
        <v>0.10867417653145525</v>
      </c>
      <c r="AC413" s="8">
        <f t="shared" si="43"/>
        <v>0.73326714112800295</v>
      </c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spans="1:39" ht="15.75" customHeight="1">
      <c r="A414" s="6">
        <v>248</v>
      </c>
      <c r="B414" s="6">
        <v>2019</v>
      </c>
      <c r="C414" s="6" t="s">
        <v>377</v>
      </c>
      <c r="D414" s="7" t="s">
        <v>378</v>
      </c>
      <c r="E414" s="6" t="s">
        <v>368</v>
      </c>
      <c r="F414" s="6" t="s">
        <v>376</v>
      </c>
      <c r="G414" s="6"/>
      <c r="H414" s="6"/>
      <c r="I414" s="8"/>
      <c r="J414" s="8">
        <v>6844502000000</v>
      </c>
      <c r="K414" s="13">
        <v>914030000000</v>
      </c>
      <c r="L414" s="8">
        <v>1854577000000</v>
      </c>
      <c r="M414" s="8">
        <v>4989925000000</v>
      </c>
      <c r="N414" s="8">
        <v>2329040482</v>
      </c>
      <c r="O414" s="8">
        <v>1447915000000</v>
      </c>
      <c r="P414" s="8">
        <f>O414-1064378000000</f>
        <v>383537000000</v>
      </c>
      <c r="Q414" s="6"/>
      <c r="R414" s="6"/>
      <c r="S414" s="11"/>
      <c r="T414" s="10">
        <v>1125919516000</v>
      </c>
      <c r="U414" s="12">
        <v>144145475000</v>
      </c>
      <c r="V414" s="13">
        <f t="shared" si="50"/>
        <v>4989925000000</v>
      </c>
      <c r="W414" s="13">
        <f t="shared" si="40"/>
        <v>0.27095864680878168</v>
      </c>
      <c r="X414" s="13">
        <f t="shared" si="41"/>
        <v>0.371664303571697</v>
      </c>
      <c r="Y414" s="8">
        <f t="shared" si="53"/>
        <v>2.1060038407469235E-2</v>
      </c>
      <c r="Z414" s="8">
        <f t="shared" si="54"/>
        <v>2.8887302915374481E-2</v>
      </c>
      <c r="AA414" s="8">
        <f t="shared" si="42"/>
        <v>0.73511083178225245</v>
      </c>
      <c r="AB414" s="8">
        <f t="shared" si="55"/>
        <v>9.9553823946847711E-2</v>
      </c>
      <c r="AC414" s="8">
        <f t="shared" si="43"/>
        <v>0.73511083178225245</v>
      </c>
      <c r="AD414" s="9"/>
      <c r="AE414" s="9"/>
      <c r="AF414" s="9"/>
      <c r="AG414" s="10"/>
      <c r="AH414" s="9"/>
      <c r="AI414" s="9"/>
      <c r="AJ414" s="9"/>
      <c r="AK414" s="10"/>
      <c r="AL414" s="9"/>
      <c r="AM414" s="9"/>
    </row>
    <row r="415" spans="1:39" ht="15.75" customHeight="1">
      <c r="A415" s="6">
        <v>249</v>
      </c>
      <c r="B415" s="6">
        <v>2020</v>
      </c>
      <c r="C415" s="6" t="s">
        <v>377</v>
      </c>
      <c r="D415" s="7" t="s">
        <v>378</v>
      </c>
      <c r="E415" s="6" t="s">
        <v>368</v>
      </c>
      <c r="F415" s="6" t="s">
        <v>376</v>
      </c>
      <c r="G415" s="6"/>
      <c r="H415" s="6"/>
      <c r="I415" s="8"/>
      <c r="J415" s="8">
        <v>6719373000000</v>
      </c>
      <c r="K415" s="13">
        <v>1098562000000</v>
      </c>
      <c r="L415" s="8">
        <v>1840935000000</v>
      </c>
      <c r="M415" s="8">
        <v>4878438000000</v>
      </c>
      <c r="N415" s="8">
        <v>2329040482</v>
      </c>
      <c r="O415" s="8">
        <v>906264000000</v>
      </c>
      <c r="P415" s="8">
        <f>O415-643310000000</f>
        <v>262954000000</v>
      </c>
      <c r="Q415" s="6"/>
      <c r="R415" s="6"/>
      <c r="S415" s="11"/>
      <c r="T415" s="10">
        <v>886964149000</v>
      </c>
      <c r="U415" s="12">
        <v>-62540867000</v>
      </c>
      <c r="V415" s="13">
        <f t="shared" si="50"/>
        <v>4878438000000</v>
      </c>
      <c r="W415" s="13">
        <f t="shared" si="40"/>
        <v>0.27397422348781647</v>
      </c>
      <c r="X415" s="13">
        <f t="shared" si="41"/>
        <v>0.37736156532070309</v>
      </c>
      <c r="Y415" s="8">
        <f t="shared" si="53"/>
        <v>-9.3075450641004753E-3</v>
      </c>
      <c r="Z415" s="8">
        <f t="shared" si="54"/>
        <v>-1.2819854838782414E-2</v>
      </c>
      <c r="AA415" s="8">
        <f t="shared" si="42"/>
        <v>0.70984834441178291</v>
      </c>
      <c r="AB415" s="8">
        <f t="shared" si="55"/>
        <v>-6.900954578356859E-2</v>
      </c>
      <c r="AC415" s="8">
        <f t="shared" si="43"/>
        <v>0.70984834441178291</v>
      </c>
      <c r="AD415" s="9"/>
      <c r="AE415" s="9"/>
      <c r="AF415" s="9"/>
      <c r="AG415" s="10"/>
      <c r="AH415" s="9"/>
      <c r="AI415" s="9"/>
      <c r="AJ415" s="9"/>
      <c r="AK415" s="10"/>
      <c r="AL415" s="9"/>
      <c r="AM415" s="10"/>
    </row>
    <row r="416" spans="1:39" ht="15.75" customHeight="1">
      <c r="A416" s="6">
        <v>352</v>
      </c>
      <c r="B416" s="6">
        <v>2018</v>
      </c>
      <c r="C416" s="6" t="s">
        <v>379</v>
      </c>
      <c r="D416" s="7" t="s">
        <v>380</v>
      </c>
      <c r="E416" s="6" t="s">
        <v>368</v>
      </c>
      <c r="F416" s="6" t="s">
        <v>376</v>
      </c>
      <c r="G416" s="6"/>
      <c r="H416" s="9">
        <v>229094925000</v>
      </c>
      <c r="I416" s="10">
        <v>695681394000</v>
      </c>
      <c r="J416" s="10">
        <v>1813302512000</v>
      </c>
      <c r="K416" s="10">
        <v>522329301000</v>
      </c>
      <c r="L416" s="10">
        <v>981280224000</v>
      </c>
      <c r="M416" s="10">
        <v>832022288000</v>
      </c>
      <c r="N416" s="8">
        <v>3000000000</v>
      </c>
      <c r="O416" s="10">
        <v>2036941584000</v>
      </c>
      <c r="P416" s="10">
        <v>1667451739000</v>
      </c>
      <c r="Q416" s="6"/>
      <c r="R416" s="6"/>
      <c r="S416" s="11"/>
      <c r="T416" s="10">
        <v>332645410000</v>
      </c>
      <c r="U416" s="12">
        <v>-25036800000</v>
      </c>
      <c r="V416" s="9">
        <f t="shared" si="50"/>
        <v>832022288000</v>
      </c>
      <c r="W416" s="13">
        <f t="shared" si="40"/>
        <v>0.54115638041977188</v>
      </c>
      <c r="X416" s="13">
        <f t="shared" si="41"/>
        <v>1.1793917520632573</v>
      </c>
      <c r="Y416" s="8">
        <f t="shared" si="53"/>
        <v>-1.3807293506909343E-2</v>
      </c>
      <c r="Z416" s="8">
        <f t="shared" si="54"/>
        <v>-3.0091501587274787E-2</v>
      </c>
      <c r="AA416" s="8">
        <f t="shared" si="42"/>
        <v>0.18139442382752199</v>
      </c>
      <c r="AB416" s="8">
        <f t="shared" si="55"/>
        <v>-1.2291368685612734E-2</v>
      </c>
      <c r="AC416" s="8">
        <f t="shared" si="43"/>
        <v>0.18139442382752199</v>
      </c>
      <c r="AD416" s="10"/>
      <c r="AE416" s="9"/>
      <c r="AF416" s="9"/>
      <c r="AG416" s="9"/>
      <c r="AH416" s="9"/>
      <c r="AI416" s="9"/>
      <c r="AJ416" s="9"/>
      <c r="AK416" s="10"/>
      <c r="AL416" s="9"/>
      <c r="AM416" s="10"/>
    </row>
    <row r="417" spans="1:39" ht="15.75" customHeight="1">
      <c r="A417" s="6">
        <v>353</v>
      </c>
      <c r="B417" s="6">
        <v>2019</v>
      </c>
      <c r="C417" s="6" t="s">
        <v>379</v>
      </c>
      <c r="D417" s="7" t="s">
        <v>380</v>
      </c>
      <c r="E417" s="6" t="s">
        <v>368</v>
      </c>
      <c r="F417" s="6" t="s">
        <v>376</v>
      </c>
      <c r="G417" s="6"/>
      <c r="H417" s="9">
        <v>178505556000</v>
      </c>
      <c r="I417" s="10">
        <v>662561959000</v>
      </c>
      <c r="J417" s="10">
        <v>2147806690000</v>
      </c>
      <c r="K417" s="10">
        <v>672142416000</v>
      </c>
      <c r="L417" s="10">
        <v>1184565998000</v>
      </c>
      <c r="M417" s="10">
        <v>963240692000</v>
      </c>
      <c r="N417" s="8">
        <v>3000000000</v>
      </c>
      <c r="O417" s="10">
        <v>1951162527000</v>
      </c>
      <c r="P417" s="10">
        <v>1594630785000</v>
      </c>
      <c r="Q417" s="6"/>
      <c r="R417" s="6"/>
      <c r="S417" s="11"/>
      <c r="T417" s="10">
        <v>298494919000</v>
      </c>
      <c r="U417" s="12">
        <v>-22517311000</v>
      </c>
      <c r="V417" s="9">
        <f t="shared" si="50"/>
        <v>963240692000</v>
      </c>
      <c r="W417" s="13">
        <f t="shared" si="40"/>
        <v>0.55152356285844328</v>
      </c>
      <c r="X417" s="13">
        <f t="shared" si="41"/>
        <v>1.229771549144645</v>
      </c>
      <c r="Y417" s="8">
        <f t="shared" si="53"/>
        <v>-1.0483862958821494E-2</v>
      </c>
      <c r="Z417" s="8">
        <f t="shared" si="54"/>
        <v>-2.3376619350711565E-2</v>
      </c>
      <c r="AA417" s="8">
        <f t="shared" si="42"/>
        <v>0.18272785432599689</v>
      </c>
      <c r="AB417" s="8">
        <f t="shared" si="55"/>
        <v>-1.1540458925593132E-2</v>
      </c>
      <c r="AC417" s="8">
        <f t="shared" si="43"/>
        <v>0.18272785432599689</v>
      </c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spans="1:39" ht="15.75" customHeight="1">
      <c r="A418" s="6">
        <v>354</v>
      </c>
      <c r="B418" s="6">
        <v>2020</v>
      </c>
      <c r="C418" s="6" t="s">
        <v>379</v>
      </c>
      <c r="D418" s="7" t="s">
        <v>380</v>
      </c>
      <c r="E418" s="6" t="s">
        <v>368</v>
      </c>
      <c r="F418" s="6" t="s">
        <v>376</v>
      </c>
      <c r="G418" s="6"/>
      <c r="H418" s="9">
        <v>135455278000</v>
      </c>
      <c r="I418" s="10">
        <v>628986029000</v>
      </c>
      <c r="J418" s="10">
        <v>1766974297000</v>
      </c>
      <c r="K418" s="10">
        <v>552810865000</v>
      </c>
      <c r="L418" s="10">
        <v>1058362855000</v>
      </c>
      <c r="M418" s="10">
        <v>708611442000</v>
      </c>
      <c r="N418" s="8">
        <v>3000000000</v>
      </c>
      <c r="O418" s="10">
        <v>793211964000</v>
      </c>
      <c r="P418" s="10">
        <v>728944315000</v>
      </c>
      <c r="Q418" s="6"/>
      <c r="R418" s="6"/>
      <c r="S418" s="11"/>
      <c r="T418" s="9">
        <v>190868505000</v>
      </c>
      <c r="U418" s="12">
        <v>-215673529000</v>
      </c>
      <c r="V418" s="9">
        <f t="shared" si="50"/>
        <v>708611442000</v>
      </c>
      <c r="W418" s="13">
        <f t="shared" si="40"/>
        <v>0.59896901545025705</v>
      </c>
      <c r="X418" s="13">
        <f t="shared" si="41"/>
        <v>1.4935729121348282</v>
      </c>
      <c r="Y418" s="8">
        <f t="shared" si="53"/>
        <v>-0.12205810201437242</v>
      </c>
      <c r="Z418" s="8">
        <f t="shared" si="54"/>
        <v>-0.30436077688962859</v>
      </c>
      <c r="AA418" s="8">
        <f t="shared" si="42"/>
        <v>8.1022036878909201E-2</v>
      </c>
      <c r="AB418" s="8">
        <f t="shared" si="55"/>
        <v>-0.27189898638493054</v>
      </c>
      <c r="AC418" s="8">
        <f t="shared" si="43"/>
        <v>8.1022036878909201E-2</v>
      </c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spans="1:39" ht="15.75" customHeight="1">
      <c r="A419" s="6">
        <v>355</v>
      </c>
      <c r="B419" s="6">
        <v>2018</v>
      </c>
      <c r="C419" s="6" t="s">
        <v>381</v>
      </c>
      <c r="D419" s="7" t="s">
        <v>382</v>
      </c>
      <c r="E419" s="6" t="s">
        <v>368</v>
      </c>
      <c r="F419" s="6" t="s">
        <v>376</v>
      </c>
      <c r="G419" s="8"/>
      <c r="H419" s="9"/>
      <c r="I419" s="10">
        <v>204062239686</v>
      </c>
      <c r="J419" s="10">
        <v>456923225038</v>
      </c>
      <c r="K419" s="10">
        <v>142904828344</v>
      </c>
      <c r="L419" s="10">
        <v>244773483309</v>
      </c>
      <c r="M419" s="10">
        <v>212149741729</v>
      </c>
      <c r="N419" s="8">
        <v>2000000000</v>
      </c>
      <c r="O419" s="10">
        <v>514853779039</v>
      </c>
      <c r="P419" s="10">
        <v>399842044825</v>
      </c>
      <c r="Q419" s="6"/>
      <c r="R419" s="6"/>
      <c r="S419" s="11"/>
      <c r="T419" s="9">
        <v>97630449697</v>
      </c>
      <c r="U419" s="12">
        <v>2864588077</v>
      </c>
      <c r="V419" s="9">
        <f t="shared" si="50"/>
        <v>212149741729</v>
      </c>
      <c r="W419" s="13">
        <f t="shared" si="40"/>
        <v>0.53569936894462611</v>
      </c>
      <c r="X419" s="13">
        <f t="shared" si="41"/>
        <v>1.1537769563805247</v>
      </c>
      <c r="Y419" s="8">
        <f t="shared" si="53"/>
        <v>6.2692984729803714E-3</v>
      </c>
      <c r="Z419" s="8">
        <f t="shared" si="54"/>
        <v>1.3502670583776735E-2</v>
      </c>
      <c r="AA419" s="8">
        <f t="shared" si="42"/>
        <v>0.22338718078106581</v>
      </c>
      <c r="AB419" s="8">
        <f t="shared" si="55"/>
        <v>5.5638866676804722E-3</v>
      </c>
      <c r="AC419" s="8">
        <f t="shared" si="43"/>
        <v>0.22338718078106581</v>
      </c>
      <c r="AD419" s="10"/>
      <c r="AE419" s="9"/>
      <c r="AF419" s="9"/>
      <c r="AG419" s="9"/>
      <c r="AH419" s="9"/>
      <c r="AI419" s="9"/>
      <c r="AJ419" s="9"/>
      <c r="AK419" s="10"/>
      <c r="AL419" s="9"/>
      <c r="AM419" s="10"/>
    </row>
    <row r="420" spans="1:39" ht="15.75" customHeight="1">
      <c r="A420" s="6">
        <v>356</v>
      </c>
      <c r="B420" s="6">
        <v>2019</v>
      </c>
      <c r="C420" s="6" t="s">
        <v>381</v>
      </c>
      <c r="D420" s="7" t="s">
        <v>382</v>
      </c>
      <c r="E420" s="6" t="s">
        <v>368</v>
      </c>
      <c r="F420" s="6" t="s">
        <v>376</v>
      </c>
      <c r="G420" s="8"/>
      <c r="H420" s="9"/>
      <c r="I420" s="10">
        <v>100349440464</v>
      </c>
      <c r="J420" s="10">
        <v>451206902576</v>
      </c>
      <c r="K420" s="10">
        <v>187229864682</v>
      </c>
      <c r="L420" s="10">
        <v>253625707915</v>
      </c>
      <c r="M420" s="10">
        <v>197581194661</v>
      </c>
      <c r="N420" s="8">
        <v>2000000000</v>
      </c>
      <c r="O420" s="10">
        <v>461925614535</v>
      </c>
      <c r="P420" s="10">
        <v>371435376708</v>
      </c>
      <c r="Q420" s="6"/>
      <c r="R420" s="6"/>
      <c r="S420" s="11"/>
      <c r="T420" s="9">
        <v>91546564513</v>
      </c>
      <c r="U420" s="12">
        <v>-15086659357</v>
      </c>
      <c r="V420" s="9">
        <f t="shared" si="50"/>
        <v>197581194661</v>
      </c>
      <c r="W420" s="13">
        <f t="shared" si="40"/>
        <v>0.56210511511906669</v>
      </c>
      <c r="X420" s="13">
        <f t="shared" si="41"/>
        <v>1.2836530741205325</v>
      </c>
      <c r="Y420" s="8">
        <f t="shared" si="53"/>
        <v>-3.3436233512537737E-2</v>
      </c>
      <c r="Z420" s="8">
        <f t="shared" si="54"/>
        <v>-7.6356757447918769E-2</v>
      </c>
      <c r="AA420" s="8">
        <f t="shared" si="42"/>
        <v>0.19589785666701445</v>
      </c>
      <c r="AB420" s="8">
        <f t="shared" si="55"/>
        <v>-3.2660365397115011E-2</v>
      </c>
      <c r="AC420" s="8">
        <f t="shared" si="43"/>
        <v>0.19589785666701445</v>
      </c>
      <c r="AD420" s="10"/>
      <c r="AE420" s="9"/>
      <c r="AF420" s="9"/>
      <c r="AG420" s="9"/>
      <c r="AH420" s="9"/>
      <c r="AI420" s="9"/>
      <c r="AJ420" s="9"/>
      <c r="AK420" s="10"/>
      <c r="AL420" s="9"/>
      <c r="AM420" s="10"/>
    </row>
    <row r="421" spans="1:39" ht="15.75" customHeight="1">
      <c r="A421" s="6">
        <v>357</v>
      </c>
      <c r="B421" s="6">
        <v>2020</v>
      </c>
      <c r="C421" s="6" t="s">
        <v>381</v>
      </c>
      <c r="D421" s="7" t="s">
        <v>382</v>
      </c>
      <c r="E421" s="6" t="s">
        <v>368</v>
      </c>
      <c r="F421" s="6" t="s">
        <v>376</v>
      </c>
      <c r="G421" s="8"/>
      <c r="H421" s="9"/>
      <c r="I421" s="10">
        <v>70610361717</v>
      </c>
      <c r="J421" s="10">
        <v>339433285788</v>
      </c>
      <c r="K421" s="10">
        <v>131332628460</v>
      </c>
      <c r="L421" s="10">
        <v>244450842556</v>
      </c>
      <c r="M421" s="10">
        <v>94982443232</v>
      </c>
      <c r="N421" s="8">
        <v>2000000000</v>
      </c>
      <c r="O421" s="10">
        <v>73333638785</v>
      </c>
      <c r="P421" s="10">
        <v>95600145849</v>
      </c>
      <c r="Q421" s="6"/>
      <c r="R421" s="6"/>
      <c r="S421" s="11"/>
      <c r="T421" s="9">
        <v>78327177960</v>
      </c>
      <c r="U421" s="12">
        <v>-87393671376</v>
      </c>
      <c r="V421" s="9">
        <f t="shared" si="50"/>
        <v>94982443232</v>
      </c>
      <c r="W421" s="13">
        <f t="shared" si="40"/>
        <v>0.7201734561432398</v>
      </c>
      <c r="X421" s="13">
        <f t="shared" si="41"/>
        <v>2.5736423936675852</v>
      </c>
      <c r="Y421" s="8">
        <f t="shared" si="53"/>
        <v>-0.2574693615362858</v>
      </c>
      <c r="Z421" s="8">
        <f t="shared" si="54"/>
        <v>-0.92010342545659729</v>
      </c>
      <c r="AA421" s="8">
        <f t="shared" si="42"/>
        <v>-0.30363292252933305</v>
      </c>
      <c r="AB421" s="8">
        <f t="shared" si="55"/>
        <v>-1.1917269185594526</v>
      </c>
      <c r="AC421" s="8">
        <f t="shared" si="43"/>
        <v>-0.30363292252933305</v>
      </c>
      <c r="AD421" s="10"/>
      <c r="AE421" s="9"/>
      <c r="AF421" s="9"/>
      <c r="AG421" s="9"/>
      <c r="AH421" s="9"/>
      <c r="AI421" s="9"/>
      <c r="AJ421" s="9"/>
      <c r="AK421" s="10"/>
      <c r="AL421" s="9"/>
      <c r="AM421" s="10"/>
    </row>
    <row r="422" spans="1:39" ht="15.75" customHeight="1">
      <c r="A422" s="6">
        <v>481</v>
      </c>
      <c r="B422" s="6">
        <v>2018</v>
      </c>
      <c r="C422" s="6" t="s">
        <v>383</v>
      </c>
      <c r="D422" s="7" t="s">
        <v>384</v>
      </c>
      <c r="E422" s="6" t="s">
        <v>385</v>
      </c>
      <c r="F422" s="6" t="s">
        <v>386</v>
      </c>
      <c r="G422" s="8"/>
      <c r="H422" s="10">
        <v>17390283973</v>
      </c>
      <c r="I422" s="10">
        <v>319990859164</v>
      </c>
      <c r="J422" s="10">
        <v>1255573914558</v>
      </c>
      <c r="K422" s="9">
        <v>100134734182</v>
      </c>
      <c r="L422" s="9">
        <v>250337111893</v>
      </c>
      <c r="M422" s="9">
        <v>1005236802665</v>
      </c>
      <c r="N422" s="8">
        <v>4050000000</v>
      </c>
      <c r="O422" s="10">
        <v>1405384153405</v>
      </c>
      <c r="P422" s="10">
        <v>963851587401</v>
      </c>
      <c r="Q422" s="6"/>
      <c r="R422" s="6"/>
      <c r="S422" s="11"/>
      <c r="T422" s="8">
        <v>389346287885</v>
      </c>
      <c r="U422" s="12">
        <v>51142850919</v>
      </c>
      <c r="V422" s="9">
        <f t="shared" si="50"/>
        <v>1005236802665</v>
      </c>
      <c r="W422" s="13">
        <f t="shared" si="40"/>
        <v>0.19938062505951809</v>
      </c>
      <c r="X422" s="13">
        <f t="shared" si="41"/>
        <v>0.24903297534404542</v>
      </c>
      <c r="Y422" s="8">
        <f t="shared" si="53"/>
        <v>4.0732648493262011E-2</v>
      </c>
      <c r="Z422" s="8">
        <f t="shared" si="54"/>
        <v>5.0876421141182196E-2</v>
      </c>
      <c r="AA422" s="8">
        <f t="shared" si="42"/>
        <v>0.31417215352417616</v>
      </c>
      <c r="AB422" s="8">
        <f t="shared" si="55"/>
        <v>3.6390655747106454E-2</v>
      </c>
      <c r="AC422" s="8">
        <f t="shared" si="43"/>
        <v>0.31417215352417616</v>
      </c>
      <c r="AD422" s="9"/>
      <c r="AE422" s="9"/>
      <c r="AF422" s="9"/>
      <c r="AG422" s="9"/>
      <c r="AH422" s="9"/>
      <c r="AI422" s="9"/>
      <c r="AJ422" s="10"/>
      <c r="AK422" s="10"/>
      <c r="AL422" s="10"/>
      <c r="AM422" s="10"/>
    </row>
    <row r="423" spans="1:39" ht="15.75" customHeight="1">
      <c r="A423" s="6">
        <v>482</v>
      </c>
      <c r="B423" s="6">
        <v>2019</v>
      </c>
      <c r="C423" s="6" t="s">
        <v>383</v>
      </c>
      <c r="D423" s="7" t="s">
        <v>384</v>
      </c>
      <c r="E423" s="6" t="s">
        <v>385</v>
      </c>
      <c r="F423" s="6" t="s">
        <v>386</v>
      </c>
      <c r="G423" s="8"/>
      <c r="H423" s="10">
        <v>14576866437</v>
      </c>
      <c r="I423" s="10">
        <v>329061638626</v>
      </c>
      <c r="J423" s="10">
        <v>1299521608556</v>
      </c>
      <c r="K423" s="9">
        <v>108907088448</v>
      </c>
      <c r="L423" s="10">
        <v>266351031079</v>
      </c>
      <c r="M423" s="10">
        <v>1033170577477</v>
      </c>
      <c r="N423" s="8">
        <v>4050000000</v>
      </c>
      <c r="O423" s="10">
        <v>1393574099760</v>
      </c>
      <c r="P423" s="10">
        <v>962040733573</v>
      </c>
      <c r="Q423" s="6"/>
      <c r="R423" s="6"/>
      <c r="S423" s="11"/>
      <c r="T423" s="8">
        <v>402885126126</v>
      </c>
      <c r="U423" s="12">
        <v>27328091481</v>
      </c>
      <c r="V423" s="9">
        <f t="shared" si="50"/>
        <v>1033170577477</v>
      </c>
      <c r="W423" s="13">
        <f t="shared" si="40"/>
        <v>0.2049608327598057</v>
      </c>
      <c r="X423" s="13">
        <f t="shared" si="41"/>
        <v>0.25779966724316578</v>
      </c>
      <c r="Y423" s="8">
        <f t="shared" si="53"/>
        <v>2.1029347493010431E-2</v>
      </c>
      <c r="Z423" s="8">
        <f t="shared" si="54"/>
        <v>2.645070627904942E-2</v>
      </c>
      <c r="AA423" s="8">
        <f t="shared" si="42"/>
        <v>0.30965943343903868</v>
      </c>
      <c r="AB423" s="8">
        <f t="shared" si="55"/>
        <v>1.9610074186730664E-2</v>
      </c>
      <c r="AC423" s="8">
        <f t="shared" si="43"/>
        <v>0.30965943343903868</v>
      </c>
      <c r="AD423" s="9"/>
      <c r="AE423" s="9"/>
      <c r="AF423" s="9"/>
      <c r="AG423" s="9"/>
      <c r="AH423" s="9"/>
      <c r="AI423" s="9"/>
      <c r="AJ423" s="10"/>
      <c r="AK423" s="10"/>
      <c r="AL423" s="10"/>
      <c r="AM423" s="10"/>
    </row>
    <row r="424" spans="1:39" ht="15.75" customHeight="1">
      <c r="A424" s="6">
        <v>483</v>
      </c>
      <c r="B424" s="6">
        <v>2020</v>
      </c>
      <c r="C424" s="6" t="s">
        <v>383</v>
      </c>
      <c r="D424" s="7" t="s">
        <v>384</v>
      </c>
      <c r="E424" s="6" t="s">
        <v>385</v>
      </c>
      <c r="F424" s="6" t="s">
        <v>386</v>
      </c>
      <c r="G424" s="8"/>
      <c r="H424" s="10"/>
      <c r="I424" s="10">
        <v>298904982008</v>
      </c>
      <c r="J424" s="10">
        <v>1614442007528</v>
      </c>
      <c r="K424" s="9">
        <v>76799383517</v>
      </c>
      <c r="L424" s="10">
        <v>428590166019</v>
      </c>
      <c r="M424" s="10">
        <v>1185851841509</v>
      </c>
      <c r="N424" s="8">
        <v>4050000000</v>
      </c>
      <c r="O424" s="10">
        <v>1994066771177</v>
      </c>
      <c r="P424" s="10">
        <v>1368626457514</v>
      </c>
      <c r="Q424" s="6"/>
      <c r="R424" s="6"/>
      <c r="S424" s="11"/>
      <c r="T424" s="8">
        <v>420569492780</v>
      </c>
      <c r="U424" s="12">
        <v>172506562986</v>
      </c>
      <c r="V424" s="9">
        <f t="shared" si="50"/>
        <v>1185851841509</v>
      </c>
      <c r="W424" s="13">
        <f t="shared" si="40"/>
        <v>0.2654726301846223</v>
      </c>
      <c r="X424" s="13">
        <f t="shared" si="41"/>
        <v>0.36141965717540037</v>
      </c>
      <c r="Y424" s="8">
        <f t="shared" si="53"/>
        <v>0.10685212734902659</v>
      </c>
      <c r="Z424" s="8">
        <f t="shared" si="54"/>
        <v>0.14547058658397399</v>
      </c>
      <c r="AA424" s="8">
        <f t="shared" si="42"/>
        <v>0.31365063733238641</v>
      </c>
      <c r="AB424" s="8">
        <f t="shared" si="55"/>
        <v>8.6509923077539588E-2</v>
      </c>
      <c r="AC424" s="8">
        <f t="shared" si="43"/>
        <v>0.31365063733238641</v>
      </c>
      <c r="AD424" s="9"/>
      <c r="AE424" s="9"/>
      <c r="AF424" s="9"/>
      <c r="AG424" s="9"/>
      <c r="AH424" s="9"/>
      <c r="AI424" s="9"/>
      <c r="AJ424" s="10"/>
      <c r="AK424" s="10"/>
      <c r="AL424" s="10"/>
      <c r="AM424" s="10"/>
    </row>
    <row r="425" spans="1:39" ht="15.75" customHeight="1">
      <c r="A425" s="6">
        <v>91</v>
      </c>
      <c r="B425" s="6">
        <v>2018</v>
      </c>
      <c r="C425" s="6" t="s">
        <v>387</v>
      </c>
      <c r="D425" s="7" t="s">
        <v>388</v>
      </c>
      <c r="E425" s="6" t="s">
        <v>389</v>
      </c>
      <c r="F425" s="6" t="s">
        <v>390</v>
      </c>
      <c r="G425" s="6"/>
      <c r="H425" s="22">
        <f>635656522+66202233</f>
        <v>701858755</v>
      </c>
      <c r="I425" s="22">
        <v>96622567</v>
      </c>
      <c r="J425" s="22">
        <v>1217756185</v>
      </c>
      <c r="K425" s="22">
        <v>367933190</v>
      </c>
      <c r="L425" s="22">
        <v>850913925</v>
      </c>
      <c r="M425" s="22">
        <v>366842260</v>
      </c>
      <c r="N425" s="8">
        <v>92000000000</v>
      </c>
      <c r="O425" s="22">
        <v>27160117</v>
      </c>
      <c r="P425" s="26">
        <v>8857848</v>
      </c>
      <c r="Q425" s="6"/>
      <c r="R425" s="6"/>
      <c r="S425" s="11"/>
      <c r="T425" s="21">
        <f>6291249+92234291</f>
        <v>98525540</v>
      </c>
      <c r="U425" s="22">
        <v>21857585</v>
      </c>
      <c r="V425" s="21">
        <f t="shared" si="50"/>
        <v>366842260</v>
      </c>
      <c r="W425" s="13">
        <f t="shared" si="40"/>
        <v>0.69875557642928332</v>
      </c>
      <c r="X425" s="13">
        <f t="shared" si="41"/>
        <v>2.3195635230248555</v>
      </c>
      <c r="Y425" s="8">
        <f t="shared" si="53"/>
        <v>1.7949065066748152E-2</v>
      </c>
      <c r="Z425" s="8">
        <f t="shared" si="54"/>
        <v>5.9583061667976854E-2</v>
      </c>
      <c r="AA425" s="8">
        <f t="shared" si="42"/>
        <v>0.6738656170001035</v>
      </c>
      <c r="AB425" s="8">
        <f t="shared" si="55"/>
        <v>0.80476770405665043</v>
      </c>
      <c r="AC425" s="8">
        <f t="shared" si="43"/>
        <v>0.6738656170001035</v>
      </c>
      <c r="AD425" s="9"/>
      <c r="AE425" s="10"/>
      <c r="AF425" s="9"/>
      <c r="AG425" s="9"/>
      <c r="AH425" s="9"/>
      <c r="AI425" s="9"/>
      <c r="AJ425" s="9"/>
      <c r="AK425" s="10"/>
      <c r="AL425" s="9"/>
      <c r="AM425" s="9"/>
    </row>
    <row r="426" spans="1:39" ht="15.75" customHeight="1">
      <c r="A426" s="6">
        <v>92</v>
      </c>
      <c r="B426" s="6">
        <v>2019</v>
      </c>
      <c r="C426" s="6" t="s">
        <v>387</v>
      </c>
      <c r="D426" s="7" t="s">
        <v>388</v>
      </c>
      <c r="E426" s="6" t="s">
        <v>389</v>
      </c>
      <c r="F426" s="6" t="s">
        <v>390</v>
      </c>
      <c r="G426" s="6"/>
      <c r="H426" s="22">
        <v>696556129</v>
      </c>
      <c r="I426" s="22">
        <v>91416335</v>
      </c>
      <c r="J426" s="22">
        <v>1253551407</v>
      </c>
      <c r="K426" s="22">
        <v>589772058</v>
      </c>
      <c r="L426" s="22">
        <v>890079906</v>
      </c>
      <c r="M426" s="22">
        <v>363471501</v>
      </c>
      <c r="N426" s="8">
        <v>92000000000</v>
      </c>
      <c r="O426" s="22">
        <v>70887975</v>
      </c>
      <c r="P426" s="22">
        <v>12754985</v>
      </c>
      <c r="Q426" s="6"/>
      <c r="R426" s="6"/>
      <c r="S426" s="11"/>
      <c r="T426" s="21">
        <f>5982794+62395087</f>
        <v>68377881</v>
      </c>
      <c r="U426" s="22">
        <v>27436566</v>
      </c>
      <c r="V426" s="21">
        <f t="shared" si="50"/>
        <v>363471501</v>
      </c>
      <c r="W426" s="13">
        <f t="shared" si="40"/>
        <v>0.71004659324673391</v>
      </c>
      <c r="X426" s="13">
        <f t="shared" si="41"/>
        <v>2.4488299730547514</v>
      </c>
      <c r="Y426" s="8">
        <f t="shared" si="53"/>
        <v>2.1887068888272566E-2</v>
      </c>
      <c r="Z426" s="8">
        <f t="shared" si="54"/>
        <v>7.5484779204188557E-2</v>
      </c>
      <c r="AA426" s="8">
        <f t="shared" si="42"/>
        <v>0.82006842486331422</v>
      </c>
      <c r="AB426" s="8">
        <f t="shared" si="55"/>
        <v>0.38704118716890984</v>
      </c>
      <c r="AC426" s="8">
        <f t="shared" si="43"/>
        <v>0.82006842486331422</v>
      </c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 spans="1:39" ht="15.75" customHeight="1">
      <c r="A427" s="6">
        <v>93</v>
      </c>
      <c r="B427" s="6">
        <v>2020</v>
      </c>
      <c r="C427" s="6" t="s">
        <v>387</v>
      </c>
      <c r="D427" s="7" t="s">
        <v>388</v>
      </c>
      <c r="E427" s="6" t="s">
        <v>389</v>
      </c>
      <c r="F427" s="6" t="s">
        <v>390</v>
      </c>
      <c r="G427" s="6"/>
      <c r="H427" s="21">
        <v>743674295</v>
      </c>
      <c r="I427" s="22">
        <v>124707879</v>
      </c>
      <c r="J427" s="22">
        <v>1343685482</v>
      </c>
      <c r="K427" s="22">
        <v>446540174</v>
      </c>
      <c r="L427" s="22">
        <v>958118148</v>
      </c>
      <c r="M427" s="22">
        <v>385567334</v>
      </c>
      <c r="N427" s="8">
        <v>92000000000</v>
      </c>
      <c r="O427" s="22">
        <v>78511899</v>
      </c>
      <c r="P427" s="22">
        <v>13321407</v>
      </c>
      <c r="Q427" s="6"/>
      <c r="R427" s="6"/>
      <c r="S427" s="11"/>
      <c r="T427" s="9">
        <f>7640131+58263018</f>
        <v>65903149</v>
      </c>
      <c r="U427" s="22">
        <v>27045536</v>
      </c>
      <c r="V427" s="21">
        <f t="shared" si="50"/>
        <v>385567334</v>
      </c>
      <c r="W427" s="13">
        <f t="shared" si="40"/>
        <v>0.71305239271759879</v>
      </c>
      <c r="X427" s="13">
        <f t="shared" si="41"/>
        <v>2.4849567468804294</v>
      </c>
      <c r="Y427" s="8">
        <f t="shared" si="53"/>
        <v>2.0127876919339968E-2</v>
      </c>
      <c r="Z427" s="8">
        <f t="shared" si="54"/>
        <v>7.0144780470432697E-2</v>
      </c>
      <c r="AA427" s="8">
        <f t="shared" si="42"/>
        <v>0.83032626685032795</v>
      </c>
      <c r="AB427" s="8">
        <f t="shared" si="55"/>
        <v>0.34447690534144387</v>
      </c>
      <c r="AC427" s="8">
        <f t="shared" si="43"/>
        <v>0.83032626685032795</v>
      </c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 spans="1:39" ht="15.75" customHeight="1">
      <c r="A428" s="6">
        <v>166</v>
      </c>
      <c r="B428" s="6">
        <v>2018</v>
      </c>
      <c r="C428" s="6" t="s">
        <v>391</v>
      </c>
      <c r="D428" s="7" t="s">
        <v>392</v>
      </c>
      <c r="E428" s="6" t="s">
        <v>389</v>
      </c>
      <c r="F428" s="6" t="s">
        <v>390</v>
      </c>
      <c r="G428" s="6"/>
      <c r="H428" s="9">
        <v>8946000000</v>
      </c>
      <c r="I428" s="8">
        <v>1735854000000</v>
      </c>
      <c r="J428" s="8">
        <v>5657327000000</v>
      </c>
      <c r="K428" s="8">
        <v>240229000000</v>
      </c>
      <c r="L428" s="8">
        <v>2357127000000</v>
      </c>
      <c r="M428" s="8">
        <v>3300200000000</v>
      </c>
      <c r="N428" s="8">
        <v>22500000000</v>
      </c>
      <c r="O428" s="8">
        <v>6624774000000</v>
      </c>
      <c r="P428" s="8">
        <v>5972680000000</v>
      </c>
      <c r="Q428" s="6"/>
      <c r="R428" s="6"/>
      <c r="S428" s="11"/>
      <c r="T428" s="9">
        <f>2579000000+268740000000+90092000000</f>
        <v>361411000000</v>
      </c>
      <c r="U428" s="12">
        <v>276316000000</v>
      </c>
      <c r="V428" s="13">
        <f t="shared" si="50"/>
        <v>3300200000000</v>
      </c>
      <c r="W428" s="13">
        <f t="shared" si="40"/>
        <v>0.4166503014586217</v>
      </c>
      <c r="X428" s="13">
        <f t="shared" si="41"/>
        <v>0.71423762196230534</v>
      </c>
      <c r="Y428" s="8">
        <f t="shared" si="53"/>
        <v>4.8842147537167285E-2</v>
      </c>
      <c r="Z428" s="8">
        <f t="shared" si="54"/>
        <v>8.372704684564572E-2</v>
      </c>
      <c r="AA428" s="8">
        <f t="shared" si="42"/>
        <v>9.843264087197541E-2</v>
      </c>
      <c r="AB428" s="8">
        <f t="shared" si="55"/>
        <v>4.1709498316470868E-2</v>
      </c>
      <c r="AC428" s="8">
        <f t="shared" si="43"/>
        <v>9.843264087197541E-2</v>
      </c>
      <c r="AD428" s="9"/>
      <c r="AE428" s="9">
        <v>120661000000</v>
      </c>
      <c r="AF428" s="9"/>
      <c r="AG428" s="9"/>
      <c r="AH428" s="9"/>
      <c r="AI428" s="9"/>
      <c r="AJ428" s="9"/>
      <c r="AK428" s="10"/>
      <c r="AL428" s="9"/>
      <c r="AM428" s="9"/>
    </row>
    <row r="429" spans="1:39" ht="15.75" customHeight="1">
      <c r="A429" s="6">
        <v>167</v>
      </c>
      <c r="B429" s="6">
        <v>2019</v>
      </c>
      <c r="C429" s="6" t="s">
        <v>391</v>
      </c>
      <c r="D429" s="7" t="s">
        <v>392</v>
      </c>
      <c r="E429" s="6" t="s">
        <v>389</v>
      </c>
      <c r="F429" s="6" t="s">
        <v>390</v>
      </c>
      <c r="G429" s="6"/>
      <c r="H429" s="9">
        <v>16660000000</v>
      </c>
      <c r="I429" s="8">
        <v>1819321000000</v>
      </c>
      <c r="J429" s="8">
        <v>6805037000000</v>
      </c>
      <c r="K429" s="8">
        <v>724004000000</v>
      </c>
      <c r="L429" s="8">
        <v>3228339000000</v>
      </c>
      <c r="M429" s="8">
        <v>3576698000000</v>
      </c>
      <c r="N429" s="8">
        <v>22500000000</v>
      </c>
      <c r="O429" s="8">
        <v>8385122000000</v>
      </c>
      <c r="P429" s="8">
        <v>7514040000000</v>
      </c>
      <c r="Q429" s="6"/>
      <c r="R429" s="6"/>
      <c r="S429" s="11"/>
      <c r="T429" s="9">
        <f>4180000000+333221000000+40490000000+15705000000</f>
        <v>393596000000</v>
      </c>
      <c r="U429" s="12">
        <v>356477000000</v>
      </c>
      <c r="V429" s="13">
        <f t="shared" si="50"/>
        <v>3576698000000</v>
      </c>
      <c r="W429" s="13">
        <f t="shared" si="40"/>
        <v>0.47440432726523013</v>
      </c>
      <c r="X429" s="13">
        <f t="shared" si="41"/>
        <v>0.90260318315943922</v>
      </c>
      <c r="Y429" s="8">
        <f t="shared" si="53"/>
        <v>5.2384285346281E-2</v>
      </c>
      <c r="Z429" s="8">
        <f t="shared" si="54"/>
        <v>9.9666508047366598E-2</v>
      </c>
      <c r="AA429" s="8">
        <f t="shared" si="42"/>
        <v>0.10388423686620182</v>
      </c>
      <c r="AB429" s="8">
        <f t="shared" si="55"/>
        <v>4.2513036781098711E-2</v>
      </c>
      <c r="AC429" s="8">
        <f t="shared" si="43"/>
        <v>0.10388423686620182</v>
      </c>
      <c r="AD429" s="9"/>
      <c r="AE429" s="18">
        <v>124371000000</v>
      </c>
      <c r="AF429" s="9"/>
      <c r="AG429" s="9"/>
      <c r="AH429" s="9"/>
      <c r="AI429" s="9"/>
      <c r="AJ429" s="9"/>
      <c r="AK429" s="9"/>
      <c r="AL429" s="9"/>
      <c r="AM429" s="9"/>
    </row>
    <row r="430" spans="1:39" ht="15.75" customHeight="1">
      <c r="A430" s="6">
        <v>168</v>
      </c>
      <c r="B430" s="6">
        <v>2020</v>
      </c>
      <c r="C430" s="6" t="s">
        <v>391</v>
      </c>
      <c r="D430" s="7" t="s">
        <v>392</v>
      </c>
      <c r="E430" s="6" t="s">
        <v>389</v>
      </c>
      <c r="F430" s="6" t="s">
        <v>390</v>
      </c>
      <c r="G430" s="8"/>
      <c r="H430" s="9">
        <v>19622000000</v>
      </c>
      <c r="I430" s="8">
        <v>1811979000000</v>
      </c>
      <c r="J430" s="8">
        <v>7562822000000</v>
      </c>
      <c r="K430" s="8">
        <v>1248409000000</v>
      </c>
      <c r="L430" s="8">
        <v>3821876000000</v>
      </c>
      <c r="M430" s="8">
        <v>3740946000000</v>
      </c>
      <c r="N430" s="8">
        <v>22500000000</v>
      </c>
      <c r="O430" s="8">
        <v>7726945000000</v>
      </c>
      <c r="P430" s="8">
        <v>7726945000000</v>
      </c>
      <c r="Q430" s="6"/>
      <c r="R430" s="6"/>
      <c r="S430" s="11"/>
      <c r="T430" s="9">
        <f>2744000000+302482000000+132199000000</f>
        <v>437425000000</v>
      </c>
      <c r="U430" s="12">
        <v>249085000000</v>
      </c>
      <c r="V430" s="13">
        <f t="shared" si="50"/>
        <v>3740946000000</v>
      </c>
      <c r="W430" s="13">
        <f t="shared" si="40"/>
        <v>0.50535051598464176</v>
      </c>
      <c r="X430" s="13">
        <f t="shared" si="41"/>
        <v>1.0216335654136681</v>
      </c>
      <c r="Y430" s="8">
        <f t="shared" si="53"/>
        <v>3.2935457161361197E-2</v>
      </c>
      <c r="Z430" s="8">
        <f t="shared" si="54"/>
        <v>6.6583425689651768E-2</v>
      </c>
      <c r="AA430" s="8">
        <f t="shared" si="42"/>
        <v>0</v>
      </c>
      <c r="AB430" s="8">
        <f t="shared" si="55"/>
        <v>3.2235896593026094E-2</v>
      </c>
      <c r="AC430" s="8">
        <f t="shared" si="43"/>
        <v>0</v>
      </c>
      <c r="AD430" s="9"/>
      <c r="AE430" s="9">
        <v>127910000000</v>
      </c>
      <c r="AF430" s="9"/>
      <c r="AG430" s="9"/>
      <c r="AH430" s="9"/>
      <c r="AI430" s="10"/>
      <c r="AJ430" s="9"/>
      <c r="AK430" s="10"/>
      <c r="AL430" s="9"/>
      <c r="AM430" s="10"/>
    </row>
    <row r="431" spans="1:39" ht="15.75" customHeight="1">
      <c r="A431" s="6">
        <v>238</v>
      </c>
      <c r="B431" s="6">
        <v>2018</v>
      </c>
      <c r="C431" s="6" t="s">
        <v>393</v>
      </c>
      <c r="D431" s="7" t="s">
        <v>394</v>
      </c>
      <c r="E431" s="6" t="s">
        <v>395</v>
      </c>
      <c r="F431" s="6" t="s">
        <v>396</v>
      </c>
      <c r="G431" s="8"/>
      <c r="H431" s="6"/>
      <c r="I431" s="15">
        <v>14637185000000</v>
      </c>
      <c r="J431" s="8">
        <v>27788562000000</v>
      </c>
      <c r="K431" s="8">
        <v>641324000000</v>
      </c>
      <c r="L431" s="8">
        <v>4566973000000</v>
      </c>
      <c r="M431" s="8">
        <v>23221589000000</v>
      </c>
      <c r="N431" s="13">
        <v>8000000000</v>
      </c>
      <c r="O431" s="8">
        <v>15190283000000</v>
      </c>
      <c r="P431" s="8">
        <v>10821254000000</v>
      </c>
      <c r="Q431" s="6"/>
      <c r="R431" s="6"/>
      <c r="S431" s="11"/>
      <c r="T431" s="10">
        <f>3322550000000+39012000000</f>
        <v>3361562000000</v>
      </c>
      <c r="U431" s="12">
        <v>1145937000000</v>
      </c>
      <c r="V431" s="13">
        <f t="shared" si="50"/>
        <v>23221589000000</v>
      </c>
      <c r="W431" s="13">
        <f t="shared" si="40"/>
        <v>0.16434722314886246</v>
      </c>
      <c r="X431" s="13">
        <f t="shared" si="41"/>
        <v>0.19666927185732208</v>
      </c>
      <c r="Y431" s="8">
        <f t="shared" si="53"/>
        <v>4.1237722196636156E-2</v>
      </c>
      <c r="Z431" s="8">
        <f t="shared" si="54"/>
        <v>4.9347914994103119E-2</v>
      </c>
      <c r="AA431" s="8">
        <f t="shared" si="42"/>
        <v>0.28761998706673209</v>
      </c>
      <c r="AB431" s="8">
        <f t="shared" si="55"/>
        <v>7.5438818355128737E-2</v>
      </c>
      <c r="AC431" s="8">
        <f t="shared" si="43"/>
        <v>0.28761998706673209</v>
      </c>
      <c r="AD431" s="9"/>
      <c r="AE431" s="10"/>
      <c r="AF431" s="9"/>
      <c r="AG431" s="9"/>
      <c r="AH431" s="9"/>
      <c r="AI431" s="9"/>
      <c r="AJ431" s="9"/>
      <c r="AK431" s="10"/>
      <c r="AL431" s="9"/>
      <c r="AM431" s="10"/>
    </row>
    <row r="432" spans="1:39" ht="15.75" customHeight="1">
      <c r="A432" s="6">
        <v>239</v>
      </c>
      <c r="B432" s="6">
        <v>2019</v>
      </c>
      <c r="C432" s="6" t="s">
        <v>393</v>
      </c>
      <c r="D432" s="7" t="s">
        <v>394</v>
      </c>
      <c r="E432" s="6" t="s">
        <v>395</v>
      </c>
      <c r="F432" s="6" t="s">
        <v>396</v>
      </c>
      <c r="G432" s="6"/>
      <c r="H432" s="15">
        <v>75726000000</v>
      </c>
      <c r="I432" s="8">
        <v>14080158000000</v>
      </c>
      <c r="J432" s="8">
        <v>27707749000000</v>
      </c>
      <c r="K432" s="8">
        <v>719996000000</v>
      </c>
      <c r="L432" s="8">
        <v>4627488000000</v>
      </c>
      <c r="M432" s="8">
        <v>23080261000000</v>
      </c>
      <c r="N432" s="13">
        <v>8000000000</v>
      </c>
      <c r="O432" s="8">
        <v>15939348000000</v>
      </c>
      <c r="P432" s="8">
        <v>10439031000000</v>
      </c>
      <c r="Q432" s="6"/>
      <c r="R432" s="6"/>
      <c r="S432" s="11"/>
      <c r="T432" s="10">
        <f>3503230000000+147540000000</f>
        <v>3650770000000</v>
      </c>
      <c r="U432" s="12">
        <v>1835305000000</v>
      </c>
      <c r="V432" s="13">
        <f t="shared" si="50"/>
        <v>23080261000000</v>
      </c>
      <c r="W432" s="13">
        <f t="shared" si="40"/>
        <v>0.16701060775453105</v>
      </c>
      <c r="X432" s="13">
        <f t="shared" si="41"/>
        <v>0.20049547966550291</v>
      </c>
      <c r="Y432" s="8">
        <f t="shared" si="53"/>
        <v>6.6237968302657865E-2</v>
      </c>
      <c r="Z432" s="8">
        <f t="shared" si="54"/>
        <v>7.9518381529567625E-2</v>
      </c>
      <c r="AA432" s="8">
        <f t="shared" si="42"/>
        <v>0.34507791661239845</v>
      </c>
      <c r="AB432" s="8">
        <f t="shared" si="55"/>
        <v>0.11514304098260481</v>
      </c>
      <c r="AC432" s="8">
        <f t="shared" si="43"/>
        <v>0.34507791661239845</v>
      </c>
      <c r="AD432" s="9"/>
      <c r="AE432" s="9"/>
      <c r="AF432" s="9"/>
      <c r="AG432" s="9"/>
      <c r="AH432" s="9"/>
      <c r="AI432" s="9"/>
      <c r="AJ432" s="9"/>
      <c r="AK432" s="9"/>
      <c r="AL432" s="9"/>
      <c r="AM432" s="10"/>
    </row>
    <row r="433" spans="1:39" ht="15.75" customHeight="1">
      <c r="A433" s="6">
        <v>240</v>
      </c>
      <c r="B433" s="6">
        <v>2020</v>
      </c>
      <c r="C433" s="6" t="s">
        <v>393</v>
      </c>
      <c r="D433" s="7" t="s">
        <v>394</v>
      </c>
      <c r="E433" s="6" t="s">
        <v>395</v>
      </c>
      <c r="F433" s="6" t="s">
        <v>396</v>
      </c>
      <c r="G433" s="6"/>
      <c r="H433" s="15">
        <v>96320000000</v>
      </c>
      <c r="I433" s="8">
        <v>14397092000000</v>
      </c>
      <c r="J433" s="8">
        <v>27344672000000</v>
      </c>
      <c r="K433" s="8">
        <v>952468000000</v>
      </c>
      <c r="L433" s="8">
        <v>5168424000000</v>
      </c>
      <c r="M433" s="8">
        <v>22176248000000</v>
      </c>
      <c r="N433" s="13">
        <v>8000000000</v>
      </c>
      <c r="O433" s="8">
        <v>14184322000000</v>
      </c>
      <c r="P433" s="8">
        <v>9070770000000</v>
      </c>
      <c r="Q433" s="6"/>
      <c r="R433" s="6"/>
      <c r="S433" s="11"/>
      <c r="T433" s="10">
        <f>3153515000000+84092000000+51101000000</f>
        <v>3288708000000</v>
      </c>
      <c r="U433" s="12">
        <v>1806337000000</v>
      </c>
      <c r="V433" s="13">
        <f t="shared" si="50"/>
        <v>22176248000000</v>
      </c>
      <c r="W433" s="13">
        <f t="shared" si="40"/>
        <v>0.18901027593236444</v>
      </c>
      <c r="X433" s="13">
        <f t="shared" si="41"/>
        <v>0.23306124642906231</v>
      </c>
      <c r="Y433" s="8">
        <f t="shared" si="53"/>
        <v>6.6058097167887034E-2</v>
      </c>
      <c r="Z433" s="8">
        <f t="shared" si="54"/>
        <v>8.1453679630566905E-2</v>
      </c>
      <c r="AA433" s="8">
        <f t="shared" si="42"/>
        <v>0.36050732632832222</v>
      </c>
      <c r="AB433" s="8">
        <f t="shared" si="55"/>
        <v>0.12734743331404913</v>
      </c>
      <c r="AC433" s="8">
        <f t="shared" si="43"/>
        <v>0.36050732632832222</v>
      </c>
      <c r="AD433" s="9"/>
      <c r="AE433" s="10"/>
      <c r="AF433" s="9"/>
      <c r="AG433" s="9"/>
      <c r="AH433" s="9"/>
      <c r="AI433" s="9"/>
      <c r="AJ433" s="9"/>
      <c r="AK433" s="10"/>
      <c r="AL433" s="9"/>
      <c r="AM433" s="10"/>
    </row>
    <row r="434" spans="1:39" ht="15.75" customHeight="1">
      <c r="A434" s="6">
        <v>418</v>
      </c>
      <c r="B434" s="6">
        <v>2018</v>
      </c>
      <c r="C434" s="6" t="s">
        <v>397</v>
      </c>
      <c r="D434" s="7" t="s">
        <v>398</v>
      </c>
      <c r="E434" s="6" t="s">
        <v>395</v>
      </c>
      <c r="F434" s="6" t="s">
        <v>396</v>
      </c>
      <c r="G434" s="6"/>
      <c r="H434" s="9"/>
      <c r="I434" s="10">
        <v>4012558978000</v>
      </c>
      <c r="J434" s="10">
        <v>5538079503000</v>
      </c>
      <c r="K434" s="10">
        <v>1428000232000</v>
      </c>
      <c r="L434" s="10">
        <v>2064408447000</v>
      </c>
      <c r="M434" s="10">
        <v>3473671056000</v>
      </c>
      <c r="N434" s="13">
        <v>30000000000</v>
      </c>
      <c r="O434" s="10">
        <v>1995807528000</v>
      </c>
      <c r="P434" s="10">
        <v>1289162817000</v>
      </c>
      <c r="Q434" s="6"/>
      <c r="R434" s="6"/>
      <c r="S434" s="11"/>
      <c r="T434" s="18">
        <v>459142682000</v>
      </c>
      <c r="U434" s="18">
        <v>76074721000</v>
      </c>
      <c r="V434" s="9">
        <f t="shared" si="50"/>
        <v>3473671056000</v>
      </c>
      <c r="W434" s="13">
        <f t="shared" si="40"/>
        <v>0.37276612693654931</v>
      </c>
      <c r="X434" s="13">
        <f t="shared" si="41"/>
        <v>0.59430165197541951</v>
      </c>
      <c r="Y434" s="8">
        <f t="shared" si="53"/>
        <v>1.3736661049880201E-2</v>
      </c>
      <c r="Z434" s="8">
        <f t="shared" si="54"/>
        <v>2.1900381404450404E-2</v>
      </c>
      <c r="AA434" s="8">
        <f t="shared" si="42"/>
        <v>0.3540645583735868</v>
      </c>
      <c r="AB434" s="8">
        <f t="shared" ref="AB434:AB435" si="56">U435/O434</f>
        <v>1.5068514662902904E-2</v>
      </c>
      <c r="AC434" s="8">
        <f t="shared" si="43"/>
        <v>0.3540645583735868</v>
      </c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 spans="1:39" ht="15.75" customHeight="1">
      <c r="A435" s="6">
        <v>419</v>
      </c>
      <c r="B435" s="6">
        <v>2019</v>
      </c>
      <c r="C435" s="6" t="s">
        <v>397</v>
      </c>
      <c r="D435" s="7" t="s">
        <v>398</v>
      </c>
      <c r="E435" s="6" t="s">
        <v>395</v>
      </c>
      <c r="F435" s="6" t="s">
        <v>396</v>
      </c>
      <c r="G435" s="6"/>
      <c r="H435" s="9"/>
      <c r="I435" s="10">
        <v>4171966909000</v>
      </c>
      <c r="J435" s="10">
        <v>5571270204000</v>
      </c>
      <c r="K435" s="10">
        <v>1620450782000</v>
      </c>
      <c r="L435" s="10">
        <v>2088977112000</v>
      </c>
      <c r="M435" s="10">
        <v>3482293092000</v>
      </c>
      <c r="N435" s="13">
        <v>30000000000</v>
      </c>
      <c r="O435" s="10">
        <v>1999516771000</v>
      </c>
      <c r="P435" s="10">
        <v>1124627994000</v>
      </c>
      <c r="Q435" s="6"/>
      <c r="R435" s="6"/>
      <c r="S435" s="11"/>
      <c r="T435" s="10">
        <v>640944463000</v>
      </c>
      <c r="U435" s="24">
        <v>30073855000</v>
      </c>
      <c r="V435" s="9">
        <f t="shared" si="50"/>
        <v>3482293092000</v>
      </c>
      <c r="W435" s="13">
        <f t="shared" si="40"/>
        <v>0.3749552679208018</v>
      </c>
      <c r="X435" s="13">
        <f t="shared" si="41"/>
        <v>0.59988549407259373</v>
      </c>
      <c r="Y435" s="8">
        <f t="shared" si="53"/>
        <v>5.3980248486975016E-3</v>
      </c>
      <c r="Z435" s="8">
        <f t="shared" si="54"/>
        <v>8.6362216520745397E-3</v>
      </c>
      <c r="AA435" s="8">
        <f t="shared" si="42"/>
        <v>0.43755010695031576</v>
      </c>
      <c r="AB435" s="8">
        <f t="shared" si="56"/>
        <v>5.4921634863346691E-3</v>
      </c>
      <c r="AC435" s="8">
        <f t="shared" si="43"/>
        <v>0.43755010695031576</v>
      </c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 spans="1:39" ht="15.75" customHeight="1">
      <c r="A436" s="6">
        <v>420</v>
      </c>
      <c r="B436" s="6">
        <v>2020</v>
      </c>
      <c r="C436" s="6" t="s">
        <v>397</v>
      </c>
      <c r="D436" s="7" t="s">
        <v>398</v>
      </c>
      <c r="E436" s="6" t="s">
        <v>395</v>
      </c>
      <c r="F436" s="6" t="s">
        <v>396</v>
      </c>
      <c r="G436" s="6"/>
      <c r="H436" s="9"/>
      <c r="I436" s="10">
        <v>4242524144000</v>
      </c>
      <c r="J436" s="10">
        <v>5737175560000</v>
      </c>
      <c r="K436" s="9">
        <v>1479148317000</v>
      </c>
      <c r="L436" s="10">
        <v>2329286953000</v>
      </c>
      <c r="M436" s="10">
        <v>3407888607000</v>
      </c>
      <c r="N436" s="13">
        <v>30000000000</v>
      </c>
      <c r="O436" s="10">
        <v>1721907150000</v>
      </c>
      <c r="P436" s="10">
        <v>1001749360000</v>
      </c>
      <c r="Q436" s="6"/>
      <c r="R436" s="6"/>
      <c r="S436" s="11"/>
      <c r="T436" s="18">
        <v>505020418000</v>
      </c>
      <c r="U436" s="12">
        <v>10981673000</v>
      </c>
      <c r="V436" s="9">
        <f t="shared" si="50"/>
        <v>3407888607000</v>
      </c>
      <c r="W436" s="13">
        <f t="shared" si="40"/>
        <v>0.40599889765269792</v>
      </c>
      <c r="X436" s="13">
        <f t="shared" si="41"/>
        <v>0.68349855925909964</v>
      </c>
      <c r="Y436" s="8">
        <f t="shared" si="53"/>
        <v>1.914125319184062E-3</v>
      </c>
      <c r="Z436" s="8">
        <f t="shared" si="54"/>
        <v>3.2224272170877327E-3</v>
      </c>
      <c r="AA436" s="8">
        <f t="shared" si="42"/>
        <v>0.41823264976860103</v>
      </c>
      <c r="AB436" s="8" t="e">
        <f>#REF!/O436</f>
        <v>#REF!</v>
      </c>
      <c r="AC436" s="8">
        <f t="shared" si="43"/>
        <v>0.41823264976860103</v>
      </c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 spans="1:39" ht="15.75" customHeight="1">
      <c r="A437" s="6">
        <v>421</v>
      </c>
      <c r="B437" s="6">
        <v>2018</v>
      </c>
      <c r="C437" s="6" t="s">
        <v>399</v>
      </c>
      <c r="D437" s="7" t="s">
        <v>400</v>
      </c>
      <c r="E437" s="6" t="s">
        <v>395</v>
      </c>
      <c r="F437" s="6" t="s">
        <v>396</v>
      </c>
      <c r="G437" s="6"/>
      <c r="H437" s="9"/>
      <c r="I437" s="10">
        <v>15468710000000</v>
      </c>
      <c r="J437" s="10">
        <v>18667187000000</v>
      </c>
      <c r="K437" s="9">
        <v>2511062000000</v>
      </c>
      <c r="L437" s="10">
        <v>12250837000000</v>
      </c>
      <c r="M437" s="10">
        <v>6416350000000</v>
      </c>
      <c r="N437" s="13">
        <v>30651600000</v>
      </c>
      <c r="O437" s="10">
        <v>10377729000000</v>
      </c>
      <c r="P437" s="9">
        <v>8734391000000</v>
      </c>
      <c r="Q437" s="6"/>
      <c r="R437" s="6"/>
      <c r="S437" s="11"/>
      <c r="T437" s="10">
        <f>(1231473000000+403724000000+35555000000)</f>
        <v>1670752000000</v>
      </c>
      <c r="U437" s="12">
        <v>-827985000000</v>
      </c>
      <c r="V437" s="9">
        <f t="shared" si="50"/>
        <v>6416350000000</v>
      </c>
      <c r="W437" s="13">
        <f t="shared" si="40"/>
        <v>0.65627654557700632</v>
      </c>
      <c r="X437" s="13">
        <f t="shared" si="41"/>
        <v>1.9093155766128718</v>
      </c>
      <c r="Y437" s="8">
        <f t="shared" si="53"/>
        <v>-4.4355102887221304E-2</v>
      </c>
      <c r="Z437" s="8">
        <f t="shared" si="54"/>
        <v>-0.12904299173205949</v>
      </c>
      <c r="AA437" s="8">
        <f t="shared" si="42"/>
        <v>0.158352371699049</v>
      </c>
      <c r="AB437" s="8">
        <f t="shared" ref="AB437:AB487" si="57">U437/O437</f>
        <v>-7.9784796847171477E-2</v>
      </c>
      <c r="AC437" s="8">
        <f t="shared" si="43"/>
        <v>0.158352371699049</v>
      </c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 spans="1:39" ht="15.75" customHeight="1">
      <c r="A438" s="6">
        <v>422</v>
      </c>
      <c r="B438" s="6">
        <v>2019</v>
      </c>
      <c r="C438" s="6" t="s">
        <v>399</v>
      </c>
      <c r="D438" s="7" t="s">
        <v>400</v>
      </c>
      <c r="E438" s="6" t="s">
        <v>395</v>
      </c>
      <c r="F438" s="6" t="s">
        <v>396</v>
      </c>
      <c r="G438" s="6"/>
      <c r="H438" s="9"/>
      <c r="I438" s="10">
        <v>15465852000000</v>
      </c>
      <c r="J438" s="10">
        <v>19567498000000</v>
      </c>
      <c r="K438" s="9">
        <v>9621380000000</v>
      </c>
      <c r="L438" s="10">
        <v>12584886000000</v>
      </c>
      <c r="M438" s="10">
        <v>6982612000000</v>
      </c>
      <c r="N438" s="13">
        <v>30651600000</v>
      </c>
      <c r="O438" s="10">
        <v>11057843000000</v>
      </c>
      <c r="P438" s="10">
        <v>8172758000000</v>
      </c>
      <c r="Q438" s="6"/>
      <c r="R438" s="6"/>
      <c r="S438" s="11"/>
      <c r="T438" s="10">
        <f>1046109000000+661162000000+5854000000</f>
        <v>1713125000000</v>
      </c>
      <c r="U438" s="12">
        <v>499052000000</v>
      </c>
      <c r="V438" s="9">
        <f t="shared" si="50"/>
        <v>6982612000000</v>
      </c>
      <c r="W438" s="13">
        <f t="shared" si="40"/>
        <v>0.64315253794838767</v>
      </c>
      <c r="X438" s="13">
        <f t="shared" si="41"/>
        <v>1.8023178145943095</v>
      </c>
      <c r="Y438" s="8">
        <f t="shared" si="53"/>
        <v>2.5504129347553785E-2</v>
      </c>
      <c r="Z438" s="8">
        <f t="shared" si="54"/>
        <v>7.1470676016367515E-2</v>
      </c>
      <c r="AA438" s="8">
        <f t="shared" si="42"/>
        <v>0.26090847916722998</v>
      </c>
      <c r="AB438" s="8">
        <f t="shared" si="57"/>
        <v>4.5131044092414765E-2</v>
      </c>
      <c r="AC438" s="8">
        <f t="shared" si="43"/>
        <v>0.26090847916722998</v>
      </c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 spans="1:39" ht="15.75" customHeight="1">
      <c r="A439" s="6">
        <v>423</v>
      </c>
      <c r="B439" s="6">
        <v>2020</v>
      </c>
      <c r="C439" s="6" t="s">
        <v>399</v>
      </c>
      <c r="D439" s="7" t="s">
        <v>400</v>
      </c>
      <c r="E439" s="6" t="s">
        <v>395</v>
      </c>
      <c r="F439" s="6" t="s">
        <v>396</v>
      </c>
      <c r="G439" s="6"/>
      <c r="H439" s="9"/>
      <c r="I439" s="10">
        <v>15258887000000</v>
      </c>
      <c r="J439" s="10">
        <v>20738125000000</v>
      </c>
      <c r="K439" s="9">
        <v>9030681000000</v>
      </c>
      <c r="L439" s="10">
        <v>13171946000000</v>
      </c>
      <c r="M439" s="10">
        <v>7566179000000</v>
      </c>
      <c r="N439" s="13">
        <v>30651600000</v>
      </c>
      <c r="O439" s="9">
        <v>10108220000000</v>
      </c>
      <c r="P439" s="10">
        <v>7124690000000</v>
      </c>
      <c r="Q439" s="6"/>
      <c r="R439" s="6"/>
      <c r="S439" s="11"/>
      <c r="T439" s="10">
        <f>965140000000+397370000000+20410000000</f>
        <v>1382920000000</v>
      </c>
      <c r="U439" s="12">
        <v>650988000000</v>
      </c>
      <c r="V439" s="9">
        <f t="shared" si="50"/>
        <v>7566179000000</v>
      </c>
      <c r="W439" s="13">
        <f t="shared" si="40"/>
        <v>0.63515607124559237</v>
      </c>
      <c r="X439" s="13">
        <f t="shared" si="41"/>
        <v>1.7408980147046482</v>
      </c>
      <c r="Y439" s="8">
        <f t="shared" si="53"/>
        <v>3.1390880323076457E-2</v>
      </c>
      <c r="Z439" s="8">
        <f t="shared" si="54"/>
        <v>8.6039201557351466E-2</v>
      </c>
      <c r="AA439" s="8">
        <f t="shared" si="42"/>
        <v>0.29515879155776192</v>
      </c>
      <c r="AB439" s="8">
        <f t="shared" si="57"/>
        <v>6.4401843252323357E-2</v>
      </c>
      <c r="AC439" s="8">
        <f t="shared" si="43"/>
        <v>0.29515879155776192</v>
      </c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 spans="1:39" ht="15.75" customHeight="1">
      <c r="A440" s="6">
        <v>424</v>
      </c>
      <c r="B440" s="6">
        <v>2018</v>
      </c>
      <c r="C440" s="6" t="s">
        <v>401</v>
      </c>
      <c r="D440" s="7" t="s">
        <v>402</v>
      </c>
      <c r="E440" s="6" t="s">
        <v>395</v>
      </c>
      <c r="F440" s="6" t="s">
        <v>396</v>
      </c>
      <c r="G440" s="6"/>
      <c r="H440" s="9">
        <f>8453000000+85638000000+55822000000+ 132043000000</f>
        <v>281956000000</v>
      </c>
      <c r="I440" s="10">
        <v>32391950000000</v>
      </c>
      <c r="J440" s="10">
        <v>50783836000000</v>
      </c>
      <c r="K440" s="10">
        <v>9988702000000</v>
      </c>
      <c r="L440" s="10">
        <v>18168521000000</v>
      </c>
      <c r="M440" s="10">
        <v>32615315000000</v>
      </c>
      <c r="N440" s="13">
        <f t="shared" ref="N440:N442" si="58">19999999999+1</f>
        <v>20000000000</v>
      </c>
      <c r="O440" s="9">
        <v>30687626000000</v>
      </c>
      <c r="P440" s="10">
        <v>21357096000000</v>
      </c>
      <c r="Q440" s="6"/>
      <c r="R440" s="6"/>
      <c r="S440" s="11"/>
      <c r="T440" s="10">
        <f>2237003000000+2320262000000</f>
        <v>4557265000000</v>
      </c>
      <c r="U440" s="12">
        <v>3085704000000</v>
      </c>
      <c r="V440" s="9">
        <f t="shared" si="50"/>
        <v>32615315000000</v>
      </c>
      <c r="W440" s="13">
        <f t="shared" si="40"/>
        <v>0.35776188706973611</v>
      </c>
      <c r="X440" s="13">
        <f t="shared" si="41"/>
        <v>0.55705489890255544</v>
      </c>
      <c r="Y440" s="8">
        <f t="shared" si="53"/>
        <v>6.0761538376108495E-2</v>
      </c>
      <c r="Z440" s="8">
        <f t="shared" si="54"/>
        <v>9.4609050993375354E-2</v>
      </c>
      <c r="AA440" s="8">
        <f t="shared" si="42"/>
        <v>0.30404860903870506</v>
      </c>
      <c r="AB440" s="8">
        <f t="shared" si="57"/>
        <v>0.1005520596477551</v>
      </c>
      <c r="AC440" s="8">
        <f t="shared" si="43"/>
        <v>0.30404860903870506</v>
      </c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 spans="1:39" ht="15.75" customHeight="1">
      <c r="A441" s="6">
        <v>425</v>
      </c>
      <c r="B441" s="6">
        <v>2019</v>
      </c>
      <c r="C441" s="6" t="s">
        <v>401</v>
      </c>
      <c r="D441" s="7" t="s">
        <v>402</v>
      </c>
      <c r="E441" s="6" t="s">
        <v>395</v>
      </c>
      <c r="F441" s="6" t="s">
        <v>396</v>
      </c>
      <c r="G441" s="6"/>
      <c r="H441" s="9">
        <f>119602000000+52108000000+89001000000+ 67222000000</f>
        <v>327933000000</v>
      </c>
      <c r="I441" s="10">
        <v>56601702000000</v>
      </c>
      <c r="J441" s="10">
        <v>79807067000000</v>
      </c>
      <c r="K441" s="10">
        <v>31674891000000</v>
      </c>
      <c r="L441" s="10">
        <v>43915143000000</v>
      </c>
      <c r="M441" s="10">
        <v>33891924000000</v>
      </c>
      <c r="N441" s="13">
        <f t="shared" si="58"/>
        <v>20000000000</v>
      </c>
      <c r="O441" s="10">
        <v>40368107000000</v>
      </c>
      <c r="P441" s="10">
        <v>27654124000000</v>
      </c>
      <c r="Q441" s="6"/>
      <c r="R441" s="6"/>
      <c r="S441" s="11"/>
      <c r="T441" s="10">
        <f>3084107000000+3536797000000</f>
        <v>6620904000000</v>
      </c>
      <c r="U441" s="12">
        <v>2371233000000</v>
      </c>
      <c r="V441" s="9">
        <f t="shared" si="50"/>
        <v>33891924000000</v>
      </c>
      <c r="W441" s="13">
        <f t="shared" si="40"/>
        <v>0.55026634420733689</v>
      </c>
      <c r="X441" s="13">
        <f t="shared" si="41"/>
        <v>1.2957406313079187</v>
      </c>
      <c r="Y441" s="8">
        <f t="shared" si="53"/>
        <v>2.9712067980145168E-2</v>
      </c>
      <c r="Z441" s="8">
        <f t="shared" si="54"/>
        <v>6.9964543765647536E-2</v>
      </c>
      <c r="AA441" s="8">
        <f t="shared" si="42"/>
        <v>0.31495118163455127</v>
      </c>
      <c r="AB441" s="8">
        <f t="shared" si="57"/>
        <v>5.8740257500803791E-2</v>
      </c>
      <c r="AC441" s="8">
        <f t="shared" si="43"/>
        <v>0.31495118163455127</v>
      </c>
      <c r="AD441" s="10"/>
      <c r="AE441" s="9"/>
      <c r="AF441" s="9"/>
      <c r="AG441" s="9"/>
      <c r="AH441" s="9"/>
      <c r="AI441" s="9"/>
      <c r="AJ441" s="9"/>
      <c r="AK441" s="10"/>
      <c r="AL441" s="9"/>
      <c r="AM441" s="9"/>
    </row>
    <row r="442" spans="1:39" ht="15.75" customHeight="1">
      <c r="A442" s="6">
        <v>426</v>
      </c>
      <c r="B442" s="6">
        <v>2020</v>
      </c>
      <c r="C442" s="6" t="s">
        <v>401</v>
      </c>
      <c r="D442" s="7" t="s">
        <v>402</v>
      </c>
      <c r="E442" s="6" t="s">
        <v>395</v>
      </c>
      <c r="F442" s="6" t="s">
        <v>396</v>
      </c>
      <c r="G442" s="6"/>
      <c r="H442" s="9">
        <f>1103469000000+35133000000+53087000000+110102000000</f>
        <v>1301791000000</v>
      </c>
      <c r="I442" s="10">
        <v>56053483000000</v>
      </c>
      <c r="J442" s="10">
        <v>78006244000000</v>
      </c>
      <c r="K442" s="9">
        <v>29065511000000</v>
      </c>
      <c r="L442" s="10">
        <v>40571674000000</v>
      </c>
      <c r="M442" s="10">
        <v>35653335000000</v>
      </c>
      <c r="N442" s="13">
        <f t="shared" si="58"/>
        <v>20000000000</v>
      </c>
      <c r="O442" s="10">
        <v>35171668000000</v>
      </c>
      <c r="P442" s="10">
        <v>23554567000000</v>
      </c>
      <c r="Q442" s="6"/>
      <c r="R442" s="6"/>
      <c r="S442" s="11"/>
      <c r="T442" s="10">
        <f>2802821000000+3161626000000+4411000000</f>
        <v>5968858000000</v>
      </c>
      <c r="U442" s="12">
        <v>2674343000000</v>
      </c>
      <c r="V442" s="9">
        <f t="shared" si="50"/>
        <v>35653335000000</v>
      </c>
      <c r="W442" s="13">
        <f t="shared" si="40"/>
        <v>0.52010803135195183</v>
      </c>
      <c r="X442" s="13">
        <f t="shared" si="41"/>
        <v>1.1379489183830909</v>
      </c>
      <c r="Y442" s="8">
        <f t="shared" si="53"/>
        <v>3.428370426346896E-2</v>
      </c>
      <c r="Z442" s="8">
        <f t="shared" si="54"/>
        <v>7.5009616912415061E-2</v>
      </c>
      <c r="AA442" s="8">
        <f t="shared" si="42"/>
        <v>0.33029713006502848</v>
      </c>
      <c r="AB442" s="8">
        <f t="shared" si="57"/>
        <v>7.6036854436360532E-2</v>
      </c>
      <c r="AC442" s="8">
        <f t="shared" si="43"/>
        <v>0.33029713006502848</v>
      </c>
      <c r="AD442" s="10"/>
      <c r="AE442" s="9"/>
      <c r="AF442" s="9"/>
      <c r="AG442" s="9"/>
      <c r="AH442" s="9"/>
      <c r="AI442" s="9"/>
      <c r="AJ442" s="9"/>
      <c r="AK442" s="10"/>
      <c r="AL442" s="9"/>
      <c r="AM442" s="10"/>
    </row>
    <row r="443" spans="1:39" ht="15.75" customHeight="1">
      <c r="A443" s="6">
        <v>457</v>
      </c>
      <c r="B443" s="6">
        <v>2018</v>
      </c>
      <c r="C443" s="6" t="s">
        <v>403</v>
      </c>
      <c r="D443" s="7" t="s">
        <v>404</v>
      </c>
      <c r="E443" s="6" t="s">
        <v>405</v>
      </c>
      <c r="F443" s="6" t="s">
        <v>406</v>
      </c>
      <c r="G443" s="8"/>
      <c r="H443" s="9">
        <v>220429468</v>
      </c>
      <c r="I443" s="10">
        <v>121891794614</v>
      </c>
      <c r="J443" s="10">
        <v>633014281325</v>
      </c>
      <c r="K443" s="10">
        <v>3603425447</v>
      </c>
      <c r="L443" s="10">
        <v>276789437347</v>
      </c>
      <c r="M443" s="10">
        <v>356224843978</v>
      </c>
      <c r="N443" s="8">
        <v>2800000000</v>
      </c>
      <c r="O443" s="10">
        <v>860682351001</v>
      </c>
      <c r="P443" s="9">
        <v>669828771279</v>
      </c>
      <c r="Q443" s="6"/>
      <c r="R443" s="6"/>
      <c r="S443" s="11"/>
      <c r="T443" s="10">
        <v>253442248813</v>
      </c>
      <c r="U443" s="12">
        <v>27101068960</v>
      </c>
      <c r="V443" s="9">
        <f t="shared" si="50"/>
        <v>356224843978</v>
      </c>
      <c r="W443" s="13">
        <f t="shared" si="40"/>
        <v>0.4372562286709164</v>
      </c>
      <c r="X443" s="13">
        <f t="shared" si="41"/>
        <v>0.77700767373792201</v>
      </c>
      <c r="Y443" s="8">
        <f t="shared" si="53"/>
        <v>4.2812729127174091E-2</v>
      </c>
      <c r="Z443" s="8">
        <f t="shared" si="54"/>
        <v>7.6078548192651405E-2</v>
      </c>
      <c r="AA443" s="8">
        <f t="shared" si="42"/>
        <v>0.22174682622460123</v>
      </c>
      <c r="AB443" s="8">
        <f t="shared" si="57"/>
        <v>3.1487887405243789E-2</v>
      </c>
      <c r="AC443" s="8">
        <f t="shared" si="43"/>
        <v>0.22174682622460123</v>
      </c>
      <c r="AD443" s="10"/>
      <c r="AE443" s="9"/>
      <c r="AF443" s="9"/>
      <c r="AG443" s="9"/>
      <c r="AH443" s="9"/>
      <c r="AI443" s="9"/>
      <c r="AJ443" s="9"/>
      <c r="AK443" s="10"/>
      <c r="AL443" s="9"/>
      <c r="AM443" s="9"/>
    </row>
    <row r="444" spans="1:39" ht="15.75" customHeight="1">
      <c r="A444" s="6">
        <v>458</v>
      </c>
      <c r="B444" s="6">
        <v>2019</v>
      </c>
      <c r="C444" s="6" t="s">
        <v>403</v>
      </c>
      <c r="D444" s="7" t="s">
        <v>404</v>
      </c>
      <c r="E444" s="6" t="s">
        <v>405</v>
      </c>
      <c r="F444" s="6" t="s">
        <v>406</v>
      </c>
      <c r="G444" s="8"/>
      <c r="H444" s="9">
        <v>186280200</v>
      </c>
      <c r="I444" s="10">
        <v>310112750524</v>
      </c>
      <c r="J444" s="10">
        <v>1147246311331</v>
      </c>
      <c r="K444" s="10">
        <v>69948587486</v>
      </c>
      <c r="L444" s="10">
        <v>486632660751</v>
      </c>
      <c r="M444" s="10">
        <v>660613650580</v>
      </c>
      <c r="N444" s="8">
        <v>4000000000</v>
      </c>
      <c r="O444" s="10">
        <v>1478735205373</v>
      </c>
      <c r="P444" s="10">
        <v>1130071667248</v>
      </c>
      <c r="Q444" s="6"/>
      <c r="R444" s="6"/>
      <c r="S444" s="11"/>
      <c r="T444" s="10">
        <v>257716255365</v>
      </c>
      <c r="U444" s="12">
        <v>23236898190</v>
      </c>
      <c r="V444" s="9">
        <f t="shared" si="50"/>
        <v>660613650580</v>
      </c>
      <c r="W444" s="13">
        <f t="shared" si="40"/>
        <v>0.42417452638084641</v>
      </c>
      <c r="X444" s="13">
        <f t="shared" si="41"/>
        <v>0.73663730733349264</v>
      </c>
      <c r="Y444" s="8">
        <f t="shared" si="53"/>
        <v>2.0254498062444205E-2</v>
      </c>
      <c r="Z444" s="8">
        <f t="shared" si="54"/>
        <v>3.5174716976554547E-2</v>
      </c>
      <c r="AA444" s="8">
        <f t="shared" si="42"/>
        <v>0.2357849714121415</v>
      </c>
      <c r="AB444" s="8">
        <f t="shared" si="57"/>
        <v>1.5714035958276022E-2</v>
      </c>
      <c r="AC444" s="8">
        <f t="shared" si="43"/>
        <v>0.2357849714121415</v>
      </c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 spans="1:39" ht="15.75" customHeight="1">
      <c r="A445" s="6">
        <v>459</v>
      </c>
      <c r="B445" s="6">
        <v>2020</v>
      </c>
      <c r="C445" s="6" t="s">
        <v>403</v>
      </c>
      <c r="D445" s="7" t="s">
        <v>404</v>
      </c>
      <c r="E445" s="6" t="s">
        <v>405</v>
      </c>
      <c r="F445" s="6" t="s">
        <v>406</v>
      </c>
      <c r="G445" s="6"/>
      <c r="H445" s="9">
        <v>152130932</v>
      </c>
      <c r="I445" s="9">
        <v>311330074281</v>
      </c>
      <c r="J445" s="10">
        <v>1068940700530</v>
      </c>
      <c r="K445" s="9">
        <v>62116267189</v>
      </c>
      <c r="L445" s="10">
        <v>424244191110</v>
      </c>
      <c r="M445" s="10">
        <v>644696509420</v>
      </c>
      <c r="N445" s="8">
        <v>4000000000</v>
      </c>
      <c r="O445" s="10">
        <v>1141269765789</v>
      </c>
      <c r="P445" s="10">
        <v>908604417353</v>
      </c>
      <c r="Q445" s="6"/>
      <c r="R445" s="6"/>
      <c r="S445" s="11"/>
      <c r="T445" s="10">
        <v>199113056609</v>
      </c>
      <c r="U445" s="19">
        <v>-3987303838</v>
      </c>
      <c r="V445" s="9">
        <f t="shared" si="50"/>
        <v>644696509420</v>
      </c>
      <c r="W445" s="13">
        <f t="shared" si="40"/>
        <v>0.39688281202095882</v>
      </c>
      <c r="X445" s="13">
        <f t="shared" si="41"/>
        <v>0.65805256413078839</v>
      </c>
      <c r="Y445" s="8">
        <f t="shared" si="53"/>
        <v>-3.730145026775595E-3</v>
      </c>
      <c r="Z445" s="8">
        <f t="shared" si="54"/>
        <v>-6.1847765262249832E-3</v>
      </c>
      <c r="AA445" s="8">
        <f t="shared" si="42"/>
        <v>0.20386533965100725</v>
      </c>
      <c r="AB445" s="8">
        <f t="shared" si="57"/>
        <v>-3.4937435105392776E-3</v>
      </c>
      <c r="AC445" s="8">
        <f t="shared" si="43"/>
        <v>0.20386533965100725</v>
      </c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spans="1:39" ht="15.75" customHeight="1">
      <c r="A446" s="6">
        <v>130</v>
      </c>
      <c r="B446" s="6">
        <v>2018</v>
      </c>
      <c r="C446" s="6" t="s">
        <v>407</v>
      </c>
      <c r="D446" s="7" t="s">
        <v>408</v>
      </c>
      <c r="E446" s="6" t="s">
        <v>409</v>
      </c>
      <c r="F446" s="6" t="s">
        <v>410</v>
      </c>
      <c r="G446" s="6"/>
      <c r="H446" s="6"/>
      <c r="I446" s="8">
        <v>724000000</v>
      </c>
      <c r="J446" s="8">
        <v>713505000000</v>
      </c>
      <c r="K446" s="13">
        <v>6036283000000</v>
      </c>
      <c r="L446" s="8">
        <v>16132748000000</v>
      </c>
      <c r="M446" s="8">
        <v>15419243000000</v>
      </c>
      <c r="N446" s="8">
        <f t="shared" ref="N446:N448" si="59">10000000000+87111652195</f>
        <v>97111652195</v>
      </c>
      <c r="O446" s="8">
        <v>8526000000</v>
      </c>
      <c r="P446" s="8">
        <v>4720000000</v>
      </c>
      <c r="Q446" s="6"/>
      <c r="R446" s="6"/>
      <c r="S446" s="11"/>
      <c r="T446" s="9">
        <f>40856000000+690929000000</f>
        <v>731785000000</v>
      </c>
      <c r="U446" s="12">
        <v>-720575000000</v>
      </c>
      <c r="V446" s="13">
        <f t="shared" si="50"/>
        <v>15419243000000</v>
      </c>
      <c r="W446" s="13">
        <f t="shared" si="40"/>
        <v>22.610560542673142</v>
      </c>
      <c r="X446" s="13">
        <f t="shared" si="41"/>
        <v>1.0462736724494193</v>
      </c>
      <c r="Y446" s="8">
        <f t="shared" si="53"/>
        <v>-1.0099088303515742</v>
      </c>
      <c r="Z446" s="8">
        <f t="shared" si="54"/>
        <v>-4.6732190419464824E-2</v>
      </c>
      <c r="AA446" s="8">
        <f t="shared" si="42"/>
        <v>0.44639924935491437</v>
      </c>
      <c r="AB446" s="8">
        <f t="shared" si="57"/>
        <v>-84.51501290171241</v>
      </c>
      <c r="AC446" s="8">
        <f t="shared" si="43"/>
        <v>0.44639924935491437</v>
      </c>
      <c r="AD446" s="9"/>
      <c r="AE446" s="9"/>
      <c r="AF446" s="9"/>
      <c r="AG446" s="9"/>
      <c r="AH446" s="9"/>
      <c r="AI446" s="9"/>
      <c r="AJ446" s="10"/>
      <c r="AK446" s="10"/>
      <c r="AL446" s="9"/>
      <c r="AM446" s="10"/>
    </row>
    <row r="447" spans="1:39" ht="15.75" customHeight="1">
      <c r="A447" s="6">
        <v>131</v>
      </c>
      <c r="B447" s="6">
        <v>2019</v>
      </c>
      <c r="C447" s="6" t="s">
        <v>407</v>
      </c>
      <c r="D447" s="7" t="s">
        <v>408</v>
      </c>
      <c r="E447" s="6" t="s">
        <v>409</v>
      </c>
      <c r="F447" s="6" t="s">
        <v>410</v>
      </c>
      <c r="G447" s="6"/>
      <c r="H447" s="6"/>
      <c r="I447" s="8">
        <v>425000000</v>
      </c>
      <c r="J447" s="8">
        <v>11234000000</v>
      </c>
      <c r="K447" s="8">
        <v>5723346000000</v>
      </c>
      <c r="L447" s="8">
        <v>14963526000000</v>
      </c>
      <c r="M447" s="8">
        <v>14952292000000</v>
      </c>
      <c r="N447" s="8">
        <f t="shared" si="59"/>
        <v>97111652195</v>
      </c>
      <c r="O447" s="8">
        <v>10275000000</v>
      </c>
      <c r="P447" s="8">
        <v>6251000000</v>
      </c>
      <c r="Q447" s="6"/>
      <c r="R447" s="6"/>
      <c r="S447" s="11"/>
      <c r="T447" s="9">
        <f>3423000000+8619000000+353000000+165192000000+15000000</f>
        <v>177602000000</v>
      </c>
      <c r="U447" s="19">
        <v>7280000000</v>
      </c>
      <c r="V447" s="13">
        <f t="shared" si="50"/>
        <v>14952292000000</v>
      </c>
      <c r="W447" s="13">
        <f t="shared" si="40"/>
        <v>1331.9855794908315</v>
      </c>
      <c r="X447" s="13">
        <f t="shared" si="41"/>
        <v>1.0007513229409912</v>
      </c>
      <c r="Y447" s="8">
        <f t="shared" si="53"/>
        <v>0.64803275769983981</v>
      </c>
      <c r="Z447" s="8">
        <f t="shared" si="54"/>
        <v>4.8688187737371637E-4</v>
      </c>
      <c r="AA447" s="8">
        <f t="shared" si="42"/>
        <v>0.39163017031630171</v>
      </c>
      <c r="AB447" s="8">
        <f t="shared" si="57"/>
        <v>0.70851581508515815</v>
      </c>
      <c r="AC447" s="8">
        <f t="shared" si="43"/>
        <v>0.39163017031630171</v>
      </c>
      <c r="AD447" s="9"/>
      <c r="AE447" s="9"/>
      <c r="AF447" s="9"/>
      <c r="AG447" s="9"/>
      <c r="AH447" s="9"/>
      <c r="AI447" s="9"/>
      <c r="AJ447" s="10"/>
      <c r="AK447" s="10"/>
      <c r="AL447" s="9"/>
      <c r="AM447" s="10">
        <v>16000000</v>
      </c>
    </row>
    <row r="448" spans="1:39" ht="15.75" customHeight="1">
      <c r="A448" s="6">
        <v>132</v>
      </c>
      <c r="B448" s="6">
        <v>2020</v>
      </c>
      <c r="C448" s="6" t="s">
        <v>407</v>
      </c>
      <c r="D448" s="7" t="s">
        <v>408</v>
      </c>
      <c r="E448" s="6" t="s">
        <v>409</v>
      </c>
      <c r="F448" s="6" t="s">
        <v>410</v>
      </c>
      <c r="G448" s="6"/>
      <c r="H448" s="6"/>
      <c r="I448" s="8">
        <v>61000000</v>
      </c>
      <c r="J448" s="8">
        <v>3266000000</v>
      </c>
      <c r="K448" s="8">
        <v>10425635000000</v>
      </c>
      <c r="L448" s="8">
        <v>11306819000000</v>
      </c>
      <c r="M448" s="8">
        <v>11303553000000</v>
      </c>
      <c r="N448" s="8">
        <f t="shared" si="59"/>
        <v>97111652195</v>
      </c>
      <c r="O448" s="8">
        <v>10537000000</v>
      </c>
      <c r="P448" s="8">
        <v>6569000000</v>
      </c>
      <c r="Q448" s="6"/>
      <c r="R448" s="6"/>
      <c r="S448" s="11"/>
      <c r="T448" s="9">
        <f>132000000+8317000000+95000000+5963000000+ 89807000000</f>
        <v>104314000000</v>
      </c>
      <c r="U448" s="12">
        <v>-108137000000</v>
      </c>
      <c r="V448" s="13">
        <f t="shared" si="50"/>
        <v>11303553000000</v>
      </c>
      <c r="W448" s="13">
        <f t="shared" si="40"/>
        <v>3461.9776484996937</v>
      </c>
      <c r="X448" s="13">
        <f t="shared" si="41"/>
        <v>1.000288935700129</v>
      </c>
      <c r="Y448" s="8">
        <f t="shared" si="53"/>
        <v>-33.109920391916717</v>
      </c>
      <c r="Z448" s="8">
        <f t="shared" si="54"/>
        <v>-9.5666380296531538E-3</v>
      </c>
      <c r="AA448" s="8">
        <f t="shared" si="42"/>
        <v>0.37657777355983679</v>
      </c>
      <c r="AB448" s="8">
        <f t="shared" si="57"/>
        <v>-10.262598462560501</v>
      </c>
      <c r="AC448" s="8">
        <f t="shared" si="43"/>
        <v>0.37657777355983679</v>
      </c>
      <c r="AD448" s="9"/>
      <c r="AE448" s="9"/>
      <c r="AF448" s="9"/>
      <c r="AG448" s="9"/>
      <c r="AH448" s="9"/>
      <c r="AI448" s="9"/>
      <c r="AJ448" s="10"/>
      <c r="AK448" s="10"/>
      <c r="AL448" s="9"/>
      <c r="AM448" s="10">
        <v>10000000</v>
      </c>
    </row>
    <row r="449" spans="1:39" ht="15.75" customHeight="1">
      <c r="A449" s="6">
        <v>178</v>
      </c>
      <c r="B449" s="6">
        <v>2018</v>
      </c>
      <c r="C449" s="6" t="s">
        <v>411</v>
      </c>
      <c r="D449" s="7" t="s">
        <v>412</v>
      </c>
      <c r="E449" s="6" t="s">
        <v>409</v>
      </c>
      <c r="F449" s="6" t="s">
        <v>410</v>
      </c>
      <c r="G449" s="6"/>
      <c r="H449" s="6"/>
      <c r="I449" s="8">
        <v>36759530000000</v>
      </c>
      <c r="J449" s="8">
        <v>57613954000000</v>
      </c>
      <c r="K449" s="8">
        <v>23537562000000</v>
      </c>
      <c r="L449" s="8">
        <f>23537562000000+15733294000000</f>
        <v>39270856000000</v>
      </c>
      <c r="M449" s="8">
        <v>18343098000000</v>
      </c>
      <c r="N449" s="8">
        <v>22650000000</v>
      </c>
      <c r="O449" s="8">
        <v>22938812000000</v>
      </c>
      <c r="P449" s="8">
        <v>25710191000000</v>
      </c>
      <c r="Q449" s="6"/>
      <c r="R449" s="6"/>
      <c r="S449" s="11"/>
      <c r="T449" s="9">
        <f>1037244000000+2038624000000+1037244000000</f>
        <v>4113112000000</v>
      </c>
      <c r="U449" s="12">
        <v>-3296890000000</v>
      </c>
      <c r="V449" s="13">
        <f t="shared" si="50"/>
        <v>18343098000000</v>
      </c>
      <c r="W449" s="13">
        <f t="shared" si="40"/>
        <v>0.68162056712858143</v>
      </c>
      <c r="X449" s="13">
        <f t="shared" si="41"/>
        <v>2.1409064052320934</v>
      </c>
      <c r="Y449" s="8">
        <f t="shared" si="53"/>
        <v>-5.7223810745570425E-2</v>
      </c>
      <c r="Z449" s="8">
        <f t="shared" si="54"/>
        <v>-0.17973463370255122</v>
      </c>
      <c r="AA449" s="8">
        <f t="shared" si="42"/>
        <v>-0.12081615211807831</v>
      </c>
      <c r="AB449" s="8">
        <f t="shared" si="57"/>
        <v>-0.1437254030417966</v>
      </c>
      <c r="AC449" s="8">
        <f t="shared" si="43"/>
        <v>-0.12081615211807831</v>
      </c>
      <c r="AD449" s="9"/>
      <c r="AE449" s="10"/>
      <c r="AF449" s="9"/>
      <c r="AG449" s="9"/>
      <c r="AH449" s="9"/>
      <c r="AI449" s="9">
        <v>412787000000</v>
      </c>
      <c r="AJ449" s="9">
        <f t="shared" ref="AJ449:AJ451" si="60">1216849000000+5712343000000</f>
        <v>6929192000000</v>
      </c>
      <c r="AK449" s="10">
        <v>1006352000000</v>
      </c>
      <c r="AL449" s="10"/>
      <c r="AM449" s="10">
        <v>636178000000</v>
      </c>
    </row>
    <row r="450" spans="1:39" ht="15.75" customHeight="1">
      <c r="A450" s="6">
        <v>179</v>
      </c>
      <c r="B450" s="6">
        <v>2019</v>
      </c>
      <c r="C450" s="6" t="s">
        <v>411</v>
      </c>
      <c r="D450" s="7" t="s">
        <v>412</v>
      </c>
      <c r="E450" s="6" t="s">
        <v>409</v>
      </c>
      <c r="F450" s="6" t="s">
        <v>410</v>
      </c>
      <c r="G450" s="6"/>
      <c r="H450" s="9">
        <v>143486000000</v>
      </c>
      <c r="I450" s="8">
        <v>42081680000000</v>
      </c>
      <c r="J450" s="8">
        <v>62725242000000</v>
      </c>
      <c r="K450" s="8">
        <v>22310592000000</v>
      </c>
      <c r="L450" s="8">
        <f>K450+21292684000000</f>
        <v>43603276000000</v>
      </c>
      <c r="M450" s="8">
        <v>19121966000000</v>
      </c>
      <c r="N450" s="8">
        <v>22650000000</v>
      </c>
      <c r="O450" s="8">
        <v>25132628000000</v>
      </c>
      <c r="P450" s="8">
        <v>21858139000000</v>
      </c>
      <c r="Q450" s="6"/>
      <c r="R450" s="6"/>
      <c r="S450" s="11"/>
      <c r="T450" s="9">
        <f>1970279000000+1279376000000+531193000000</f>
        <v>3780848000000</v>
      </c>
      <c r="U450" s="12">
        <v>712579000000</v>
      </c>
      <c r="V450" s="13">
        <f t="shared" si="50"/>
        <v>19121966000000</v>
      </c>
      <c r="W450" s="13">
        <f t="shared" si="40"/>
        <v>0.69514719448989926</v>
      </c>
      <c r="X450" s="13">
        <f t="shared" si="41"/>
        <v>2.2802715996880236</v>
      </c>
      <c r="Y450" s="8">
        <f t="shared" si="53"/>
        <v>1.1360322850567879E-2</v>
      </c>
      <c r="Z450" s="8">
        <f t="shared" si="54"/>
        <v>3.7264944410004705E-2</v>
      </c>
      <c r="AA450" s="8">
        <f t="shared" si="42"/>
        <v>0.13028836459123971</v>
      </c>
      <c r="AB450" s="8">
        <f t="shared" si="57"/>
        <v>2.8352745283939267E-2</v>
      </c>
      <c r="AC450" s="8">
        <f t="shared" si="43"/>
        <v>0.13028836459123971</v>
      </c>
      <c r="AD450" s="9"/>
      <c r="AE450" s="10"/>
      <c r="AF450" s="9"/>
      <c r="AG450" s="9"/>
      <c r="AH450" s="9"/>
      <c r="AI450" s="9">
        <v>412787000000</v>
      </c>
      <c r="AJ450" s="9">
        <f t="shared" si="60"/>
        <v>6929192000000</v>
      </c>
      <c r="AK450" s="10">
        <v>944518000000</v>
      </c>
      <c r="AL450" s="10"/>
      <c r="AM450" s="10">
        <v>710231000000</v>
      </c>
    </row>
    <row r="451" spans="1:39" ht="15.75" customHeight="1">
      <c r="A451" s="6">
        <v>180</v>
      </c>
      <c r="B451" s="6">
        <v>2020</v>
      </c>
      <c r="C451" s="6" t="s">
        <v>411</v>
      </c>
      <c r="D451" s="7" t="s">
        <v>412</v>
      </c>
      <c r="E451" s="6" t="s">
        <v>409</v>
      </c>
      <c r="F451" s="6" t="s">
        <v>410</v>
      </c>
      <c r="G451" s="6"/>
      <c r="H451" s="9">
        <v>177261000000</v>
      </c>
      <c r="I451" s="8">
        <v>47162250000000</v>
      </c>
      <c r="J451" s="8">
        <v>67744797000000</v>
      </c>
      <c r="K451" s="8">
        <v>29750405000000</v>
      </c>
      <c r="L451" s="8">
        <f>K451+18857026000000</f>
        <v>48607431000000</v>
      </c>
      <c r="M451" s="8">
        <v>19137366000000</v>
      </c>
      <c r="N451" s="8">
        <v>22650000000</v>
      </c>
      <c r="O451" s="8">
        <v>26009095000000</v>
      </c>
      <c r="P451" s="8">
        <v>23377010000000</v>
      </c>
      <c r="Q451" s="6"/>
      <c r="R451" s="6"/>
      <c r="S451" s="11"/>
      <c r="T451" s="9">
        <f>1805207000000+1274264000000+335218000000</f>
        <v>3414689000000</v>
      </c>
      <c r="U451" s="12">
        <v>371598000000</v>
      </c>
      <c r="V451" s="13">
        <f t="shared" si="50"/>
        <v>19137366000000</v>
      </c>
      <c r="W451" s="13">
        <f t="shared" si="40"/>
        <v>0.71750795858167526</v>
      </c>
      <c r="X451" s="13">
        <f t="shared" si="41"/>
        <v>2.5399227354485459</v>
      </c>
      <c r="Y451" s="8">
        <f t="shared" si="53"/>
        <v>5.4852625803868005E-3</v>
      </c>
      <c r="Z451" s="8">
        <f t="shared" si="54"/>
        <v>1.9417405718216395E-2</v>
      </c>
      <c r="AA451" s="8">
        <f t="shared" si="42"/>
        <v>0.10119863839937529</v>
      </c>
      <c r="AB451" s="8">
        <f t="shared" si="57"/>
        <v>1.4287232985230743E-2</v>
      </c>
      <c r="AC451" s="8">
        <f t="shared" si="43"/>
        <v>0.10119863839937529</v>
      </c>
      <c r="AD451" s="9"/>
      <c r="AE451" s="9"/>
      <c r="AF451" s="9"/>
      <c r="AG451" s="9"/>
      <c r="AH451" s="9"/>
      <c r="AI451" s="9">
        <v>412787000000</v>
      </c>
      <c r="AJ451" s="9">
        <f t="shared" si="60"/>
        <v>6929192000000</v>
      </c>
      <c r="AK451" s="9">
        <v>704709000000</v>
      </c>
      <c r="AL451" s="9"/>
      <c r="AM451" s="10">
        <v>546311000000</v>
      </c>
    </row>
    <row r="452" spans="1:39" ht="15.75" customHeight="1">
      <c r="A452" s="6">
        <v>193</v>
      </c>
      <c r="B452" s="6">
        <v>2018</v>
      </c>
      <c r="C452" s="6" t="s">
        <v>413</v>
      </c>
      <c r="D452" s="7" t="s">
        <v>414</v>
      </c>
      <c r="E452" s="6" t="s">
        <v>409</v>
      </c>
      <c r="F452" s="6" t="s">
        <v>410</v>
      </c>
      <c r="G452" s="8"/>
      <c r="H452" s="6"/>
      <c r="I452" s="8">
        <v>16747033996892</v>
      </c>
      <c r="J452" s="8">
        <v>26213595077036</v>
      </c>
      <c r="K452" s="8">
        <v>6652222637584</v>
      </c>
      <c r="L452" s="8">
        <v>12765589253394</v>
      </c>
      <c r="M452" s="8">
        <v>12448005823642</v>
      </c>
      <c r="N452" s="8">
        <f t="shared" ref="N452:N454" si="61">1011793622+6793548068+541828646880</f>
        <v>549633988570</v>
      </c>
      <c r="O452" s="8">
        <v>5490311128559</v>
      </c>
      <c r="P452" s="8">
        <v>3621087413155</v>
      </c>
      <c r="Q452" s="6"/>
      <c r="R452" s="6"/>
      <c r="S452" s="11"/>
      <c r="T452" s="8">
        <f>648487185301+7330018167414</f>
        <v>7978505352715</v>
      </c>
      <c r="U452" s="12">
        <v>-3532729249240</v>
      </c>
      <c r="V452" s="13">
        <f t="shared" si="50"/>
        <v>12448005823642</v>
      </c>
      <c r="W452" s="13">
        <f t="shared" si="40"/>
        <v>0.48698353720192655</v>
      </c>
      <c r="X452" s="13">
        <f t="shared" si="41"/>
        <v>1.0255127957241814</v>
      </c>
      <c r="Y452" s="8">
        <f t="shared" si="53"/>
        <v>-0.13476706414584053</v>
      </c>
      <c r="Z452" s="8">
        <f t="shared" si="54"/>
        <v>-0.28379881077260011</v>
      </c>
      <c r="AA452" s="8">
        <f t="shared" si="42"/>
        <v>0.34045861366231917</v>
      </c>
      <c r="AB452" s="8">
        <f t="shared" si="57"/>
        <v>-0.64344791515799005</v>
      </c>
      <c r="AC452" s="8">
        <f t="shared" si="43"/>
        <v>0.34045861366231917</v>
      </c>
      <c r="AD452" s="9"/>
      <c r="AE452" s="10">
        <v>94595046471</v>
      </c>
      <c r="AF452" s="9"/>
      <c r="AG452" s="9"/>
      <c r="AH452" s="9"/>
      <c r="AI452" s="9">
        <v>47141804200</v>
      </c>
      <c r="AJ452" s="9">
        <f>6207511435281+1024840486556</f>
        <v>7232351921837</v>
      </c>
      <c r="AK452" s="10">
        <v>3118759337293</v>
      </c>
      <c r="AL452" s="10"/>
      <c r="AM452" s="10">
        <v>331917893404</v>
      </c>
    </row>
    <row r="453" spans="1:39" ht="15.75" customHeight="1">
      <c r="A453" s="6">
        <v>194</v>
      </c>
      <c r="B453" s="6">
        <v>2019</v>
      </c>
      <c r="C453" s="6" t="s">
        <v>413</v>
      </c>
      <c r="D453" s="7" t="s">
        <v>414</v>
      </c>
      <c r="E453" s="6" t="s">
        <v>409</v>
      </c>
      <c r="F453" s="6" t="s">
        <v>410</v>
      </c>
      <c r="G453" s="6"/>
      <c r="H453" s="6"/>
      <c r="I453" s="8">
        <v>19894482043118</v>
      </c>
      <c r="J453" s="8">
        <v>27650462178339</v>
      </c>
      <c r="K453" s="8">
        <v>8795039298147</v>
      </c>
      <c r="L453" s="8">
        <v>14914975380320</v>
      </c>
      <c r="M453" s="8">
        <v>12735486798019</v>
      </c>
      <c r="N453" s="8">
        <f t="shared" si="61"/>
        <v>549633988570</v>
      </c>
      <c r="O453" s="8">
        <v>6987804620572</v>
      </c>
      <c r="P453" s="8">
        <v>9290093435878</v>
      </c>
      <c r="Q453" s="6"/>
      <c r="R453" s="6"/>
      <c r="S453" s="11"/>
      <c r="T453" s="8">
        <f>939362411828+8093594926155</f>
        <v>9032957337983</v>
      </c>
      <c r="U453" s="12">
        <v>-2197474419923</v>
      </c>
      <c r="V453" s="13">
        <f t="shared" si="50"/>
        <v>12735486798019</v>
      </c>
      <c r="W453" s="13">
        <f t="shared" si="40"/>
        <v>0.5394114313215419</v>
      </c>
      <c r="X453" s="13">
        <f t="shared" si="41"/>
        <v>1.1711350823778497</v>
      </c>
      <c r="Y453" s="8">
        <f t="shared" si="53"/>
        <v>-7.9473334143559879E-2</v>
      </c>
      <c r="Z453" s="8">
        <f t="shared" si="54"/>
        <v>-0.17254734387262027</v>
      </c>
      <c r="AA453" s="8">
        <f t="shared" si="42"/>
        <v>-0.32947240804759964</v>
      </c>
      <c r="AB453" s="8">
        <f t="shared" si="57"/>
        <v>-0.31447279070363038</v>
      </c>
      <c r="AC453" s="8">
        <f t="shared" si="43"/>
        <v>-0.32947240804759964</v>
      </c>
      <c r="AD453" s="9"/>
      <c r="AE453" s="10">
        <v>165855663114</v>
      </c>
      <c r="AF453" s="9"/>
      <c r="AG453" s="9"/>
      <c r="AH453" s="9"/>
      <c r="AI453" s="9">
        <v>48849044200</v>
      </c>
      <c r="AJ453" s="9">
        <f t="shared" ref="AJ453:AJ454" si="62">6879966345142+1024840486556</f>
        <v>7904806831698</v>
      </c>
      <c r="AK453" s="9">
        <v>3683331670598</v>
      </c>
      <c r="AL453" s="10"/>
      <c r="AM453" s="10">
        <v>546791362566</v>
      </c>
    </row>
    <row r="454" spans="1:39" ht="15.75" customHeight="1">
      <c r="A454" s="6">
        <v>195</v>
      </c>
      <c r="B454" s="6">
        <v>2020</v>
      </c>
      <c r="C454" s="6" t="s">
        <v>413</v>
      </c>
      <c r="D454" s="7" t="s">
        <v>414</v>
      </c>
      <c r="E454" s="6" t="s">
        <v>409</v>
      </c>
      <c r="F454" s="6" t="s">
        <v>410</v>
      </c>
      <c r="G454" s="6"/>
      <c r="H454" s="6"/>
      <c r="I454" s="8">
        <v>29672953182374</v>
      </c>
      <c r="J454" s="8">
        <v>38684276546076</v>
      </c>
      <c r="K454" s="8">
        <v>17900388499822</v>
      </c>
      <c r="L454" s="8">
        <v>26318344155226</v>
      </c>
      <c r="M454" s="8">
        <v>12365932390850</v>
      </c>
      <c r="N454" s="8">
        <f t="shared" si="61"/>
        <v>549633988570</v>
      </c>
      <c r="O454" s="8">
        <v>9407882876396</v>
      </c>
      <c r="P454" s="8">
        <v>10192558145177</v>
      </c>
      <c r="Q454" s="6"/>
      <c r="R454" s="6"/>
      <c r="S454" s="11"/>
      <c r="T454" s="8">
        <f>1254597841997+8466286109995+14327760523</f>
        <v>9735211712515</v>
      </c>
      <c r="U454" s="12">
        <v>-1499720500328</v>
      </c>
      <c r="V454" s="13">
        <f t="shared" si="50"/>
        <v>12365932390850</v>
      </c>
      <c r="W454" s="13">
        <f t="shared" si="40"/>
        <v>0.68033698714460367</v>
      </c>
      <c r="X454" s="13">
        <f t="shared" si="41"/>
        <v>2.1282943593238381</v>
      </c>
      <c r="Y454" s="8">
        <f t="shared" si="53"/>
        <v>-3.8768218879360855E-2</v>
      </c>
      <c r="Z454" s="8">
        <f t="shared" si="54"/>
        <v>-0.1212784004413365</v>
      </c>
      <c r="AA454" s="8">
        <f t="shared" si="42"/>
        <v>-8.3406147705103628E-2</v>
      </c>
      <c r="AB454" s="8">
        <f t="shared" si="57"/>
        <v>-0.15941105135255654</v>
      </c>
      <c r="AC454" s="8">
        <f t="shared" si="43"/>
        <v>-8.3406147705103628E-2</v>
      </c>
      <c r="AD454" s="9"/>
      <c r="AE454" s="10">
        <v>173454043328</v>
      </c>
      <c r="AF454" s="9"/>
      <c r="AG454" s="9"/>
      <c r="AH454" s="9"/>
      <c r="AI454" s="9">
        <v>48849044200</v>
      </c>
      <c r="AJ454" s="9">
        <f t="shared" si="62"/>
        <v>7904806831698</v>
      </c>
      <c r="AK454" s="10">
        <v>3853375658749</v>
      </c>
      <c r="AL454" s="10"/>
      <c r="AM454" s="10">
        <v>834638281331</v>
      </c>
    </row>
    <row r="455" spans="1:39" ht="15.75" customHeight="1">
      <c r="A455" s="6">
        <v>241</v>
      </c>
      <c r="B455" s="6">
        <v>2018</v>
      </c>
      <c r="C455" s="6" t="s">
        <v>415</v>
      </c>
      <c r="D455" s="7" t="s">
        <v>416</v>
      </c>
      <c r="E455" s="6" t="s">
        <v>409</v>
      </c>
      <c r="F455" s="6" t="s">
        <v>410</v>
      </c>
      <c r="G455" s="6"/>
      <c r="H455" s="9">
        <f>1466132000000+328113000000</f>
        <v>1794245000000</v>
      </c>
      <c r="I455" s="8">
        <v>36899330000000</v>
      </c>
      <c r="J455" s="8">
        <v>53139587000000</v>
      </c>
      <c r="K455" s="8">
        <v>19962975000000</v>
      </c>
      <c r="L455" s="8">
        <v>41003340000000</v>
      </c>
      <c r="M455" s="8">
        <v>12136247000000</v>
      </c>
      <c r="N455" s="8">
        <v>20000000000</v>
      </c>
      <c r="O455" s="13">
        <v>23139551000000</v>
      </c>
      <c r="P455" s="8">
        <v>12043307000000</v>
      </c>
      <c r="Q455" s="6"/>
      <c r="R455" s="6"/>
      <c r="S455" s="11"/>
      <c r="T455" s="10">
        <f>2238310000000+1228930000000+1128860000000</f>
        <v>4596100000000</v>
      </c>
      <c r="U455" s="12">
        <v>-2085059000000</v>
      </c>
      <c r="V455" s="13">
        <f t="shared" si="50"/>
        <v>12136247000000</v>
      </c>
      <c r="W455" s="13">
        <f t="shared" si="40"/>
        <v>0.7716157071375056</v>
      </c>
      <c r="X455" s="13">
        <f t="shared" si="41"/>
        <v>3.3785848293957761</v>
      </c>
      <c r="Y455" s="8">
        <f t="shared" si="53"/>
        <v>-3.9237395653827722E-2</v>
      </c>
      <c r="Z455" s="8">
        <f t="shared" si="54"/>
        <v>-0.17180426535484983</v>
      </c>
      <c r="AA455" s="8">
        <f t="shared" si="42"/>
        <v>0.4795358388760439</v>
      </c>
      <c r="AB455" s="8">
        <f t="shared" si="57"/>
        <v>-9.0108014628287297E-2</v>
      </c>
      <c r="AC455" s="8">
        <f t="shared" si="43"/>
        <v>0.4795358388760439</v>
      </c>
      <c r="AD455" s="9"/>
      <c r="AE455" s="9"/>
      <c r="AF455" s="9"/>
      <c r="AG455" s="9"/>
      <c r="AH455" s="9"/>
      <c r="AI455" s="9"/>
      <c r="AJ455" s="9"/>
      <c r="AK455" s="9"/>
      <c r="AL455" s="9"/>
      <c r="AM455" s="10"/>
    </row>
    <row r="456" spans="1:39" ht="15.75" customHeight="1">
      <c r="A456" s="6">
        <v>242</v>
      </c>
      <c r="B456" s="6">
        <v>2019</v>
      </c>
      <c r="C456" s="6" t="s">
        <v>415</v>
      </c>
      <c r="D456" s="7" t="s">
        <v>416</v>
      </c>
      <c r="E456" s="6" t="s">
        <v>409</v>
      </c>
      <c r="F456" s="6" t="s">
        <v>410</v>
      </c>
      <c r="G456" s="6"/>
      <c r="H456" s="9">
        <f>1303201000000+264524000000</f>
        <v>1567725000000</v>
      </c>
      <c r="I456" s="8">
        <v>42753285000000</v>
      </c>
      <c r="J456" s="8">
        <v>62813000000000</v>
      </c>
      <c r="K456" s="8">
        <v>26976367000000</v>
      </c>
      <c r="L456" s="8">
        <v>49105807000000</v>
      </c>
      <c r="M456" s="8">
        <v>13707193000000</v>
      </c>
      <c r="N456" s="8">
        <v>20000000000</v>
      </c>
      <c r="O456" s="8">
        <v>26117533000000</v>
      </c>
      <c r="P456" s="8">
        <v>12342653000000</v>
      </c>
      <c r="Q456" s="6"/>
      <c r="R456" s="6"/>
      <c r="S456" s="11"/>
      <c r="T456" s="10">
        <f>1934024000000+1145457000000+839338000000</f>
        <v>3918819000000</v>
      </c>
      <c r="U456" s="12">
        <v>1630372000000</v>
      </c>
      <c r="V456" s="13">
        <f t="shared" si="50"/>
        <v>13707193000000</v>
      </c>
      <c r="W456" s="13">
        <f t="shared" si="40"/>
        <v>0.78177776893318263</v>
      </c>
      <c r="X456" s="13">
        <f t="shared" si="41"/>
        <v>3.5824845393217997</v>
      </c>
      <c r="Y456" s="8">
        <f t="shared" si="53"/>
        <v>2.5955964529635583E-2</v>
      </c>
      <c r="Z456" s="8">
        <f t="shared" si="54"/>
        <v>0.1189428061602401</v>
      </c>
      <c r="AA456" s="8">
        <f t="shared" si="42"/>
        <v>0.52741887987659475</v>
      </c>
      <c r="AB456" s="8">
        <f t="shared" si="57"/>
        <v>6.2424425767931453E-2</v>
      </c>
      <c r="AC456" s="8">
        <f t="shared" si="43"/>
        <v>0.52741887987659475</v>
      </c>
      <c r="AD456" s="9"/>
      <c r="AE456" s="9"/>
      <c r="AF456" s="9"/>
      <c r="AG456" s="9"/>
      <c r="AH456" s="9"/>
      <c r="AI456" s="9"/>
      <c r="AJ456" s="9"/>
      <c r="AK456" s="9"/>
      <c r="AL456" s="9"/>
      <c r="AM456" s="10"/>
    </row>
    <row r="457" spans="1:39" ht="15.75" customHeight="1">
      <c r="A457" s="6">
        <v>243</v>
      </c>
      <c r="B457" s="6">
        <v>2020</v>
      </c>
      <c r="C457" s="6" t="s">
        <v>415</v>
      </c>
      <c r="D457" s="7" t="s">
        <v>416</v>
      </c>
      <c r="E457" s="6" t="s">
        <v>409</v>
      </c>
      <c r="F457" s="6" t="s">
        <v>410</v>
      </c>
      <c r="G457" s="6"/>
      <c r="H457" s="9">
        <f>219347000000+311622000000</f>
        <v>530969000000</v>
      </c>
      <c r="I457" s="8">
        <v>46522054000000</v>
      </c>
      <c r="J457" s="8">
        <v>62778740000000</v>
      </c>
      <c r="K457" s="8">
        <v>27207250000000</v>
      </c>
      <c r="L457" s="8">
        <v>49865344000000</v>
      </c>
      <c r="M457" s="8">
        <v>12913396000000</v>
      </c>
      <c r="N457" s="8">
        <v>20000000000</v>
      </c>
      <c r="O457" s="8">
        <v>27925661000000</v>
      </c>
      <c r="P457" s="8">
        <v>12165540000000</v>
      </c>
      <c r="Q457" s="6"/>
      <c r="R457" s="6"/>
      <c r="S457" s="11"/>
      <c r="T457" s="10">
        <f>2578463000000+1082774000000+665727000000</f>
        <v>4326964000000</v>
      </c>
      <c r="U457" s="12">
        <v>-630160000000</v>
      </c>
      <c r="V457" s="13">
        <f t="shared" si="50"/>
        <v>12913396000000</v>
      </c>
      <c r="W457" s="13">
        <f t="shared" si="40"/>
        <v>0.79430303953217285</v>
      </c>
      <c r="X457" s="13">
        <f t="shared" si="41"/>
        <v>3.8615205481191781</v>
      </c>
      <c r="Y457" s="8">
        <f t="shared" si="53"/>
        <v>-1.0037793049048133E-2</v>
      </c>
      <c r="Z457" s="8">
        <f t="shared" si="54"/>
        <v>-4.8798937165715352E-2</v>
      </c>
      <c r="AA457" s="8">
        <f t="shared" si="42"/>
        <v>0.56435981945064795</v>
      </c>
      <c r="AB457" s="8">
        <f t="shared" si="57"/>
        <v>-2.2565625214744246E-2</v>
      </c>
      <c r="AC457" s="8">
        <f t="shared" si="43"/>
        <v>0.56435981945064795</v>
      </c>
      <c r="AD457" s="9"/>
      <c r="AE457" s="9"/>
      <c r="AF457" s="9"/>
      <c r="AG457" s="9"/>
      <c r="AH457" s="9"/>
      <c r="AI457" s="9"/>
      <c r="AJ457" s="9"/>
      <c r="AK457" s="9"/>
      <c r="AL457" s="9"/>
      <c r="AM457" s="10"/>
    </row>
    <row r="458" spans="1:39" ht="15.75" customHeight="1">
      <c r="A458" s="6">
        <v>448</v>
      </c>
      <c r="B458" s="6">
        <v>2018</v>
      </c>
      <c r="C458" s="6" t="s">
        <v>417</v>
      </c>
      <c r="D458" s="7" t="s">
        <v>418</v>
      </c>
      <c r="E458" s="6" t="s">
        <v>409</v>
      </c>
      <c r="F458" s="6" t="s">
        <v>410</v>
      </c>
      <c r="G458" s="6"/>
      <c r="H458" s="9"/>
      <c r="I458" s="10">
        <v>143248000000000</v>
      </c>
      <c r="J458" s="10">
        <v>206196000000000</v>
      </c>
      <c r="K458" s="10">
        <v>42632000000000</v>
      </c>
      <c r="L458" s="10">
        <v>88893000000000</v>
      </c>
      <c r="M458" s="10">
        <v>117303000000000</v>
      </c>
      <c r="N458" s="8"/>
      <c r="O458" s="10">
        <v>130784000000000</v>
      </c>
      <c r="P458" s="10">
        <f>130784000000000-38845000000000</f>
        <v>91939000000000</v>
      </c>
      <c r="Q458" s="6"/>
      <c r="R458" s="6"/>
      <c r="S458" s="11"/>
      <c r="T458" s="10">
        <v>6137000000000</v>
      </c>
      <c r="U458" s="12">
        <v>26979000000000</v>
      </c>
      <c r="V458" s="9">
        <f t="shared" si="50"/>
        <v>117303000000000</v>
      </c>
      <c r="W458" s="13">
        <f t="shared" si="40"/>
        <v>0.43110923587266486</v>
      </c>
      <c r="X458" s="13">
        <f t="shared" si="41"/>
        <v>0.7578067057108514</v>
      </c>
      <c r="Y458" s="8">
        <f t="shared" si="53"/>
        <v>0.13084152941861141</v>
      </c>
      <c r="Z458" s="8">
        <f t="shared" si="54"/>
        <v>0.22999411779749879</v>
      </c>
      <c r="AA458" s="8">
        <f t="shared" si="42"/>
        <v>0.29701645461218495</v>
      </c>
      <c r="AB458" s="8">
        <f t="shared" si="57"/>
        <v>0.20628670173721556</v>
      </c>
      <c r="AC458" s="8">
        <f t="shared" si="43"/>
        <v>0.29701645461218495</v>
      </c>
      <c r="AD458" s="9"/>
      <c r="AE458" s="10"/>
      <c r="AF458" s="9"/>
      <c r="AG458" s="9"/>
      <c r="AH458" s="9"/>
      <c r="AI458" s="9"/>
      <c r="AJ458" s="9"/>
      <c r="AK458" s="10"/>
      <c r="AL458" s="9"/>
      <c r="AM458" s="10"/>
    </row>
    <row r="459" spans="1:39" ht="15.75" customHeight="1">
      <c r="A459" s="6">
        <v>449</v>
      </c>
      <c r="B459" s="6">
        <v>2019</v>
      </c>
      <c r="C459" s="6" t="s">
        <v>417</v>
      </c>
      <c r="D459" s="7" t="s">
        <v>418</v>
      </c>
      <c r="E459" s="6" t="s">
        <v>409</v>
      </c>
      <c r="F459" s="6" t="s">
        <v>410</v>
      </c>
      <c r="G459" s="6"/>
      <c r="H459" s="9"/>
      <c r="I459" s="10">
        <v>156973000000000</v>
      </c>
      <c r="J459" s="10">
        <v>221208000000000</v>
      </c>
      <c r="K459" s="10">
        <v>45589000000000</v>
      </c>
      <c r="L459" s="10">
        <v>103958000000000</v>
      </c>
      <c r="M459" s="10">
        <v>117250000000000</v>
      </c>
      <c r="N459" s="8"/>
      <c r="O459" s="10">
        <v>135567000000000</v>
      </c>
      <c r="P459" s="10">
        <f>O459-42394000000000</f>
        <v>93173000000000</v>
      </c>
      <c r="Q459" s="6"/>
      <c r="R459" s="6"/>
      <c r="S459" s="11"/>
      <c r="T459" s="10">
        <v>6696000000000</v>
      </c>
      <c r="U459" s="12">
        <v>27592000000000</v>
      </c>
      <c r="V459" s="9">
        <f t="shared" si="50"/>
        <v>117250000000000</v>
      </c>
      <c r="W459" s="13">
        <f t="shared" si="40"/>
        <v>0.4699558786300676</v>
      </c>
      <c r="X459" s="13">
        <f t="shared" si="41"/>
        <v>0.88663539445629003</v>
      </c>
      <c r="Y459" s="8">
        <f t="shared" si="53"/>
        <v>0.12473328270225309</v>
      </c>
      <c r="Z459" s="8">
        <f t="shared" si="54"/>
        <v>0.23532622601279318</v>
      </c>
      <c r="AA459" s="8">
        <f t="shared" si="42"/>
        <v>0.31271622149933243</v>
      </c>
      <c r="AB459" s="8">
        <f t="shared" si="57"/>
        <v>0.20353035768291694</v>
      </c>
      <c r="AC459" s="8">
        <f t="shared" si="43"/>
        <v>0.31271622149933243</v>
      </c>
      <c r="AD459" s="9"/>
      <c r="AE459" s="10"/>
      <c r="AF459" s="9"/>
      <c r="AG459" s="9"/>
      <c r="AH459" s="9"/>
      <c r="AI459" s="9"/>
      <c r="AJ459" s="9"/>
      <c r="AK459" s="10"/>
      <c r="AL459" s="9"/>
      <c r="AM459" s="10"/>
    </row>
    <row r="460" spans="1:39" ht="15.75" customHeight="1">
      <c r="A460" s="6">
        <v>450</v>
      </c>
      <c r="B460" s="6">
        <v>2020</v>
      </c>
      <c r="C460" s="6" t="s">
        <v>417</v>
      </c>
      <c r="D460" s="7" t="s">
        <v>418</v>
      </c>
      <c r="E460" s="6" t="s">
        <v>409</v>
      </c>
      <c r="F460" s="6" t="s">
        <v>410</v>
      </c>
      <c r="G460" s="8"/>
      <c r="H460" s="9"/>
      <c r="I460" s="10">
        <v>160923000000000</v>
      </c>
      <c r="J460" s="10">
        <v>246943000000000</v>
      </c>
      <c r="K460" s="10">
        <v>56961000000000</v>
      </c>
      <c r="L460" s="10">
        <v>126054000000000</v>
      </c>
      <c r="M460" s="10">
        <v>120889000000000</v>
      </c>
      <c r="N460" s="8"/>
      <c r="O460" s="10">
        <v>136462000000000</v>
      </c>
      <c r="P460" s="10">
        <f>O460-43505000000000</f>
        <v>92957000000000</v>
      </c>
      <c r="Q460" s="6"/>
      <c r="R460" s="6"/>
      <c r="S460" s="11"/>
      <c r="T460" s="10">
        <v>6511000000000</v>
      </c>
      <c r="U460" s="12">
        <v>29563000000000</v>
      </c>
      <c r="V460" s="9">
        <f t="shared" si="50"/>
        <v>120889000000000</v>
      </c>
      <c r="W460" s="13">
        <f t="shared" si="40"/>
        <v>0.51045787894372385</v>
      </c>
      <c r="X460" s="13">
        <f t="shared" si="41"/>
        <v>1.042725144554095</v>
      </c>
      <c r="Y460" s="8">
        <f t="shared" si="53"/>
        <v>0.11971588585220071</v>
      </c>
      <c r="Z460" s="8">
        <f t="shared" si="54"/>
        <v>0.24454665023285824</v>
      </c>
      <c r="AA460" s="8">
        <f t="shared" si="42"/>
        <v>0.31880670076651374</v>
      </c>
      <c r="AB460" s="8">
        <f t="shared" si="57"/>
        <v>0.21663906435491198</v>
      </c>
      <c r="AC460" s="8">
        <f t="shared" si="43"/>
        <v>0.31880670076651374</v>
      </c>
      <c r="AD460" s="9"/>
      <c r="AE460" s="10"/>
      <c r="AF460" s="9"/>
      <c r="AG460" s="9"/>
      <c r="AH460" s="9"/>
      <c r="AI460" s="9"/>
      <c r="AJ460" s="9"/>
      <c r="AK460" s="10"/>
      <c r="AL460" s="9"/>
      <c r="AM460" s="9"/>
    </row>
    <row r="461" spans="1:39" ht="15.75" customHeight="1">
      <c r="A461" s="6">
        <v>43</v>
      </c>
      <c r="B461" s="6">
        <v>2018</v>
      </c>
      <c r="C461" s="6" t="s">
        <v>419</v>
      </c>
      <c r="D461" s="7" t="s">
        <v>420</v>
      </c>
      <c r="E461" s="6" t="s">
        <v>421</v>
      </c>
      <c r="F461" s="6" t="s">
        <v>422</v>
      </c>
      <c r="G461" s="8"/>
      <c r="H461" s="16"/>
      <c r="I461" s="16">
        <v>3411907698638</v>
      </c>
      <c r="J461" s="16">
        <v>4062536132739</v>
      </c>
      <c r="K461" s="16">
        <v>1773883093606</v>
      </c>
      <c r="L461" s="16">
        <v>2924124201613</v>
      </c>
      <c r="M461" s="16">
        <v>1138411931126</v>
      </c>
      <c r="N461" s="8">
        <v>8000000000</v>
      </c>
      <c r="O461" s="16">
        <v>1862945638339</v>
      </c>
      <c r="P461" s="16">
        <v>1264245086837</v>
      </c>
      <c r="Q461" s="6"/>
      <c r="R461" s="6"/>
      <c r="S461" s="11"/>
      <c r="T461" s="9">
        <v>247702302265</v>
      </c>
      <c r="U461" s="12">
        <v>142242410935</v>
      </c>
      <c r="V461" s="17">
        <f t="shared" si="50"/>
        <v>1138411931126</v>
      </c>
      <c r="W461" s="13">
        <f t="shared" si="40"/>
        <v>0.71977801699982125</v>
      </c>
      <c r="X461" s="13">
        <f t="shared" si="41"/>
        <v>2.5685993985681064</v>
      </c>
      <c r="Y461" s="8">
        <f t="shared" si="53"/>
        <v>3.5013205122953292E-2</v>
      </c>
      <c r="Z461" s="8">
        <f t="shared" si="54"/>
        <v>0.12494810274371285</v>
      </c>
      <c r="AA461" s="8">
        <f t="shared" si="42"/>
        <v>0.32137306595580573</v>
      </c>
      <c r="AB461" s="8">
        <f t="shared" si="57"/>
        <v>7.6353495243062036E-2</v>
      </c>
      <c r="AC461" s="8">
        <f t="shared" si="43"/>
        <v>0.32137306595580573</v>
      </c>
      <c r="AD461" s="9"/>
      <c r="AE461" s="10"/>
      <c r="AF461" s="9"/>
      <c r="AG461" s="9"/>
      <c r="AH461" s="9"/>
      <c r="AK461" s="9">
        <v>2245214404</v>
      </c>
      <c r="AL461" s="9"/>
      <c r="AM461" s="9">
        <v>5409872284</v>
      </c>
    </row>
    <row r="462" spans="1:39" ht="15.75" customHeight="1">
      <c r="A462" s="6">
        <v>44</v>
      </c>
      <c r="B462" s="6">
        <v>2019</v>
      </c>
      <c r="C462" s="6" t="s">
        <v>419</v>
      </c>
      <c r="D462" s="7" t="s">
        <v>420</v>
      </c>
      <c r="E462" s="6" t="s">
        <v>421</v>
      </c>
      <c r="F462" s="6" t="s">
        <v>422</v>
      </c>
      <c r="G462" s="8"/>
      <c r="H462" s="16">
        <v>30112143317</v>
      </c>
      <c r="I462" s="16">
        <v>3893957386095</v>
      </c>
      <c r="J462" s="16">
        <v>489223630042</v>
      </c>
      <c r="K462" s="16">
        <v>2270833680960</v>
      </c>
      <c r="L462" s="16">
        <v>3511071376393</v>
      </c>
      <c r="M462" s="16">
        <v>1338152253649</v>
      </c>
      <c r="N462" s="8">
        <v>8000000000</v>
      </c>
      <c r="O462" s="16">
        <v>2329565792542</v>
      </c>
      <c r="P462" s="16">
        <v>1589736602344</v>
      </c>
      <c r="Q462" s="6"/>
      <c r="R462" s="6"/>
      <c r="S462" s="11"/>
      <c r="T462" s="9">
        <v>401989099455</v>
      </c>
      <c r="U462" s="12">
        <v>91614940880</v>
      </c>
      <c r="V462" s="17">
        <f t="shared" si="50"/>
        <v>1338152253649</v>
      </c>
      <c r="W462" s="13">
        <f t="shared" si="40"/>
        <v>7.1768229512780763</v>
      </c>
      <c r="X462" s="13">
        <f t="shared" si="41"/>
        <v>2.623820545695513</v>
      </c>
      <c r="Y462" s="8">
        <f t="shared" si="53"/>
        <v>0.18726597664984995</v>
      </c>
      <c r="Z462" s="8">
        <f t="shared" si="54"/>
        <v>6.8463764590446063E-2</v>
      </c>
      <c r="AA462" s="8">
        <f t="shared" si="42"/>
        <v>0.31758244071342817</v>
      </c>
      <c r="AB462" s="8">
        <f t="shared" si="57"/>
        <v>3.9327045912719488E-2</v>
      </c>
      <c r="AC462" s="8">
        <f t="shared" si="43"/>
        <v>0.31758244071342817</v>
      </c>
      <c r="AD462" s="9"/>
      <c r="AE462" s="10"/>
      <c r="AF462" s="9"/>
      <c r="AG462" s="9"/>
      <c r="AH462" s="9"/>
      <c r="AK462" s="9">
        <v>15943419420</v>
      </c>
      <c r="AL462" s="9"/>
      <c r="AM462" s="9">
        <v>7939054743</v>
      </c>
    </row>
    <row r="463" spans="1:39" ht="15.75" customHeight="1">
      <c r="A463" s="6">
        <v>45</v>
      </c>
      <c r="B463" s="6">
        <v>2020</v>
      </c>
      <c r="C463" s="6" t="s">
        <v>419</v>
      </c>
      <c r="D463" s="7" t="s">
        <v>420</v>
      </c>
      <c r="E463" s="6" t="s">
        <v>421</v>
      </c>
      <c r="F463" s="6" t="s">
        <v>422</v>
      </c>
      <c r="G463" s="8"/>
      <c r="H463" s="16">
        <v>36356429433</v>
      </c>
      <c r="I463" s="16">
        <v>4059871768434</v>
      </c>
      <c r="J463" s="16">
        <v>5170895098267</v>
      </c>
      <c r="K463" s="16">
        <v>2294642818540</v>
      </c>
      <c r="L463" s="16">
        <v>3731575182568</v>
      </c>
      <c r="M463" s="16">
        <v>1439319915699</v>
      </c>
      <c r="N463" s="8">
        <v>8000000000</v>
      </c>
      <c r="O463" s="16">
        <v>3037359367967</v>
      </c>
      <c r="P463" s="16">
        <v>2247248906374</v>
      </c>
      <c r="Q463" s="6"/>
      <c r="R463" s="6"/>
      <c r="S463" s="11"/>
      <c r="T463" s="9">
        <v>475174653732</v>
      </c>
      <c r="U463" s="12">
        <v>63896421980</v>
      </c>
      <c r="V463" s="17">
        <f t="shared" si="50"/>
        <v>1439319915699</v>
      </c>
      <c r="W463" s="13">
        <f t="shared" si="40"/>
        <v>0.72164975534286491</v>
      </c>
      <c r="X463" s="13">
        <f t="shared" si="41"/>
        <v>2.5925960878237242</v>
      </c>
      <c r="Y463" s="8">
        <f t="shared" si="53"/>
        <v>1.235693642313776E-2</v>
      </c>
      <c r="Z463" s="8">
        <f t="shared" si="54"/>
        <v>4.4393481451251202E-2</v>
      </c>
      <c r="AA463" s="8">
        <f t="shared" si="42"/>
        <v>0.26013071417421568</v>
      </c>
      <c r="AB463" s="8">
        <f t="shared" si="57"/>
        <v>2.1036833064231014E-2</v>
      </c>
      <c r="AC463" s="8">
        <f t="shared" si="43"/>
        <v>0.26013071417421568</v>
      </c>
      <c r="AD463" s="9"/>
      <c r="AE463" s="10"/>
      <c r="AF463" s="9"/>
      <c r="AG463" s="9"/>
      <c r="AH463" s="9"/>
      <c r="AK463" s="9">
        <v>25859205586</v>
      </c>
      <c r="AL463" s="9"/>
      <c r="AM463" s="9">
        <v>11781471202</v>
      </c>
    </row>
    <row r="464" spans="1:39" ht="15.75" customHeight="1">
      <c r="A464" s="6">
        <v>202</v>
      </c>
      <c r="B464" s="6">
        <v>2018</v>
      </c>
      <c r="C464" s="6" t="s">
        <v>423</v>
      </c>
      <c r="D464" s="7" t="s">
        <v>424</v>
      </c>
      <c r="E464" s="6" t="s">
        <v>421</v>
      </c>
      <c r="F464" s="6" t="s">
        <v>422</v>
      </c>
      <c r="G464" s="8"/>
      <c r="H464" s="21">
        <v>673004</v>
      </c>
      <c r="I464" s="22">
        <v>955002399</v>
      </c>
      <c r="J464" s="22">
        <v>4167616300</v>
      </c>
      <c r="K464" s="22">
        <v>461088971</v>
      </c>
      <c r="L464" s="22">
        <v>3437474497</v>
      </c>
      <c r="M464" s="22">
        <v>730141803</v>
      </c>
      <c r="N464" s="8">
        <f t="shared" ref="N464:N466" si="63">1+29999999999</f>
        <v>30000000000</v>
      </c>
      <c r="O464" s="22">
        <v>4373177070</v>
      </c>
      <c r="P464" s="22">
        <v>4579259674</v>
      </c>
      <c r="Q464" s="6"/>
      <c r="R464" s="6"/>
      <c r="S464" s="11"/>
      <c r="T464" s="10">
        <f>224181523+31474431+28001571+12162238</f>
        <v>295819763</v>
      </c>
      <c r="U464" s="12">
        <v>-228889524</v>
      </c>
      <c r="V464" s="21">
        <f t="shared" si="50"/>
        <v>730141803</v>
      </c>
      <c r="W464" s="13">
        <f t="shared" si="40"/>
        <v>0.82480589611860378</v>
      </c>
      <c r="X464" s="13">
        <f t="shared" si="41"/>
        <v>4.7079546505571059</v>
      </c>
      <c r="Y464" s="8">
        <f t="shared" si="53"/>
        <v>-5.4920968612201658E-2</v>
      </c>
      <c r="Z464" s="8">
        <f t="shared" si="54"/>
        <v>-0.31348639820311724</v>
      </c>
      <c r="AA464" s="8">
        <f t="shared" si="42"/>
        <v>-4.7124230439633215E-2</v>
      </c>
      <c r="AB464" s="8">
        <f t="shared" si="57"/>
        <v>-5.2339413734280832E-2</v>
      </c>
      <c r="AC464" s="8">
        <f t="shared" si="43"/>
        <v>-4.7124230439633215E-2</v>
      </c>
      <c r="AD464" s="9"/>
      <c r="AE464" s="10"/>
      <c r="AF464" s="9"/>
      <c r="AG464" s="9"/>
      <c r="AH464" s="9"/>
      <c r="AI464" s="21">
        <v>1476348</v>
      </c>
      <c r="AJ464" s="9"/>
      <c r="AK464" s="10"/>
      <c r="AL464" s="10"/>
      <c r="AM464" s="22">
        <v>14155162</v>
      </c>
    </row>
    <row r="465" spans="1:39" ht="15.75" customHeight="1">
      <c r="A465" s="6">
        <v>203</v>
      </c>
      <c r="B465" s="6">
        <v>2019</v>
      </c>
      <c r="C465" s="6" t="s">
        <v>423</v>
      </c>
      <c r="D465" s="7" t="s">
        <v>424</v>
      </c>
      <c r="E465" s="6" t="s">
        <v>421</v>
      </c>
      <c r="F465" s="6" t="s">
        <v>422</v>
      </c>
      <c r="G465" s="8"/>
      <c r="H465" s="21">
        <v>23945705</v>
      </c>
      <c r="I465" s="22">
        <v>1143600991</v>
      </c>
      <c r="J465" s="22">
        <v>4455675774</v>
      </c>
      <c r="K465" s="22">
        <v>477216616</v>
      </c>
      <c r="L465" s="22">
        <v>3873097505</v>
      </c>
      <c r="M465" s="22">
        <v>582578269</v>
      </c>
      <c r="N465" s="8">
        <f t="shared" si="63"/>
        <v>30000000000</v>
      </c>
      <c r="O465" s="22">
        <v>4572638083</v>
      </c>
      <c r="P465" s="22">
        <v>4457045303</v>
      </c>
      <c r="Q465" s="6"/>
      <c r="R465" s="6"/>
      <c r="S465" s="11"/>
      <c r="T465" s="10">
        <f>249984716+31980015+29440247+10382106+2549469922</f>
        <v>2871257006</v>
      </c>
      <c r="U465" s="12">
        <v>-44567515</v>
      </c>
      <c r="V465" s="21">
        <f t="shared" si="50"/>
        <v>582578269</v>
      </c>
      <c r="W465" s="13">
        <f t="shared" si="40"/>
        <v>0.86925030039225648</v>
      </c>
      <c r="X465" s="13">
        <f t="shared" si="41"/>
        <v>6.6482011278041684</v>
      </c>
      <c r="Y465" s="8">
        <f t="shared" si="53"/>
        <v>-1.0002414282489488E-2</v>
      </c>
      <c r="Z465" s="8">
        <f t="shared" si="54"/>
        <v>-7.650047619610062E-2</v>
      </c>
      <c r="AA465" s="8">
        <f t="shared" si="42"/>
        <v>2.5279232229147314E-2</v>
      </c>
      <c r="AB465" s="8">
        <f t="shared" si="57"/>
        <v>-9.7465651536454648E-3</v>
      </c>
      <c r="AC465" s="8">
        <f t="shared" si="43"/>
        <v>2.5279232229147314E-2</v>
      </c>
      <c r="AD465" s="9"/>
      <c r="AE465" s="10"/>
      <c r="AF465" s="9"/>
      <c r="AG465" s="9"/>
      <c r="AH465" s="9"/>
      <c r="AI465" s="21">
        <v>738387</v>
      </c>
      <c r="AJ465" s="9"/>
      <c r="AK465" s="10"/>
      <c r="AL465" s="9"/>
      <c r="AM465" s="22">
        <v>9913194</v>
      </c>
    </row>
    <row r="466" spans="1:39" ht="15.75" customHeight="1">
      <c r="A466" s="6">
        <v>204</v>
      </c>
      <c r="B466" s="6">
        <v>2020</v>
      </c>
      <c r="C466" s="6" t="s">
        <v>423</v>
      </c>
      <c r="D466" s="7" t="s">
        <v>424</v>
      </c>
      <c r="E466" s="6" t="s">
        <v>421</v>
      </c>
      <c r="F466" s="6" t="s">
        <v>422</v>
      </c>
      <c r="G466" s="8"/>
      <c r="H466" s="21">
        <v>20006880</v>
      </c>
      <c r="I466" s="22">
        <v>9392106273</v>
      </c>
      <c r="J466" s="22">
        <v>10789980407</v>
      </c>
      <c r="K466" s="22">
        <v>8438206899</v>
      </c>
      <c r="L466" s="22">
        <v>12733004654</v>
      </c>
      <c r="M466" s="22">
        <v>-1943024247</v>
      </c>
      <c r="N466" s="8">
        <f t="shared" si="63"/>
        <v>30000000000</v>
      </c>
      <c r="O466" s="22">
        <v>1492331099</v>
      </c>
      <c r="P466" s="22">
        <v>3303826643</v>
      </c>
      <c r="Q466" s="6"/>
      <c r="R466" s="6"/>
      <c r="S466" s="11"/>
      <c r="T466" s="10">
        <f>350253350+1653741214+23416387+20205283+8163104</f>
        <v>2055779338</v>
      </c>
      <c r="U466" s="12">
        <v>-2476633349</v>
      </c>
      <c r="V466" s="21">
        <f t="shared" si="50"/>
        <v>-1943024247</v>
      </c>
      <c r="W466" s="13">
        <f t="shared" si="40"/>
        <v>1.1800767168900013</v>
      </c>
      <c r="X466" s="13">
        <f t="shared" si="41"/>
        <v>-6.5531887590489752</v>
      </c>
      <c r="Y466" s="8">
        <f t="shared" si="53"/>
        <v>-0.22953084765504153</v>
      </c>
      <c r="Z466" s="8">
        <f t="shared" si="54"/>
        <v>1.2746281230529595</v>
      </c>
      <c r="AA466" s="8">
        <f t="shared" si="42"/>
        <v>-1.2138697271764085</v>
      </c>
      <c r="AB466" s="8">
        <f t="shared" si="57"/>
        <v>-1.6595736366142699</v>
      </c>
      <c r="AC466" s="8">
        <f t="shared" si="43"/>
        <v>-1.2138697271764085</v>
      </c>
      <c r="AD466" s="9"/>
      <c r="AE466" s="10"/>
      <c r="AF466" s="9"/>
      <c r="AG466" s="9"/>
      <c r="AH466" s="9"/>
      <c r="AI466" s="21">
        <v>0</v>
      </c>
      <c r="AJ466" s="9"/>
      <c r="AK466" s="10"/>
      <c r="AL466" s="9"/>
      <c r="AM466" s="22">
        <v>4592354</v>
      </c>
    </row>
    <row r="467" spans="1:39" ht="15.75" customHeight="1">
      <c r="A467" s="6">
        <v>214</v>
      </c>
      <c r="B467" s="6">
        <v>2018</v>
      </c>
      <c r="C467" s="6" t="s">
        <v>425</v>
      </c>
      <c r="D467" s="7" t="s">
        <v>426</v>
      </c>
      <c r="E467" s="6" t="s">
        <v>421</v>
      </c>
      <c r="F467" s="6" t="s">
        <v>422</v>
      </c>
      <c r="G467" s="8"/>
      <c r="H467" s="6"/>
      <c r="I467" s="22">
        <v>153637273</v>
      </c>
      <c r="J467" s="22">
        <v>197358939</v>
      </c>
      <c r="K467" s="22">
        <v>99320318</v>
      </c>
      <c r="L467" s="22">
        <v>144011506</v>
      </c>
      <c r="M467" s="22">
        <v>53347433</v>
      </c>
      <c r="N467" s="8">
        <v>18644734616</v>
      </c>
      <c r="O467" s="22">
        <v>81808444</v>
      </c>
      <c r="P467" s="22">
        <v>52387139</v>
      </c>
      <c r="Q467" s="6"/>
      <c r="R467" s="6"/>
      <c r="S467" s="11"/>
      <c r="T467" s="26">
        <v>10304911</v>
      </c>
      <c r="U467" s="22">
        <v>12541802</v>
      </c>
      <c r="V467" s="21">
        <f t="shared" si="50"/>
        <v>53347433</v>
      </c>
      <c r="W467" s="13">
        <f t="shared" si="40"/>
        <v>0.72969335328662266</v>
      </c>
      <c r="X467" s="13">
        <f t="shared" si="41"/>
        <v>2.6995020735112036</v>
      </c>
      <c r="Y467" s="8">
        <f t="shared" si="53"/>
        <v>6.3548183140567052E-2</v>
      </c>
      <c r="Z467" s="8">
        <f t="shared" si="54"/>
        <v>0.23509663529639749</v>
      </c>
      <c r="AA467" s="8">
        <f t="shared" si="42"/>
        <v>0.3596365309184954</v>
      </c>
      <c r="AB467" s="8">
        <f t="shared" si="57"/>
        <v>0.15330693736211387</v>
      </c>
      <c r="AC467" s="8">
        <f t="shared" si="43"/>
        <v>0.3596365309184954</v>
      </c>
      <c r="AD467" s="9"/>
      <c r="AE467" s="10"/>
      <c r="AF467" s="9"/>
      <c r="AG467" s="9"/>
      <c r="AH467" s="9"/>
      <c r="AI467" s="9"/>
      <c r="AJ467" s="10"/>
      <c r="AK467" s="10"/>
      <c r="AL467" s="10"/>
      <c r="AM467" s="10"/>
    </row>
    <row r="468" spans="1:39" ht="15.75" customHeight="1">
      <c r="A468" s="6">
        <v>215</v>
      </c>
      <c r="B468" s="6">
        <v>2019</v>
      </c>
      <c r="C468" s="6" t="s">
        <v>425</v>
      </c>
      <c r="D468" s="7" t="s">
        <v>426</v>
      </c>
      <c r="E468" s="6" t="s">
        <v>421</v>
      </c>
      <c r="F468" s="6" t="s">
        <v>422</v>
      </c>
      <c r="G468" s="8"/>
      <c r="H468" s="6"/>
      <c r="I468" s="22">
        <v>145743249</v>
      </c>
      <c r="J468" s="22">
        <v>203847778</v>
      </c>
      <c r="K468" s="22">
        <v>95207945</v>
      </c>
      <c r="L468" s="22">
        <v>140910569</v>
      </c>
      <c r="M468" s="22">
        <v>62937209</v>
      </c>
      <c r="N468" s="8">
        <v>18644734616</v>
      </c>
      <c r="O468" s="22">
        <v>86257559</v>
      </c>
      <c r="P468" s="22">
        <v>57044698</v>
      </c>
      <c r="Q468" s="6"/>
      <c r="R468" s="6"/>
      <c r="S468" s="11"/>
      <c r="T468" s="22">
        <v>9142248</v>
      </c>
      <c r="U468" s="22">
        <v>13142179</v>
      </c>
      <c r="V468" s="21">
        <f t="shared" si="50"/>
        <v>62937209</v>
      </c>
      <c r="W468" s="13">
        <f t="shared" si="40"/>
        <v>0.69125388749638472</v>
      </c>
      <c r="X468" s="13">
        <f t="shared" si="41"/>
        <v>2.2389071781050855</v>
      </c>
      <c r="Y468" s="8">
        <f t="shared" si="53"/>
        <v>6.4470553120279786E-2</v>
      </c>
      <c r="Z468" s="8">
        <f t="shared" si="54"/>
        <v>0.20881413727767942</v>
      </c>
      <c r="AA468" s="8">
        <f t="shared" si="42"/>
        <v>0.33867015643231918</v>
      </c>
      <c r="AB468" s="8">
        <f t="shared" si="57"/>
        <v>0.15235973695940086</v>
      </c>
      <c r="AC468" s="8">
        <f t="shared" si="43"/>
        <v>0.33867015643231918</v>
      </c>
      <c r="AD468" s="9"/>
      <c r="AE468" s="10"/>
      <c r="AF468" s="9"/>
      <c r="AG468" s="9"/>
      <c r="AH468" s="9"/>
      <c r="AI468" s="9"/>
      <c r="AJ468" s="10"/>
      <c r="AK468" s="10"/>
      <c r="AL468" s="10"/>
      <c r="AM468" s="10"/>
    </row>
    <row r="469" spans="1:39" ht="15.75" customHeight="1">
      <c r="A469" s="6">
        <v>216</v>
      </c>
      <c r="B469" s="6">
        <v>2020</v>
      </c>
      <c r="C469" s="6" t="s">
        <v>425</v>
      </c>
      <c r="D469" s="7" t="s">
        <v>426</v>
      </c>
      <c r="E469" s="6" t="s">
        <v>421</v>
      </c>
      <c r="F469" s="6" t="s">
        <v>422</v>
      </c>
      <c r="G469" s="8"/>
      <c r="H469" s="6"/>
      <c r="I469" s="22">
        <v>135324959</v>
      </c>
      <c r="J469" s="22">
        <v>222976008</v>
      </c>
      <c r="K469" s="22">
        <v>87222937</v>
      </c>
      <c r="L469" s="22">
        <v>154965895</v>
      </c>
      <c r="M469" s="22">
        <v>68010113</v>
      </c>
      <c r="N469" s="8">
        <v>18644734616</v>
      </c>
      <c r="O469" s="22">
        <v>90254915</v>
      </c>
      <c r="P469" s="22">
        <v>61542948</v>
      </c>
      <c r="Q469" s="6"/>
      <c r="R469" s="6"/>
      <c r="S469" s="11"/>
      <c r="T469" s="22">
        <v>15877302</v>
      </c>
      <c r="U469" s="22">
        <v>7311782</v>
      </c>
      <c r="V469" s="21">
        <f t="shared" si="50"/>
        <v>68010113</v>
      </c>
      <c r="W469" s="13">
        <f t="shared" si="40"/>
        <v>0.69498909945504095</v>
      </c>
      <c r="X469" s="13">
        <f t="shared" si="41"/>
        <v>2.2785713501167097</v>
      </c>
      <c r="Y469" s="8">
        <f t="shared" si="53"/>
        <v>3.279178807434744E-2</v>
      </c>
      <c r="Z469" s="8">
        <f t="shared" si="54"/>
        <v>0.10751021689965432</v>
      </c>
      <c r="AA469" s="8">
        <f t="shared" si="42"/>
        <v>0.31812081369751444</v>
      </c>
      <c r="AB469" s="8">
        <f t="shared" si="57"/>
        <v>8.101256313852824E-2</v>
      </c>
      <c r="AC469" s="8">
        <f t="shared" si="43"/>
        <v>0.31812081369751444</v>
      </c>
      <c r="AD469" s="9"/>
      <c r="AE469" s="10"/>
      <c r="AF469" s="9"/>
      <c r="AG469" s="9"/>
      <c r="AH469" s="9"/>
      <c r="AI469" s="9"/>
      <c r="AJ469" s="10"/>
      <c r="AK469" s="10"/>
      <c r="AL469" s="10"/>
      <c r="AM469" s="10"/>
    </row>
    <row r="470" spans="1:39" ht="15.75" customHeight="1">
      <c r="A470" s="6">
        <v>229</v>
      </c>
      <c r="B470" s="6">
        <v>2018</v>
      </c>
      <c r="C470" s="6" t="s">
        <v>427</v>
      </c>
      <c r="D470" s="7" t="s">
        <v>428</v>
      </c>
      <c r="E470" s="6" t="s">
        <v>421</v>
      </c>
      <c r="F470" s="6" t="s">
        <v>422</v>
      </c>
      <c r="G470" s="6"/>
      <c r="H470" s="6">
        <v>1</v>
      </c>
      <c r="I470" s="8">
        <v>23789737950</v>
      </c>
      <c r="J470" s="8">
        <v>54006045968</v>
      </c>
      <c r="K470" s="8">
        <v>272341816</v>
      </c>
      <c r="L470" s="8">
        <v>343566269</v>
      </c>
      <c r="M470" s="8">
        <v>53662479699</v>
      </c>
      <c r="N470" s="13">
        <v>1079452000</v>
      </c>
      <c r="O470" s="8">
        <v>3000000000</v>
      </c>
      <c r="P470" s="8">
        <v>7716916818</v>
      </c>
      <c r="Q470" s="6"/>
      <c r="R470" s="6"/>
      <c r="S470" s="11"/>
      <c r="T470" s="10">
        <f>7181000000+87254000000</f>
        <v>94435000000</v>
      </c>
      <c r="U470" s="12">
        <v>-55222000000</v>
      </c>
      <c r="V470" s="13">
        <f t="shared" si="50"/>
        <v>53662479699</v>
      </c>
      <c r="W470" s="13">
        <f t="shared" si="40"/>
        <v>6.3616260520826138E-3</v>
      </c>
      <c r="X470" s="13">
        <f t="shared" si="41"/>
        <v>6.4023554432651826E-3</v>
      </c>
      <c r="Y470" s="8">
        <f t="shared" si="53"/>
        <v>-1.0225151464100979</v>
      </c>
      <c r="Z470" s="8">
        <f t="shared" si="54"/>
        <v>-1.0290616518235378</v>
      </c>
      <c r="AA470" s="8">
        <f t="shared" si="42"/>
        <v>-1.572305606</v>
      </c>
      <c r="AB470" s="8">
        <f t="shared" si="57"/>
        <v>-18.407333333333334</v>
      </c>
      <c r="AC470" s="8">
        <f t="shared" si="43"/>
        <v>-1.572305606</v>
      </c>
      <c r="AD470" s="9"/>
      <c r="AE470" s="9"/>
      <c r="AF470" s="9"/>
      <c r="AG470" s="9"/>
      <c r="AH470" s="9"/>
      <c r="AI470" s="9"/>
      <c r="AJ470" s="9"/>
      <c r="AK470" s="9"/>
      <c r="AL470" s="9"/>
      <c r="AM470" s="10"/>
    </row>
    <row r="471" spans="1:39" ht="15.75" customHeight="1">
      <c r="A471" s="6">
        <v>230</v>
      </c>
      <c r="B471" s="6">
        <v>2019</v>
      </c>
      <c r="C471" s="6" t="s">
        <v>427</v>
      </c>
      <c r="D471" s="7" t="s">
        <v>428</v>
      </c>
      <c r="E471" s="6" t="s">
        <v>421</v>
      </c>
      <c r="F471" s="6" t="s">
        <v>422</v>
      </c>
      <c r="G471" s="8"/>
      <c r="H471" s="6">
        <v>1</v>
      </c>
      <c r="I471" s="8">
        <v>23535344440</v>
      </c>
      <c r="J471" s="8">
        <v>61122301890</v>
      </c>
      <c r="K471" s="8">
        <v>359425559</v>
      </c>
      <c r="L471" s="8">
        <v>6482378525</v>
      </c>
      <c r="M471" s="8">
        <v>54639923365</v>
      </c>
      <c r="N471" s="13">
        <v>1079452000</v>
      </c>
      <c r="O471" s="8">
        <v>4800000000</v>
      </c>
      <c r="P471" s="8">
        <v>2589384602</v>
      </c>
      <c r="Q471" s="6"/>
      <c r="R471" s="6"/>
      <c r="S471" s="11"/>
      <c r="T471" s="10">
        <f>1883000000</f>
        <v>1883000000</v>
      </c>
      <c r="U471" s="12">
        <v>955000000</v>
      </c>
      <c r="V471" s="13">
        <f t="shared" si="50"/>
        <v>54639923365</v>
      </c>
      <c r="W471" s="13">
        <f t="shared" si="40"/>
        <v>0.10605586381000744</v>
      </c>
      <c r="X471" s="13">
        <f t="shared" si="41"/>
        <v>0.11863813354380241</v>
      </c>
      <c r="Y471" s="8">
        <f t="shared" si="53"/>
        <v>1.562441155633643E-2</v>
      </c>
      <c r="Z471" s="8">
        <f t="shared" si="54"/>
        <v>1.74780625811004E-2</v>
      </c>
      <c r="AA471" s="8">
        <f t="shared" si="42"/>
        <v>0.46054487458333332</v>
      </c>
      <c r="AB471" s="8">
        <f t="shared" si="57"/>
        <v>0.19895833333333332</v>
      </c>
      <c r="AC471" s="8">
        <f t="shared" si="43"/>
        <v>0.46054487458333332</v>
      </c>
      <c r="AD471" s="10"/>
      <c r="AE471" s="10"/>
      <c r="AF471" s="9"/>
      <c r="AG471" s="9"/>
      <c r="AH471" s="9"/>
      <c r="AI471" s="9"/>
      <c r="AJ471" s="9"/>
      <c r="AK471" s="10"/>
      <c r="AL471" s="9"/>
      <c r="AM471" s="10"/>
    </row>
    <row r="472" spans="1:39" ht="15.75" customHeight="1">
      <c r="A472" s="6">
        <v>231</v>
      </c>
      <c r="B472" s="6">
        <v>2020</v>
      </c>
      <c r="C472" s="6" t="s">
        <v>427</v>
      </c>
      <c r="D472" s="7" t="s">
        <v>428</v>
      </c>
      <c r="E472" s="6" t="s">
        <v>421</v>
      </c>
      <c r="F472" s="6" t="s">
        <v>422</v>
      </c>
      <c r="G472" s="8"/>
      <c r="H472" s="6">
        <v>1</v>
      </c>
      <c r="I472" s="8">
        <v>47748859951</v>
      </c>
      <c r="J472" s="8">
        <v>62664013184</v>
      </c>
      <c r="K472" s="8">
        <f>5859454830+526136992</f>
        <v>6385591822</v>
      </c>
      <c r="L472" s="8">
        <v>8075961521</v>
      </c>
      <c r="M472" s="8">
        <v>54588051663</v>
      </c>
      <c r="N472" s="13">
        <v>1079452000</v>
      </c>
      <c r="O472" s="8">
        <v>4800000000</v>
      </c>
      <c r="P472" s="8">
        <v>2564331008</v>
      </c>
      <c r="Q472" s="6"/>
      <c r="R472" s="6"/>
      <c r="S472" s="11"/>
      <c r="T472" s="10">
        <f>2780000000</f>
        <v>2780000000</v>
      </c>
      <c r="U472" s="12">
        <v>49000000</v>
      </c>
      <c r="V472" s="13">
        <f t="shared" si="50"/>
        <v>54588051663</v>
      </c>
      <c r="W472" s="13">
        <f t="shared" si="40"/>
        <v>0.12887718342083515</v>
      </c>
      <c r="X472" s="13">
        <f t="shared" si="41"/>
        <v>0.14794375829452655</v>
      </c>
      <c r="Y472" s="8">
        <f t="shared" si="53"/>
        <v>7.8194800349159837E-4</v>
      </c>
      <c r="Z472" s="8">
        <f t="shared" si="54"/>
        <v>8.9763232991904704E-4</v>
      </c>
      <c r="AA472" s="8">
        <f t="shared" si="42"/>
        <v>0.46576437333333331</v>
      </c>
      <c r="AB472" s="8">
        <f t="shared" si="57"/>
        <v>1.0208333333333333E-2</v>
      </c>
      <c r="AC472" s="8">
        <f t="shared" si="43"/>
        <v>0.46576437333333331</v>
      </c>
      <c r="AD472" s="10"/>
      <c r="AE472" s="9"/>
      <c r="AF472" s="9"/>
      <c r="AG472" s="9"/>
      <c r="AH472" s="9"/>
      <c r="AI472" s="9"/>
      <c r="AJ472" s="9"/>
      <c r="AK472" s="10"/>
      <c r="AL472" s="9"/>
      <c r="AM472" s="10"/>
    </row>
    <row r="473" spans="1:39" ht="15.75" customHeight="1">
      <c r="A473" s="6">
        <v>301</v>
      </c>
      <c r="B473" s="6">
        <v>2018</v>
      </c>
      <c r="C473" s="6" t="s">
        <v>429</v>
      </c>
      <c r="D473" s="7" t="s">
        <v>430</v>
      </c>
      <c r="E473" s="6" t="s">
        <v>421</v>
      </c>
      <c r="F473" s="6" t="s">
        <v>422</v>
      </c>
      <c r="G473" s="6"/>
      <c r="H473" s="9"/>
      <c r="I473" s="22">
        <v>177648209</v>
      </c>
      <c r="J473" s="22">
        <v>239708560</v>
      </c>
      <c r="K473" s="21">
        <v>53891418</v>
      </c>
      <c r="L473" s="22">
        <v>68321204</v>
      </c>
      <c r="M473" s="22">
        <v>171387356</v>
      </c>
      <c r="N473" s="8"/>
      <c r="O473" s="22">
        <v>75376517</v>
      </c>
      <c r="P473" s="22">
        <v>70523664</v>
      </c>
      <c r="Q473" s="6"/>
      <c r="R473" s="6"/>
      <c r="S473" s="11"/>
      <c r="T473" s="22">
        <f>103772+9569086</f>
        <v>9672858</v>
      </c>
      <c r="U473" s="22">
        <v>-16748868</v>
      </c>
      <c r="V473" s="21">
        <f t="shared" si="50"/>
        <v>171387356</v>
      </c>
      <c r="W473" s="13">
        <f t="shared" si="40"/>
        <v>0.28501778993624594</v>
      </c>
      <c r="X473" s="13">
        <f t="shared" si="41"/>
        <v>0.39863619811020362</v>
      </c>
      <c r="Y473" s="8">
        <f t="shared" si="53"/>
        <v>-6.9871797652949902E-2</v>
      </c>
      <c r="Z473" s="8">
        <f t="shared" si="54"/>
        <v>-9.7725225424447296E-2</v>
      </c>
      <c r="AA473" s="8">
        <f t="shared" si="42"/>
        <v>6.4381496958794207E-2</v>
      </c>
      <c r="AB473" s="8">
        <f t="shared" si="57"/>
        <v>-0.22220273191980999</v>
      </c>
      <c r="AC473" s="8">
        <f t="shared" si="43"/>
        <v>6.4381496958794207E-2</v>
      </c>
      <c r="AD473" s="9"/>
      <c r="AE473" s="9"/>
      <c r="AF473" s="9"/>
      <c r="AG473" s="9"/>
      <c r="AH473" s="9"/>
      <c r="AI473" s="9"/>
      <c r="AJ473" s="9"/>
      <c r="AK473" s="9"/>
      <c r="AL473" s="9"/>
      <c r="AM473" s="10"/>
    </row>
    <row r="474" spans="1:39" ht="15.75" customHeight="1">
      <c r="A474" s="6">
        <v>302</v>
      </c>
      <c r="B474" s="6">
        <v>2019</v>
      </c>
      <c r="C474" s="6" t="s">
        <v>429</v>
      </c>
      <c r="D474" s="7" t="s">
        <v>430</v>
      </c>
      <c r="E474" s="6" t="s">
        <v>421</v>
      </c>
      <c r="F474" s="6" t="s">
        <v>422</v>
      </c>
      <c r="G474" s="6"/>
      <c r="H474" s="9"/>
      <c r="I474" s="22">
        <v>159045406</v>
      </c>
      <c r="J474" s="22">
        <v>218135430</v>
      </c>
      <c r="K474" s="21">
        <v>30632434</v>
      </c>
      <c r="L474" s="22">
        <v>46254611</v>
      </c>
      <c r="M474" s="22">
        <v>171880819</v>
      </c>
      <c r="N474" s="8"/>
      <c r="O474" s="22">
        <v>77840848</v>
      </c>
      <c r="P474" s="22">
        <v>59391562</v>
      </c>
      <c r="Q474" s="6"/>
      <c r="R474" s="6"/>
      <c r="S474" s="11"/>
      <c r="T474" s="22">
        <f>143254+11467954</f>
        <v>11611208</v>
      </c>
      <c r="U474" s="22">
        <v>1808168</v>
      </c>
      <c r="V474" s="21">
        <f t="shared" si="50"/>
        <v>171880819</v>
      </c>
      <c r="W474" s="13">
        <f t="shared" si="40"/>
        <v>0.21204538391585448</v>
      </c>
      <c r="X474" s="13">
        <f t="shared" si="41"/>
        <v>0.26910862578563816</v>
      </c>
      <c r="Y474" s="8">
        <f t="shared" si="53"/>
        <v>8.2891990540005355E-3</v>
      </c>
      <c r="Z474" s="8">
        <f t="shared" si="54"/>
        <v>1.0519894020286231E-2</v>
      </c>
      <c r="AA474" s="8">
        <f t="shared" si="42"/>
        <v>0.23701291126735927</v>
      </c>
      <c r="AB474" s="8">
        <f t="shared" si="57"/>
        <v>2.3229037792599588E-2</v>
      </c>
      <c r="AC474" s="8">
        <f t="shared" si="43"/>
        <v>0.23701291126735927</v>
      </c>
      <c r="AD474" s="9"/>
      <c r="AE474" s="9"/>
      <c r="AF474" s="9"/>
      <c r="AG474" s="9"/>
      <c r="AH474" s="9"/>
      <c r="AI474" s="9"/>
      <c r="AJ474" s="9"/>
      <c r="AK474" s="9"/>
      <c r="AL474" s="9"/>
      <c r="AM474" s="10"/>
    </row>
    <row r="475" spans="1:39" ht="15.75" customHeight="1">
      <c r="A475" s="6">
        <v>303</v>
      </c>
      <c r="B475" s="6">
        <v>2020</v>
      </c>
      <c r="C475" s="6" t="s">
        <v>429</v>
      </c>
      <c r="D475" s="7" t="s">
        <v>430</v>
      </c>
      <c r="E475" s="6" t="s">
        <v>421</v>
      </c>
      <c r="F475" s="6" t="s">
        <v>422</v>
      </c>
      <c r="G475" s="6"/>
      <c r="H475" s="9"/>
      <c r="I475" s="22">
        <v>140716928</v>
      </c>
      <c r="J475" s="22">
        <v>194859060</v>
      </c>
      <c r="K475" s="22">
        <v>12549610</v>
      </c>
      <c r="L475" s="22">
        <v>38053795</v>
      </c>
      <c r="M475" s="22">
        <v>156805265</v>
      </c>
      <c r="N475" s="8"/>
      <c r="O475" s="22">
        <v>50981440</v>
      </c>
      <c r="P475" s="22">
        <v>50981440</v>
      </c>
      <c r="Q475" s="6"/>
      <c r="R475" s="6"/>
      <c r="S475" s="11"/>
      <c r="T475" s="22">
        <f>10541192+12930</f>
        <v>10554122</v>
      </c>
      <c r="U475" s="22">
        <v>-14975954</v>
      </c>
      <c r="V475" s="21">
        <f t="shared" si="50"/>
        <v>156805265</v>
      </c>
      <c r="W475" s="13">
        <f t="shared" si="40"/>
        <v>0.19528881541356097</v>
      </c>
      <c r="X475" s="13">
        <f t="shared" si="41"/>
        <v>0.24268187040785907</v>
      </c>
      <c r="Y475" s="8">
        <f t="shared" si="53"/>
        <v>-7.6855312757846614E-2</v>
      </c>
      <c r="Z475" s="8">
        <f t="shared" si="54"/>
        <v>-9.5506703808701826E-2</v>
      </c>
      <c r="AA475" s="8">
        <f t="shared" si="42"/>
        <v>0</v>
      </c>
      <c r="AB475" s="8">
        <f t="shared" si="57"/>
        <v>-0.29375305993710654</v>
      </c>
      <c r="AC475" s="8">
        <f t="shared" si="43"/>
        <v>0</v>
      </c>
      <c r="AD475" s="9"/>
      <c r="AE475" s="9"/>
      <c r="AF475" s="9"/>
      <c r="AG475" s="9"/>
      <c r="AH475" s="9"/>
      <c r="AI475" s="9"/>
      <c r="AJ475" s="10"/>
      <c r="AK475" s="10"/>
      <c r="AL475" s="9"/>
      <c r="AM475" s="10"/>
    </row>
    <row r="476" spans="1:39" ht="15.75" customHeight="1">
      <c r="A476" s="6">
        <v>430</v>
      </c>
      <c r="B476" s="6">
        <v>2018</v>
      </c>
      <c r="C476" s="6" t="s">
        <v>431</v>
      </c>
      <c r="D476" s="7" t="s">
        <v>432</v>
      </c>
      <c r="E476" s="6" t="s">
        <v>421</v>
      </c>
      <c r="F476" s="6" t="s">
        <v>422</v>
      </c>
      <c r="G476" s="6"/>
      <c r="H476" s="9"/>
      <c r="I476" s="22">
        <v>561453984</v>
      </c>
      <c r="J476" s="22">
        <v>669877417</v>
      </c>
      <c r="K476" s="22">
        <v>305944319</v>
      </c>
      <c r="L476" s="22">
        <v>342663878</v>
      </c>
      <c r="M476" s="22">
        <v>327213539</v>
      </c>
      <c r="N476" s="8">
        <v>23000000000</v>
      </c>
      <c r="O476" s="22">
        <v>132401822</v>
      </c>
      <c r="P476" s="22">
        <v>83901849</v>
      </c>
      <c r="Q476" s="6"/>
      <c r="R476" s="6"/>
      <c r="S476" s="11"/>
      <c r="T476" s="21">
        <f>10754358+22435823</f>
        <v>33190181</v>
      </c>
      <c r="U476" s="22">
        <v>13408479</v>
      </c>
      <c r="V476" s="21">
        <f t="shared" si="50"/>
        <v>327213539</v>
      </c>
      <c r="W476" s="13">
        <f t="shared" si="40"/>
        <v>0.51153221366171242</v>
      </c>
      <c r="X476" s="13">
        <f t="shared" si="41"/>
        <v>1.0472179086697266</v>
      </c>
      <c r="Y476" s="8">
        <f t="shared" si="53"/>
        <v>2.0016317403337692E-2</v>
      </c>
      <c r="Z476" s="8">
        <f t="shared" si="54"/>
        <v>4.0977763453730442E-2</v>
      </c>
      <c r="AA476" s="8">
        <f t="shared" si="42"/>
        <v>0.36630895457012669</v>
      </c>
      <c r="AB476" s="8">
        <f t="shared" si="57"/>
        <v>0.10127110637495608</v>
      </c>
      <c r="AC476" s="8">
        <f t="shared" si="43"/>
        <v>0.36630895457012669</v>
      </c>
      <c r="AD476" s="9"/>
      <c r="AE476" s="9"/>
      <c r="AF476" s="9"/>
      <c r="AG476" s="9"/>
      <c r="AH476" s="9"/>
      <c r="AI476" s="9"/>
      <c r="AJ476" s="9"/>
      <c r="AK476" s="9"/>
      <c r="AL476" s="9"/>
      <c r="AM476" s="10"/>
    </row>
    <row r="477" spans="1:39" ht="15.75" customHeight="1">
      <c r="A477" s="6">
        <v>431</v>
      </c>
      <c r="B477" s="6">
        <v>2019</v>
      </c>
      <c r="C477" s="6" t="s">
        <v>431</v>
      </c>
      <c r="D477" s="7" t="s">
        <v>432</v>
      </c>
      <c r="E477" s="6" t="s">
        <v>421</v>
      </c>
      <c r="F477" s="6" t="s">
        <v>422</v>
      </c>
      <c r="G477" s="6"/>
      <c r="H477" s="9"/>
      <c r="I477" s="22">
        <v>563331601</v>
      </c>
      <c r="J477" s="22">
        <v>688215790</v>
      </c>
      <c r="K477" s="22">
        <v>314057880</v>
      </c>
      <c r="L477" s="22">
        <v>352710184</v>
      </c>
      <c r="M477" s="22">
        <v>335505606</v>
      </c>
      <c r="N477" s="8">
        <v>23000000000</v>
      </c>
      <c r="O477" s="22">
        <v>157273513</v>
      </c>
      <c r="P477" s="22">
        <v>105967695</v>
      </c>
      <c r="Q477" s="6"/>
      <c r="R477" s="6"/>
      <c r="S477" s="11"/>
      <c r="T477" s="22">
        <f>13204911+25063685</f>
        <v>38268596</v>
      </c>
      <c r="U477" s="22">
        <v>9348634</v>
      </c>
      <c r="V477" s="21">
        <f t="shared" si="50"/>
        <v>335505606</v>
      </c>
      <c r="W477" s="13">
        <f t="shared" si="40"/>
        <v>0.51249940661779936</v>
      </c>
      <c r="X477" s="13">
        <f t="shared" si="41"/>
        <v>1.0512795544763565</v>
      </c>
      <c r="Y477" s="8">
        <f t="shared" si="53"/>
        <v>1.3583870256740259E-2</v>
      </c>
      <c r="Z477" s="8">
        <f t="shared" si="54"/>
        <v>2.7864315328310789E-2</v>
      </c>
      <c r="AA477" s="8">
        <f t="shared" si="42"/>
        <v>0.32622033438014447</v>
      </c>
      <c r="AB477" s="8">
        <f t="shared" si="57"/>
        <v>5.9441884533983802E-2</v>
      </c>
      <c r="AC477" s="8">
        <f t="shared" si="43"/>
        <v>0.32622033438014447</v>
      </c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 spans="1:39" ht="15.75" customHeight="1">
      <c r="A478" s="6">
        <v>432</v>
      </c>
      <c r="B478" s="6">
        <v>2020</v>
      </c>
      <c r="C478" s="6" t="s">
        <v>431</v>
      </c>
      <c r="D478" s="7" t="s">
        <v>432</v>
      </c>
      <c r="E478" s="6" t="s">
        <v>421</v>
      </c>
      <c r="F478" s="6" t="s">
        <v>422</v>
      </c>
      <c r="G478" s="6"/>
      <c r="H478" s="9"/>
      <c r="I478" s="22">
        <v>538328611</v>
      </c>
      <c r="J478" s="22">
        <v>659557286</v>
      </c>
      <c r="K478" s="22">
        <v>256625790</v>
      </c>
      <c r="L478" s="22">
        <v>298634397</v>
      </c>
      <c r="M478" s="22">
        <v>360922889</v>
      </c>
      <c r="N478" s="8">
        <v>23000000000</v>
      </c>
      <c r="O478" s="22">
        <v>129966580</v>
      </c>
      <c r="P478" s="22">
        <v>93842181</v>
      </c>
      <c r="Q478" s="6"/>
      <c r="R478" s="6"/>
      <c r="S478" s="11"/>
      <c r="T478" s="22">
        <f>10146393</f>
        <v>10146393</v>
      </c>
      <c r="U478" s="22">
        <v>27278762</v>
      </c>
      <c r="V478" s="21">
        <f t="shared" si="50"/>
        <v>360922889</v>
      </c>
      <c r="W478" s="13">
        <f t="shared" si="40"/>
        <v>0.45278007436036422</v>
      </c>
      <c r="X478" s="13">
        <f t="shared" si="41"/>
        <v>0.82741883682528095</v>
      </c>
      <c r="Y478" s="8">
        <f t="shared" si="53"/>
        <v>4.1359200450103134E-2</v>
      </c>
      <c r="Z478" s="8">
        <f t="shared" si="54"/>
        <v>7.5580581978551109E-2</v>
      </c>
      <c r="AA478" s="8">
        <f t="shared" si="42"/>
        <v>0.27795144721050596</v>
      </c>
      <c r="AB478" s="8">
        <f t="shared" si="57"/>
        <v>0.20989058879598124</v>
      </c>
      <c r="AC478" s="8">
        <f t="shared" si="43"/>
        <v>0.27795144721050596</v>
      </c>
      <c r="AD478" s="9"/>
      <c r="AE478" s="9"/>
      <c r="AF478" s="9"/>
      <c r="AG478" s="9"/>
      <c r="AH478" s="9"/>
      <c r="AI478" s="9"/>
      <c r="AJ478" s="9"/>
      <c r="AK478" s="9"/>
      <c r="AL478" s="9"/>
      <c r="AM478" s="10"/>
    </row>
    <row r="479" spans="1:39" ht="15.75" customHeight="1">
      <c r="A479" s="6">
        <v>217</v>
      </c>
      <c r="B479" s="6">
        <v>2018</v>
      </c>
      <c r="C479" s="6" t="s">
        <v>433</v>
      </c>
      <c r="D479" s="32" t="s">
        <v>434</v>
      </c>
      <c r="E479" s="6" t="s">
        <v>435</v>
      </c>
      <c r="F479" s="6" t="s">
        <v>436</v>
      </c>
      <c r="G479" s="8"/>
      <c r="H479" s="6" t="s">
        <v>437</v>
      </c>
      <c r="I479" s="10">
        <v>6331628401699</v>
      </c>
      <c r="J479" s="10">
        <v>7725601132423</v>
      </c>
      <c r="K479" s="10">
        <v>1547711915701</v>
      </c>
      <c r="L479" s="10">
        <v>2504220878822</v>
      </c>
      <c r="M479" s="10">
        <v>5221380253601</v>
      </c>
      <c r="N479" s="10">
        <v>3000000000</v>
      </c>
      <c r="O479" s="10">
        <v>897612636308</v>
      </c>
      <c r="P479" s="10">
        <v>406766397197</v>
      </c>
      <c r="Q479" s="9"/>
      <c r="R479" s="9"/>
      <c r="S479" s="33"/>
      <c r="T479" s="10">
        <f>198367075354+153007062236</f>
        <v>351374137590</v>
      </c>
      <c r="U479" s="10">
        <v>146006831186</v>
      </c>
      <c r="V479" s="9">
        <f t="shared" si="50"/>
        <v>5221380253601</v>
      </c>
      <c r="W479" s="13">
        <f t="shared" si="40"/>
        <v>0.32414576366261283</v>
      </c>
      <c r="X479" s="13">
        <f t="shared" si="41"/>
        <v>0.47960898406028329</v>
      </c>
      <c r="Y479" s="8">
        <f t="shared" si="53"/>
        <v>1.8899090010385703E-2</v>
      </c>
      <c r="Z479" s="8">
        <f t="shared" si="54"/>
        <v>2.796326336993064E-2</v>
      </c>
      <c r="AA479" s="8">
        <f t="shared" si="42"/>
        <v>0.5468352597284234</v>
      </c>
      <c r="AB479" s="8">
        <f t="shared" si="57"/>
        <v>0.16266129205415991</v>
      </c>
      <c r="AC479" s="8">
        <f t="shared" si="43"/>
        <v>0.5468352597284234</v>
      </c>
      <c r="AD479" s="9"/>
      <c r="AE479" s="9"/>
      <c r="AF479" s="9"/>
      <c r="AG479" s="9"/>
      <c r="AH479" s="9"/>
      <c r="AI479" s="9"/>
      <c r="AJ479" s="10"/>
      <c r="AK479" s="10"/>
      <c r="AL479" s="10"/>
      <c r="AM479" s="10"/>
    </row>
    <row r="480" spans="1:39" ht="15.75" customHeight="1">
      <c r="A480" s="6">
        <v>218</v>
      </c>
      <c r="B480" s="6">
        <v>2019</v>
      </c>
      <c r="C480" s="6" t="s">
        <v>433</v>
      </c>
      <c r="D480" s="32" t="s">
        <v>434</v>
      </c>
      <c r="E480" s="6" t="s">
        <v>435</v>
      </c>
      <c r="F480" s="6" t="s">
        <v>436</v>
      </c>
      <c r="G480" s="8"/>
      <c r="H480" s="6"/>
      <c r="I480" s="10">
        <v>7157600562179</v>
      </c>
      <c r="J480" s="10">
        <v>8893030992719</v>
      </c>
      <c r="K480" s="10">
        <v>2097290824729</v>
      </c>
      <c r="L480" s="10">
        <v>3090312252257</v>
      </c>
      <c r="M480" s="10">
        <v>5802718740462</v>
      </c>
      <c r="N480" s="10">
        <v>3000000000</v>
      </c>
      <c r="O480" s="10">
        <v>1087963086355</v>
      </c>
      <c r="P480" s="10">
        <v>539141827323</v>
      </c>
      <c r="Q480" s="9"/>
      <c r="R480" s="9"/>
      <c r="S480" s="33"/>
      <c r="T480" s="10">
        <f>170930067640+231683666926</f>
        <v>402613734566</v>
      </c>
      <c r="U480" s="10">
        <v>128831147635</v>
      </c>
      <c r="V480" s="9">
        <f t="shared" si="50"/>
        <v>5802718740462</v>
      </c>
      <c r="W480" s="13">
        <f t="shared" si="40"/>
        <v>0.34749819884661759</v>
      </c>
      <c r="X480" s="13">
        <f t="shared" si="41"/>
        <v>0.53256281933991445</v>
      </c>
      <c r="Y480" s="8">
        <f t="shared" si="53"/>
        <v>1.4486753474768957E-2</v>
      </c>
      <c r="Z480" s="8">
        <f t="shared" si="54"/>
        <v>2.2201859748374214E-2</v>
      </c>
      <c r="AA480" s="8">
        <f t="shared" si="42"/>
        <v>0.50444841917450944</v>
      </c>
      <c r="AB480" s="8">
        <f t="shared" si="57"/>
        <v>0.11841499886418268</v>
      </c>
      <c r="AC480" s="8">
        <f t="shared" si="43"/>
        <v>0.50444841917450944</v>
      </c>
      <c r="AD480" s="9"/>
      <c r="AE480" s="9"/>
      <c r="AF480" s="9"/>
      <c r="AG480" s="9"/>
      <c r="AH480" s="9"/>
      <c r="AI480" s="9"/>
      <c r="AJ480" s="10"/>
      <c r="AK480" s="10"/>
      <c r="AL480" s="10"/>
      <c r="AM480" s="10"/>
    </row>
    <row r="481" spans="1:39" ht="15.75" customHeight="1">
      <c r="A481" s="6">
        <v>219</v>
      </c>
      <c r="B481" s="6">
        <v>2020</v>
      </c>
      <c r="C481" s="6" t="s">
        <v>433</v>
      </c>
      <c r="D481" s="32" t="s">
        <v>434</v>
      </c>
      <c r="E481" s="6" t="s">
        <v>435</v>
      </c>
      <c r="F481" s="6" t="s">
        <v>436</v>
      </c>
      <c r="G481" s="8"/>
      <c r="H481" s="6"/>
      <c r="I481" s="10">
        <v>7475267546394</v>
      </c>
      <c r="J481" s="10">
        <v>10412826253217</v>
      </c>
      <c r="K481" s="10">
        <v>3016521818693</v>
      </c>
      <c r="L481" s="10">
        <v>4210975933401</v>
      </c>
      <c r="M481" s="10">
        <v>6201850319816</v>
      </c>
      <c r="N481" s="10">
        <v>3000000000</v>
      </c>
      <c r="O481" s="10">
        <v>1122276247134</v>
      </c>
      <c r="P481" s="10">
        <v>566680887698</v>
      </c>
      <c r="Q481" s="9"/>
      <c r="R481" s="9"/>
      <c r="S481" s="33"/>
      <c r="T481" s="10">
        <f>177263065242+366069282337</f>
        <v>543332347579</v>
      </c>
      <c r="U481" s="10">
        <v>67204167744</v>
      </c>
      <c r="V481" s="9">
        <f t="shared" si="50"/>
        <v>6201850319816</v>
      </c>
      <c r="W481" s="13">
        <f t="shared" si="40"/>
        <v>0.40440278470026675</v>
      </c>
      <c r="X481" s="13">
        <f t="shared" si="41"/>
        <v>0.67898703068440602</v>
      </c>
      <c r="Y481" s="8">
        <f t="shared" si="53"/>
        <v>6.4539795546129991E-3</v>
      </c>
      <c r="Z481" s="8">
        <f t="shared" si="54"/>
        <v>1.0836147968497545E-2</v>
      </c>
      <c r="AA481" s="8">
        <f t="shared" si="42"/>
        <v>0.49506114101126636</v>
      </c>
      <c r="AB481" s="8">
        <f t="shared" si="57"/>
        <v>5.9882019169185723E-2</v>
      </c>
      <c r="AC481" s="8">
        <f t="shared" si="43"/>
        <v>0.49506114101126636</v>
      </c>
      <c r="AD481" s="9"/>
      <c r="AE481" s="9"/>
      <c r="AF481" s="9"/>
      <c r="AG481" s="9"/>
      <c r="AH481" s="9"/>
      <c r="AI481" s="9"/>
      <c r="AJ481" s="10"/>
      <c r="AK481" s="10"/>
      <c r="AL481" s="10"/>
      <c r="AM481" s="10"/>
    </row>
    <row r="482" spans="1:39" ht="15.75" customHeight="1">
      <c r="A482" s="6">
        <v>232</v>
      </c>
      <c r="B482" s="6">
        <v>2018</v>
      </c>
      <c r="C482" s="6" t="s">
        <v>438</v>
      </c>
      <c r="D482" s="7" t="s">
        <v>439</v>
      </c>
      <c r="E482" s="6" t="s">
        <v>435</v>
      </c>
      <c r="F482" s="6" t="s">
        <v>436</v>
      </c>
      <c r="G482" s="8"/>
      <c r="H482" s="21">
        <v>119140174</v>
      </c>
      <c r="I482" s="21">
        <v>626951634</v>
      </c>
      <c r="J482" s="22">
        <v>3669952693</v>
      </c>
      <c r="K482" s="22">
        <v>1872345547</v>
      </c>
      <c r="L482" s="22">
        <v>2542768572</v>
      </c>
      <c r="M482" s="22">
        <v>1127184121</v>
      </c>
      <c r="N482" s="13">
        <v>17000000000</v>
      </c>
      <c r="O482" s="22">
        <v>2962860901</v>
      </c>
      <c r="P482" s="22">
        <v>2321645585</v>
      </c>
      <c r="Q482" s="6"/>
      <c r="R482" s="6"/>
      <c r="S482" s="11"/>
      <c r="T482" s="22">
        <f>133158938+99985729</f>
        <v>233144667</v>
      </c>
      <c r="U482" s="22">
        <v>97862189</v>
      </c>
      <c r="V482" s="21">
        <f t="shared" si="50"/>
        <v>1127184121</v>
      </c>
      <c r="W482" s="13">
        <f t="shared" si="40"/>
        <v>0.69286140305024357</v>
      </c>
      <c r="X482" s="13">
        <f t="shared" si="41"/>
        <v>2.2558591135440595</v>
      </c>
      <c r="Y482" s="8">
        <f t="shared" si="53"/>
        <v>2.6665790321128806E-2</v>
      </c>
      <c r="Z482" s="8">
        <f t="shared" si="54"/>
        <v>8.6820056436902202E-2</v>
      </c>
      <c r="AA482" s="8">
        <f t="shared" si="42"/>
        <v>0.21641762385253469</v>
      </c>
      <c r="AB482" s="8">
        <f t="shared" si="57"/>
        <v>3.3029626523125126E-2</v>
      </c>
      <c r="AC482" s="8">
        <f t="shared" si="43"/>
        <v>0.21641762385253469</v>
      </c>
      <c r="AD482" s="9"/>
      <c r="AE482" s="9"/>
      <c r="AF482" s="9"/>
      <c r="AG482" s="9"/>
      <c r="AH482" s="9"/>
      <c r="AI482" s="9"/>
      <c r="AJ482" s="9"/>
      <c r="AK482" s="9"/>
      <c r="AL482" s="9"/>
      <c r="AM482" s="10"/>
    </row>
    <row r="483" spans="1:39" ht="15.75" customHeight="1">
      <c r="A483" s="6">
        <v>233</v>
      </c>
      <c r="B483" s="6">
        <v>2019</v>
      </c>
      <c r="C483" s="6" t="s">
        <v>438</v>
      </c>
      <c r="D483" s="7" t="s">
        <v>439</v>
      </c>
      <c r="E483" s="6" t="s">
        <v>435</v>
      </c>
      <c r="F483" s="6" t="s">
        <v>436</v>
      </c>
      <c r="G483" s="8"/>
      <c r="H483" s="21">
        <v>118021775</v>
      </c>
      <c r="I483" s="22">
        <v>682687983</v>
      </c>
      <c r="J483" s="22">
        <v>3616163065</v>
      </c>
      <c r="K483" s="22">
        <v>1858977711</v>
      </c>
      <c r="L483" s="22">
        <v>2570388847</v>
      </c>
      <c r="M483" s="22">
        <v>1045774218</v>
      </c>
      <c r="N483" s="13">
        <v>17000000000</v>
      </c>
      <c r="O483" s="22">
        <v>2782676420</v>
      </c>
      <c r="P483" s="22">
        <v>2355974951</v>
      </c>
      <c r="Q483" s="6"/>
      <c r="R483" s="6"/>
      <c r="S483" s="11"/>
      <c r="T483" s="22">
        <f>137177141+109475702</f>
        <v>246652843</v>
      </c>
      <c r="U483" s="22">
        <v>4992434</v>
      </c>
      <c r="V483" s="21">
        <f t="shared" si="50"/>
        <v>1045774218</v>
      </c>
      <c r="W483" s="13">
        <f t="shared" si="40"/>
        <v>0.71080556954917073</v>
      </c>
      <c r="X483" s="13">
        <f t="shared" si="41"/>
        <v>2.4578812546323454</v>
      </c>
      <c r="Y483" s="8">
        <f t="shared" si="53"/>
        <v>1.380588737361046E-3</v>
      </c>
      <c r="Z483" s="8">
        <f t="shared" si="54"/>
        <v>4.7739119152772997E-3</v>
      </c>
      <c r="AA483" s="8">
        <f t="shared" si="42"/>
        <v>0.15334210831455566</v>
      </c>
      <c r="AB483" s="8">
        <f t="shared" si="57"/>
        <v>1.7941123028598488E-3</v>
      </c>
      <c r="AC483" s="8">
        <f t="shared" si="43"/>
        <v>0.15334210831455566</v>
      </c>
      <c r="AD483" s="9"/>
      <c r="AE483" s="10"/>
      <c r="AF483" s="9"/>
      <c r="AG483" s="9"/>
      <c r="AH483" s="9"/>
      <c r="AI483" s="9"/>
      <c r="AJ483" s="9"/>
      <c r="AK483" s="10"/>
      <c r="AL483" s="9"/>
      <c r="AM483" s="10"/>
    </row>
    <row r="484" spans="1:39" ht="15.75" customHeight="1">
      <c r="A484" s="6">
        <v>234</v>
      </c>
      <c r="B484" s="6">
        <v>2020</v>
      </c>
      <c r="C484" s="6" t="s">
        <v>438</v>
      </c>
      <c r="D484" s="7" t="s">
        <v>439</v>
      </c>
      <c r="E484" s="6" t="s">
        <v>435</v>
      </c>
      <c r="F484" s="6" t="s">
        <v>436</v>
      </c>
      <c r="G484" s="8"/>
      <c r="H484" s="21">
        <v>159001882</v>
      </c>
      <c r="I484" s="22">
        <v>613990323</v>
      </c>
      <c r="J484" s="22">
        <v>3493702857</v>
      </c>
      <c r="K484" s="22">
        <v>1918691608</v>
      </c>
      <c r="L484" s="22">
        <v>2626405463</v>
      </c>
      <c r="M484" s="22">
        <v>867297394</v>
      </c>
      <c r="N484" s="13">
        <v>17000000000</v>
      </c>
      <c r="O484" s="22">
        <v>2077212345</v>
      </c>
      <c r="P484" s="22">
        <v>1823333756</v>
      </c>
      <c r="Q484" s="6"/>
      <c r="R484" s="6"/>
      <c r="S484" s="11"/>
      <c r="T484" s="22">
        <f>138020163+119509218</f>
        <v>257529381</v>
      </c>
      <c r="U484" s="22">
        <v>-103447774</v>
      </c>
      <c r="V484" s="21">
        <f t="shared" si="50"/>
        <v>867297394</v>
      </c>
      <c r="W484" s="13">
        <f t="shared" si="40"/>
        <v>0.75175410459928538</v>
      </c>
      <c r="X484" s="13">
        <f t="shared" si="41"/>
        <v>3.0282639855366611</v>
      </c>
      <c r="Y484" s="8">
        <f t="shared" si="53"/>
        <v>-2.9609780291627131E-2</v>
      </c>
      <c r="Z484" s="8">
        <f t="shared" si="54"/>
        <v>-0.11927601156841479</v>
      </c>
      <c r="AA484" s="8">
        <f t="shared" si="42"/>
        <v>0.12222081657231823</v>
      </c>
      <c r="AB484" s="8">
        <f t="shared" si="57"/>
        <v>-4.9801251301537015E-2</v>
      </c>
      <c r="AC484" s="8">
        <f t="shared" si="43"/>
        <v>0.12222081657231823</v>
      </c>
      <c r="AD484" s="9"/>
      <c r="AE484" s="9"/>
      <c r="AF484" s="9"/>
      <c r="AG484" s="9"/>
      <c r="AH484" s="9"/>
      <c r="AI484" s="9"/>
      <c r="AJ484" s="9"/>
      <c r="AK484" s="9"/>
      <c r="AL484" s="9"/>
      <c r="AM484" s="10"/>
    </row>
    <row r="485" spans="1:39" ht="15.75" customHeight="1">
      <c r="A485" s="6">
        <v>439</v>
      </c>
      <c r="B485" s="6">
        <v>2018</v>
      </c>
      <c r="C485" s="6" t="s">
        <v>440</v>
      </c>
      <c r="D485" s="7" t="s">
        <v>441</v>
      </c>
      <c r="E485" s="6" t="s">
        <v>435</v>
      </c>
      <c r="F485" s="6" t="s">
        <v>436</v>
      </c>
      <c r="G485" s="6"/>
      <c r="H485" s="8">
        <v>1508000000</v>
      </c>
      <c r="I485" s="10">
        <v>21878608000000</v>
      </c>
      <c r="J485" s="10">
        <v>29113747000000</v>
      </c>
      <c r="K485" s="10">
        <v>19009245000000</v>
      </c>
      <c r="L485" s="10">
        <v>25434182000000</v>
      </c>
      <c r="M485" s="10">
        <v>3679565000000</v>
      </c>
      <c r="N485" s="8">
        <v>14420120000</v>
      </c>
      <c r="O485" s="10">
        <v>4318137000000</v>
      </c>
      <c r="P485" s="10">
        <v>784082000000</v>
      </c>
      <c r="Q485" s="6"/>
      <c r="R485" s="6"/>
      <c r="S485" s="11"/>
      <c r="T485" s="10">
        <v>381463000000</v>
      </c>
      <c r="U485" s="12">
        <v>702632000000</v>
      </c>
      <c r="V485" s="9">
        <f t="shared" si="50"/>
        <v>3679565000000</v>
      </c>
      <c r="W485" s="13">
        <f t="shared" si="40"/>
        <v>0.87361417271366681</v>
      </c>
      <c r="X485" s="13">
        <f t="shared" si="41"/>
        <v>6.9122795765260294</v>
      </c>
      <c r="Y485" s="8">
        <f t="shared" si="53"/>
        <v>2.4134028505502916E-2</v>
      </c>
      <c r="Z485" s="8">
        <f t="shared" si="54"/>
        <v>0.19095518084338775</v>
      </c>
      <c r="AA485" s="8">
        <f t="shared" si="42"/>
        <v>0.81842123119298904</v>
      </c>
      <c r="AB485" s="8">
        <f t="shared" si="57"/>
        <v>0.1627164677730234</v>
      </c>
      <c r="AC485" s="8">
        <f t="shared" si="43"/>
        <v>0.81842123119298904</v>
      </c>
      <c r="AD485" s="9"/>
      <c r="AE485" s="10"/>
      <c r="AF485" s="9"/>
      <c r="AG485" s="9"/>
      <c r="AH485" s="9"/>
      <c r="AI485" s="9"/>
      <c r="AJ485" s="9"/>
      <c r="AK485" s="10"/>
      <c r="AL485" s="9"/>
      <c r="AM485" s="9"/>
    </row>
    <row r="486" spans="1:39" ht="15.75" customHeight="1">
      <c r="A486" s="6">
        <v>440</v>
      </c>
      <c r="B486" s="6">
        <v>2019</v>
      </c>
      <c r="C486" s="6" t="s">
        <v>440</v>
      </c>
      <c r="D486" s="7" t="s">
        <v>441</v>
      </c>
      <c r="E486" s="6" t="s">
        <v>435</v>
      </c>
      <c r="F486" s="6" t="s">
        <v>436</v>
      </c>
      <c r="G486" s="8"/>
      <c r="H486" s="9">
        <v>1508000000</v>
      </c>
      <c r="I486" s="10">
        <v>24649294000000</v>
      </c>
      <c r="J486" s="10">
        <v>30871710000000</v>
      </c>
      <c r="K486" s="9">
        <v>20834803000000</v>
      </c>
      <c r="L486" s="10">
        <v>25348426000000</v>
      </c>
      <c r="M486" s="10">
        <v>5523284000000</v>
      </c>
      <c r="N486" s="8">
        <v>72100600000</v>
      </c>
      <c r="O486" s="10">
        <v>4698742000000</v>
      </c>
      <c r="P486" s="10">
        <v>903454000000</v>
      </c>
      <c r="Q486" s="6"/>
      <c r="R486" s="6"/>
      <c r="S486" s="11"/>
      <c r="T486" s="10">
        <v>426434000000</v>
      </c>
      <c r="U486" s="12">
        <v>866121000000</v>
      </c>
      <c r="V486" s="9">
        <f t="shared" si="50"/>
        <v>5523284000000</v>
      </c>
      <c r="W486" s="13">
        <f t="shared" si="40"/>
        <v>0.82108914601750271</v>
      </c>
      <c r="X486" s="13">
        <f t="shared" si="41"/>
        <v>4.5893758133747964</v>
      </c>
      <c r="Y486" s="8">
        <f t="shared" si="53"/>
        <v>2.8055491581127186E-2</v>
      </c>
      <c r="Z486" s="8">
        <f t="shared" si="54"/>
        <v>0.15681268607589252</v>
      </c>
      <c r="AA486" s="8">
        <f t="shared" si="42"/>
        <v>0.8077242802435205</v>
      </c>
      <c r="AB486" s="8">
        <f t="shared" si="57"/>
        <v>0.18433040162664815</v>
      </c>
      <c r="AC486" s="8">
        <f t="shared" si="43"/>
        <v>0.8077242802435205</v>
      </c>
      <c r="AD486" s="9"/>
      <c r="AE486" s="9"/>
      <c r="AF486" s="9"/>
      <c r="AG486" s="9"/>
      <c r="AH486" s="9"/>
      <c r="AI486" s="9"/>
      <c r="AJ486" s="9"/>
      <c r="AK486" s="9"/>
      <c r="AL486" s="9"/>
      <c r="AM486" s="9"/>
    </row>
    <row r="487" spans="1:39" ht="15.75" customHeight="1">
      <c r="A487" s="6">
        <v>441</v>
      </c>
      <c r="B487" s="6">
        <v>2020</v>
      </c>
      <c r="C487" s="6" t="s">
        <v>440</v>
      </c>
      <c r="D487" s="7" t="s">
        <v>441</v>
      </c>
      <c r="E487" s="6" t="s">
        <v>435</v>
      </c>
      <c r="F487" s="6" t="s">
        <v>436</v>
      </c>
      <c r="G487" s="8"/>
      <c r="H487" s="9"/>
      <c r="I487" s="10">
        <v>28738362000000</v>
      </c>
      <c r="J487" s="10">
        <v>36521303000000</v>
      </c>
      <c r="K487" s="10">
        <v>13439589000000</v>
      </c>
      <c r="L487" s="10">
        <v>27217465000000</v>
      </c>
      <c r="M487" s="10">
        <v>9303838000000</v>
      </c>
      <c r="N487" s="8">
        <v>72100600000</v>
      </c>
      <c r="O487" s="10">
        <v>5327689000000</v>
      </c>
      <c r="P487" s="10">
        <v>1093065000000</v>
      </c>
      <c r="Q487" s="6"/>
      <c r="R487" s="6"/>
      <c r="S487" s="11"/>
      <c r="T487" s="10">
        <v>418623000000</v>
      </c>
      <c r="U487" s="12">
        <v>1066576000000</v>
      </c>
      <c r="V487" s="9">
        <f t="shared" si="50"/>
        <v>9303838000000</v>
      </c>
      <c r="W487" s="13">
        <f t="shared" si="40"/>
        <v>0.74524901261053034</v>
      </c>
      <c r="X487" s="13">
        <f t="shared" si="41"/>
        <v>2.9254018610384231</v>
      </c>
      <c r="Y487" s="8">
        <f t="shared" si="53"/>
        <v>2.9204215413672397E-2</v>
      </c>
      <c r="Z487" s="8">
        <f t="shared" si="54"/>
        <v>0.11463828153499664</v>
      </c>
      <c r="AA487" s="8">
        <f t="shared" si="42"/>
        <v>0.79483318189181085</v>
      </c>
      <c r="AB487" s="8">
        <f t="shared" si="57"/>
        <v>0.20019486873201495</v>
      </c>
      <c r="AC487" s="8">
        <f t="shared" si="43"/>
        <v>0.79483318189181085</v>
      </c>
      <c r="AD487" s="9"/>
      <c r="AE487" s="9"/>
      <c r="AF487" s="9"/>
      <c r="AG487" s="9"/>
      <c r="AH487" s="9"/>
      <c r="AI487" s="9"/>
      <c r="AJ487" s="9"/>
      <c r="AK487" s="9"/>
      <c r="AL487" s="9"/>
      <c r="AM487" s="9"/>
    </row>
    <row r="488" spans="1:39" ht="15.75" customHeight="1">
      <c r="D488" s="7"/>
      <c r="H488" s="18"/>
      <c r="I488" s="34"/>
      <c r="J488" s="34"/>
      <c r="K488" s="18"/>
      <c r="L488" s="34"/>
      <c r="M488" s="34"/>
      <c r="N488" s="35"/>
      <c r="O488" s="34"/>
      <c r="P488" s="34"/>
      <c r="S488" s="36"/>
      <c r="T488" s="35"/>
      <c r="U488" s="37"/>
      <c r="V488" s="9">
        <f t="shared" si="50"/>
        <v>0</v>
      </c>
      <c r="W488" s="38"/>
      <c r="X488" s="39"/>
      <c r="Y488" s="40"/>
      <c r="Z488" s="40"/>
      <c r="AA488" s="40"/>
      <c r="AB488" s="40"/>
      <c r="AC488" s="40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</row>
    <row r="489" spans="1:39" ht="15.75" customHeight="1">
      <c r="D489" s="7"/>
      <c r="H489" s="18"/>
      <c r="I489" s="34"/>
      <c r="J489" s="34"/>
      <c r="K489" s="18"/>
      <c r="L489" s="34"/>
      <c r="M489" s="34"/>
      <c r="N489" s="35"/>
      <c r="O489" s="34"/>
      <c r="P489" s="34"/>
      <c r="S489" s="36"/>
      <c r="T489" s="35"/>
      <c r="U489" s="37"/>
      <c r="V489" s="18">
        <f t="shared" si="50"/>
        <v>0</v>
      </c>
      <c r="W489" s="39"/>
      <c r="X489" s="39"/>
      <c r="Y489" s="40"/>
      <c r="Z489" s="40"/>
      <c r="AA489" s="40"/>
      <c r="AB489" s="40"/>
      <c r="AC489" s="40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 spans="1:39" ht="15.75" customHeight="1">
      <c r="D490" s="7"/>
      <c r="H490" s="18"/>
      <c r="I490" s="34"/>
      <c r="J490" s="34"/>
      <c r="K490" s="18"/>
      <c r="L490" s="34"/>
      <c r="M490" s="34"/>
      <c r="N490" s="35"/>
      <c r="O490" s="34"/>
      <c r="P490" s="34"/>
      <c r="S490" s="36"/>
      <c r="T490" s="35"/>
      <c r="U490" s="37"/>
      <c r="V490" s="18">
        <f t="shared" si="50"/>
        <v>0</v>
      </c>
      <c r="W490" s="39"/>
      <c r="X490" s="39"/>
      <c r="Y490" s="40"/>
      <c r="Z490" s="40"/>
      <c r="AA490" s="40"/>
      <c r="AB490" s="40"/>
      <c r="AC490" s="40"/>
      <c r="AD490" s="18"/>
      <c r="AE490" s="34"/>
      <c r="AF490" s="18"/>
      <c r="AG490" s="18"/>
      <c r="AH490" s="18"/>
      <c r="AI490" s="18"/>
      <c r="AJ490" s="18"/>
      <c r="AK490" s="34"/>
      <c r="AL490" s="18"/>
      <c r="AM490" s="18"/>
    </row>
    <row r="491" spans="1:39" ht="15.75" customHeight="1">
      <c r="D491" s="7"/>
      <c r="H491" s="18"/>
      <c r="I491" s="34"/>
      <c r="J491" s="34"/>
      <c r="K491" s="18"/>
      <c r="L491" s="34"/>
      <c r="M491" s="34"/>
      <c r="N491" s="35"/>
      <c r="O491" s="34"/>
      <c r="P491" s="34"/>
      <c r="S491" s="36"/>
      <c r="T491" s="35"/>
      <c r="U491" s="37"/>
      <c r="V491" s="18">
        <f t="shared" si="50"/>
        <v>0</v>
      </c>
      <c r="W491" s="39"/>
      <c r="X491" s="39"/>
      <c r="Y491" s="40"/>
      <c r="Z491" s="40"/>
      <c r="AA491" s="40"/>
      <c r="AB491" s="40"/>
      <c r="AC491" s="40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 spans="1:39" ht="15.75" customHeight="1">
      <c r="D492" s="7"/>
      <c r="H492" s="18"/>
      <c r="I492" s="34"/>
      <c r="J492" s="34"/>
      <c r="K492" s="18"/>
      <c r="L492" s="34"/>
      <c r="M492" s="34"/>
      <c r="N492" s="35"/>
      <c r="O492" s="34"/>
      <c r="P492" s="34"/>
      <c r="S492" s="36"/>
      <c r="T492" s="35"/>
      <c r="U492" s="37"/>
      <c r="W492" s="39"/>
      <c r="X492" s="39"/>
      <c r="Y492" s="40"/>
      <c r="Z492" s="40"/>
      <c r="AA492" s="40"/>
      <c r="AB492" s="40"/>
      <c r="AC492" s="40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</row>
    <row r="493" spans="1:39" ht="15.75" customHeight="1">
      <c r="D493" s="7"/>
      <c r="H493" s="18"/>
      <c r="I493" s="34"/>
      <c r="J493" s="34"/>
      <c r="K493" s="18"/>
      <c r="L493" s="34"/>
      <c r="M493" s="34"/>
      <c r="N493" s="35"/>
      <c r="O493" s="34"/>
      <c r="P493" s="34"/>
      <c r="S493" s="36"/>
      <c r="T493" s="35"/>
      <c r="U493" s="37"/>
      <c r="W493" s="39"/>
      <c r="X493" s="39"/>
      <c r="Y493" s="40"/>
      <c r="Z493" s="40"/>
      <c r="AA493" s="40"/>
      <c r="AB493" s="40"/>
      <c r="AC493" s="40"/>
      <c r="AD493" s="18"/>
      <c r="AE493" s="34"/>
      <c r="AF493" s="18"/>
      <c r="AG493" s="18"/>
      <c r="AH493" s="18"/>
      <c r="AI493" s="18"/>
      <c r="AJ493" s="18"/>
      <c r="AK493" s="34"/>
      <c r="AL493" s="18"/>
      <c r="AM493" s="34"/>
    </row>
    <row r="494" spans="1:39" ht="15.75" customHeight="1">
      <c r="D494" s="7"/>
      <c r="H494" s="18"/>
      <c r="I494" s="34"/>
      <c r="J494" s="34"/>
      <c r="K494" s="18"/>
      <c r="L494" s="34"/>
      <c r="M494" s="34"/>
      <c r="N494" s="35"/>
      <c r="O494" s="34"/>
      <c r="P494" s="34"/>
      <c r="S494" s="36"/>
      <c r="T494" s="35"/>
      <c r="U494" s="37"/>
      <c r="W494" s="39"/>
      <c r="X494" s="39"/>
      <c r="Y494" s="40"/>
      <c r="Z494" s="40"/>
      <c r="AA494" s="40"/>
      <c r="AB494" s="40"/>
      <c r="AC494" s="40"/>
      <c r="AD494" s="18"/>
      <c r="AE494" s="34"/>
      <c r="AF494" s="18"/>
      <c r="AG494" s="18"/>
      <c r="AH494" s="18"/>
      <c r="AI494" s="18"/>
      <c r="AJ494" s="18"/>
      <c r="AK494" s="34"/>
      <c r="AL494" s="18"/>
      <c r="AM494" s="34"/>
    </row>
    <row r="495" spans="1:39" ht="15.75" customHeight="1">
      <c r="D495" s="7"/>
      <c r="H495" s="18"/>
      <c r="I495" s="34"/>
      <c r="J495" s="34"/>
      <c r="K495" s="18"/>
      <c r="L495" s="34"/>
      <c r="M495" s="34"/>
      <c r="N495" s="35"/>
      <c r="O495" s="34"/>
      <c r="P495" s="34"/>
      <c r="S495" s="36"/>
      <c r="T495" s="35"/>
      <c r="U495" s="37"/>
      <c r="W495" s="39"/>
      <c r="X495" s="39"/>
      <c r="Y495" s="40"/>
      <c r="Z495" s="40"/>
      <c r="AA495" s="40"/>
      <c r="AB495" s="40"/>
      <c r="AC495" s="40"/>
      <c r="AD495" s="18"/>
      <c r="AE495" s="34"/>
      <c r="AF495" s="18"/>
      <c r="AG495" s="18"/>
      <c r="AH495" s="18"/>
      <c r="AI495" s="18"/>
      <c r="AJ495" s="18"/>
      <c r="AK495" s="34"/>
      <c r="AL495" s="18"/>
      <c r="AM495" s="34"/>
    </row>
    <row r="496" spans="1:39" ht="15.75" customHeight="1">
      <c r="D496" s="7"/>
      <c r="H496" s="34"/>
      <c r="I496" s="34"/>
      <c r="J496" s="34"/>
      <c r="K496" s="18"/>
      <c r="L496" s="34"/>
      <c r="M496" s="34"/>
      <c r="N496" s="35"/>
      <c r="O496" s="34"/>
      <c r="P496" s="34"/>
      <c r="S496" s="36"/>
      <c r="T496" s="35"/>
      <c r="U496" s="37"/>
      <c r="W496" s="39"/>
      <c r="X496" s="39"/>
      <c r="Y496" s="40"/>
      <c r="Z496" s="40"/>
      <c r="AA496" s="40"/>
      <c r="AB496" s="40"/>
      <c r="AC496" s="40"/>
      <c r="AD496" s="18"/>
      <c r="AE496" s="34"/>
      <c r="AF496" s="18"/>
      <c r="AG496" s="18"/>
      <c r="AH496" s="18"/>
      <c r="AI496" s="18"/>
      <c r="AJ496" s="18"/>
      <c r="AK496" s="34"/>
      <c r="AL496" s="18"/>
      <c r="AM496" s="34"/>
    </row>
    <row r="497" spans="4:39" ht="15.75" customHeight="1">
      <c r="D497" s="7"/>
      <c r="H497" s="18"/>
      <c r="I497" s="34"/>
      <c r="J497" s="34"/>
      <c r="K497" s="18"/>
      <c r="L497" s="34"/>
      <c r="M497" s="34"/>
      <c r="N497" s="35"/>
      <c r="O497" s="34"/>
      <c r="P497" s="34"/>
      <c r="S497" s="36"/>
      <c r="T497" s="35"/>
      <c r="U497" s="37"/>
      <c r="W497" s="39"/>
      <c r="X497" s="39"/>
      <c r="Y497" s="40"/>
      <c r="Z497" s="40"/>
      <c r="AA497" s="40"/>
      <c r="AB497" s="40"/>
      <c r="AC497" s="40"/>
      <c r="AD497" s="18"/>
      <c r="AE497" s="34"/>
      <c r="AF497" s="18"/>
      <c r="AG497" s="18"/>
      <c r="AH497" s="18"/>
      <c r="AI497" s="18"/>
      <c r="AJ497" s="18"/>
      <c r="AK497" s="34"/>
      <c r="AL497" s="18"/>
      <c r="AM497" s="34"/>
    </row>
    <row r="498" spans="4:39" ht="15.75" customHeight="1">
      <c r="D498" s="7"/>
      <c r="H498" s="18"/>
      <c r="I498" s="34"/>
      <c r="J498" s="34"/>
      <c r="K498" s="18"/>
      <c r="L498" s="34"/>
      <c r="M498" s="34"/>
      <c r="N498" s="35"/>
      <c r="O498" s="34"/>
      <c r="P498" s="34"/>
      <c r="S498" s="36"/>
      <c r="T498" s="35"/>
      <c r="U498" s="37"/>
      <c r="W498" s="39"/>
      <c r="X498" s="39"/>
      <c r="Y498" s="40"/>
      <c r="Z498" s="40"/>
      <c r="AA498" s="40"/>
      <c r="AB498" s="40"/>
      <c r="AC498" s="40"/>
      <c r="AD498" s="18"/>
      <c r="AE498" s="34"/>
      <c r="AF498" s="18"/>
      <c r="AG498" s="18"/>
      <c r="AH498" s="18"/>
      <c r="AI498" s="18"/>
      <c r="AJ498" s="18"/>
      <c r="AK498" s="34"/>
      <c r="AL498" s="18"/>
      <c r="AM498" s="34"/>
    </row>
    <row r="499" spans="4:39" ht="15.75" customHeight="1">
      <c r="D499" s="7"/>
      <c r="H499" s="18"/>
      <c r="I499" s="34"/>
      <c r="J499" s="34"/>
      <c r="K499" s="18"/>
      <c r="L499" s="34"/>
      <c r="M499" s="34"/>
      <c r="N499" s="35"/>
      <c r="O499" s="34"/>
      <c r="P499" s="34"/>
      <c r="S499" s="36"/>
      <c r="T499" s="35"/>
      <c r="U499" s="37"/>
      <c r="W499" s="39"/>
      <c r="X499" s="39"/>
      <c r="Y499" s="40"/>
      <c r="Z499" s="40"/>
      <c r="AA499" s="40"/>
      <c r="AB499" s="40"/>
      <c r="AC499" s="40"/>
      <c r="AD499" s="18"/>
      <c r="AE499" s="34"/>
      <c r="AF499" s="18"/>
      <c r="AG499" s="18"/>
      <c r="AH499" s="18"/>
      <c r="AI499" s="18"/>
      <c r="AJ499" s="18"/>
      <c r="AK499" s="34"/>
      <c r="AL499" s="18"/>
      <c r="AM499" s="34"/>
    </row>
    <row r="500" spans="4:39" ht="15.75" customHeight="1">
      <c r="D500" s="7"/>
      <c r="H500" s="18"/>
      <c r="I500" s="34"/>
      <c r="J500" s="34"/>
      <c r="K500" s="18"/>
      <c r="L500" s="34"/>
      <c r="M500" s="34"/>
      <c r="N500" s="35"/>
      <c r="O500" s="34"/>
      <c r="P500" s="34"/>
      <c r="S500" s="36"/>
      <c r="T500" s="35"/>
      <c r="U500" s="37"/>
      <c r="V500" s="35"/>
      <c r="W500" s="40"/>
      <c r="X500" s="39"/>
      <c r="Y500" s="40"/>
      <c r="Z500" s="40"/>
      <c r="AA500" s="40"/>
      <c r="AB500" s="40"/>
      <c r="AC500" s="40"/>
      <c r="AD500" s="18"/>
      <c r="AE500" s="34"/>
      <c r="AF500" s="18"/>
      <c r="AG500" s="18"/>
      <c r="AH500" s="18"/>
      <c r="AI500" s="18"/>
      <c r="AJ500" s="18"/>
      <c r="AK500" s="34"/>
      <c r="AL500" s="18"/>
      <c r="AM500" s="34"/>
    </row>
    <row r="501" spans="4:39" ht="15.75" customHeight="1">
      <c r="D501" s="7"/>
      <c r="H501" s="18"/>
      <c r="I501" s="34"/>
      <c r="J501" s="34"/>
      <c r="K501" s="18"/>
      <c r="L501" s="34"/>
      <c r="M501" s="34"/>
      <c r="N501" s="35"/>
      <c r="O501" s="34"/>
      <c r="P501" s="34"/>
      <c r="S501" s="36"/>
      <c r="T501" s="35"/>
      <c r="U501" s="37"/>
      <c r="W501" s="39"/>
      <c r="X501" s="39"/>
      <c r="Y501" s="40"/>
      <c r="Z501" s="40"/>
      <c r="AA501" s="40"/>
      <c r="AB501" s="40"/>
      <c r="AC501" s="40"/>
      <c r="AD501" s="18"/>
      <c r="AE501" s="34"/>
      <c r="AF501" s="18"/>
      <c r="AG501" s="18"/>
      <c r="AH501" s="18"/>
      <c r="AI501" s="18"/>
      <c r="AJ501" s="18"/>
      <c r="AK501" s="34"/>
      <c r="AL501" s="18"/>
      <c r="AM501" s="34"/>
    </row>
    <row r="502" spans="4:39" ht="15.75" customHeight="1">
      <c r="D502" s="7"/>
      <c r="H502" s="18"/>
      <c r="I502" s="34"/>
      <c r="J502" s="34"/>
      <c r="K502" s="18"/>
      <c r="L502" s="34"/>
      <c r="M502" s="34"/>
      <c r="N502" s="41"/>
      <c r="O502" s="34"/>
      <c r="P502" s="34"/>
      <c r="S502" s="36"/>
      <c r="T502" s="35"/>
      <c r="U502" s="37"/>
      <c r="V502" s="35"/>
      <c r="W502" s="40"/>
      <c r="X502" s="39"/>
      <c r="Y502" s="40"/>
      <c r="Z502" s="40"/>
      <c r="AA502" s="40"/>
      <c r="AB502" s="40"/>
      <c r="AC502" s="40"/>
      <c r="AD502" s="18"/>
      <c r="AE502" s="34"/>
      <c r="AF502" s="18"/>
      <c r="AG502" s="18"/>
      <c r="AH502" s="18"/>
      <c r="AI502" s="18"/>
      <c r="AJ502" s="18"/>
      <c r="AK502" s="34"/>
      <c r="AL502" s="18"/>
      <c r="AM502" s="34"/>
    </row>
    <row r="503" spans="4:39" ht="15.75" customHeight="1">
      <c r="D503" s="7"/>
      <c r="G503" s="35"/>
      <c r="H503" s="18"/>
      <c r="I503" s="34"/>
      <c r="J503" s="34"/>
      <c r="K503" s="18"/>
      <c r="L503" s="34"/>
      <c r="M503" s="34"/>
      <c r="N503" s="35"/>
      <c r="O503" s="34"/>
      <c r="P503" s="34"/>
      <c r="S503" s="36"/>
      <c r="T503" s="35"/>
      <c r="U503" s="37"/>
      <c r="W503" s="39"/>
      <c r="X503" s="39"/>
      <c r="Y503" s="40"/>
      <c r="Z503" s="40"/>
      <c r="AA503" s="40"/>
      <c r="AB503" s="40"/>
      <c r="AC503" s="40"/>
      <c r="AD503" s="18"/>
      <c r="AE503" s="34"/>
      <c r="AF503" s="18"/>
      <c r="AG503" s="18"/>
      <c r="AH503" s="18"/>
      <c r="AI503" s="18"/>
      <c r="AJ503" s="18"/>
      <c r="AK503" s="34"/>
      <c r="AL503" s="18"/>
      <c r="AM503" s="34"/>
    </row>
    <row r="504" spans="4:39" ht="15.75" customHeight="1">
      <c r="D504" s="7"/>
      <c r="G504" s="35"/>
      <c r="H504" s="18"/>
      <c r="I504" s="34"/>
      <c r="J504" s="34"/>
      <c r="K504" s="18"/>
      <c r="L504" s="34"/>
      <c r="M504" s="34"/>
      <c r="N504" s="35"/>
      <c r="O504" s="34"/>
      <c r="P504" s="34"/>
      <c r="S504" s="36"/>
      <c r="T504" s="35"/>
      <c r="U504" s="37"/>
      <c r="W504" s="39"/>
      <c r="X504" s="39"/>
      <c r="Y504" s="40"/>
      <c r="Z504" s="40"/>
      <c r="AA504" s="40"/>
      <c r="AB504" s="40"/>
      <c r="AC504" s="40"/>
      <c r="AD504" s="18"/>
      <c r="AE504" s="34"/>
      <c r="AF504" s="18"/>
      <c r="AG504" s="18"/>
      <c r="AH504" s="18"/>
      <c r="AI504" s="18"/>
      <c r="AJ504" s="18"/>
      <c r="AK504" s="34"/>
      <c r="AL504" s="18"/>
      <c r="AM504" s="34"/>
    </row>
    <row r="505" spans="4:39" ht="15.75" customHeight="1">
      <c r="D505" s="7"/>
      <c r="G505" s="35"/>
      <c r="H505" s="18"/>
      <c r="I505" s="34"/>
      <c r="J505" s="34"/>
      <c r="K505" s="18"/>
      <c r="L505" s="34"/>
      <c r="M505" s="34"/>
      <c r="N505" s="35"/>
      <c r="O505" s="34"/>
      <c r="P505" s="34"/>
      <c r="S505" s="36"/>
      <c r="T505" s="35"/>
      <c r="U505" s="37"/>
      <c r="W505" s="39"/>
      <c r="X505" s="39"/>
      <c r="Y505" s="40"/>
      <c r="Z505" s="40"/>
      <c r="AA505" s="40"/>
      <c r="AB505" s="40"/>
      <c r="AC505" s="40"/>
      <c r="AD505" s="18"/>
      <c r="AE505" s="34"/>
      <c r="AF505" s="18"/>
      <c r="AG505" s="18"/>
      <c r="AH505" s="18"/>
      <c r="AI505" s="18"/>
      <c r="AJ505" s="18"/>
      <c r="AK505" s="34"/>
      <c r="AL505" s="18"/>
      <c r="AM505" s="34"/>
    </row>
    <row r="506" spans="4:39" ht="15.75" customHeight="1">
      <c r="D506" s="7"/>
      <c r="G506" s="35"/>
      <c r="H506" s="18"/>
      <c r="I506" s="34"/>
      <c r="J506" s="34"/>
      <c r="K506" s="18"/>
      <c r="L506" s="34"/>
      <c r="M506" s="34"/>
      <c r="N506" s="35"/>
      <c r="O506" s="34"/>
      <c r="P506" s="34"/>
      <c r="S506" s="36"/>
      <c r="T506" s="35"/>
      <c r="U506" s="37"/>
      <c r="W506" s="39"/>
      <c r="X506" s="39"/>
      <c r="Y506" s="40"/>
      <c r="Z506" s="40"/>
      <c r="AA506" s="40"/>
      <c r="AB506" s="40"/>
      <c r="AC506" s="40"/>
      <c r="AD506" s="18"/>
      <c r="AE506" s="34"/>
      <c r="AF506" s="18"/>
      <c r="AG506" s="18"/>
      <c r="AH506" s="18"/>
      <c r="AI506" s="18"/>
      <c r="AJ506" s="18"/>
      <c r="AK506" s="34"/>
      <c r="AL506" s="18"/>
      <c r="AM506" s="34"/>
    </row>
    <row r="507" spans="4:39" ht="15.75" customHeight="1">
      <c r="D507" s="7"/>
      <c r="G507" s="35"/>
      <c r="H507" s="18"/>
      <c r="I507" s="34"/>
      <c r="J507" s="34"/>
      <c r="K507" s="18"/>
      <c r="L507" s="34"/>
      <c r="M507" s="34"/>
      <c r="N507" s="35"/>
      <c r="O507" s="34"/>
      <c r="P507" s="34"/>
      <c r="S507" s="36"/>
      <c r="T507" s="35"/>
      <c r="U507" s="37"/>
      <c r="W507" s="39"/>
      <c r="X507" s="39"/>
      <c r="Y507" s="40"/>
      <c r="Z507" s="40"/>
      <c r="AA507" s="40"/>
      <c r="AB507" s="40"/>
      <c r="AC507" s="40"/>
      <c r="AD507" s="18"/>
      <c r="AE507" s="34"/>
      <c r="AF507" s="18"/>
      <c r="AG507" s="18"/>
      <c r="AH507" s="18"/>
      <c r="AI507" s="18"/>
      <c r="AJ507" s="18"/>
      <c r="AK507" s="34"/>
      <c r="AL507" s="18"/>
      <c r="AM507" s="34"/>
    </row>
    <row r="508" spans="4:39" ht="15.75" customHeight="1">
      <c r="D508" s="7"/>
      <c r="G508" s="35"/>
      <c r="H508" s="18"/>
      <c r="I508" s="34"/>
      <c r="J508" s="34"/>
      <c r="K508" s="18"/>
      <c r="L508" s="34"/>
      <c r="M508" s="34"/>
      <c r="N508" s="41"/>
      <c r="O508" s="34"/>
      <c r="P508" s="34"/>
      <c r="S508" s="36"/>
      <c r="T508" s="35"/>
      <c r="U508" s="37"/>
      <c r="V508" s="35"/>
      <c r="W508" s="40"/>
      <c r="X508" s="39"/>
      <c r="Y508" s="40"/>
      <c r="Z508" s="40"/>
      <c r="AA508" s="40"/>
      <c r="AB508" s="40"/>
      <c r="AC508" s="40"/>
      <c r="AD508" s="18"/>
      <c r="AE508" s="34"/>
      <c r="AF508" s="18"/>
      <c r="AG508" s="18"/>
      <c r="AH508" s="18"/>
      <c r="AI508" s="18"/>
      <c r="AJ508" s="18"/>
      <c r="AK508" s="34"/>
      <c r="AL508" s="18"/>
      <c r="AM508" s="34"/>
    </row>
    <row r="509" spans="4:39" ht="15.75" customHeight="1">
      <c r="D509" s="7"/>
      <c r="G509" s="35"/>
      <c r="H509" s="18"/>
      <c r="I509" s="34"/>
      <c r="J509" s="34"/>
      <c r="K509" s="18"/>
      <c r="L509" s="34"/>
      <c r="M509" s="34"/>
      <c r="N509" s="41"/>
      <c r="O509" s="34"/>
      <c r="P509" s="34"/>
      <c r="S509" s="36"/>
      <c r="T509" s="35"/>
      <c r="U509" s="37"/>
      <c r="V509" s="35"/>
      <c r="W509" s="40"/>
      <c r="X509" s="39"/>
      <c r="Y509" s="40"/>
      <c r="Z509" s="40"/>
      <c r="AA509" s="40"/>
      <c r="AB509" s="40"/>
      <c r="AC509" s="40"/>
      <c r="AD509" s="18"/>
      <c r="AE509" s="34"/>
      <c r="AF509" s="18"/>
      <c r="AG509" s="18"/>
      <c r="AH509" s="18"/>
      <c r="AI509" s="18"/>
      <c r="AJ509" s="18"/>
      <c r="AK509" s="34"/>
      <c r="AL509" s="18"/>
      <c r="AM509" s="34"/>
    </row>
    <row r="510" spans="4:39" ht="15.75" customHeight="1">
      <c r="D510" s="7"/>
      <c r="G510" s="35"/>
      <c r="H510" s="18"/>
      <c r="I510" s="34"/>
      <c r="J510" s="34"/>
      <c r="K510" s="18"/>
      <c r="L510" s="34"/>
      <c r="M510" s="34"/>
      <c r="N510" s="41"/>
      <c r="O510" s="34"/>
      <c r="P510" s="34"/>
      <c r="S510" s="36"/>
      <c r="T510" s="35"/>
      <c r="U510" s="37"/>
      <c r="V510" s="35"/>
      <c r="W510" s="40"/>
      <c r="X510" s="39"/>
      <c r="Y510" s="40"/>
      <c r="Z510" s="40"/>
      <c r="AA510" s="40"/>
      <c r="AB510" s="40"/>
      <c r="AC510" s="40"/>
      <c r="AD510" s="18"/>
      <c r="AE510" s="34"/>
      <c r="AF510" s="18"/>
      <c r="AG510" s="18"/>
      <c r="AH510" s="18"/>
      <c r="AI510" s="18"/>
      <c r="AJ510" s="18"/>
      <c r="AK510" s="34"/>
      <c r="AL510" s="18"/>
      <c r="AM510" s="34"/>
    </row>
    <row r="511" spans="4:39" ht="15.75" customHeight="1">
      <c r="D511" s="7"/>
      <c r="G511" s="35"/>
      <c r="H511" s="18"/>
      <c r="I511" s="34"/>
      <c r="J511" s="34"/>
      <c r="K511" s="18"/>
      <c r="L511" s="34"/>
      <c r="M511" s="34"/>
      <c r="N511" s="41"/>
      <c r="O511" s="34"/>
      <c r="P511" s="34"/>
      <c r="S511" s="36"/>
      <c r="T511" s="35"/>
      <c r="U511" s="37"/>
      <c r="V511" s="35"/>
      <c r="W511" s="40"/>
      <c r="X511" s="39"/>
      <c r="Y511" s="40"/>
      <c r="Z511" s="40"/>
      <c r="AA511" s="40"/>
      <c r="AB511" s="40"/>
      <c r="AC511" s="40"/>
      <c r="AD511" s="18"/>
      <c r="AE511" s="34"/>
      <c r="AF511" s="18"/>
      <c r="AG511" s="18"/>
      <c r="AH511" s="18"/>
      <c r="AI511" s="18"/>
      <c r="AJ511" s="18"/>
      <c r="AK511" s="34"/>
      <c r="AL511" s="18"/>
      <c r="AM511" s="34"/>
    </row>
    <row r="512" spans="4:39" ht="15.75" customHeight="1">
      <c r="D512" s="7"/>
      <c r="G512" s="35"/>
      <c r="H512" s="18"/>
      <c r="I512" s="34"/>
      <c r="J512" s="34"/>
      <c r="K512" s="18"/>
      <c r="L512" s="34"/>
      <c r="M512" s="34"/>
      <c r="N512" s="41"/>
      <c r="O512" s="34"/>
      <c r="P512" s="34"/>
      <c r="S512" s="36"/>
      <c r="T512" s="35"/>
      <c r="U512" s="37"/>
      <c r="V512" s="35"/>
      <c r="W512" s="40"/>
      <c r="X512" s="39"/>
      <c r="Y512" s="40"/>
      <c r="Z512" s="40"/>
      <c r="AA512" s="40"/>
      <c r="AB512" s="40"/>
      <c r="AC512" s="40"/>
      <c r="AD512" s="18"/>
      <c r="AE512" s="34"/>
      <c r="AF512" s="18"/>
      <c r="AG512" s="18"/>
      <c r="AH512" s="18"/>
      <c r="AI512" s="18"/>
      <c r="AJ512" s="18"/>
      <c r="AK512" s="34"/>
      <c r="AL512" s="18"/>
      <c r="AM512" s="34"/>
    </row>
    <row r="513" spans="4:39" ht="15.75" customHeight="1">
      <c r="D513" s="7"/>
      <c r="G513" s="35"/>
      <c r="H513" s="18"/>
      <c r="I513" s="34"/>
      <c r="J513" s="34"/>
      <c r="K513" s="18"/>
      <c r="L513" s="34"/>
      <c r="M513" s="34"/>
      <c r="N513" s="41"/>
      <c r="O513" s="34"/>
      <c r="P513" s="34"/>
      <c r="S513" s="36"/>
      <c r="T513" s="35"/>
      <c r="U513" s="37"/>
      <c r="V513" s="35"/>
      <c r="W513" s="40"/>
      <c r="X513" s="39"/>
      <c r="Y513" s="40"/>
      <c r="Z513" s="40"/>
      <c r="AA513" s="40"/>
      <c r="AB513" s="40"/>
      <c r="AC513" s="40"/>
      <c r="AD513" s="18"/>
      <c r="AE513" s="34"/>
      <c r="AF513" s="18"/>
      <c r="AG513" s="18"/>
      <c r="AH513" s="18"/>
      <c r="AI513" s="18"/>
      <c r="AJ513" s="18"/>
      <c r="AK513" s="34"/>
      <c r="AL513" s="18"/>
      <c r="AM513" s="34"/>
    </row>
    <row r="514" spans="4:39" ht="15.75" customHeight="1">
      <c r="D514" s="7"/>
      <c r="G514" s="35"/>
      <c r="H514" s="34"/>
      <c r="I514" s="34"/>
      <c r="J514" s="34"/>
      <c r="K514" s="18"/>
      <c r="L514" s="34"/>
      <c r="M514" s="34"/>
      <c r="N514" s="35"/>
      <c r="O514" s="34"/>
      <c r="P514" s="34"/>
      <c r="S514" s="36"/>
      <c r="T514" s="35"/>
      <c r="U514" s="37"/>
      <c r="V514" s="35"/>
      <c r="W514" s="40"/>
      <c r="X514" s="39"/>
      <c r="Y514" s="40"/>
      <c r="Z514" s="40"/>
      <c r="AA514" s="40"/>
      <c r="AB514" s="40"/>
      <c r="AC514" s="40"/>
      <c r="AD514" s="34"/>
      <c r="AE514" s="18"/>
      <c r="AF514" s="18"/>
      <c r="AG514" s="18"/>
      <c r="AH514" s="18"/>
      <c r="AI514" s="18"/>
      <c r="AJ514" s="34"/>
      <c r="AK514" s="34"/>
      <c r="AL514" s="34"/>
      <c r="AM514" s="18"/>
    </row>
    <row r="515" spans="4:39" ht="15.75" customHeight="1">
      <c r="D515" s="7"/>
      <c r="G515" s="35"/>
      <c r="H515" s="34"/>
      <c r="I515" s="34"/>
      <c r="J515" s="34"/>
      <c r="K515" s="18"/>
      <c r="L515" s="34"/>
      <c r="M515" s="34"/>
      <c r="N515" s="35"/>
      <c r="O515" s="34"/>
      <c r="P515" s="34"/>
      <c r="S515" s="36"/>
      <c r="T515" s="35"/>
      <c r="U515" s="37"/>
      <c r="V515" s="35"/>
      <c r="W515" s="40"/>
      <c r="X515" s="39"/>
      <c r="Y515" s="40"/>
      <c r="Z515" s="40"/>
      <c r="AA515" s="40"/>
      <c r="AB515" s="40"/>
      <c r="AC515" s="40"/>
      <c r="AD515" s="34"/>
      <c r="AE515" s="18"/>
      <c r="AF515" s="18"/>
      <c r="AG515" s="18"/>
      <c r="AH515" s="18"/>
      <c r="AI515" s="18"/>
      <c r="AJ515" s="34"/>
      <c r="AK515" s="34"/>
      <c r="AL515" s="34"/>
      <c r="AM515" s="18"/>
    </row>
    <row r="516" spans="4:39" ht="15.75" customHeight="1">
      <c r="D516" s="7"/>
      <c r="G516" s="35"/>
      <c r="H516" s="34"/>
      <c r="I516" s="34"/>
      <c r="J516" s="34"/>
      <c r="K516" s="18"/>
      <c r="L516" s="34"/>
      <c r="M516" s="34"/>
      <c r="N516" s="35"/>
      <c r="O516" s="34"/>
      <c r="P516" s="34"/>
      <c r="S516" s="36"/>
      <c r="T516" s="35"/>
      <c r="U516" s="37"/>
      <c r="V516" s="35"/>
      <c r="W516" s="40"/>
      <c r="X516" s="39"/>
      <c r="Y516" s="40"/>
      <c r="Z516" s="40"/>
      <c r="AA516" s="40"/>
      <c r="AB516" s="40"/>
      <c r="AC516" s="40"/>
      <c r="AD516" s="34"/>
      <c r="AE516" s="18"/>
      <c r="AF516" s="18"/>
      <c r="AG516" s="18"/>
      <c r="AH516" s="18"/>
      <c r="AI516" s="18"/>
      <c r="AJ516" s="34"/>
      <c r="AK516" s="34"/>
      <c r="AL516" s="34"/>
      <c r="AM516" s="18"/>
    </row>
    <row r="517" spans="4:39" ht="15.75" customHeight="1">
      <c r="D517" s="7"/>
      <c r="G517" s="35"/>
      <c r="H517" s="34"/>
      <c r="I517" s="34"/>
      <c r="J517" s="34"/>
      <c r="K517" s="18"/>
      <c r="L517" s="34"/>
      <c r="M517" s="34"/>
      <c r="N517" s="35"/>
      <c r="O517" s="34"/>
      <c r="P517" s="34"/>
      <c r="S517" s="36"/>
      <c r="T517" s="35"/>
      <c r="U517" s="37"/>
      <c r="V517" s="35"/>
      <c r="W517" s="40"/>
      <c r="X517" s="39"/>
      <c r="Y517" s="40"/>
      <c r="Z517" s="40"/>
      <c r="AA517" s="40"/>
      <c r="AB517" s="40"/>
      <c r="AC517" s="40"/>
      <c r="AD517" s="34"/>
      <c r="AE517" s="18"/>
      <c r="AF517" s="18"/>
      <c r="AG517" s="18"/>
      <c r="AH517" s="18"/>
      <c r="AI517" s="18"/>
      <c r="AJ517" s="34"/>
      <c r="AK517" s="34"/>
      <c r="AL517" s="34"/>
      <c r="AM517" s="18"/>
    </row>
    <row r="518" spans="4:39" ht="15.75" customHeight="1">
      <c r="D518" s="7"/>
      <c r="G518" s="35"/>
      <c r="H518" s="34"/>
      <c r="I518" s="34"/>
      <c r="J518" s="34"/>
      <c r="K518" s="18"/>
      <c r="L518" s="34"/>
      <c r="M518" s="34"/>
      <c r="N518" s="35"/>
      <c r="O518" s="34"/>
      <c r="P518" s="34"/>
      <c r="S518" s="36"/>
      <c r="T518" s="35"/>
      <c r="U518" s="37"/>
      <c r="V518" s="35"/>
      <c r="W518" s="40"/>
      <c r="X518" s="39"/>
      <c r="Y518" s="40"/>
      <c r="Z518" s="40"/>
      <c r="AA518" s="40"/>
      <c r="AB518" s="40"/>
      <c r="AC518" s="40"/>
      <c r="AD518" s="34"/>
      <c r="AE518" s="18"/>
      <c r="AF518" s="18"/>
      <c r="AG518" s="18"/>
      <c r="AH518" s="18"/>
      <c r="AI518" s="18"/>
      <c r="AJ518" s="34"/>
      <c r="AK518" s="34"/>
      <c r="AL518" s="34"/>
      <c r="AM518" s="18"/>
    </row>
    <row r="519" spans="4:39" ht="15.75" customHeight="1">
      <c r="D519" s="7"/>
      <c r="G519" s="35"/>
      <c r="H519" s="34"/>
      <c r="I519" s="34"/>
      <c r="J519" s="34"/>
      <c r="K519" s="18"/>
      <c r="L519" s="34"/>
      <c r="M519" s="34"/>
      <c r="N519" s="35"/>
      <c r="O519" s="34"/>
      <c r="P519" s="34"/>
      <c r="S519" s="36"/>
      <c r="T519" s="35"/>
      <c r="U519" s="37"/>
      <c r="V519" s="35"/>
      <c r="W519" s="40"/>
      <c r="X519" s="39"/>
      <c r="Y519" s="40"/>
      <c r="Z519" s="40"/>
      <c r="AA519" s="40"/>
      <c r="AB519" s="40"/>
      <c r="AC519" s="40"/>
      <c r="AD519" s="34"/>
      <c r="AE519" s="18"/>
      <c r="AF519" s="18"/>
      <c r="AG519" s="18"/>
      <c r="AH519" s="18"/>
      <c r="AI519" s="18"/>
      <c r="AJ519" s="34"/>
      <c r="AK519" s="34"/>
      <c r="AL519" s="34"/>
      <c r="AM519" s="18"/>
    </row>
    <row r="520" spans="4:39" ht="15.75" customHeight="1">
      <c r="D520" s="7"/>
      <c r="G520" s="35"/>
      <c r="H520" s="34"/>
      <c r="I520" s="34"/>
      <c r="J520" s="34"/>
      <c r="K520" s="18"/>
      <c r="L520" s="34"/>
      <c r="M520" s="34"/>
      <c r="N520" s="35"/>
      <c r="O520" s="34"/>
      <c r="P520" s="34"/>
      <c r="S520" s="36"/>
      <c r="T520" s="35"/>
      <c r="U520" s="37"/>
      <c r="V520" s="35"/>
      <c r="W520" s="40"/>
      <c r="X520" s="39"/>
      <c r="Y520" s="40"/>
      <c r="Z520" s="40"/>
      <c r="AA520" s="40"/>
      <c r="AB520" s="40"/>
      <c r="AC520" s="40"/>
      <c r="AD520" s="34"/>
      <c r="AE520" s="18"/>
      <c r="AF520" s="18"/>
      <c r="AG520" s="18"/>
      <c r="AH520" s="18"/>
      <c r="AI520" s="18"/>
      <c r="AJ520" s="34"/>
      <c r="AK520" s="34"/>
      <c r="AL520" s="34"/>
      <c r="AM520" s="18"/>
    </row>
    <row r="521" spans="4:39" ht="15.75" customHeight="1">
      <c r="D521" s="7"/>
      <c r="G521" s="35"/>
      <c r="H521" s="34"/>
      <c r="I521" s="34"/>
      <c r="J521" s="34"/>
      <c r="K521" s="18"/>
      <c r="L521" s="34"/>
      <c r="M521" s="34"/>
      <c r="N521" s="35"/>
      <c r="O521" s="34"/>
      <c r="P521" s="34"/>
      <c r="S521" s="36"/>
      <c r="T521" s="35"/>
      <c r="U521" s="37"/>
      <c r="V521" s="35"/>
      <c r="W521" s="40"/>
      <c r="X521" s="39"/>
      <c r="Y521" s="40"/>
      <c r="Z521" s="40"/>
      <c r="AA521" s="40"/>
      <c r="AB521" s="40"/>
      <c r="AC521" s="40"/>
      <c r="AD521" s="34"/>
      <c r="AE521" s="18"/>
      <c r="AF521" s="18"/>
      <c r="AG521" s="18"/>
      <c r="AH521" s="18"/>
      <c r="AI521" s="18"/>
      <c r="AJ521" s="34"/>
      <c r="AK521" s="34"/>
      <c r="AL521" s="34"/>
      <c r="AM521" s="18"/>
    </row>
    <row r="522" spans="4:39" ht="15.75" customHeight="1">
      <c r="D522" s="7"/>
      <c r="G522" s="35"/>
      <c r="H522" s="34"/>
      <c r="I522" s="34"/>
      <c r="J522" s="34"/>
      <c r="K522" s="18"/>
      <c r="L522" s="34"/>
      <c r="M522" s="34"/>
      <c r="N522" s="35"/>
      <c r="O522" s="34"/>
      <c r="P522" s="34"/>
      <c r="S522" s="36"/>
      <c r="T522" s="35"/>
      <c r="U522" s="37"/>
      <c r="V522" s="35"/>
      <c r="W522" s="40"/>
      <c r="X522" s="39"/>
      <c r="Y522" s="40"/>
      <c r="Z522" s="40"/>
      <c r="AA522" s="40"/>
      <c r="AB522" s="40"/>
      <c r="AC522" s="40"/>
      <c r="AD522" s="34"/>
      <c r="AE522" s="18"/>
      <c r="AF522" s="18"/>
      <c r="AG522" s="18"/>
      <c r="AH522" s="18"/>
      <c r="AI522" s="18"/>
      <c r="AJ522" s="34"/>
      <c r="AK522" s="34"/>
      <c r="AL522" s="34"/>
      <c r="AM522" s="18"/>
    </row>
    <row r="523" spans="4:39" ht="15.75" customHeight="1">
      <c r="D523" s="7"/>
      <c r="G523" s="35"/>
      <c r="H523" s="34"/>
      <c r="I523" s="34"/>
      <c r="J523" s="34"/>
      <c r="K523" s="18"/>
      <c r="L523" s="34"/>
      <c r="M523" s="34"/>
      <c r="N523" s="35"/>
      <c r="O523" s="34"/>
      <c r="P523" s="34"/>
      <c r="S523" s="36"/>
      <c r="T523" s="35"/>
      <c r="U523" s="37"/>
      <c r="V523" s="35"/>
      <c r="W523" s="40"/>
      <c r="X523" s="39"/>
      <c r="Y523" s="40"/>
      <c r="Z523" s="40"/>
      <c r="AA523" s="40"/>
      <c r="AB523" s="40"/>
      <c r="AC523" s="40"/>
      <c r="AD523" s="34"/>
      <c r="AE523" s="18"/>
      <c r="AF523" s="18"/>
      <c r="AG523" s="18"/>
      <c r="AH523" s="18"/>
      <c r="AI523" s="18"/>
      <c r="AJ523" s="34"/>
      <c r="AK523" s="34"/>
      <c r="AL523" s="34"/>
      <c r="AM523" s="18"/>
    </row>
    <row r="524" spans="4:39" ht="15.75" customHeight="1">
      <c r="D524" s="7"/>
      <c r="H524" s="18"/>
      <c r="I524" s="34"/>
      <c r="J524" s="34"/>
      <c r="K524" s="18"/>
      <c r="L524" s="34"/>
      <c r="M524" s="34"/>
      <c r="N524" s="41"/>
      <c r="O524" s="34"/>
      <c r="P524" s="34"/>
      <c r="S524" s="36"/>
      <c r="T524" s="35"/>
      <c r="U524" s="37"/>
      <c r="V524" s="35"/>
      <c r="W524" s="40"/>
      <c r="X524" s="39"/>
      <c r="Y524" s="40"/>
      <c r="Z524" s="40"/>
      <c r="AA524" s="40"/>
      <c r="AB524" s="40"/>
      <c r="AC524" s="40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</row>
    <row r="525" spans="4:39" ht="15.75" customHeight="1">
      <c r="D525" s="7"/>
      <c r="H525" s="18"/>
      <c r="I525" s="34"/>
      <c r="J525" s="34"/>
      <c r="K525" s="18"/>
      <c r="L525" s="34"/>
      <c r="M525" s="34"/>
      <c r="N525" s="41"/>
      <c r="O525" s="34"/>
      <c r="P525" s="34"/>
      <c r="S525" s="36"/>
      <c r="T525" s="35"/>
      <c r="U525" s="37"/>
      <c r="V525" s="35"/>
      <c r="W525" s="40"/>
      <c r="X525" s="39"/>
      <c r="Y525" s="40"/>
      <c r="Z525" s="40"/>
      <c r="AA525" s="40"/>
      <c r="AB525" s="40"/>
      <c r="AC525" s="40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 spans="4:39" ht="15.75" customHeight="1">
      <c r="D526" s="7"/>
      <c r="H526" s="18"/>
      <c r="I526" s="34"/>
      <c r="J526" s="34"/>
      <c r="K526" s="18"/>
      <c r="L526" s="34"/>
      <c r="M526" s="34"/>
      <c r="N526" s="35"/>
      <c r="O526" s="34"/>
      <c r="P526" s="34"/>
      <c r="S526" s="36"/>
      <c r="T526" s="35"/>
      <c r="U526" s="37"/>
      <c r="W526" s="39"/>
      <c r="X526" s="39"/>
      <c r="Y526" s="40"/>
      <c r="Z526" s="40"/>
      <c r="AA526" s="40"/>
      <c r="AB526" s="40"/>
      <c r="AC526" s="40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</row>
    <row r="527" spans="4:39" ht="15.75" customHeight="1">
      <c r="D527" s="7"/>
      <c r="H527" s="34"/>
      <c r="I527" s="34"/>
      <c r="J527" s="34"/>
      <c r="K527" s="18"/>
      <c r="L527" s="34"/>
      <c r="M527" s="34"/>
      <c r="N527" s="35"/>
      <c r="O527" s="34"/>
      <c r="P527" s="34"/>
      <c r="S527" s="36"/>
      <c r="T527" s="35"/>
      <c r="U527" s="37"/>
      <c r="W527" s="39"/>
      <c r="X527" s="39"/>
      <c r="Y527" s="40"/>
      <c r="Z527" s="40"/>
      <c r="AA527" s="40"/>
      <c r="AB527" s="40"/>
      <c r="AC527" s="40"/>
      <c r="AD527" s="34"/>
      <c r="AE527" s="18"/>
      <c r="AF527" s="18"/>
      <c r="AG527" s="18"/>
      <c r="AH527" s="18"/>
      <c r="AI527" s="18"/>
      <c r="AJ527" s="18"/>
      <c r="AK527" s="34"/>
      <c r="AL527" s="18"/>
      <c r="AM527" s="34"/>
    </row>
    <row r="528" spans="4:39" ht="15.75" customHeight="1">
      <c r="D528" s="7"/>
      <c r="H528" s="18"/>
      <c r="I528" s="34"/>
      <c r="J528" s="34"/>
      <c r="K528" s="18"/>
      <c r="L528" s="34"/>
      <c r="M528" s="34"/>
      <c r="N528" s="35"/>
      <c r="O528" s="34"/>
      <c r="P528" s="34"/>
      <c r="S528" s="36"/>
      <c r="T528" s="35"/>
      <c r="U528" s="37"/>
      <c r="W528" s="39"/>
      <c r="X528" s="39"/>
      <c r="Y528" s="40"/>
      <c r="Z528" s="40"/>
      <c r="AA528" s="40"/>
      <c r="AB528" s="40"/>
      <c r="AC528" s="40"/>
      <c r="AD528" s="34"/>
      <c r="AE528" s="18"/>
      <c r="AF528" s="18"/>
      <c r="AG528" s="18"/>
      <c r="AH528" s="18"/>
      <c r="AI528" s="18"/>
      <c r="AJ528" s="18"/>
      <c r="AK528" s="34"/>
      <c r="AL528" s="18"/>
      <c r="AM528" s="34"/>
    </row>
    <row r="529" spans="4:39" ht="15.75" customHeight="1">
      <c r="D529" s="7"/>
      <c r="H529" s="18"/>
      <c r="I529" s="34"/>
      <c r="J529" s="34"/>
      <c r="K529" s="18"/>
      <c r="L529" s="34"/>
      <c r="M529" s="34"/>
      <c r="N529" s="35"/>
      <c r="O529" s="34"/>
      <c r="P529" s="34"/>
      <c r="S529" s="36"/>
      <c r="T529" s="35"/>
      <c r="U529" s="37"/>
      <c r="W529" s="39"/>
      <c r="X529" s="39"/>
      <c r="Y529" s="40"/>
      <c r="Z529" s="40"/>
      <c r="AA529" s="40"/>
      <c r="AB529" s="40"/>
      <c r="AC529" s="40"/>
      <c r="AD529" s="18"/>
      <c r="AE529" s="18"/>
      <c r="AF529" s="18"/>
      <c r="AG529" s="18"/>
      <c r="AH529" s="18"/>
      <c r="AI529" s="34"/>
      <c r="AJ529" s="18"/>
      <c r="AK529" s="34"/>
      <c r="AL529" s="34"/>
      <c r="AM529" s="34"/>
    </row>
    <row r="530" spans="4:39" ht="15.75" customHeight="1">
      <c r="D530" s="7"/>
      <c r="H530" s="18"/>
      <c r="I530" s="34"/>
      <c r="J530" s="34"/>
      <c r="K530" s="18"/>
      <c r="L530" s="34"/>
      <c r="M530" s="34"/>
      <c r="N530" s="35"/>
      <c r="O530" s="34"/>
      <c r="P530" s="34"/>
      <c r="S530" s="36"/>
      <c r="T530" s="35"/>
      <c r="U530" s="37"/>
      <c r="W530" s="39"/>
      <c r="X530" s="39"/>
      <c r="Y530" s="40"/>
      <c r="Z530" s="40"/>
      <c r="AA530" s="40"/>
      <c r="AB530" s="40"/>
      <c r="AC530" s="40"/>
      <c r="AD530" s="18"/>
      <c r="AE530" s="34"/>
      <c r="AF530" s="18"/>
      <c r="AG530" s="18"/>
      <c r="AH530" s="18"/>
      <c r="AI530" s="18"/>
      <c r="AJ530" s="18"/>
      <c r="AK530" s="34"/>
      <c r="AL530" s="34"/>
      <c r="AM530" s="34"/>
    </row>
    <row r="531" spans="4:39" ht="15.75" customHeight="1">
      <c r="D531" s="7"/>
      <c r="H531" s="18"/>
      <c r="I531" s="34"/>
      <c r="J531" s="34"/>
      <c r="K531" s="18"/>
      <c r="L531" s="34"/>
      <c r="M531" s="34"/>
      <c r="N531" s="35"/>
      <c r="O531" s="34"/>
      <c r="P531" s="34"/>
      <c r="S531" s="36"/>
      <c r="T531" s="35"/>
      <c r="U531" s="37"/>
      <c r="W531" s="39"/>
      <c r="X531" s="39"/>
      <c r="Y531" s="40"/>
      <c r="Z531" s="40"/>
      <c r="AA531" s="40"/>
      <c r="AB531" s="40"/>
      <c r="AC531" s="40"/>
      <c r="AD531" s="18"/>
      <c r="AE531" s="34"/>
      <c r="AF531" s="18"/>
      <c r="AG531" s="18"/>
      <c r="AH531" s="18"/>
      <c r="AI531" s="34"/>
      <c r="AJ531" s="18"/>
      <c r="AK531" s="34"/>
      <c r="AL531" s="34"/>
      <c r="AM531" s="34"/>
    </row>
    <row r="532" spans="4:39" ht="15.75" customHeight="1">
      <c r="D532" s="7"/>
      <c r="H532" s="18"/>
      <c r="I532" s="34"/>
      <c r="J532" s="34"/>
      <c r="K532" s="18"/>
      <c r="L532" s="34"/>
      <c r="M532" s="34"/>
      <c r="N532" s="35"/>
      <c r="O532" s="34"/>
      <c r="P532" s="34"/>
      <c r="S532" s="36"/>
      <c r="T532" s="35"/>
      <c r="U532" s="37"/>
      <c r="W532" s="39"/>
      <c r="X532" s="39"/>
      <c r="Y532" s="40"/>
      <c r="Z532" s="40"/>
      <c r="AA532" s="40"/>
      <c r="AB532" s="40"/>
      <c r="AC532" s="40"/>
      <c r="AD532" s="18"/>
      <c r="AE532" s="18"/>
      <c r="AF532" s="18"/>
      <c r="AG532" s="18"/>
      <c r="AH532" s="18"/>
      <c r="AI532" s="34"/>
      <c r="AJ532" s="18"/>
      <c r="AK532" s="34"/>
      <c r="AL532" s="34"/>
      <c r="AM532" s="34"/>
    </row>
    <row r="533" spans="4:39" ht="15.75" customHeight="1">
      <c r="D533" s="7"/>
      <c r="H533" s="18"/>
      <c r="I533" s="34"/>
      <c r="J533" s="34"/>
      <c r="K533" s="18"/>
      <c r="L533" s="34"/>
      <c r="M533" s="34"/>
      <c r="N533" s="35"/>
      <c r="O533" s="34"/>
      <c r="P533" s="34"/>
      <c r="S533" s="36"/>
      <c r="T533" s="35"/>
      <c r="U533" s="37"/>
      <c r="W533" s="39"/>
      <c r="X533" s="39"/>
      <c r="Y533" s="40"/>
      <c r="Z533" s="40"/>
      <c r="AA533" s="40"/>
      <c r="AB533" s="40"/>
      <c r="AC533" s="40"/>
      <c r="AD533" s="18"/>
      <c r="AE533" s="34"/>
      <c r="AF533" s="18"/>
      <c r="AG533" s="18"/>
      <c r="AH533" s="18"/>
      <c r="AI533" s="34"/>
      <c r="AJ533" s="18"/>
      <c r="AK533" s="34"/>
      <c r="AL533" s="34"/>
      <c r="AM533" s="34"/>
    </row>
    <row r="534" spans="4:39" ht="15.75" customHeight="1">
      <c r="D534" s="7"/>
      <c r="H534" s="18"/>
      <c r="I534" s="34"/>
      <c r="J534" s="34"/>
      <c r="K534" s="18"/>
      <c r="L534" s="34"/>
      <c r="M534" s="34"/>
      <c r="N534" s="35"/>
      <c r="O534" s="34"/>
      <c r="P534" s="34"/>
      <c r="S534" s="36"/>
      <c r="T534" s="35"/>
      <c r="U534" s="37"/>
      <c r="W534" s="39"/>
      <c r="X534" s="39"/>
      <c r="Y534" s="40"/>
      <c r="Z534" s="40"/>
      <c r="AA534" s="40"/>
      <c r="AB534" s="40"/>
      <c r="AC534" s="40"/>
      <c r="AD534" s="18"/>
      <c r="AE534" s="18"/>
      <c r="AF534" s="18"/>
      <c r="AG534" s="18"/>
      <c r="AH534" s="18"/>
      <c r="AI534" s="34"/>
      <c r="AJ534" s="18"/>
      <c r="AK534" s="34"/>
      <c r="AL534" s="34"/>
      <c r="AM534" s="34"/>
    </row>
    <row r="535" spans="4:39" ht="15.75" customHeight="1">
      <c r="D535" s="7"/>
      <c r="H535" s="18"/>
      <c r="I535" s="34"/>
      <c r="J535" s="34"/>
      <c r="K535" s="18"/>
      <c r="L535" s="34"/>
      <c r="M535" s="34"/>
      <c r="N535" s="35"/>
      <c r="O535" s="34"/>
      <c r="P535" s="34"/>
      <c r="S535" s="36"/>
      <c r="T535" s="35"/>
      <c r="U535" s="37"/>
      <c r="W535" s="39"/>
      <c r="X535" s="39"/>
      <c r="Y535" s="40"/>
      <c r="Z535" s="40"/>
      <c r="AA535" s="40"/>
      <c r="AB535" s="40"/>
      <c r="AC535" s="40"/>
      <c r="AD535" s="18"/>
      <c r="AE535" s="34"/>
      <c r="AF535" s="18"/>
      <c r="AG535" s="18"/>
      <c r="AH535" s="18"/>
      <c r="AI535" s="18"/>
      <c r="AJ535" s="18"/>
      <c r="AK535" s="34"/>
      <c r="AL535" s="34"/>
      <c r="AM535" s="34"/>
    </row>
    <row r="536" spans="4:39" ht="15.75" customHeight="1">
      <c r="D536" s="7"/>
      <c r="H536" s="18"/>
      <c r="I536" s="34"/>
      <c r="J536" s="34"/>
      <c r="K536" s="18"/>
      <c r="L536" s="34"/>
      <c r="M536" s="34"/>
      <c r="N536" s="35"/>
      <c r="O536" s="34"/>
      <c r="P536" s="34"/>
      <c r="S536" s="36"/>
      <c r="T536" s="35"/>
      <c r="U536" s="37"/>
      <c r="W536" s="39"/>
      <c r="X536" s="39"/>
      <c r="Y536" s="40"/>
      <c r="Z536" s="40"/>
      <c r="AA536" s="40"/>
      <c r="AB536" s="40"/>
      <c r="AC536" s="40"/>
      <c r="AD536" s="18"/>
      <c r="AE536" s="34"/>
      <c r="AF536" s="18"/>
      <c r="AG536" s="18"/>
      <c r="AH536" s="18"/>
      <c r="AI536" s="18"/>
      <c r="AJ536" s="18"/>
      <c r="AK536" s="34"/>
      <c r="AL536" s="34"/>
      <c r="AM536" s="34"/>
    </row>
    <row r="537" spans="4:39" ht="15.75" customHeight="1">
      <c r="D537" s="7"/>
      <c r="G537" s="35"/>
      <c r="H537" s="34"/>
      <c r="I537" s="34"/>
      <c r="J537" s="34"/>
      <c r="K537" s="18"/>
      <c r="L537" s="34"/>
      <c r="M537" s="34"/>
      <c r="N537" s="35"/>
      <c r="O537" s="34"/>
      <c r="P537" s="34"/>
      <c r="S537" s="36"/>
      <c r="T537" s="35"/>
      <c r="U537" s="37"/>
      <c r="V537" s="35"/>
      <c r="W537" s="40"/>
      <c r="X537" s="39"/>
      <c r="Y537" s="40"/>
      <c r="Z537" s="40"/>
      <c r="AA537" s="40"/>
      <c r="AB537" s="40"/>
      <c r="AC537" s="40"/>
      <c r="AD537" s="18"/>
      <c r="AE537" s="34"/>
      <c r="AF537" s="18"/>
      <c r="AG537" s="18"/>
      <c r="AH537" s="18"/>
      <c r="AI537" s="18"/>
      <c r="AJ537" s="18"/>
      <c r="AK537" s="34"/>
      <c r="AL537" s="18"/>
      <c r="AM537" s="34"/>
    </row>
    <row r="538" spans="4:39" ht="15.75" customHeight="1">
      <c r="D538" s="7"/>
      <c r="G538" s="35"/>
      <c r="H538" s="34"/>
      <c r="I538" s="34"/>
      <c r="J538" s="34"/>
      <c r="K538" s="18"/>
      <c r="L538" s="34"/>
      <c r="M538" s="34"/>
      <c r="N538" s="35"/>
      <c r="O538" s="34"/>
      <c r="P538" s="34"/>
      <c r="S538" s="36"/>
      <c r="T538" s="35"/>
      <c r="U538" s="37"/>
      <c r="V538" s="35"/>
      <c r="W538" s="40"/>
      <c r="X538" s="39"/>
      <c r="Y538" s="40"/>
      <c r="Z538" s="40"/>
      <c r="AA538" s="40"/>
      <c r="AB538" s="40"/>
      <c r="AC538" s="40"/>
      <c r="AD538" s="18"/>
      <c r="AE538" s="34"/>
      <c r="AF538" s="18"/>
      <c r="AG538" s="18"/>
      <c r="AH538" s="18"/>
      <c r="AI538" s="18"/>
      <c r="AJ538" s="18"/>
      <c r="AK538" s="34"/>
      <c r="AL538" s="18"/>
      <c r="AM538" s="34"/>
    </row>
    <row r="539" spans="4:39" ht="15.75" customHeight="1">
      <c r="D539" s="7"/>
      <c r="G539" s="35"/>
      <c r="H539" s="34"/>
      <c r="I539" s="34"/>
      <c r="J539" s="34"/>
      <c r="K539" s="18"/>
      <c r="L539" s="34"/>
      <c r="M539" s="34"/>
      <c r="N539" s="35"/>
      <c r="O539" s="34"/>
      <c r="P539" s="34"/>
      <c r="S539" s="36"/>
      <c r="T539" s="35"/>
      <c r="U539" s="37"/>
      <c r="V539" s="35"/>
      <c r="W539" s="40"/>
      <c r="X539" s="39"/>
      <c r="Y539" s="40"/>
      <c r="Z539" s="40"/>
      <c r="AA539" s="40"/>
      <c r="AB539" s="40"/>
      <c r="AC539" s="40"/>
      <c r="AD539" s="18"/>
      <c r="AE539" s="34"/>
      <c r="AF539" s="18"/>
      <c r="AG539" s="18"/>
      <c r="AH539" s="18"/>
      <c r="AI539" s="18"/>
      <c r="AJ539" s="18"/>
      <c r="AK539" s="34"/>
      <c r="AL539" s="18"/>
      <c r="AM539" s="34"/>
    </row>
    <row r="540" spans="4:39" ht="15.75" customHeight="1">
      <c r="D540" s="7"/>
      <c r="G540" s="35"/>
      <c r="H540" s="34"/>
      <c r="I540" s="34"/>
      <c r="J540" s="34"/>
      <c r="K540" s="18"/>
      <c r="L540" s="34"/>
      <c r="M540" s="34"/>
      <c r="N540" s="35"/>
      <c r="O540" s="34"/>
      <c r="P540" s="34"/>
      <c r="S540" s="36"/>
      <c r="T540" s="35"/>
      <c r="U540" s="37"/>
      <c r="V540" s="35"/>
      <c r="W540" s="40"/>
      <c r="X540" s="39"/>
      <c r="Y540" s="40"/>
      <c r="Z540" s="40"/>
      <c r="AA540" s="40"/>
      <c r="AB540" s="40"/>
      <c r="AC540" s="40"/>
      <c r="AD540" s="18"/>
      <c r="AE540" s="34"/>
      <c r="AF540" s="18"/>
      <c r="AG540" s="18"/>
      <c r="AH540" s="18"/>
      <c r="AI540" s="18"/>
      <c r="AJ540" s="18"/>
      <c r="AK540" s="34"/>
      <c r="AL540" s="18"/>
      <c r="AM540" s="34"/>
    </row>
    <row r="541" spans="4:39" ht="15.75" customHeight="1">
      <c r="D541" s="7"/>
      <c r="G541" s="35"/>
      <c r="H541" s="34"/>
      <c r="I541" s="34"/>
      <c r="J541" s="34"/>
      <c r="K541" s="18"/>
      <c r="L541" s="34"/>
      <c r="M541" s="34"/>
      <c r="N541" s="35"/>
      <c r="O541" s="34"/>
      <c r="P541" s="34"/>
      <c r="S541" s="36"/>
      <c r="T541" s="35"/>
      <c r="U541" s="37"/>
      <c r="V541" s="35"/>
      <c r="W541" s="40"/>
      <c r="X541" s="39"/>
      <c r="Y541" s="40"/>
      <c r="Z541" s="40"/>
      <c r="AA541" s="40"/>
      <c r="AB541" s="40"/>
      <c r="AC541" s="40"/>
      <c r="AD541" s="18"/>
      <c r="AE541" s="34"/>
      <c r="AF541" s="18"/>
      <c r="AG541" s="18"/>
      <c r="AH541" s="18"/>
      <c r="AI541" s="18"/>
      <c r="AJ541" s="18"/>
      <c r="AK541" s="34"/>
      <c r="AL541" s="18"/>
      <c r="AM541" s="34"/>
    </row>
    <row r="542" spans="4:39" ht="15.75" customHeight="1">
      <c r="D542" s="7"/>
      <c r="G542" s="35"/>
      <c r="H542" s="34"/>
      <c r="I542" s="34"/>
      <c r="J542" s="34"/>
      <c r="K542" s="18"/>
      <c r="L542" s="34"/>
      <c r="M542" s="34"/>
      <c r="N542" s="35"/>
      <c r="O542" s="34"/>
      <c r="P542" s="34"/>
      <c r="S542" s="36"/>
      <c r="T542" s="35"/>
      <c r="U542" s="37"/>
      <c r="V542" s="35"/>
      <c r="W542" s="40"/>
      <c r="X542" s="39"/>
      <c r="Y542" s="40"/>
      <c r="Z542" s="40"/>
      <c r="AA542" s="40"/>
      <c r="AB542" s="40"/>
      <c r="AC542" s="40"/>
      <c r="AD542" s="18"/>
      <c r="AE542" s="34"/>
      <c r="AF542" s="18"/>
      <c r="AG542" s="18"/>
      <c r="AH542" s="18"/>
      <c r="AI542" s="18"/>
      <c r="AJ542" s="18"/>
      <c r="AK542" s="34"/>
      <c r="AL542" s="18"/>
      <c r="AM542" s="34"/>
    </row>
    <row r="543" spans="4:39" ht="15.75" customHeight="1">
      <c r="D543" s="7"/>
      <c r="G543" s="35"/>
      <c r="H543" s="34"/>
      <c r="I543" s="34"/>
      <c r="J543" s="34"/>
      <c r="K543" s="18"/>
      <c r="L543" s="34"/>
      <c r="M543" s="34"/>
      <c r="N543" s="35"/>
      <c r="O543" s="34"/>
      <c r="P543" s="34"/>
      <c r="S543" s="36"/>
      <c r="T543" s="35"/>
      <c r="U543" s="37"/>
      <c r="V543" s="35"/>
      <c r="W543" s="40"/>
      <c r="X543" s="39"/>
      <c r="Y543" s="40"/>
      <c r="Z543" s="40"/>
      <c r="AA543" s="40"/>
      <c r="AB543" s="40"/>
      <c r="AC543" s="40"/>
      <c r="AD543" s="18"/>
      <c r="AE543" s="34"/>
      <c r="AF543" s="18"/>
      <c r="AG543" s="18"/>
      <c r="AH543" s="18"/>
      <c r="AI543" s="18"/>
      <c r="AJ543" s="18"/>
      <c r="AK543" s="34"/>
      <c r="AL543" s="18"/>
      <c r="AM543" s="34"/>
    </row>
    <row r="544" spans="4:39" ht="15.75" customHeight="1">
      <c r="D544" s="7"/>
      <c r="G544" s="35"/>
      <c r="H544" s="34"/>
      <c r="I544" s="34"/>
      <c r="J544" s="34"/>
      <c r="K544" s="18"/>
      <c r="L544" s="34"/>
      <c r="M544" s="34"/>
      <c r="N544" s="35"/>
      <c r="O544" s="34"/>
      <c r="P544" s="34"/>
      <c r="S544" s="36"/>
      <c r="T544" s="35"/>
      <c r="U544" s="37"/>
      <c r="V544" s="35"/>
      <c r="W544" s="40"/>
      <c r="X544" s="39"/>
      <c r="Y544" s="40"/>
      <c r="Z544" s="40"/>
      <c r="AA544" s="40"/>
      <c r="AB544" s="40"/>
      <c r="AC544" s="40"/>
      <c r="AD544" s="18"/>
      <c r="AE544" s="34"/>
      <c r="AF544" s="18"/>
      <c r="AG544" s="18"/>
      <c r="AH544" s="18"/>
      <c r="AI544" s="18"/>
      <c r="AJ544" s="18"/>
      <c r="AK544" s="34"/>
      <c r="AL544" s="18"/>
      <c r="AM544" s="34"/>
    </row>
    <row r="545" spans="4:39" ht="15.75" customHeight="1">
      <c r="D545" s="7"/>
      <c r="G545" s="35"/>
      <c r="H545" s="18"/>
      <c r="I545" s="34"/>
      <c r="J545" s="34"/>
      <c r="K545" s="18"/>
      <c r="L545" s="34"/>
      <c r="M545" s="34"/>
      <c r="N545" s="35"/>
      <c r="O545" s="34"/>
      <c r="P545" s="34"/>
      <c r="S545" s="36"/>
      <c r="T545" s="35"/>
      <c r="U545" s="37"/>
      <c r="V545" s="35"/>
      <c r="W545" s="40"/>
      <c r="X545" s="39"/>
      <c r="Y545" s="40"/>
      <c r="Z545" s="40"/>
      <c r="AA545" s="40"/>
      <c r="AB545" s="40"/>
      <c r="AC545" s="40"/>
      <c r="AD545" s="18"/>
      <c r="AE545" s="34"/>
      <c r="AF545" s="18"/>
      <c r="AG545" s="18"/>
      <c r="AH545" s="18"/>
      <c r="AI545" s="18"/>
      <c r="AJ545" s="18"/>
      <c r="AK545" s="34"/>
      <c r="AL545" s="18"/>
      <c r="AM545" s="34"/>
    </row>
    <row r="546" spans="4:39" ht="15.75" customHeight="1">
      <c r="D546" s="7"/>
      <c r="H546" s="18"/>
      <c r="I546" s="34"/>
      <c r="J546" s="34"/>
      <c r="K546" s="18"/>
      <c r="L546" s="34"/>
      <c r="M546" s="34"/>
      <c r="N546" s="35"/>
      <c r="O546" s="34"/>
      <c r="P546" s="34"/>
      <c r="S546" s="36"/>
      <c r="T546" s="35"/>
      <c r="U546" s="37"/>
      <c r="W546" s="39"/>
      <c r="X546" s="39"/>
      <c r="Y546" s="40"/>
      <c r="Z546" s="40"/>
      <c r="AA546" s="40"/>
      <c r="AB546" s="40"/>
      <c r="AC546" s="40"/>
      <c r="AD546" s="18"/>
      <c r="AE546" s="34"/>
      <c r="AF546" s="18"/>
      <c r="AG546" s="18"/>
      <c r="AH546" s="18"/>
      <c r="AI546" s="18"/>
      <c r="AJ546" s="18"/>
      <c r="AK546" s="34"/>
      <c r="AL546" s="18"/>
      <c r="AM546" s="34"/>
    </row>
    <row r="547" spans="4:39" ht="15.75" customHeight="1">
      <c r="D547" s="7"/>
      <c r="H547" s="18"/>
      <c r="I547" s="34"/>
      <c r="J547" s="34"/>
      <c r="K547" s="18"/>
      <c r="L547" s="34"/>
      <c r="M547" s="34"/>
      <c r="N547" s="35"/>
      <c r="O547" s="34"/>
      <c r="P547" s="34"/>
      <c r="S547" s="36"/>
      <c r="T547" s="35"/>
      <c r="U547" s="37"/>
      <c r="W547" s="39"/>
      <c r="X547" s="39"/>
      <c r="Y547" s="40"/>
      <c r="Z547" s="40"/>
      <c r="AA547" s="40"/>
      <c r="AB547" s="40"/>
      <c r="AC547" s="40"/>
      <c r="AD547" s="18"/>
      <c r="AE547" s="34"/>
      <c r="AF547" s="18"/>
      <c r="AG547" s="18"/>
      <c r="AH547" s="18"/>
      <c r="AI547" s="18"/>
      <c r="AJ547" s="18"/>
      <c r="AK547" s="34"/>
      <c r="AL547" s="18"/>
      <c r="AM547" s="34"/>
    </row>
    <row r="548" spans="4:39" ht="15.75" customHeight="1">
      <c r="D548" s="7"/>
      <c r="H548" s="18"/>
      <c r="I548" s="34"/>
      <c r="J548" s="34"/>
      <c r="K548" s="18"/>
      <c r="L548" s="34"/>
      <c r="M548" s="34"/>
      <c r="N548" s="35"/>
      <c r="O548" s="34"/>
      <c r="P548" s="34"/>
      <c r="S548" s="36"/>
      <c r="T548" s="35"/>
      <c r="U548" s="37"/>
      <c r="W548" s="39"/>
      <c r="X548" s="39"/>
      <c r="Y548" s="40"/>
      <c r="Z548" s="40"/>
      <c r="AA548" s="40"/>
      <c r="AB548" s="40"/>
      <c r="AC548" s="40"/>
      <c r="AD548" s="18"/>
      <c r="AE548" s="34"/>
      <c r="AF548" s="18"/>
      <c r="AG548" s="18"/>
      <c r="AH548" s="18"/>
      <c r="AI548" s="18"/>
      <c r="AJ548" s="18"/>
      <c r="AK548" s="34"/>
      <c r="AL548" s="18"/>
      <c r="AM548" s="34"/>
    </row>
    <row r="549" spans="4:39" ht="15.75" customHeight="1">
      <c r="D549" s="7"/>
      <c r="H549" s="18"/>
      <c r="I549" s="34"/>
      <c r="J549" s="34"/>
      <c r="K549" s="18"/>
      <c r="L549" s="34"/>
      <c r="M549" s="34"/>
      <c r="N549" s="35"/>
      <c r="O549" s="34"/>
      <c r="P549" s="34"/>
      <c r="S549" s="36"/>
      <c r="T549" s="35"/>
      <c r="U549" s="37"/>
      <c r="W549" s="39"/>
      <c r="X549" s="39"/>
      <c r="Y549" s="40"/>
      <c r="Z549" s="40"/>
      <c r="AA549" s="40"/>
      <c r="AB549" s="40"/>
      <c r="AC549" s="40"/>
      <c r="AD549" s="18"/>
      <c r="AE549" s="34"/>
      <c r="AF549" s="18"/>
      <c r="AG549" s="18"/>
      <c r="AH549" s="18"/>
      <c r="AI549" s="18"/>
      <c r="AJ549" s="18"/>
      <c r="AK549" s="34"/>
      <c r="AL549" s="18"/>
      <c r="AM549" s="34"/>
    </row>
    <row r="550" spans="4:39" ht="15.75" customHeight="1">
      <c r="D550" s="7"/>
      <c r="H550" s="18"/>
      <c r="I550" s="34"/>
      <c r="J550" s="34"/>
      <c r="K550" s="18"/>
      <c r="L550" s="34"/>
      <c r="M550" s="34"/>
      <c r="N550" s="35"/>
      <c r="O550" s="34"/>
      <c r="P550" s="34"/>
      <c r="S550" s="36"/>
      <c r="T550" s="35"/>
      <c r="U550" s="37"/>
      <c r="W550" s="39"/>
      <c r="X550" s="39"/>
      <c r="Y550" s="40"/>
      <c r="Z550" s="40"/>
      <c r="AA550" s="40"/>
      <c r="AB550" s="40"/>
      <c r="AC550" s="40"/>
      <c r="AD550" s="18"/>
      <c r="AE550" s="34"/>
      <c r="AF550" s="18"/>
      <c r="AG550" s="18"/>
      <c r="AH550" s="18"/>
      <c r="AI550" s="18"/>
      <c r="AJ550" s="18"/>
      <c r="AK550" s="34"/>
      <c r="AL550" s="18"/>
      <c r="AM550" s="34"/>
    </row>
    <row r="551" spans="4:39" ht="15.75" customHeight="1">
      <c r="D551" s="7"/>
      <c r="H551" s="18"/>
      <c r="I551" s="34"/>
      <c r="J551" s="34"/>
      <c r="K551" s="18"/>
      <c r="L551" s="34"/>
      <c r="M551" s="34"/>
      <c r="N551" s="35"/>
      <c r="O551" s="34"/>
      <c r="P551" s="34"/>
      <c r="S551" s="36"/>
      <c r="T551" s="35"/>
      <c r="U551" s="37"/>
      <c r="W551" s="39"/>
      <c r="X551" s="39"/>
      <c r="Y551" s="40"/>
      <c r="Z551" s="40"/>
      <c r="AA551" s="40"/>
      <c r="AB551" s="40"/>
      <c r="AC551" s="40"/>
      <c r="AD551" s="18"/>
      <c r="AE551" s="34"/>
      <c r="AF551" s="18"/>
      <c r="AG551" s="18"/>
      <c r="AH551" s="18"/>
      <c r="AI551" s="18"/>
      <c r="AJ551" s="18"/>
      <c r="AK551" s="34"/>
      <c r="AL551" s="18"/>
      <c r="AM551" s="34"/>
    </row>
    <row r="552" spans="4:39" ht="15.75" customHeight="1">
      <c r="D552" s="7"/>
      <c r="H552" s="18"/>
      <c r="I552" s="34"/>
      <c r="J552" s="34"/>
      <c r="K552" s="18"/>
      <c r="L552" s="34"/>
      <c r="M552" s="34"/>
      <c r="N552" s="41"/>
      <c r="O552" s="34"/>
      <c r="P552" s="34"/>
      <c r="S552" s="36"/>
      <c r="T552" s="35"/>
      <c r="U552" s="37"/>
      <c r="W552" s="39"/>
      <c r="X552" s="39"/>
      <c r="Y552" s="40"/>
      <c r="Z552" s="40"/>
      <c r="AA552" s="40"/>
      <c r="AB552" s="40"/>
      <c r="AC552" s="40"/>
      <c r="AD552" s="18"/>
      <c r="AE552" s="18"/>
      <c r="AF552" s="18"/>
      <c r="AG552" s="18"/>
      <c r="AH552" s="18"/>
      <c r="AI552" s="18"/>
      <c r="AJ552" s="18"/>
      <c r="AK552" s="18"/>
      <c r="AL552" s="18"/>
      <c r="AM552" s="34"/>
    </row>
    <row r="553" spans="4:39" ht="15.75" customHeight="1">
      <c r="D553" s="7"/>
      <c r="H553" s="18"/>
      <c r="I553" s="34"/>
      <c r="J553" s="34"/>
      <c r="K553" s="18"/>
      <c r="L553" s="34"/>
      <c r="M553" s="34"/>
      <c r="N553" s="41"/>
      <c r="O553" s="34"/>
      <c r="P553" s="34"/>
      <c r="S553" s="36"/>
      <c r="T553" s="35"/>
      <c r="U553" s="37"/>
      <c r="W553" s="39"/>
      <c r="X553" s="39"/>
      <c r="Y553" s="40"/>
      <c r="Z553" s="40"/>
      <c r="AA553" s="40"/>
      <c r="AB553" s="40"/>
      <c r="AC553" s="40"/>
      <c r="AD553" s="18"/>
      <c r="AE553" s="18"/>
      <c r="AF553" s="18"/>
      <c r="AG553" s="18"/>
      <c r="AH553" s="18"/>
      <c r="AI553" s="18"/>
      <c r="AJ553" s="18"/>
      <c r="AK553" s="18"/>
      <c r="AL553" s="18"/>
      <c r="AM553" s="34"/>
    </row>
    <row r="554" spans="4:39" ht="15.75" customHeight="1">
      <c r="D554" s="7"/>
      <c r="H554" s="18"/>
      <c r="I554" s="34"/>
      <c r="J554" s="34"/>
      <c r="K554" s="18"/>
      <c r="L554" s="34"/>
      <c r="M554" s="34"/>
      <c r="N554" s="35"/>
      <c r="O554" s="34"/>
      <c r="P554" s="34"/>
      <c r="S554" s="36"/>
      <c r="T554" s="35"/>
      <c r="U554" s="37"/>
      <c r="W554" s="39"/>
      <c r="X554" s="39"/>
      <c r="Y554" s="40"/>
      <c r="Z554" s="40"/>
      <c r="AA554" s="40"/>
      <c r="AB554" s="40"/>
      <c r="AC554" s="40"/>
      <c r="AD554" s="18"/>
      <c r="AE554" s="18"/>
      <c r="AF554" s="18"/>
      <c r="AG554" s="18"/>
      <c r="AH554" s="18"/>
      <c r="AI554" s="18"/>
      <c r="AJ554" s="18"/>
      <c r="AK554" s="18"/>
      <c r="AL554" s="18"/>
      <c r="AM554" s="34"/>
    </row>
    <row r="555" spans="4:39" ht="15.75" customHeight="1">
      <c r="D555" s="7"/>
      <c r="H555" s="18"/>
      <c r="I555" s="34"/>
      <c r="J555" s="34"/>
      <c r="K555" s="18"/>
      <c r="L555" s="34"/>
      <c r="M555" s="34"/>
      <c r="N555" s="35"/>
      <c r="O555" s="34"/>
      <c r="P555" s="34"/>
      <c r="S555" s="36"/>
      <c r="T555" s="35"/>
      <c r="U555" s="37"/>
      <c r="W555" s="39"/>
      <c r="X555" s="39"/>
      <c r="Y555" s="40"/>
      <c r="Z555" s="40"/>
      <c r="AA555" s="40"/>
      <c r="AB555" s="40"/>
      <c r="AC555" s="40"/>
      <c r="AD555" s="18"/>
      <c r="AE555" s="34"/>
      <c r="AF555" s="18"/>
      <c r="AG555" s="18"/>
      <c r="AH555" s="18"/>
      <c r="AI555" s="34"/>
      <c r="AJ555" s="18"/>
      <c r="AK555" s="34"/>
      <c r="AL555" s="18"/>
      <c r="AM555" s="34"/>
    </row>
    <row r="556" spans="4:39" ht="15.75" customHeight="1">
      <c r="D556" s="7"/>
      <c r="H556" s="18"/>
      <c r="I556" s="34"/>
      <c r="J556" s="34"/>
      <c r="K556" s="18"/>
      <c r="L556" s="34"/>
      <c r="M556" s="34"/>
      <c r="N556" s="35"/>
      <c r="O556" s="34"/>
      <c r="P556" s="34"/>
      <c r="S556" s="36"/>
      <c r="T556" s="35"/>
      <c r="U556" s="37"/>
      <c r="W556" s="39"/>
      <c r="X556" s="39"/>
      <c r="Y556" s="40"/>
      <c r="Z556" s="40"/>
      <c r="AA556" s="40"/>
      <c r="AB556" s="40"/>
      <c r="AC556" s="40"/>
      <c r="AD556" s="18"/>
      <c r="AE556" s="34"/>
      <c r="AF556" s="18"/>
      <c r="AG556" s="18"/>
      <c r="AH556" s="18"/>
      <c r="AI556" s="34"/>
      <c r="AJ556" s="18"/>
      <c r="AK556" s="34"/>
      <c r="AL556" s="18"/>
      <c r="AM556" s="34"/>
    </row>
    <row r="557" spans="4:39" ht="15.75" customHeight="1">
      <c r="D557" s="7"/>
      <c r="H557" s="18"/>
      <c r="I557" s="34"/>
      <c r="J557" s="34"/>
      <c r="K557" s="18"/>
      <c r="L557" s="34"/>
      <c r="M557" s="34"/>
      <c r="N557" s="35"/>
      <c r="O557" s="34"/>
      <c r="P557" s="34"/>
      <c r="S557" s="36"/>
      <c r="T557" s="35"/>
      <c r="U557" s="37"/>
      <c r="W557" s="39"/>
      <c r="X557" s="39"/>
      <c r="Y557" s="40"/>
      <c r="Z557" s="40"/>
      <c r="AA557" s="40"/>
      <c r="AB557" s="40"/>
      <c r="AC557" s="40"/>
      <c r="AD557" s="18"/>
      <c r="AE557" s="34"/>
      <c r="AF557" s="18"/>
      <c r="AG557" s="18"/>
      <c r="AH557" s="18"/>
      <c r="AI557" s="34"/>
      <c r="AJ557" s="18"/>
      <c r="AK557" s="34"/>
      <c r="AL557" s="18"/>
      <c r="AM557" s="34"/>
    </row>
    <row r="558" spans="4:39" ht="15.75" customHeight="1">
      <c r="D558" s="7"/>
      <c r="H558" s="18"/>
      <c r="I558" s="34"/>
      <c r="J558" s="34"/>
      <c r="K558" s="18"/>
      <c r="L558" s="34"/>
      <c r="M558" s="34"/>
      <c r="N558" s="35"/>
      <c r="O558" s="34"/>
      <c r="P558" s="34"/>
      <c r="S558" s="36"/>
      <c r="T558" s="35"/>
      <c r="U558" s="37"/>
      <c r="W558" s="39"/>
      <c r="X558" s="39"/>
      <c r="Y558" s="40"/>
      <c r="Z558" s="40"/>
      <c r="AA558" s="40"/>
      <c r="AB558" s="40"/>
      <c r="AC558" s="40"/>
      <c r="AD558" s="18"/>
      <c r="AE558" s="34"/>
      <c r="AF558" s="18"/>
      <c r="AG558" s="18"/>
      <c r="AH558" s="18"/>
      <c r="AI558" s="34"/>
      <c r="AJ558" s="18"/>
      <c r="AK558" s="34"/>
      <c r="AL558" s="18"/>
      <c r="AM558" s="34"/>
    </row>
    <row r="559" spans="4:39" ht="15.75" customHeight="1">
      <c r="D559" s="7"/>
      <c r="H559" s="18"/>
      <c r="I559" s="34"/>
      <c r="J559" s="34"/>
      <c r="K559" s="18"/>
      <c r="L559" s="34"/>
      <c r="M559" s="34"/>
      <c r="N559" s="35"/>
      <c r="O559" s="34"/>
      <c r="P559" s="34"/>
      <c r="S559" s="36"/>
      <c r="T559" s="35"/>
      <c r="U559" s="37"/>
      <c r="W559" s="39"/>
      <c r="X559" s="39"/>
      <c r="Y559" s="40"/>
      <c r="Z559" s="40"/>
      <c r="AA559" s="40"/>
      <c r="AB559" s="40"/>
      <c r="AC559" s="40"/>
      <c r="AD559" s="18"/>
      <c r="AE559" s="18"/>
      <c r="AF559" s="18"/>
      <c r="AG559" s="18"/>
      <c r="AH559" s="18"/>
      <c r="AI559" s="34"/>
      <c r="AJ559" s="18"/>
      <c r="AK559" s="34"/>
      <c r="AL559" s="18"/>
      <c r="AM559" s="34"/>
    </row>
    <row r="560" spans="4:39" ht="15.75" customHeight="1">
      <c r="D560" s="7"/>
      <c r="H560" s="18"/>
      <c r="I560" s="34"/>
      <c r="J560" s="34"/>
      <c r="K560" s="18"/>
      <c r="L560" s="34"/>
      <c r="M560" s="34"/>
      <c r="N560" s="35"/>
      <c r="O560" s="34"/>
      <c r="P560" s="34"/>
      <c r="S560" s="36"/>
      <c r="T560" s="35"/>
      <c r="U560" s="37"/>
      <c r="W560" s="39"/>
      <c r="X560" s="39"/>
      <c r="Y560" s="40"/>
      <c r="Z560" s="40"/>
      <c r="AA560" s="40"/>
      <c r="AB560" s="40"/>
      <c r="AC560" s="40"/>
      <c r="AD560" s="18"/>
      <c r="AE560" s="34"/>
      <c r="AF560" s="18"/>
      <c r="AG560" s="18"/>
      <c r="AH560" s="18"/>
      <c r="AI560" s="18"/>
      <c r="AJ560" s="18"/>
      <c r="AK560" s="34"/>
      <c r="AL560" s="18"/>
      <c r="AM560" s="34"/>
    </row>
    <row r="561" spans="4:39" ht="15.75" customHeight="1">
      <c r="D561" s="7"/>
      <c r="H561" s="18"/>
      <c r="I561" s="34"/>
      <c r="J561" s="34"/>
      <c r="K561" s="18"/>
      <c r="L561" s="34"/>
      <c r="M561" s="34"/>
      <c r="N561" s="35"/>
      <c r="O561" s="34"/>
      <c r="P561" s="34"/>
      <c r="S561" s="36"/>
      <c r="T561" s="35"/>
      <c r="U561" s="37"/>
      <c r="W561" s="39"/>
      <c r="X561" s="39"/>
      <c r="Y561" s="40"/>
      <c r="Z561" s="40"/>
      <c r="AA561" s="40"/>
      <c r="AB561" s="40"/>
      <c r="AC561" s="40"/>
      <c r="AD561" s="18"/>
      <c r="AE561" s="18"/>
      <c r="AF561" s="18"/>
      <c r="AG561" s="18"/>
      <c r="AH561" s="18"/>
      <c r="AI561" s="18"/>
      <c r="AJ561" s="34"/>
      <c r="AK561" s="34"/>
      <c r="AL561" s="18"/>
      <c r="AM561" s="34"/>
    </row>
    <row r="562" spans="4:39" ht="15.75" customHeight="1">
      <c r="D562" s="7"/>
      <c r="H562" s="18"/>
      <c r="I562" s="34"/>
      <c r="J562" s="34"/>
      <c r="K562" s="18"/>
      <c r="L562" s="34"/>
      <c r="M562" s="34"/>
      <c r="N562" s="35"/>
      <c r="O562" s="34"/>
      <c r="P562" s="34"/>
      <c r="S562" s="36"/>
      <c r="T562" s="35"/>
      <c r="U562" s="37"/>
      <c r="W562" s="39"/>
      <c r="X562" s="39"/>
      <c r="Y562" s="40"/>
      <c r="Z562" s="40"/>
      <c r="AA562" s="40"/>
      <c r="AB562" s="40"/>
      <c r="AC562" s="40"/>
      <c r="AD562" s="18"/>
      <c r="AE562" s="34"/>
      <c r="AF562" s="18"/>
      <c r="AG562" s="18"/>
      <c r="AH562" s="18"/>
      <c r="AI562" s="18"/>
      <c r="AJ562" s="34"/>
      <c r="AK562" s="34"/>
      <c r="AL562" s="18"/>
      <c r="AM562" s="34"/>
    </row>
    <row r="563" spans="4:39" ht="15.75" customHeight="1">
      <c r="D563" s="7"/>
      <c r="H563" s="18"/>
      <c r="I563" s="34"/>
      <c r="J563" s="34"/>
      <c r="K563" s="18"/>
      <c r="L563" s="34"/>
      <c r="M563" s="34"/>
      <c r="N563" s="35"/>
      <c r="O563" s="34"/>
      <c r="P563" s="34"/>
      <c r="S563" s="36"/>
      <c r="T563" s="35"/>
      <c r="U563" s="37"/>
      <c r="W563" s="39"/>
      <c r="X563" s="39"/>
      <c r="Y563" s="40"/>
      <c r="Z563" s="40"/>
      <c r="AA563" s="40"/>
      <c r="AB563" s="40"/>
      <c r="AC563" s="40"/>
      <c r="AD563" s="18"/>
      <c r="AE563" s="34"/>
      <c r="AF563" s="18"/>
      <c r="AG563" s="18"/>
      <c r="AH563" s="18"/>
      <c r="AI563" s="18"/>
      <c r="AJ563" s="34"/>
      <c r="AK563" s="34"/>
      <c r="AL563" s="18"/>
      <c r="AM563" s="34"/>
    </row>
    <row r="564" spans="4:39" ht="15.75" customHeight="1">
      <c r="D564" s="7"/>
      <c r="H564" s="18"/>
      <c r="I564" s="34"/>
      <c r="J564" s="34"/>
      <c r="K564" s="18"/>
      <c r="L564" s="34"/>
      <c r="M564" s="34"/>
      <c r="N564" s="35"/>
      <c r="O564" s="34"/>
      <c r="P564" s="34"/>
      <c r="S564" s="36"/>
      <c r="T564" s="35"/>
      <c r="U564" s="37"/>
      <c r="W564" s="39"/>
      <c r="X564" s="39"/>
      <c r="Y564" s="40"/>
      <c r="Z564" s="40"/>
      <c r="AA564" s="40"/>
      <c r="AB564" s="40"/>
      <c r="AC564" s="40"/>
      <c r="AD564" s="18"/>
      <c r="AE564" s="34"/>
      <c r="AF564" s="18"/>
      <c r="AG564" s="18"/>
      <c r="AH564" s="18"/>
      <c r="AI564" s="18"/>
      <c r="AJ564" s="34"/>
      <c r="AK564" s="34"/>
      <c r="AL564" s="18"/>
      <c r="AM564" s="34"/>
    </row>
    <row r="565" spans="4:39" ht="15.75" customHeight="1">
      <c r="D565" s="7"/>
      <c r="H565" s="18"/>
      <c r="I565" s="34"/>
      <c r="J565" s="34"/>
      <c r="K565" s="18"/>
      <c r="L565" s="34"/>
      <c r="M565" s="34"/>
      <c r="N565" s="35"/>
      <c r="O565" s="34"/>
      <c r="P565" s="34"/>
      <c r="S565" s="36"/>
      <c r="T565" s="35"/>
      <c r="U565" s="37"/>
      <c r="W565" s="39"/>
      <c r="X565" s="39"/>
      <c r="Y565" s="40"/>
      <c r="Z565" s="40"/>
      <c r="AA565" s="40"/>
      <c r="AB565" s="40"/>
      <c r="AC565" s="40"/>
      <c r="AD565" s="18"/>
      <c r="AE565" s="34"/>
      <c r="AF565" s="18"/>
      <c r="AG565" s="18"/>
      <c r="AH565" s="18"/>
      <c r="AI565" s="18"/>
      <c r="AJ565" s="18"/>
      <c r="AK565" s="34"/>
      <c r="AL565" s="18"/>
      <c r="AM565" s="34"/>
    </row>
    <row r="566" spans="4:39" ht="15.75" customHeight="1">
      <c r="D566" s="7"/>
      <c r="H566" s="18"/>
      <c r="I566" s="34"/>
      <c r="J566" s="34"/>
      <c r="K566" s="18"/>
      <c r="L566" s="34"/>
      <c r="M566" s="34"/>
      <c r="N566" s="35"/>
      <c r="O566" s="34"/>
      <c r="P566" s="34"/>
      <c r="S566" s="36"/>
      <c r="T566" s="35"/>
      <c r="U566" s="37"/>
      <c r="W566" s="39"/>
      <c r="X566" s="39"/>
      <c r="Y566" s="40"/>
      <c r="Z566" s="40"/>
      <c r="AA566" s="40"/>
      <c r="AB566" s="40"/>
      <c r="AC566" s="40"/>
      <c r="AD566" s="18"/>
      <c r="AE566" s="34"/>
      <c r="AF566" s="18"/>
      <c r="AG566" s="18"/>
      <c r="AH566" s="18"/>
      <c r="AI566" s="18"/>
      <c r="AJ566" s="34"/>
      <c r="AK566" s="34"/>
      <c r="AL566" s="18"/>
      <c r="AM566" s="34"/>
    </row>
    <row r="567" spans="4:39" ht="15.75" customHeight="1">
      <c r="D567" s="7"/>
      <c r="G567" s="35"/>
      <c r="H567" s="18"/>
      <c r="I567" s="34"/>
      <c r="J567" s="34"/>
      <c r="K567" s="18"/>
      <c r="L567" s="34"/>
      <c r="M567" s="34"/>
      <c r="N567" s="35"/>
      <c r="O567" s="34"/>
      <c r="P567" s="34"/>
      <c r="S567" s="36"/>
      <c r="T567" s="35"/>
      <c r="U567" s="37"/>
      <c r="V567" s="35"/>
      <c r="W567" s="40"/>
      <c r="X567" s="39"/>
      <c r="Y567" s="40"/>
      <c r="Z567" s="40"/>
      <c r="AA567" s="40"/>
      <c r="AB567" s="40"/>
      <c r="AC567" s="40"/>
      <c r="AD567" s="18"/>
      <c r="AE567" s="18"/>
      <c r="AF567" s="18"/>
      <c r="AG567" s="18"/>
      <c r="AH567" s="18"/>
      <c r="AI567" s="18"/>
      <c r="AJ567" s="34"/>
      <c r="AK567" s="34"/>
      <c r="AL567" s="18"/>
      <c r="AM567" s="34"/>
    </row>
    <row r="568" spans="4:39" ht="15.75" customHeight="1">
      <c r="D568" s="7"/>
      <c r="G568" s="35"/>
      <c r="H568" s="18"/>
      <c r="I568" s="34"/>
      <c r="J568" s="34"/>
      <c r="K568" s="18"/>
      <c r="L568" s="34"/>
      <c r="M568" s="34"/>
      <c r="N568" s="35"/>
      <c r="O568" s="34"/>
      <c r="P568" s="34"/>
      <c r="S568" s="36"/>
      <c r="T568" s="35"/>
      <c r="U568" s="37"/>
      <c r="V568" s="35"/>
      <c r="W568" s="40"/>
      <c r="X568" s="39"/>
      <c r="Y568" s="40"/>
      <c r="Z568" s="40"/>
      <c r="AA568" s="40"/>
      <c r="AB568" s="40"/>
      <c r="AC568" s="40"/>
      <c r="AD568" s="18"/>
      <c r="AE568" s="18"/>
      <c r="AF568" s="18"/>
      <c r="AG568" s="18"/>
      <c r="AH568" s="18"/>
      <c r="AI568" s="18"/>
      <c r="AJ568" s="34"/>
      <c r="AK568" s="34"/>
      <c r="AL568" s="18"/>
      <c r="AM568" s="34"/>
    </row>
    <row r="569" spans="4:39" ht="15.75" customHeight="1">
      <c r="D569" s="7"/>
      <c r="G569" s="35"/>
      <c r="H569" s="18"/>
      <c r="I569" s="34"/>
      <c r="J569" s="34"/>
      <c r="K569" s="18"/>
      <c r="L569" s="34"/>
      <c r="M569" s="34"/>
      <c r="N569" s="35"/>
      <c r="O569" s="34"/>
      <c r="P569" s="34"/>
      <c r="S569" s="36"/>
      <c r="T569" s="35"/>
      <c r="U569" s="37"/>
      <c r="V569" s="35"/>
      <c r="W569" s="40"/>
      <c r="X569" s="39"/>
      <c r="Y569" s="40"/>
      <c r="Z569" s="40"/>
      <c r="AA569" s="40"/>
      <c r="AB569" s="40"/>
      <c r="AC569" s="40"/>
      <c r="AD569" s="18"/>
      <c r="AE569" s="18"/>
      <c r="AF569" s="18"/>
      <c r="AG569" s="18"/>
      <c r="AH569" s="18"/>
      <c r="AI569" s="18"/>
      <c r="AJ569" s="34"/>
      <c r="AK569" s="34"/>
      <c r="AL569" s="18"/>
      <c r="AM569" s="34"/>
    </row>
    <row r="570" spans="4:39" ht="15.75" customHeight="1">
      <c r="D570" s="7"/>
      <c r="G570" s="35"/>
      <c r="H570" s="18"/>
      <c r="I570" s="34"/>
      <c r="J570" s="34"/>
      <c r="K570" s="18"/>
      <c r="L570" s="34"/>
      <c r="M570" s="34"/>
      <c r="N570" s="35"/>
      <c r="O570" s="34"/>
      <c r="P570" s="34"/>
      <c r="S570" s="36"/>
      <c r="T570" s="35"/>
      <c r="U570" s="37"/>
      <c r="V570" s="35"/>
      <c r="W570" s="40"/>
      <c r="X570" s="39"/>
      <c r="Y570" s="40"/>
      <c r="Z570" s="40"/>
      <c r="AA570" s="40"/>
      <c r="AB570" s="40"/>
      <c r="AC570" s="40"/>
      <c r="AD570" s="18"/>
      <c r="AE570" s="34"/>
      <c r="AF570" s="18"/>
      <c r="AG570" s="18"/>
      <c r="AH570" s="18"/>
      <c r="AI570" s="18"/>
      <c r="AJ570" s="34"/>
      <c r="AK570" s="34"/>
      <c r="AL570" s="18"/>
      <c r="AM570" s="34"/>
    </row>
    <row r="571" spans="4:39" ht="15.75" customHeight="1">
      <c r="D571" s="7"/>
      <c r="G571" s="35"/>
      <c r="H571" s="18"/>
      <c r="I571" s="34"/>
      <c r="J571" s="34"/>
      <c r="K571" s="18"/>
      <c r="L571" s="34"/>
      <c r="M571" s="34"/>
      <c r="N571" s="35"/>
      <c r="O571" s="34"/>
      <c r="P571" s="34"/>
      <c r="S571" s="36"/>
      <c r="T571" s="35"/>
      <c r="U571" s="37"/>
      <c r="V571" s="35"/>
      <c r="W571" s="40"/>
      <c r="X571" s="39"/>
      <c r="Y571" s="40"/>
      <c r="Z571" s="40"/>
      <c r="AA571" s="40"/>
      <c r="AB571" s="40"/>
      <c r="AC571" s="40"/>
      <c r="AD571" s="18"/>
      <c r="AE571" s="34"/>
      <c r="AF571" s="18"/>
      <c r="AG571" s="18"/>
      <c r="AH571" s="18"/>
      <c r="AI571" s="18"/>
      <c r="AJ571" s="34"/>
      <c r="AK571" s="34"/>
      <c r="AL571" s="18"/>
      <c r="AM571" s="34"/>
    </row>
    <row r="572" spans="4:39" ht="15.75" customHeight="1">
      <c r="D572" s="7"/>
      <c r="G572" s="35"/>
      <c r="H572" s="18"/>
      <c r="I572" s="34"/>
      <c r="J572" s="34"/>
      <c r="K572" s="18"/>
      <c r="L572" s="34"/>
      <c r="M572" s="34"/>
      <c r="N572" s="35"/>
      <c r="O572" s="34"/>
      <c r="P572" s="34"/>
      <c r="S572" s="36"/>
      <c r="T572" s="35"/>
      <c r="U572" s="37"/>
      <c r="V572" s="35"/>
      <c r="W572" s="40"/>
      <c r="X572" s="39"/>
      <c r="Y572" s="40"/>
      <c r="Z572" s="40"/>
      <c r="AA572" s="40"/>
      <c r="AB572" s="40"/>
      <c r="AC572" s="40"/>
      <c r="AD572" s="18"/>
      <c r="AE572" s="34"/>
      <c r="AF572" s="18"/>
      <c r="AG572" s="18"/>
      <c r="AH572" s="18"/>
      <c r="AI572" s="18"/>
      <c r="AJ572" s="34"/>
      <c r="AK572" s="34"/>
      <c r="AL572" s="18"/>
      <c r="AM572" s="34"/>
    </row>
    <row r="573" spans="4:39" ht="15.75" customHeight="1">
      <c r="D573" s="7"/>
      <c r="G573" s="35"/>
      <c r="H573" s="18"/>
      <c r="I573" s="34"/>
      <c r="J573" s="34"/>
      <c r="K573" s="18"/>
      <c r="L573" s="34"/>
      <c r="M573" s="34"/>
      <c r="N573" s="35"/>
      <c r="O573" s="34"/>
      <c r="P573" s="34"/>
      <c r="S573" s="36"/>
      <c r="T573" s="35"/>
      <c r="U573" s="37"/>
      <c r="V573" s="35"/>
      <c r="W573" s="40"/>
      <c r="X573" s="39"/>
      <c r="Y573" s="40"/>
      <c r="Z573" s="40"/>
      <c r="AA573" s="40"/>
      <c r="AB573" s="40"/>
      <c r="AC573" s="40"/>
      <c r="AD573" s="18"/>
      <c r="AE573" s="34"/>
      <c r="AF573" s="18"/>
      <c r="AG573" s="18"/>
      <c r="AH573" s="18"/>
      <c r="AI573" s="18"/>
      <c r="AJ573" s="34"/>
      <c r="AK573" s="34"/>
      <c r="AL573" s="18"/>
      <c r="AM573" s="34"/>
    </row>
    <row r="574" spans="4:39" ht="15.75" customHeight="1">
      <c r="D574" s="7"/>
      <c r="G574" s="35"/>
      <c r="H574" s="18"/>
      <c r="I574" s="34"/>
      <c r="J574" s="34"/>
      <c r="K574" s="18"/>
      <c r="L574" s="34"/>
      <c r="M574" s="34"/>
      <c r="N574" s="35"/>
      <c r="O574" s="34"/>
      <c r="P574" s="34"/>
      <c r="S574" s="36"/>
      <c r="T574" s="35"/>
      <c r="U574" s="37"/>
      <c r="V574" s="35"/>
      <c r="W574" s="40"/>
      <c r="X574" s="39"/>
      <c r="Y574" s="40"/>
      <c r="Z574" s="40"/>
      <c r="AA574" s="40"/>
      <c r="AB574" s="40"/>
      <c r="AC574" s="40"/>
      <c r="AD574" s="18"/>
      <c r="AE574" s="34"/>
      <c r="AF574" s="18"/>
      <c r="AG574" s="18"/>
      <c r="AH574" s="18"/>
      <c r="AI574" s="18"/>
      <c r="AJ574" s="34"/>
      <c r="AK574" s="34"/>
      <c r="AL574" s="18"/>
      <c r="AM574" s="34"/>
    </row>
    <row r="575" spans="4:39" ht="15.75" customHeight="1">
      <c r="D575" s="7"/>
      <c r="G575" s="35"/>
      <c r="H575" s="18"/>
      <c r="I575" s="34"/>
      <c r="J575" s="34"/>
      <c r="K575" s="18"/>
      <c r="L575" s="34"/>
      <c r="M575" s="34"/>
      <c r="N575" s="35"/>
      <c r="O575" s="34"/>
      <c r="P575" s="34"/>
      <c r="S575" s="36"/>
      <c r="T575" s="35"/>
      <c r="U575" s="37"/>
      <c r="V575" s="35"/>
      <c r="W575" s="40"/>
      <c r="X575" s="39"/>
      <c r="Y575" s="40"/>
      <c r="Z575" s="40"/>
      <c r="AA575" s="40"/>
      <c r="AB575" s="40"/>
      <c r="AC575" s="40"/>
      <c r="AD575" s="18"/>
      <c r="AE575" s="34"/>
      <c r="AF575" s="18"/>
      <c r="AG575" s="18"/>
      <c r="AH575" s="18"/>
      <c r="AI575" s="18"/>
      <c r="AJ575" s="34"/>
      <c r="AK575" s="34"/>
      <c r="AL575" s="18"/>
      <c r="AM575" s="34"/>
    </row>
    <row r="576" spans="4:39" ht="15.75" customHeight="1">
      <c r="D576" s="7"/>
      <c r="H576" s="18"/>
      <c r="I576" s="34"/>
      <c r="J576" s="34"/>
      <c r="K576" s="18"/>
      <c r="L576" s="34"/>
      <c r="M576" s="34"/>
      <c r="N576" s="35"/>
      <c r="O576" s="34"/>
      <c r="P576" s="34"/>
      <c r="S576" s="36"/>
      <c r="T576" s="35"/>
      <c r="U576" s="37"/>
      <c r="W576" s="39"/>
      <c r="X576" s="39"/>
      <c r="Y576" s="40"/>
      <c r="Z576" s="40"/>
      <c r="AA576" s="40"/>
      <c r="AB576" s="40"/>
      <c r="AC576" s="40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</row>
    <row r="577" spans="4:39" ht="15.75" customHeight="1">
      <c r="D577" s="7"/>
      <c r="H577" s="18"/>
      <c r="I577" s="34"/>
      <c r="J577" s="34"/>
      <c r="K577" s="18"/>
      <c r="L577" s="34"/>
      <c r="M577" s="34"/>
      <c r="N577" s="35"/>
      <c r="O577" s="34"/>
      <c r="P577" s="34"/>
      <c r="S577" s="36"/>
      <c r="T577" s="35"/>
      <c r="U577" s="37"/>
      <c r="W577" s="39"/>
      <c r="X577" s="39"/>
      <c r="Y577" s="40"/>
      <c r="Z577" s="40"/>
      <c r="AA577" s="40"/>
      <c r="AB577" s="40"/>
      <c r="AC577" s="40"/>
      <c r="AD577" s="18"/>
      <c r="AE577" s="18"/>
      <c r="AF577" s="18"/>
      <c r="AG577" s="18"/>
      <c r="AH577" s="18"/>
      <c r="AI577" s="18"/>
      <c r="AJ577" s="18"/>
      <c r="AK577" s="18"/>
      <c r="AL577" s="18"/>
      <c r="AM577" s="34"/>
    </row>
    <row r="578" spans="4:39" ht="15.75" customHeight="1">
      <c r="D578" s="7"/>
      <c r="H578" s="18"/>
      <c r="I578" s="34"/>
      <c r="J578" s="34"/>
      <c r="K578" s="18"/>
      <c r="L578" s="34"/>
      <c r="M578" s="34"/>
      <c r="N578" s="35"/>
      <c r="O578" s="34"/>
      <c r="P578" s="34"/>
      <c r="S578" s="36"/>
      <c r="T578" s="35"/>
      <c r="U578" s="37"/>
      <c r="W578" s="39"/>
      <c r="X578" s="39"/>
      <c r="Y578" s="40"/>
      <c r="Z578" s="40"/>
      <c r="AA578" s="40"/>
      <c r="AB578" s="40"/>
      <c r="AC578" s="40"/>
      <c r="AD578" s="18"/>
      <c r="AE578" s="18"/>
      <c r="AF578" s="18"/>
      <c r="AG578" s="18"/>
      <c r="AH578" s="18"/>
      <c r="AI578" s="18"/>
      <c r="AJ578" s="18"/>
      <c r="AK578" s="18"/>
      <c r="AL578" s="18"/>
      <c r="AM578" s="34"/>
    </row>
    <row r="579" spans="4:39" ht="15.75" customHeight="1">
      <c r="D579" s="7"/>
      <c r="H579" s="18"/>
      <c r="I579" s="34"/>
      <c r="J579" s="34"/>
      <c r="K579" s="18"/>
      <c r="L579" s="34"/>
      <c r="M579" s="34"/>
      <c r="N579" s="35"/>
      <c r="O579" s="34"/>
      <c r="P579" s="34"/>
      <c r="S579" s="36"/>
      <c r="T579" s="35"/>
      <c r="U579" s="37"/>
      <c r="W579" s="39"/>
      <c r="X579" s="39"/>
      <c r="Y579" s="40"/>
      <c r="Z579" s="40"/>
      <c r="AA579" s="40"/>
      <c r="AB579" s="40"/>
      <c r="AC579" s="40"/>
      <c r="AD579" s="18"/>
      <c r="AE579" s="18"/>
      <c r="AF579" s="18"/>
      <c r="AG579" s="18"/>
      <c r="AH579" s="18"/>
      <c r="AI579" s="18"/>
      <c r="AJ579" s="18"/>
      <c r="AK579" s="18"/>
      <c r="AL579" s="18"/>
      <c r="AM579" s="34"/>
    </row>
    <row r="580" spans="4:39" ht="15.75" customHeight="1">
      <c r="D580" s="7"/>
      <c r="H580" s="18"/>
      <c r="I580" s="34"/>
      <c r="J580" s="34"/>
      <c r="K580" s="18"/>
      <c r="L580" s="34"/>
      <c r="M580" s="34"/>
      <c r="N580" s="35"/>
      <c r="O580" s="34"/>
      <c r="P580" s="34"/>
      <c r="S580" s="36"/>
      <c r="T580" s="35"/>
      <c r="U580" s="37"/>
      <c r="W580" s="39"/>
      <c r="X580" s="39"/>
      <c r="Y580" s="40"/>
      <c r="Z580" s="40"/>
      <c r="AA580" s="40"/>
      <c r="AB580" s="40"/>
      <c r="AC580" s="40"/>
      <c r="AD580" s="18"/>
      <c r="AE580" s="18"/>
      <c r="AF580" s="18"/>
      <c r="AG580" s="18"/>
      <c r="AH580" s="18"/>
      <c r="AI580" s="18"/>
      <c r="AJ580" s="18"/>
      <c r="AK580" s="18"/>
      <c r="AL580" s="18"/>
      <c r="AM580" s="34"/>
    </row>
    <row r="581" spans="4:39" ht="15.75" customHeight="1">
      <c r="D581" s="7"/>
      <c r="H581" s="18"/>
      <c r="I581" s="34"/>
      <c r="J581" s="34"/>
      <c r="K581" s="18"/>
      <c r="L581" s="34"/>
      <c r="M581" s="34"/>
      <c r="N581" s="35"/>
      <c r="O581" s="34"/>
      <c r="P581" s="34"/>
      <c r="S581" s="36"/>
      <c r="T581" s="35"/>
      <c r="U581" s="37"/>
      <c r="W581" s="39"/>
      <c r="X581" s="39"/>
      <c r="Y581" s="40"/>
      <c r="Z581" s="40"/>
      <c r="AA581" s="40"/>
      <c r="AB581" s="40"/>
      <c r="AC581" s="40"/>
      <c r="AD581" s="18"/>
      <c r="AE581" s="18"/>
      <c r="AF581" s="18"/>
      <c r="AG581" s="18"/>
      <c r="AH581" s="18"/>
      <c r="AI581" s="18"/>
      <c r="AJ581" s="18"/>
      <c r="AK581" s="18"/>
      <c r="AL581" s="18"/>
      <c r="AM581" s="34"/>
    </row>
    <row r="582" spans="4:39" ht="15.75" customHeight="1">
      <c r="D582" s="7"/>
      <c r="H582" s="18"/>
      <c r="I582" s="34"/>
      <c r="J582" s="34"/>
      <c r="K582" s="18"/>
      <c r="L582" s="34"/>
      <c r="M582" s="34"/>
      <c r="N582" s="35"/>
      <c r="O582" s="34"/>
      <c r="P582" s="34"/>
      <c r="S582" s="36"/>
      <c r="T582" s="35"/>
      <c r="U582" s="37"/>
      <c r="W582" s="39"/>
      <c r="X582" s="39"/>
      <c r="Y582" s="40"/>
      <c r="Z582" s="40"/>
      <c r="AA582" s="40"/>
      <c r="AB582" s="40"/>
      <c r="AC582" s="40"/>
      <c r="AD582" s="18"/>
      <c r="AE582" s="18"/>
      <c r="AF582" s="18"/>
      <c r="AG582" s="18"/>
      <c r="AH582" s="18"/>
      <c r="AI582" s="18"/>
      <c r="AJ582" s="18"/>
      <c r="AK582" s="18"/>
      <c r="AL582" s="18"/>
      <c r="AM582" s="34"/>
    </row>
    <row r="583" spans="4:39" ht="15.75" customHeight="1">
      <c r="D583" s="7"/>
      <c r="H583" s="18"/>
      <c r="I583" s="34"/>
      <c r="J583" s="34"/>
      <c r="K583" s="18"/>
      <c r="L583" s="34"/>
      <c r="M583" s="34"/>
      <c r="N583" s="35"/>
      <c r="O583" s="34"/>
      <c r="P583" s="34"/>
      <c r="S583" s="36"/>
      <c r="T583" s="35"/>
      <c r="U583" s="37"/>
      <c r="V583" s="35"/>
      <c r="W583" s="40"/>
      <c r="X583" s="39"/>
      <c r="Y583" s="40"/>
      <c r="Z583" s="40"/>
      <c r="AA583" s="40"/>
      <c r="AB583" s="40"/>
      <c r="AC583" s="40"/>
      <c r="AD583" s="18"/>
      <c r="AE583" s="34"/>
      <c r="AF583" s="18"/>
      <c r="AG583" s="18"/>
      <c r="AH583" s="18"/>
      <c r="AI583" s="18"/>
      <c r="AJ583" s="18"/>
      <c r="AK583" s="34"/>
      <c r="AL583" s="18"/>
      <c r="AM583" s="34"/>
    </row>
    <row r="584" spans="4:39" ht="15.75" customHeight="1">
      <c r="D584" s="7"/>
      <c r="H584" s="18"/>
      <c r="I584" s="34"/>
      <c r="J584" s="34"/>
      <c r="K584" s="18"/>
      <c r="L584" s="34"/>
      <c r="M584" s="34"/>
      <c r="N584" s="35"/>
      <c r="O584" s="34"/>
      <c r="P584" s="34"/>
      <c r="S584" s="36"/>
      <c r="T584" s="35"/>
      <c r="U584" s="37"/>
      <c r="V584" s="35"/>
      <c r="W584" s="40"/>
      <c r="X584" s="39"/>
      <c r="Y584" s="40"/>
      <c r="Z584" s="40"/>
      <c r="AA584" s="40"/>
      <c r="AB584" s="40"/>
      <c r="AC584" s="40"/>
      <c r="AD584" s="18"/>
      <c r="AE584" s="34"/>
      <c r="AF584" s="18"/>
      <c r="AG584" s="18"/>
      <c r="AH584" s="18"/>
      <c r="AI584" s="18"/>
      <c r="AJ584" s="18"/>
      <c r="AK584" s="34"/>
      <c r="AL584" s="18"/>
      <c r="AM584" s="18"/>
    </row>
    <row r="585" spans="4:39" ht="15.75" customHeight="1">
      <c r="D585" s="7"/>
      <c r="H585" s="34"/>
      <c r="I585" s="34"/>
      <c r="J585" s="34"/>
      <c r="K585" s="18"/>
      <c r="L585" s="34"/>
      <c r="M585" s="34"/>
      <c r="N585" s="35"/>
      <c r="O585" s="34"/>
      <c r="P585" s="34"/>
      <c r="S585" s="36"/>
      <c r="T585" s="35"/>
      <c r="U585" s="37"/>
      <c r="V585" s="35"/>
      <c r="W585" s="40"/>
      <c r="X585" s="39"/>
      <c r="Y585" s="40"/>
      <c r="Z585" s="40"/>
      <c r="AA585" s="40"/>
      <c r="AB585" s="40"/>
      <c r="AC585" s="40"/>
      <c r="AD585" s="18"/>
      <c r="AE585" s="34"/>
      <c r="AF585" s="18"/>
      <c r="AG585" s="18"/>
      <c r="AH585" s="18"/>
      <c r="AI585" s="18"/>
      <c r="AJ585" s="34"/>
      <c r="AK585" s="34"/>
      <c r="AL585" s="18"/>
      <c r="AM585" s="34"/>
    </row>
    <row r="586" spans="4:39" ht="15.75" customHeight="1">
      <c r="D586" s="7"/>
      <c r="H586" s="34"/>
      <c r="I586" s="34"/>
      <c r="J586" s="34"/>
      <c r="K586" s="18"/>
      <c r="L586" s="34"/>
      <c r="M586" s="34"/>
      <c r="N586" s="35"/>
      <c r="O586" s="34"/>
      <c r="P586" s="34"/>
      <c r="S586" s="36"/>
      <c r="T586" s="35"/>
      <c r="U586" s="37"/>
      <c r="V586" s="35"/>
      <c r="W586" s="40"/>
      <c r="X586" s="39"/>
      <c r="Y586" s="40"/>
      <c r="Z586" s="40"/>
      <c r="AA586" s="40"/>
      <c r="AB586" s="40"/>
      <c r="AC586" s="40"/>
      <c r="AD586" s="18"/>
      <c r="AE586" s="34"/>
      <c r="AF586" s="18"/>
      <c r="AG586" s="18"/>
      <c r="AH586" s="18"/>
      <c r="AI586" s="18"/>
      <c r="AJ586" s="34"/>
      <c r="AK586" s="34"/>
      <c r="AL586" s="18"/>
      <c r="AM586" s="34"/>
    </row>
    <row r="587" spans="4:39" ht="15.75" customHeight="1">
      <c r="D587" s="7"/>
      <c r="G587" s="35"/>
      <c r="H587" s="18"/>
      <c r="I587" s="34"/>
      <c r="J587" s="34"/>
      <c r="K587" s="18"/>
      <c r="L587" s="34"/>
      <c r="M587" s="34"/>
      <c r="N587" s="35"/>
      <c r="O587" s="34"/>
      <c r="P587" s="34"/>
      <c r="S587" s="36"/>
      <c r="T587" s="35"/>
      <c r="U587" s="37"/>
      <c r="V587" s="35"/>
      <c r="W587" s="40"/>
      <c r="X587" s="39"/>
      <c r="Y587" s="40"/>
      <c r="Z587" s="40"/>
      <c r="AA587" s="40"/>
      <c r="AB587" s="40"/>
      <c r="AC587" s="40"/>
      <c r="AD587" s="18"/>
      <c r="AE587" s="34"/>
      <c r="AF587" s="18"/>
      <c r="AG587" s="18"/>
      <c r="AH587" s="18"/>
      <c r="AI587" s="18"/>
      <c r="AJ587" s="34"/>
      <c r="AK587" s="34"/>
      <c r="AL587" s="18"/>
      <c r="AM587" s="34"/>
    </row>
    <row r="588" spans="4:39" ht="15.75" customHeight="1">
      <c r="D588" s="7"/>
      <c r="H588" s="34"/>
      <c r="I588" s="34"/>
      <c r="J588" s="34"/>
      <c r="K588" s="18"/>
      <c r="L588" s="34"/>
      <c r="M588" s="34"/>
      <c r="N588" s="35"/>
      <c r="O588" s="34"/>
      <c r="P588" s="34"/>
      <c r="S588" s="36"/>
      <c r="T588" s="35"/>
      <c r="U588" s="37"/>
      <c r="W588" s="39"/>
      <c r="X588" s="39"/>
      <c r="Y588" s="40"/>
      <c r="Z588" s="40"/>
      <c r="AA588" s="40"/>
      <c r="AB588" s="40"/>
      <c r="AC588" s="40"/>
      <c r="AD588" s="18"/>
      <c r="AE588" s="34"/>
      <c r="AF588" s="18"/>
      <c r="AG588" s="18"/>
      <c r="AH588" s="18"/>
      <c r="AI588" s="18"/>
      <c r="AJ588" s="18"/>
      <c r="AK588" s="34"/>
      <c r="AL588" s="34"/>
      <c r="AM588" s="34"/>
    </row>
    <row r="589" spans="4:39" ht="15.75" customHeight="1">
      <c r="D589" s="7"/>
      <c r="H589" s="34"/>
      <c r="I589" s="34"/>
      <c r="J589" s="34"/>
      <c r="K589" s="18"/>
      <c r="L589" s="34"/>
      <c r="M589" s="34"/>
      <c r="N589" s="35"/>
      <c r="O589" s="34"/>
      <c r="P589" s="34"/>
      <c r="S589" s="36"/>
      <c r="T589" s="35"/>
      <c r="U589" s="37"/>
      <c r="W589" s="39"/>
      <c r="X589" s="39"/>
      <c r="Y589" s="40"/>
      <c r="Z589" s="40"/>
      <c r="AA589" s="40"/>
      <c r="AB589" s="40"/>
      <c r="AC589" s="40"/>
      <c r="AD589" s="18"/>
      <c r="AE589" s="34"/>
      <c r="AF589" s="18"/>
      <c r="AG589" s="18"/>
      <c r="AH589" s="18"/>
      <c r="AI589" s="18"/>
      <c r="AJ589" s="18"/>
      <c r="AK589" s="34"/>
      <c r="AL589" s="34"/>
      <c r="AM589" s="34"/>
    </row>
    <row r="590" spans="4:39" ht="15.75" customHeight="1">
      <c r="D590" s="7"/>
      <c r="H590" s="34"/>
      <c r="I590" s="34"/>
      <c r="J590" s="34"/>
      <c r="K590" s="18"/>
      <c r="L590" s="34"/>
      <c r="M590" s="34"/>
      <c r="N590" s="35"/>
      <c r="O590" s="34"/>
      <c r="P590" s="34"/>
      <c r="S590" s="36"/>
      <c r="T590" s="35"/>
      <c r="U590" s="37"/>
      <c r="W590" s="39"/>
      <c r="X590" s="39"/>
      <c r="Y590" s="40"/>
      <c r="Z590" s="40"/>
      <c r="AA590" s="40"/>
      <c r="AB590" s="40"/>
      <c r="AC590" s="40"/>
      <c r="AD590" s="18"/>
      <c r="AE590" s="34"/>
      <c r="AF590" s="18"/>
      <c r="AG590" s="18"/>
      <c r="AH590" s="18"/>
      <c r="AI590" s="18"/>
      <c r="AJ590" s="18"/>
      <c r="AK590" s="34"/>
      <c r="AL590" s="34"/>
      <c r="AM590" s="34"/>
    </row>
    <row r="591" spans="4:39" ht="15.75" customHeight="1">
      <c r="D591" s="7"/>
      <c r="H591" s="34"/>
      <c r="I591" s="34"/>
      <c r="J591" s="34"/>
      <c r="K591" s="18"/>
      <c r="L591" s="34"/>
      <c r="M591" s="34"/>
      <c r="N591" s="35"/>
      <c r="O591" s="34"/>
      <c r="P591" s="34"/>
      <c r="S591" s="36"/>
      <c r="T591" s="35"/>
      <c r="U591" s="37"/>
      <c r="W591" s="39"/>
      <c r="X591" s="39"/>
      <c r="Y591" s="40"/>
      <c r="Z591" s="40"/>
      <c r="AA591" s="40"/>
      <c r="AB591" s="40"/>
      <c r="AC591" s="40"/>
      <c r="AD591" s="18"/>
      <c r="AE591" s="34"/>
      <c r="AF591" s="18"/>
      <c r="AG591" s="18"/>
      <c r="AH591" s="18"/>
      <c r="AI591" s="18"/>
      <c r="AJ591" s="18"/>
      <c r="AK591" s="34"/>
      <c r="AL591" s="34"/>
      <c r="AM591" s="34"/>
    </row>
    <row r="592" spans="4:39" ht="15.75" customHeight="1">
      <c r="D592" s="7"/>
      <c r="H592" s="34"/>
      <c r="I592" s="34"/>
      <c r="J592" s="34"/>
      <c r="K592" s="18"/>
      <c r="L592" s="34"/>
      <c r="M592" s="34"/>
      <c r="N592" s="35"/>
      <c r="O592" s="34"/>
      <c r="P592" s="34"/>
      <c r="S592" s="36"/>
      <c r="T592" s="35"/>
      <c r="U592" s="37"/>
      <c r="W592" s="39"/>
      <c r="X592" s="39"/>
      <c r="Y592" s="40"/>
      <c r="Z592" s="40"/>
      <c r="AA592" s="40"/>
      <c r="AB592" s="40"/>
      <c r="AC592" s="40"/>
      <c r="AD592" s="18"/>
      <c r="AE592" s="34"/>
      <c r="AF592" s="18"/>
      <c r="AG592" s="18"/>
      <c r="AH592" s="18"/>
      <c r="AI592" s="18"/>
      <c r="AJ592" s="18"/>
      <c r="AK592" s="34"/>
      <c r="AL592" s="34"/>
      <c r="AM592" s="34"/>
    </row>
    <row r="593" spans="4:39" ht="15.75" customHeight="1">
      <c r="D593" s="7"/>
      <c r="H593" s="18"/>
      <c r="I593" s="34"/>
      <c r="J593" s="34"/>
      <c r="K593" s="18"/>
      <c r="L593" s="34"/>
      <c r="M593" s="34"/>
      <c r="N593" s="35"/>
      <c r="O593" s="34"/>
      <c r="P593" s="34"/>
      <c r="S593" s="36"/>
      <c r="T593" s="35"/>
      <c r="U593" s="37"/>
      <c r="W593" s="39"/>
      <c r="X593" s="39"/>
      <c r="Y593" s="40"/>
      <c r="Z593" s="40"/>
      <c r="AA593" s="40"/>
      <c r="AB593" s="40"/>
      <c r="AC593" s="40"/>
      <c r="AD593" s="18"/>
      <c r="AE593" s="34"/>
      <c r="AF593" s="18"/>
      <c r="AG593" s="18"/>
      <c r="AH593" s="18"/>
      <c r="AI593" s="18"/>
      <c r="AJ593" s="18"/>
      <c r="AK593" s="34"/>
      <c r="AL593" s="34"/>
      <c r="AM593" s="34"/>
    </row>
    <row r="594" spans="4:39" ht="15.75" customHeight="1">
      <c r="D594" s="7"/>
      <c r="H594" s="34"/>
      <c r="I594" s="34"/>
      <c r="J594" s="34"/>
      <c r="K594" s="18"/>
      <c r="L594" s="34"/>
      <c r="M594" s="34"/>
      <c r="N594" s="35"/>
      <c r="O594" s="34"/>
      <c r="P594" s="34"/>
      <c r="S594" s="36"/>
      <c r="T594" s="35"/>
      <c r="U594" s="37"/>
      <c r="W594" s="39"/>
      <c r="X594" s="39"/>
      <c r="Y594" s="40"/>
      <c r="Z594" s="40"/>
      <c r="AA594" s="40"/>
      <c r="AB594" s="40"/>
      <c r="AC594" s="40"/>
      <c r="AD594" s="18"/>
      <c r="AE594" s="34"/>
      <c r="AF594" s="18"/>
      <c r="AG594" s="18"/>
      <c r="AH594" s="18"/>
      <c r="AI594" s="18"/>
      <c r="AJ594" s="18"/>
      <c r="AK594" s="34"/>
      <c r="AL594" s="34"/>
      <c r="AM594" s="34"/>
    </row>
    <row r="595" spans="4:39" ht="15.75" customHeight="1">
      <c r="D595" s="7"/>
      <c r="H595" s="34"/>
      <c r="I595" s="34"/>
      <c r="J595" s="34"/>
      <c r="K595" s="18"/>
      <c r="L595" s="34"/>
      <c r="M595" s="34"/>
      <c r="N595" s="35"/>
      <c r="O595" s="34"/>
      <c r="P595" s="34"/>
      <c r="S595" s="36"/>
      <c r="T595" s="35"/>
      <c r="U595" s="37"/>
      <c r="W595" s="39"/>
      <c r="X595" s="39"/>
      <c r="Y595" s="40"/>
      <c r="Z595" s="40"/>
      <c r="AA595" s="40"/>
      <c r="AB595" s="40"/>
      <c r="AC595" s="40"/>
      <c r="AD595" s="18"/>
      <c r="AE595" s="34"/>
      <c r="AF595" s="18"/>
      <c r="AG595" s="18"/>
      <c r="AH595" s="18"/>
      <c r="AI595" s="18"/>
      <c r="AJ595" s="18"/>
      <c r="AK595" s="34"/>
      <c r="AL595" s="34"/>
      <c r="AM595" s="34"/>
    </row>
    <row r="596" spans="4:39" ht="15.75" customHeight="1">
      <c r="D596" s="7"/>
      <c r="H596" s="34"/>
      <c r="I596" s="34"/>
      <c r="J596" s="34"/>
      <c r="K596" s="18"/>
      <c r="L596" s="34"/>
      <c r="M596" s="34"/>
      <c r="N596" s="35"/>
      <c r="O596" s="34"/>
      <c r="P596" s="34"/>
      <c r="S596" s="36"/>
      <c r="T596" s="35"/>
      <c r="U596" s="37"/>
      <c r="W596" s="39"/>
      <c r="X596" s="39"/>
      <c r="Y596" s="40"/>
      <c r="Z596" s="40"/>
      <c r="AA596" s="40"/>
      <c r="AB596" s="40"/>
      <c r="AC596" s="40"/>
      <c r="AD596" s="18"/>
      <c r="AE596" s="34"/>
      <c r="AF596" s="18"/>
      <c r="AG596" s="18"/>
      <c r="AH596" s="18"/>
      <c r="AI596" s="18"/>
      <c r="AJ596" s="18"/>
      <c r="AK596" s="34"/>
      <c r="AL596" s="34"/>
      <c r="AM596" s="34"/>
    </row>
    <row r="597" spans="4:39" ht="15.75" customHeight="1">
      <c r="D597" s="7"/>
      <c r="H597" s="18"/>
      <c r="I597" s="34"/>
      <c r="J597" s="34"/>
      <c r="K597" s="18"/>
      <c r="L597" s="34"/>
      <c r="M597" s="34"/>
      <c r="N597" s="35"/>
      <c r="O597" s="34"/>
      <c r="P597" s="34"/>
      <c r="S597" s="36"/>
      <c r="T597" s="35"/>
      <c r="U597" s="37"/>
      <c r="W597" s="39"/>
      <c r="X597" s="39"/>
      <c r="Y597" s="40"/>
      <c r="Z597" s="40"/>
      <c r="AA597" s="40"/>
      <c r="AB597" s="40"/>
      <c r="AC597" s="40"/>
      <c r="AD597" s="18"/>
      <c r="AE597" s="34"/>
      <c r="AF597" s="18"/>
      <c r="AG597" s="18"/>
      <c r="AH597" s="18"/>
      <c r="AI597" s="18"/>
      <c r="AJ597" s="18"/>
      <c r="AK597" s="34"/>
      <c r="AL597" s="18"/>
      <c r="AM597" s="34"/>
    </row>
    <row r="598" spans="4:39" ht="15.75" customHeight="1">
      <c r="D598" s="7"/>
      <c r="G598" s="35"/>
      <c r="H598" s="18"/>
      <c r="I598" s="34"/>
      <c r="J598" s="34"/>
      <c r="K598" s="18"/>
      <c r="L598" s="34"/>
      <c r="M598" s="34"/>
      <c r="N598" s="35"/>
      <c r="O598" s="34"/>
      <c r="P598" s="34"/>
      <c r="S598" s="36"/>
      <c r="T598" s="35"/>
      <c r="U598" s="37"/>
      <c r="W598" s="39"/>
      <c r="X598" s="39"/>
      <c r="Y598" s="40"/>
      <c r="Z598" s="40"/>
      <c r="AA598" s="40"/>
      <c r="AB598" s="40"/>
      <c r="AC598" s="40"/>
      <c r="AD598" s="18"/>
      <c r="AE598" s="34"/>
      <c r="AF598" s="18"/>
      <c r="AG598" s="18"/>
      <c r="AH598" s="18"/>
      <c r="AI598" s="18"/>
      <c r="AJ598" s="18"/>
      <c r="AK598" s="34"/>
      <c r="AL598" s="18"/>
      <c r="AM598" s="34"/>
    </row>
    <row r="599" spans="4:39" ht="15.75" customHeight="1">
      <c r="D599" s="7"/>
      <c r="G599" s="35"/>
      <c r="H599" s="18"/>
      <c r="I599" s="34"/>
      <c r="J599" s="34"/>
      <c r="K599" s="18"/>
      <c r="L599" s="34"/>
      <c r="M599" s="34"/>
      <c r="N599" s="35"/>
      <c r="O599" s="34"/>
      <c r="P599" s="34"/>
      <c r="S599" s="36"/>
      <c r="T599" s="35"/>
      <c r="U599" s="37"/>
      <c r="V599" s="35"/>
      <c r="W599" s="40"/>
      <c r="X599" s="39"/>
      <c r="Y599" s="40"/>
      <c r="Z599" s="40"/>
      <c r="AA599" s="40"/>
      <c r="AB599" s="40"/>
      <c r="AC599" s="40"/>
      <c r="AD599" s="18"/>
      <c r="AE599" s="34"/>
      <c r="AF599" s="18"/>
      <c r="AG599" s="18"/>
      <c r="AH599" s="18"/>
      <c r="AI599" s="18"/>
      <c r="AJ599" s="34"/>
      <c r="AK599" s="34"/>
      <c r="AL599" s="18"/>
      <c r="AM599" s="34"/>
    </row>
    <row r="600" spans="4:39" ht="15.75" customHeight="1">
      <c r="D600" s="7"/>
      <c r="G600" s="35"/>
      <c r="H600" s="18"/>
      <c r="I600" s="34"/>
      <c r="J600" s="34"/>
      <c r="K600" s="18"/>
      <c r="L600" s="34"/>
      <c r="M600" s="34"/>
      <c r="N600" s="35"/>
      <c r="O600" s="34"/>
      <c r="P600" s="34"/>
      <c r="S600" s="36"/>
      <c r="T600" s="35"/>
      <c r="U600" s="37"/>
      <c r="V600" s="35"/>
      <c r="W600" s="40"/>
      <c r="X600" s="39"/>
      <c r="Y600" s="40"/>
      <c r="Z600" s="40"/>
      <c r="AA600" s="40"/>
      <c r="AB600" s="40"/>
      <c r="AC600" s="40"/>
      <c r="AD600" s="18"/>
      <c r="AE600" s="34"/>
      <c r="AF600" s="18"/>
      <c r="AG600" s="18"/>
      <c r="AH600" s="18"/>
      <c r="AI600" s="18"/>
      <c r="AJ600" s="34"/>
      <c r="AK600" s="34"/>
      <c r="AL600" s="18"/>
      <c r="AM600" s="34"/>
    </row>
    <row r="601" spans="4:39" ht="15.75" customHeight="1">
      <c r="D601" s="7"/>
      <c r="G601" s="35"/>
      <c r="H601" s="18"/>
      <c r="I601" s="34"/>
      <c r="J601" s="34"/>
      <c r="K601" s="18"/>
      <c r="L601" s="34"/>
      <c r="M601" s="34"/>
      <c r="N601" s="35"/>
      <c r="O601" s="34"/>
      <c r="P601" s="34"/>
      <c r="S601" s="36"/>
      <c r="T601" s="35"/>
      <c r="U601" s="37"/>
      <c r="V601" s="35"/>
      <c r="W601" s="40"/>
      <c r="X601" s="39"/>
      <c r="Y601" s="40"/>
      <c r="Z601" s="40"/>
      <c r="AA601" s="40"/>
      <c r="AB601" s="40"/>
      <c r="AC601" s="40"/>
      <c r="AD601" s="18"/>
      <c r="AE601" s="34"/>
      <c r="AF601" s="18"/>
      <c r="AG601" s="18"/>
      <c r="AH601" s="18"/>
      <c r="AI601" s="18"/>
      <c r="AJ601" s="34"/>
      <c r="AK601" s="34"/>
      <c r="AL601" s="18"/>
      <c r="AM601" s="34"/>
    </row>
    <row r="602" spans="4:39" ht="15.75" customHeight="1">
      <c r="D602" s="7"/>
      <c r="G602" s="35"/>
      <c r="H602" s="34"/>
      <c r="I602" s="34"/>
      <c r="J602" s="34"/>
      <c r="K602" s="18"/>
      <c r="L602" s="34"/>
      <c r="M602" s="34"/>
      <c r="N602" s="35"/>
      <c r="O602" s="34"/>
      <c r="P602" s="34"/>
      <c r="S602" s="36"/>
      <c r="T602" s="35"/>
      <c r="U602" s="37"/>
      <c r="V602" s="35"/>
      <c r="W602" s="40"/>
      <c r="X602" s="39"/>
      <c r="Y602" s="40"/>
      <c r="Z602" s="40"/>
      <c r="AA602" s="40"/>
      <c r="AB602" s="40"/>
      <c r="AC602" s="40"/>
      <c r="AD602" s="18"/>
      <c r="AE602" s="34"/>
      <c r="AF602" s="18"/>
      <c r="AG602" s="18"/>
      <c r="AH602" s="18"/>
      <c r="AI602" s="18"/>
      <c r="AJ602" s="34"/>
      <c r="AK602" s="34"/>
      <c r="AL602" s="18"/>
      <c r="AM602" s="34"/>
    </row>
    <row r="603" spans="4:39" ht="15.75" customHeight="1">
      <c r="D603" s="7"/>
      <c r="H603" s="34"/>
      <c r="I603" s="34"/>
      <c r="J603" s="34"/>
      <c r="K603" s="18"/>
      <c r="L603" s="34"/>
      <c r="M603" s="34"/>
      <c r="N603" s="35"/>
      <c r="O603" s="34"/>
      <c r="P603" s="34"/>
      <c r="S603" s="36"/>
      <c r="T603" s="35"/>
      <c r="U603" s="37"/>
      <c r="V603" s="35"/>
      <c r="W603" s="40"/>
      <c r="X603" s="39"/>
      <c r="Y603" s="40"/>
      <c r="Z603" s="40"/>
      <c r="AA603" s="40"/>
      <c r="AB603" s="40"/>
      <c r="AC603" s="40"/>
      <c r="AD603" s="18"/>
      <c r="AE603" s="34"/>
      <c r="AF603" s="18"/>
      <c r="AG603" s="18"/>
      <c r="AH603" s="18"/>
      <c r="AI603" s="18"/>
      <c r="AJ603" s="34"/>
      <c r="AK603" s="34"/>
      <c r="AL603" s="18"/>
      <c r="AM603" s="34"/>
    </row>
    <row r="604" spans="4:39" ht="15.75" customHeight="1">
      <c r="D604" s="7"/>
      <c r="H604" s="18"/>
      <c r="I604" s="34"/>
      <c r="J604" s="34"/>
      <c r="K604" s="18"/>
      <c r="L604" s="34"/>
      <c r="M604" s="34"/>
      <c r="N604" s="35"/>
      <c r="O604" s="34"/>
      <c r="P604" s="34"/>
      <c r="S604" s="36"/>
      <c r="T604" s="35"/>
      <c r="U604" s="37"/>
      <c r="W604" s="39"/>
      <c r="X604" s="39"/>
      <c r="Y604" s="40"/>
      <c r="Z604" s="40"/>
      <c r="AA604" s="40"/>
      <c r="AB604" s="40"/>
      <c r="AC604" s="40"/>
      <c r="AD604" s="18"/>
      <c r="AE604" s="34"/>
      <c r="AF604" s="18"/>
      <c r="AG604" s="18"/>
      <c r="AH604" s="18"/>
      <c r="AI604" s="18"/>
      <c r="AJ604" s="34"/>
      <c r="AK604" s="34"/>
      <c r="AL604" s="18"/>
      <c r="AM604" s="34"/>
    </row>
    <row r="605" spans="4:39" ht="15.75" customHeight="1">
      <c r="D605" s="7"/>
      <c r="H605" s="18"/>
      <c r="I605" s="34"/>
      <c r="J605" s="34"/>
      <c r="K605" s="18"/>
      <c r="L605" s="34"/>
      <c r="M605" s="34"/>
      <c r="N605" s="35"/>
      <c r="O605" s="34"/>
      <c r="P605" s="34"/>
      <c r="S605" s="36"/>
      <c r="T605" s="35"/>
      <c r="U605" s="37"/>
      <c r="W605" s="39"/>
      <c r="X605" s="39"/>
      <c r="Y605" s="40"/>
      <c r="Z605" s="40"/>
      <c r="AA605" s="40"/>
      <c r="AB605" s="40"/>
      <c r="AC605" s="40"/>
      <c r="AD605" s="18"/>
      <c r="AE605" s="34"/>
      <c r="AF605" s="18"/>
      <c r="AG605" s="18"/>
      <c r="AH605" s="18"/>
      <c r="AI605" s="18"/>
      <c r="AJ605" s="34"/>
      <c r="AK605" s="34"/>
      <c r="AL605" s="18"/>
      <c r="AM605" s="34"/>
    </row>
    <row r="606" spans="4:39" ht="15.75" customHeight="1">
      <c r="D606" s="7"/>
      <c r="H606" s="18"/>
      <c r="I606" s="34"/>
      <c r="J606" s="34"/>
      <c r="K606" s="18"/>
      <c r="L606" s="34"/>
      <c r="M606" s="34"/>
      <c r="N606" s="35"/>
      <c r="O606" s="34"/>
      <c r="P606" s="34"/>
      <c r="S606" s="36"/>
      <c r="T606" s="35"/>
      <c r="U606" s="37"/>
      <c r="W606" s="39"/>
      <c r="X606" s="39"/>
      <c r="Y606" s="40"/>
      <c r="Z606" s="40"/>
      <c r="AA606" s="40"/>
      <c r="AB606" s="40"/>
      <c r="AC606" s="40"/>
      <c r="AD606" s="18"/>
      <c r="AE606" s="34"/>
      <c r="AF606" s="18"/>
      <c r="AG606" s="18"/>
      <c r="AH606" s="18"/>
      <c r="AI606" s="18"/>
      <c r="AJ606" s="18"/>
      <c r="AK606" s="34"/>
      <c r="AL606" s="34"/>
      <c r="AM606" s="34"/>
    </row>
    <row r="607" spans="4:39" ht="15.75" customHeight="1">
      <c r="D607" s="7"/>
      <c r="H607" s="18"/>
      <c r="I607" s="34"/>
      <c r="J607" s="34"/>
      <c r="K607" s="18"/>
      <c r="L607" s="34"/>
      <c r="M607" s="34"/>
      <c r="N607" s="35"/>
      <c r="O607" s="34"/>
      <c r="P607" s="34"/>
      <c r="S607" s="36"/>
      <c r="T607" s="35"/>
      <c r="U607" s="37"/>
      <c r="W607" s="39"/>
      <c r="X607" s="39"/>
      <c r="Y607" s="40"/>
      <c r="Z607" s="40"/>
      <c r="AA607" s="40"/>
      <c r="AB607" s="40"/>
      <c r="AC607" s="40"/>
      <c r="AD607" s="18"/>
      <c r="AE607" s="18"/>
      <c r="AF607" s="18"/>
      <c r="AG607" s="18"/>
      <c r="AH607" s="18"/>
      <c r="AI607" s="18"/>
      <c r="AJ607" s="18"/>
      <c r="AK607" s="18"/>
      <c r="AL607" s="34"/>
      <c r="AM607" s="34"/>
    </row>
    <row r="608" spans="4:39" ht="15.75" customHeight="1">
      <c r="D608" s="7"/>
      <c r="H608" s="18"/>
      <c r="I608" s="34"/>
      <c r="J608" s="34"/>
      <c r="K608" s="18"/>
      <c r="L608" s="34"/>
      <c r="M608" s="34"/>
      <c r="N608" s="35"/>
      <c r="O608" s="34"/>
      <c r="P608" s="34"/>
      <c r="S608" s="36"/>
      <c r="T608" s="35"/>
      <c r="U608" s="37"/>
      <c r="W608" s="39"/>
      <c r="X608" s="39"/>
      <c r="Y608" s="40"/>
      <c r="Z608" s="40"/>
      <c r="AA608" s="40"/>
      <c r="AB608" s="40"/>
      <c r="AC608" s="40"/>
      <c r="AD608" s="18"/>
      <c r="AE608" s="18"/>
      <c r="AF608" s="18"/>
      <c r="AG608" s="18"/>
      <c r="AH608" s="18"/>
      <c r="AI608" s="18"/>
      <c r="AJ608" s="18"/>
      <c r="AK608" s="18"/>
      <c r="AL608" s="34"/>
      <c r="AM608" s="34"/>
    </row>
    <row r="609" spans="4:39" ht="15.75" customHeight="1">
      <c r="D609" s="7"/>
      <c r="H609" s="18"/>
      <c r="I609" s="34"/>
      <c r="J609" s="34"/>
      <c r="K609" s="18"/>
      <c r="L609" s="34"/>
      <c r="M609" s="34"/>
      <c r="N609" s="35"/>
      <c r="O609" s="34"/>
      <c r="P609" s="34"/>
      <c r="S609" s="36"/>
      <c r="T609" s="35"/>
      <c r="U609" s="37"/>
      <c r="W609" s="39"/>
      <c r="X609" s="39"/>
      <c r="Y609" s="40"/>
      <c r="Z609" s="40"/>
      <c r="AA609" s="40"/>
      <c r="AB609" s="40"/>
      <c r="AC609" s="40"/>
      <c r="AD609" s="18"/>
      <c r="AE609" s="18"/>
      <c r="AF609" s="18"/>
      <c r="AG609" s="18"/>
      <c r="AH609" s="18"/>
      <c r="AI609" s="18"/>
      <c r="AJ609" s="18"/>
      <c r="AK609" s="18"/>
      <c r="AL609" s="34"/>
      <c r="AM609" s="34"/>
    </row>
    <row r="610" spans="4:39" ht="15.75" customHeight="1">
      <c r="D610" s="7"/>
      <c r="H610" s="18"/>
      <c r="I610" s="34"/>
      <c r="J610" s="34"/>
      <c r="K610" s="18"/>
      <c r="L610" s="34"/>
      <c r="M610" s="34"/>
      <c r="N610" s="35"/>
      <c r="O610" s="34"/>
      <c r="P610" s="34"/>
      <c r="S610" s="36"/>
      <c r="T610" s="35"/>
      <c r="U610" s="37"/>
      <c r="V610" s="35"/>
      <c r="W610" s="40"/>
      <c r="X610" s="39"/>
      <c r="Y610" s="40"/>
      <c r="Z610" s="40"/>
      <c r="AA610" s="40"/>
      <c r="AB610" s="40"/>
      <c r="AC610" s="40"/>
      <c r="AD610" s="18"/>
      <c r="AE610" s="18"/>
      <c r="AF610" s="18"/>
      <c r="AG610" s="18"/>
      <c r="AH610" s="18"/>
      <c r="AI610" s="18"/>
      <c r="AJ610" s="18"/>
      <c r="AK610" s="18"/>
      <c r="AL610" s="34"/>
      <c r="AM610" s="34"/>
    </row>
    <row r="611" spans="4:39" ht="15.75" customHeight="1">
      <c r="D611" s="7"/>
      <c r="H611" s="18"/>
      <c r="I611" s="34"/>
      <c r="J611" s="34"/>
      <c r="K611" s="18"/>
      <c r="L611" s="34"/>
      <c r="M611" s="34"/>
      <c r="N611" s="35"/>
      <c r="O611" s="34"/>
      <c r="P611" s="34"/>
      <c r="S611" s="36"/>
      <c r="T611" s="35"/>
      <c r="U611" s="37"/>
      <c r="W611" s="39"/>
      <c r="X611" s="39"/>
      <c r="Y611" s="40"/>
      <c r="Z611" s="40"/>
      <c r="AA611" s="40"/>
      <c r="AB611" s="40"/>
      <c r="AC611" s="40"/>
      <c r="AD611" s="18"/>
      <c r="AE611" s="18"/>
      <c r="AF611" s="18"/>
      <c r="AG611" s="18"/>
      <c r="AH611" s="18"/>
      <c r="AI611" s="18"/>
      <c r="AJ611" s="18"/>
      <c r="AK611" s="18"/>
      <c r="AL611" s="34"/>
      <c r="AM611" s="34"/>
    </row>
    <row r="612" spans="4:39" ht="15.75" customHeight="1">
      <c r="D612" s="7"/>
      <c r="H612" s="18"/>
      <c r="I612" s="34"/>
      <c r="J612" s="34"/>
      <c r="K612" s="18"/>
      <c r="L612" s="34"/>
      <c r="M612" s="34"/>
      <c r="N612" s="35"/>
      <c r="O612" s="34"/>
      <c r="P612" s="34"/>
      <c r="S612" s="36"/>
      <c r="T612" s="35"/>
      <c r="U612" s="37"/>
      <c r="W612" s="39"/>
      <c r="X612" s="39"/>
      <c r="Y612" s="40"/>
      <c r="Z612" s="40"/>
      <c r="AA612" s="40"/>
      <c r="AB612" s="40"/>
      <c r="AC612" s="40"/>
      <c r="AD612" s="18"/>
      <c r="AE612" s="18"/>
      <c r="AF612" s="18"/>
      <c r="AG612" s="18"/>
      <c r="AH612" s="18"/>
      <c r="AI612" s="18"/>
      <c r="AJ612" s="18"/>
      <c r="AK612" s="18"/>
      <c r="AL612" s="34"/>
      <c r="AM612" s="34"/>
    </row>
    <row r="613" spans="4:39" ht="15.75" customHeight="1">
      <c r="D613" s="7"/>
      <c r="H613" s="18"/>
      <c r="I613" s="34"/>
      <c r="J613" s="34"/>
      <c r="K613" s="18"/>
      <c r="L613" s="34"/>
      <c r="M613" s="34"/>
      <c r="N613" s="35"/>
      <c r="O613" s="34"/>
      <c r="P613" s="34"/>
      <c r="S613" s="36"/>
      <c r="T613" s="35"/>
      <c r="U613" s="37"/>
      <c r="W613" s="39"/>
      <c r="X613" s="39"/>
      <c r="Y613" s="40"/>
      <c r="Z613" s="40"/>
      <c r="AA613" s="40"/>
      <c r="AB613" s="40"/>
      <c r="AC613" s="40"/>
      <c r="AD613" s="18"/>
      <c r="AE613" s="18"/>
      <c r="AF613" s="18"/>
      <c r="AG613" s="18"/>
      <c r="AH613" s="18"/>
      <c r="AI613" s="18"/>
      <c r="AJ613" s="18"/>
      <c r="AK613" s="18"/>
      <c r="AL613" s="34"/>
      <c r="AM613" s="34"/>
    </row>
    <row r="614" spans="4:39" ht="15.75" customHeight="1">
      <c r="D614" s="7"/>
      <c r="G614" s="35"/>
      <c r="H614" s="18"/>
      <c r="I614" s="34"/>
      <c r="J614" s="34"/>
      <c r="K614" s="18"/>
      <c r="L614" s="34"/>
      <c r="M614" s="34"/>
      <c r="N614" s="41"/>
      <c r="O614" s="34"/>
      <c r="P614" s="34"/>
      <c r="S614" s="36"/>
      <c r="T614" s="35"/>
      <c r="U614" s="37"/>
      <c r="W614" s="39"/>
      <c r="X614" s="39"/>
      <c r="Y614" s="40"/>
      <c r="Z614" s="40"/>
      <c r="AA614" s="40"/>
      <c r="AB614" s="40"/>
      <c r="AC614" s="40"/>
      <c r="AD614" s="18"/>
      <c r="AE614" s="18"/>
      <c r="AF614" s="18"/>
      <c r="AG614" s="18"/>
      <c r="AH614" s="18"/>
      <c r="AI614" s="18"/>
      <c r="AJ614" s="18"/>
      <c r="AK614" s="18"/>
      <c r="AL614" s="34"/>
      <c r="AM614" s="18"/>
    </row>
    <row r="615" spans="4:39" ht="15.75" customHeight="1">
      <c r="D615" s="7"/>
      <c r="H615" s="18"/>
      <c r="I615" s="34"/>
      <c r="J615" s="34"/>
      <c r="K615" s="18"/>
      <c r="L615" s="34"/>
      <c r="M615" s="34"/>
      <c r="N615" s="41"/>
      <c r="O615" s="34"/>
      <c r="P615" s="34"/>
      <c r="S615" s="36"/>
      <c r="T615" s="35"/>
      <c r="U615" s="37"/>
      <c r="W615" s="39"/>
      <c r="X615" s="39"/>
      <c r="Y615" s="40"/>
      <c r="Z615" s="40"/>
      <c r="AA615" s="40"/>
      <c r="AB615" s="40"/>
      <c r="AC615" s="40"/>
      <c r="AD615" s="18"/>
      <c r="AE615" s="18"/>
      <c r="AF615" s="18"/>
      <c r="AG615" s="18"/>
      <c r="AH615" s="18"/>
      <c r="AI615" s="18"/>
      <c r="AJ615" s="18"/>
      <c r="AK615" s="18"/>
      <c r="AL615" s="34"/>
      <c r="AM615" s="18"/>
    </row>
    <row r="616" spans="4:39" ht="15.75" customHeight="1">
      <c r="D616" s="7"/>
      <c r="G616" s="35"/>
      <c r="H616" s="18"/>
      <c r="I616" s="34"/>
      <c r="J616" s="34"/>
      <c r="K616" s="18"/>
      <c r="L616" s="34"/>
      <c r="M616" s="34"/>
      <c r="N616" s="41"/>
      <c r="O616" s="34"/>
      <c r="P616" s="34"/>
      <c r="S616" s="36"/>
      <c r="T616" s="35"/>
      <c r="U616" s="37"/>
      <c r="W616" s="39"/>
      <c r="X616" s="39"/>
      <c r="Y616" s="40"/>
      <c r="Z616" s="40"/>
      <c r="AA616" s="40"/>
      <c r="AB616" s="40"/>
      <c r="AC616" s="40"/>
      <c r="AD616" s="18"/>
      <c r="AE616" s="18"/>
      <c r="AF616" s="18"/>
      <c r="AG616" s="18"/>
      <c r="AH616" s="18"/>
      <c r="AI616" s="18"/>
      <c r="AJ616" s="18"/>
      <c r="AK616" s="18"/>
      <c r="AL616" s="34"/>
      <c r="AM616" s="18"/>
    </row>
    <row r="617" spans="4:39" ht="15.75" customHeight="1">
      <c r="D617" s="7"/>
      <c r="G617" s="35"/>
      <c r="H617" s="18"/>
      <c r="I617" s="34"/>
      <c r="J617" s="34"/>
      <c r="K617" s="18"/>
      <c r="L617" s="34"/>
      <c r="M617" s="34"/>
      <c r="N617" s="35"/>
      <c r="O617" s="34"/>
      <c r="P617" s="34"/>
      <c r="S617" s="36"/>
      <c r="T617" s="35"/>
      <c r="U617" s="37"/>
      <c r="V617" s="35"/>
      <c r="W617" s="40"/>
      <c r="X617" s="39"/>
      <c r="Y617" s="40"/>
      <c r="Z617" s="40"/>
      <c r="AA617" s="40"/>
      <c r="AB617" s="40"/>
      <c r="AC617" s="40"/>
      <c r="AD617" s="18"/>
      <c r="AE617" s="18"/>
      <c r="AF617" s="18"/>
      <c r="AG617" s="18"/>
      <c r="AH617" s="18"/>
      <c r="AI617" s="18"/>
      <c r="AJ617" s="18"/>
      <c r="AK617" s="18"/>
      <c r="AL617" s="34"/>
      <c r="AM617" s="18"/>
    </row>
    <row r="618" spans="4:39" ht="15.75" customHeight="1">
      <c r="D618" s="7"/>
      <c r="G618" s="35"/>
      <c r="H618" s="18"/>
      <c r="I618" s="34"/>
      <c r="J618" s="34"/>
      <c r="K618" s="18"/>
      <c r="L618" s="34"/>
      <c r="M618" s="34"/>
      <c r="N618" s="35"/>
      <c r="O618" s="34"/>
      <c r="P618" s="34"/>
      <c r="S618" s="36"/>
      <c r="T618" s="35"/>
      <c r="U618" s="37"/>
      <c r="V618" s="35"/>
      <c r="W618" s="40"/>
      <c r="X618" s="39"/>
      <c r="Y618" s="40"/>
      <c r="Z618" s="40"/>
      <c r="AA618" s="40"/>
      <c r="AB618" s="40"/>
      <c r="AC618" s="40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</row>
    <row r="619" spans="4:39" ht="15.75" customHeight="1">
      <c r="D619" s="7"/>
      <c r="G619" s="35"/>
      <c r="H619" s="18"/>
      <c r="I619" s="34"/>
      <c r="J619" s="34"/>
      <c r="K619" s="18"/>
      <c r="L619" s="34"/>
      <c r="M619" s="34"/>
      <c r="N619" s="35"/>
      <c r="O619" s="34"/>
      <c r="P619" s="34"/>
      <c r="S619" s="36"/>
      <c r="T619" s="35"/>
      <c r="U619" s="37"/>
      <c r="W619" s="39"/>
      <c r="X619" s="39"/>
      <c r="Y619" s="40"/>
      <c r="Z619" s="40"/>
      <c r="AA619" s="40"/>
      <c r="AB619" s="40"/>
      <c r="AC619" s="40"/>
      <c r="AD619" s="18"/>
      <c r="AE619" s="34"/>
      <c r="AF619" s="18"/>
      <c r="AG619" s="18"/>
      <c r="AH619" s="18"/>
      <c r="AI619" s="18"/>
      <c r="AJ619" s="18"/>
      <c r="AK619" s="34"/>
      <c r="AL619" s="34"/>
      <c r="AM619" s="18"/>
    </row>
    <row r="620" spans="4:39" ht="15.75" customHeight="1">
      <c r="D620" s="7"/>
      <c r="G620" s="35"/>
      <c r="H620" s="18"/>
      <c r="I620" s="34"/>
      <c r="J620" s="34"/>
      <c r="K620" s="18"/>
      <c r="L620" s="34"/>
      <c r="M620" s="34"/>
      <c r="N620" s="41"/>
      <c r="O620" s="34"/>
      <c r="P620" s="34"/>
      <c r="S620" s="36"/>
      <c r="T620" s="35"/>
      <c r="U620" s="37"/>
      <c r="V620" s="35"/>
      <c r="W620" s="40"/>
      <c r="X620" s="39"/>
      <c r="Y620" s="40"/>
      <c r="Z620" s="40"/>
      <c r="AA620" s="40"/>
      <c r="AB620" s="40"/>
      <c r="AC620" s="40"/>
      <c r="AD620" s="18"/>
      <c r="AE620" s="34"/>
      <c r="AF620" s="18"/>
      <c r="AG620" s="18"/>
      <c r="AH620" s="18"/>
      <c r="AI620" s="18"/>
      <c r="AJ620" s="18"/>
      <c r="AK620" s="34"/>
      <c r="AL620" s="18"/>
      <c r="AM620" s="34"/>
    </row>
    <row r="621" spans="4:39" ht="15.75" customHeight="1">
      <c r="D621" s="7"/>
      <c r="H621" s="18"/>
      <c r="I621" s="34"/>
      <c r="J621" s="34"/>
      <c r="K621" s="18"/>
      <c r="L621" s="34"/>
      <c r="M621" s="34"/>
      <c r="N621" s="41"/>
      <c r="O621" s="34"/>
      <c r="P621" s="34"/>
      <c r="S621" s="36"/>
      <c r="T621" s="35"/>
      <c r="U621" s="37"/>
      <c r="V621" s="35"/>
      <c r="W621" s="40"/>
      <c r="X621" s="39"/>
      <c r="Y621" s="40"/>
      <c r="Z621" s="40"/>
      <c r="AA621" s="40"/>
      <c r="AB621" s="40"/>
      <c r="AC621" s="40"/>
      <c r="AD621" s="18"/>
      <c r="AE621" s="34"/>
      <c r="AF621" s="18"/>
      <c r="AG621" s="18"/>
      <c r="AH621" s="18"/>
      <c r="AI621" s="18"/>
      <c r="AJ621" s="18"/>
      <c r="AK621" s="34"/>
      <c r="AL621" s="18"/>
      <c r="AM621" s="34"/>
    </row>
    <row r="622" spans="4:39" ht="15.75" customHeight="1">
      <c r="D622" s="7"/>
      <c r="G622" s="35"/>
      <c r="H622" s="18"/>
      <c r="I622" s="34"/>
      <c r="J622" s="34"/>
      <c r="K622" s="18"/>
      <c r="L622" s="34"/>
      <c r="M622" s="34"/>
      <c r="N622" s="35"/>
      <c r="O622" s="34"/>
      <c r="P622" s="34"/>
      <c r="S622" s="36"/>
      <c r="T622" s="35"/>
      <c r="U622" s="37"/>
      <c r="V622" s="35"/>
      <c r="W622" s="40"/>
      <c r="X622" s="39"/>
      <c r="Y622" s="40"/>
      <c r="Z622" s="40"/>
      <c r="AA622" s="40"/>
      <c r="AB622" s="40"/>
      <c r="AC622" s="40"/>
      <c r="AD622" s="18"/>
      <c r="AE622" s="34"/>
      <c r="AF622" s="18"/>
      <c r="AG622" s="18"/>
      <c r="AH622" s="18"/>
      <c r="AI622" s="18"/>
      <c r="AJ622" s="18"/>
      <c r="AK622" s="34"/>
      <c r="AL622" s="18"/>
      <c r="AM622" s="34"/>
    </row>
    <row r="623" spans="4:39" ht="15.75" customHeight="1">
      <c r="D623" s="7"/>
      <c r="G623" s="35"/>
      <c r="H623" s="18"/>
      <c r="I623" s="34"/>
      <c r="J623" s="34"/>
      <c r="K623" s="18"/>
      <c r="L623" s="34"/>
      <c r="M623" s="34"/>
      <c r="N623" s="35"/>
      <c r="O623" s="34"/>
      <c r="P623" s="34"/>
      <c r="S623" s="36"/>
      <c r="T623" s="35"/>
      <c r="U623" s="37"/>
      <c r="W623" s="39"/>
      <c r="X623" s="39"/>
      <c r="Y623" s="40"/>
      <c r="Z623" s="40"/>
      <c r="AA623" s="40"/>
      <c r="AB623" s="40"/>
      <c r="AC623" s="40"/>
      <c r="AD623" s="18"/>
      <c r="AE623" s="34"/>
      <c r="AF623" s="18"/>
      <c r="AG623" s="18"/>
      <c r="AH623" s="18"/>
      <c r="AI623" s="18"/>
      <c r="AJ623" s="18"/>
      <c r="AK623" s="34"/>
      <c r="AL623" s="18"/>
      <c r="AM623" s="34"/>
    </row>
    <row r="624" spans="4:39" ht="15.75" customHeight="1">
      <c r="D624" s="7"/>
      <c r="G624" s="35"/>
      <c r="H624" s="18"/>
      <c r="I624" s="34"/>
      <c r="J624" s="34"/>
      <c r="K624" s="18"/>
      <c r="L624" s="34"/>
      <c r="M624" s="34"/>
      <c r="N624" s="35"/>
      <c r="O624" s="34"/>
      <c r="P624" s="34"/>
      <c r="S624" s="36"/>
      <c r="T624" s="35"/>
      <c r="U624" s="37"/>
      <c r="V624" s="35"/>
      <c r="W624" s="40"/>
      <c r="X624" s="39"/>
      <c r="Y624" s="40"/>
      <c r="Z624" s="40"/>
      <c r="AA624" s="40"/>
      <c r="AB624" s="40"/>
      <c r="AC624" s="40"/>
      <c r="AD624" s="18"/>
      <c r="AE624" s="34"/>
      <c r="AF624" s="18"/>
      <c r="AG624" s="18"/>
      <c r="AH624" s="18"/>
      <c r="AI624" s="18"/>
      <c r="AJ624" s="18"/>
      <c r="AK624" s="34"/>
      <c r="AL624" s="18"/>
      <c r="AM624" s="34"/>
    </row>
    <row r="625" spans="4:39" ht="15.75" customHeight="1">
      <c r="D625" s="7"/>
      <c r="G625" s="35"/>
      <c r="H625" s="18"/>
      <c r="I625" s="34"/>
      <c r="J625" s="34"/>
      <c r="K625" s="18"/>
      <c r="L625" s="34"/>
      <c r="M625" s="34"/>
      <c r="N625" s="35"/>
      <c r="O625" s="34"/>
      <c r="P625" s="34"/>
      <c r="S625" s="36"/>
      <c r="T625" s="35"/>
      <c r="U625" s="37"/>
      <c r="V625" s="35"/>
      <c r="W625" s="40"/>
      <c r="X625" s="39"/>
      <c r="Y625" s="40"/>
      <c r="Z625" s="40"/>
      <c r="AA625" s="40"/>
      <c r="AB625" s="40"/>
      <c r="AC625" s="40"/>
      <c r="AD625" s="18"/>
      <c r="AE625" s="34"/>
      <c r="AF625" s="18"/>
      <c r="AG625" s="18"/>
      <c r="AH625" s="18"/>
      <c r="AI625" s="18"/>
      <c r="AJ625" s="18"/>
      <c r="AK625" s="34"/>
      <c r="AL625" s="18"/>
      <c r="AM625" s="34"/>
    </row>
    <row r="626" spans="4:39" ht="15.75" customHeight="1">
      <c r="D626" s="7"/>
      <c r="G626" s="35"/>
      <c r="H626" s="18"/>
      <c r="I626" s="34"/>
      <c r="J626" s="34"/>
      <c r="K626" s="18"/>
      <c r="L626" s="34"/>
      <c r="M626" s="34"/>
      <c r="N626" s="35"/>
      <c r="O626" s="34"/>
      <c r="P626" s="34"/>
      <c r="S626" s="36"/>
      <c r="T626" s="35"/>
      <c r="U626" s="37"/>
      <c r="V626" s="35"/>
      <c r="W626" s="40"/>
      <c r="X626" s="39"/>
      <c r="Y626" s="40"/>
      <c r="Z626" s="40"/>
      <c r="AA626" s="40"/>
      <c r="AB626" s="40"/>
      <c r="AC626" s="40"/>
      <c r="AD626" s="18"/>
      <c r="AE626" s="34"/>
      <c r="AF626" s="18"/>
      <c r="AG626" s="18"/>
      <c r="AH626" s="18"/>
      <c r="AI626" s="18"/>
      <c r="AJ626" s="18"/>
      <c r="AK626" s="34"/>
      <c r="AL626" s="18"/>
      <c r="AM626" s="34"/>
    </row>
    <row r="627" spans="4:39" ht="15.75" customHeight="1">
      <c r="D627" s="7"/>
      <c r="G627" s="35"/>
      <c r="H627" s="18"/>
      <c r="I627" s="34"/>
      <c r="J627" s="34"/>
      <c r="K627" s="18"/>
      <c r="L627" s="34"/>
      <c r="M627" s="34"/>
      <c r="N627" s="35"/>
      <c r="O627" s="34"/>
      <c r="P627" s="34"/>
      <c r="S627" s="36"/>
      <c r="T627" s="35"/>
      <c r="U627" s="37"/>
      <c r="V627" s="35"/>
      <c r="W627" s="40"/>
      <c r="X627" s="39"/>
      <c r="Y627" s="40"/>
      <c r="Z627" s="40"/>
      <c r="AA627" s="40"/>
      <c r="AB627" s="40"/>
      <c r="AC627" s="40"/>
      <c r="AD627" s="18"/>
      <c r="AE627" s="34"/>
      <c r="AF627" s="18"/>
      <c r="AG627" s="18"/>
      <c r="AH627" s="18"/>
      <c r="AI627" s="18"/>
      <c r="AJ627" s="18"/>
      <c r="AK627" s="34"/>
      <c r="AL627" s="18"/>
      <c r="AM627" s="34"/>
    </row>
    <row r="628" spans="4:39" ht="15.75" customHeight="1">
      <c r="D628" s="7"/>
      <c r="G628" s="35"/>
      <c r="H628" s="18"/>
      <c r="I628" s="34"/>
      <c r="J628" s="34"/>
      <c r="K628" s="18"/>
      <c r="L628" s="34"/>
      <c r="M628" s="34"/>
      <c r="N628" s="35"/>
      <c r="O628" s="34"/>
      <c r="P628" s="34"/>
      <c r="S628" s="36"/>
      <c r="T628" s="35"/>
      <c r="U628" s="37"/>
      <c r="V628" s="35"/>
      <c r="W628" s="40"/>
      <c r="X628" s="39"/>
      <c r="Y628" s="40"/>
      <c r="Z628" s="40"/>
      <c r="AA628" s="40"/>
      <c r="AB628" s="40"/>
      <c r="AC628" s="40"/>
      <c r="AD628" s="18"/>
      <c r="AE628" s="34"/>
      <c r="AF628" s="18"/>
      <c r="AG628" s="18"/>
      <c r="AH628" s="18"/>
      <c r="AI628" s="18"/>
      <c r="AJ628" s="18"/>
      <c r="AK628" s="34"/>
      <c r="AL628" s="18"/>
      <c r="AM628" s="34"/>
    </row>
    <row r="629" spans="4:39" ht="15.75" customHeight="1">
      <c r="D629" s="7"/>
      <c r="H629" s="18"/>
      <c r="I629" s="34"/>
      <c r="J629" s="34"/>
      <c r="K629" s="18"/>
      <c r="L629" s="34"/>
      <c r="M629" s="34"/>
      <c r="N629" s="35"/>
      <c r="O629" s="34"/>
      <c r="P629" s="34"/>
      <c r="S629" s="36"/>
      <c r="T629" s="35"/>
      <c r="U629" s="37"/>
      <c r="V629" s="35"/>
      <c r="W629" s="40"/>
      <c r="X629" s="39"/>
      <c r="Y629" s="40"/>
      <c r="Z629" s="40"/>
      <c r="AA629" s="40"/>
      <c r="AB629" s="40"/>
      <c r="AC629" s="40"/>
      <c r="AD629" s="18"/>
      <c r="AE629" s="34"/>
      <c r="AF629" s="18"/>
      <c r="AG629" s="18"/>
      <c r="AH629" s="18"/>
      <c r="AI629" s="18"/>
      <c r="AJ629" s="18"/>
      <c r="AK629" s="34"/>
      <c r="AL629" s="18"/>
      <c r="AM629" s="34"/>
    </row>
    <row r="630" spans="4:39" ht="15.75" customHeight="1">
      <c r="D630" s="7"/>
      <c r="H630" s="34"/>
      <c r="I630" s="34"/>
      <c r="J630" s="34"/>
      <c r="K630" s="18"/>
      <c r="L630" s="34"/>
      <c r="M630" s="34"/>
      <c r="N630" s="35"/>
      <c r="O630" s="34"/>
      <c r="P630" s="34"/>
      <c r="S630" s="36"/>
      <c r="T630" s="35"/>
      <c r="U630" s="37"/>
      <c r="W630" s="39"/>
      <c r="X630" s="39"/>
      <c r="Y630" s="40"/>
      <c r="Z630" s="40"/>
      <c r="AA630" s="40"/>
      <c r="AB630" s="40"/>
      <c r="AC630" s="40"/>
      <c r="AD630" s="18"/>
      <c r="AE630" s="18"/>
      <c r="AF630" s="18"/>
      <c r="AG630" s="18"/>
      <c r="AH630" s="18"/>
      <c r="AI630" s="18"/>
      <c r="AJ630" s="34"/>
      <c r="AK630" s="34"/>
      <c r="AL630" s="34"/>
      <c r="AM630" s="18"/>
    </row>
    <row r="631" spans="4:39" ht="15.75" customHeight="1">
      <c r="D631" s="7"/>
      <c r="H631" s="18"/>
      <c r="I631" s="34"/>
      <c r="J631" s="34"/>
      <c r="K631" s="18"/>
      <c r="L631" s="34"/>
      <c r="M631" s="34"/>
      <c r="N631" s="35"/>
      <c r="O631" s="34"/>
      <c r="P631" s="34"/>
      <c r="S631" s="36"/>
      <c r="T631" s="35"/>
      <c r="U631" s="37"/>
      <c r="W631" s="39"/>
      <c r="X631" s="39"/>
      <c r="Y631" s="40"/>
      <c r="Z631" s="40"/>
      <c r="AA631" s="40"/>
      <c r="AB631" s="40"/>
      <c r="AC631" s="40"/>
      <c r="AD631" s="18"/>
      <c r="AE631" s="18"/>
      <c r="AF631" s="18"/>
      <c r="AG631" s="18"/>
      <c r="AH631" s="18"/>
      <c r="AI631" s="18"/>
      <c r="AJ631" s="34"/>
      <c r="AK631" s="34"/>
      <c r="AL631" s="34"/>
      <c r="AM631" s="18"/>
    </row>
    <row r="632" spans="4:39" ht="15.75" customHeight="1">
      <c r="D632" s="7"/>
      <c r="H632" s="18"/>
      <c r="I632" s="34"/>
      <c r="J632" s="34"/>
      <c r="K632" s="18"/>
      <c r="L632" s="34"/>
      <c r="M632" s="34"/>
      <c r="N632" s="35"/>
      <c r="O632" s="34"/>
      <c r="P632" s="34"/>
      <c r="S632" s="36"/>
      <c r="T632" s="35"/>
      <c r="U632" s="37"/>
      <c r="W632" s="39"/>
      <c r="X632" s="39"/>
      <c r="Y632" s="40"/>
      <c r="Z632" s="40"/>
      <c r="AA632" s="40"/>
      <c r="AB632" s="40"/>
      <c r="AC632" s="40"/>
      <c r="AD632" s="18"/>
      <c r="AE632" s="18"/>
      <c r="AF632" s="18"/>
      <c r="AG632" s="18"/>
      <c r="AH632" s="18"/>
      <c r="AI632" s="18"/>
      <c r="AJ632" s="34"/>
      <c r="AK632" s="34"/>
      <c r="AL632" s="34"/>
      <c r="AM632" s="34"/>
    </row>
    <row r="633" spans="4:39" ht="15.75" customHeight="1">
      <c r="D633" s="7"/>
      <c r="H633" s="18"/>
      <c r="I633" s="34"/>
      <c r="J633" s="34"/>
      <c r="K633" s="18"/>
      <c r="L633" s="34"/>
      <c r="M633" s="34"/>
      <c r="N633" s="35"/>
      <c r="O633" s="34"/>
      <c r="P633" s="34"/>
      <c r="S633" s="36"/>
      <c r="T633" s="35"/>
      <c r="U633" s="37"/>
      <c r="W633" s="39"/>
      <c r="X633" s="39"/>
      <c r="Y633" s="40"/>
      <c r="Z633" s="40"/>
      <c r="AA633" s="40"/>
      <c r="AB633" s="40"/>
      <c r="AC633" s="40"/>
      <c r="AD633" s="18"/>
      <c r="AE633" s="34"/>
      <c r="AF633" s="18"/>
      <c r="AG633" s="18"/>
      <c r="AH633" s="18"/>
      <c r="AI633" s="18"/>
      <c r="AJ633" s="34"/>
      <c r="AK633" s="34"/>
      <c r="AL633" s="34"/>
      <c r="AM633" s="34"/>
    </row>
    <row r="634" spans="4:39" ht="15.75" customHeight="1">
      <c r="D634" s="7"/>
      <c r="H634" s="18"/>
      <c r="I634" s="34"/>
      <c r="J634" s="34"/>
      <c r="K634" s="18"/>
      <c r="L634" s="34"/>
      <c r="M634" s="34"/>
      <c r="N634" s="35"/>
      <c r="O634" s="34"/>
      <c r="P634" s="34"/>
      <c r="S634" s="36"/>
      <c r="T634" s="35"/>
      <c r="U634" s="37"/>
      <c r="W634" s="39"/>
      <c r="X634" s="39"/>
      <c r="Y634" s="40"/>
      <c r="Z634" s="40"/>
      <c r="AA634" s="40"/>
      <c r="AB634" s="40"/>
      <c r="AC634" s="40"/>
      <c r="AD634" s="18"/>
      <c r="AE634" s="34"/>
      <c r="AF634" s="18"/>
      <c r="AG634" s="18"/>
      <c r="AH634" s="18"/>
      <c r="AI634" s="18"/>
      <c r="AJ634" s="34"/>
      <c r="AK634" s="34"/>
      <c r="AL634" s="34"/>
      <c r="AM634" s="34"/>
    </row>
    <row r="635" spans="4:39" ht="15.75" customHeight="1">
      <c r="D635" s="7"/>
      <c r="H635" s="18"/>
      <c r="I635" s="34"/>
      <c r="J635" s="34"/>
      <c r="K635" s="18"/>
      <c r="L635" s="34"/>
      <c r="M635" s="34"/>
      <c r="N635" s="35"/>
      <c r="O635" s="34"/>
      <c r="P635" s="34"/>
      <c r="S635" s="36"/>
      <c r="T635" s="35"/>
      <c r="U635" s="37"/>
      <c r="W635" s="39"/>
      <c r="X635" s="39"/>
      <c r="Y635" s="40"/>
      <c r="Z635" s="40"/>
      <c r="AA635" s="40"/>
      <c r="AB635" s="40"/>
      <c r="AC635" s="40"/>
      <c r="AD635" s="18"/>
      <c r="AE635" s="34"/>
      <c r="AF635" s="18"/>
      <c r="AG635" s="18"/>
      <c r="AH635" s="18"/>
      <c r="AI635" s="18"/>
      <c r="AJ635" s="34"/>
      <c r="AK635" s="34"/>
      <c r="AL635" s="34"/>
      <c r="AM635" s="34"/>
    </row>
    <row r="636" spans="4:39" ht="15.75" customHeight="1">
      <c r="D636" s="7"/>
      <c r="H636" s="18"/>
      <c r="I636" s="34"/>
      <c r="J636" s="34"/>
      <c r="K636" s="18"/>
      <c r="L636" s="34"/>
      <c r="M636" s="34"/>
      <c r="N636" s="35"/>
      <c r="O636" s="34"/>
      <c r="P636" s="34"/>
      <c r="S636" s="36"/>
      <c r="T636" s="35"/>
      <c r="U636" s="37"/>
      <c r="W636" s="39"/>
      <c r="X636" s="39"/>
      <c r="Y636" s="40"/>
      <c r="Z636" s="40"/>
      <c r="AA636" s="40"/>
      <c r="AB636" s="40"/>
      <c r="AC636" s="40"/>
      <c r="AD636" s="18"/>
      <c r="AE636" s="34"/>
      <c r="AF636" s="18"/>
      <c r="AG636" s="18"/>
      <c r="AH636" s="18"/>
      <c r="AI636" s="18"/>
      <c r="AJ636" s="34"/>
      <c r="AK636" s="34"/>
      <c r="AL636" s="34"/>
      <c r="AM636" s="34"/>
    </row>
    <row r="637" spans="4:39" ht="15.75" customHeight="1">
      <c r="D637" s="7"/>
      <c r="H637" s="18"/>
      <c r="I637" s="34"/>
      <c r="J637" s="34"/>
      <c r="K637" s="18"/>
      <c r="L637" s="34"/>
      <c r="M637" s="34"/>
      <c r="N637" s="35"/>
      <c r="O637" s="34"/>
      <c r="P637" s="34"/>
      <c r="S637" s="36"/>
      <c r="T637" s="35"/>
      <c r="U637" s="37"/>
      <c r="W637" s="39"/>
      <c r="X637" s="39"/>
      <c r="Y637" s="40"/>
      <c r="Z637" s="40"/>
      <c r="AA637" s="40"/>
      <c r="AB637" s="40"/>
      <c r="AC637" s="40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 spans="4:39" ht="15.75" customHeight="1">
      <c r="D638" s="7"/>
      <c r="H638" s="18"/>
      <c r="I638" s="34"/>
      <c r="J638" s="34"/>
      <c r="K638" s="18"/>
      <c r="L638" s="34"/>
      <c r="M638" s="34"/>
      <c r="N638" s="35"/>
      <c r="O638" s="34"/>
      <c r="P638" s="34"/>
      <c r="S638" s="36"/>
      <c r="T638" s="35"/>
      <c r="U638" s="37"/>
      <c r="W638" s="39"/>
      <c r="X638" s="39"/>
      <c r="Y638" s="40"/>
      <c r="Z638" s="40"/>
      <c r="AA638" s="40"/>
      <c r="AB638" s="40"/>
      <c r="AC638" s="40"/>
      <c r="AD638" s="18"/>
      <c r="AE638" s="34"/>
      <c r="AF638" s="18"/>
      <c r="AG638" s="18"/>
      <c r="AH638" s="18"/>
      <c r="AI638" s="18"/>
      <c r="AJ638" s="18"/>
      <c r="AK638" s="34"/>
      <c r="AL638" s="18"/>
      <c r="AM638" s="34"/>
    </row>
    <row r="639" spans="4:39" ht="15.75" customHeight="1">
      <c r="D639" s="7"/>
      <c r="H639" s="18"/>
      <c r="I639" s="34"/>
      <c r="J639" s="34"/>
      <c r="K639" s="18"/>
      <c r="L639" s="34"/>
      <c r="M639" s="34"/>
      <c r="N639" s="35"/>
      <c r="O639" s="34"/>
      <c r="P639" s="34"/>
      <c r="S639" s="36"/>
      <c r="T639" s="35"/>
      <c r="U639" s="37"/>
      <c r="W639" s="39"/>
      <c r="X639" s="39"/>
      <c r="Y639" s="40"/>
      <c r="Z639" s="40"/>
      <c r="AA639" s="40"/>
      <c r="AB639" s="40"/>
      <c r="AC639" s="40"/>
      <c r="AD639" s="18"/>
      <c r="AE639" s="34"/>
      <c r="AF639" s="18"/>
      <c r="AG639" s="18"/>
      <c r="AH639" s="18"/>
      <c r="AI639" s="18"/>
      <c r="AJ639" s="18"/>
      <c r="AK639" s="34"/>
      <c r="AL639" s="18"/>
      <c r="AM639" s="34"/>
    </row>
    <row r="640" spans="4:39" ht="15.75" customHeight="1">
      <c r="D640" s="7"/>
      <c r="H640" s="18"/>
      <c r="I640" s="34"/>
      <c r="J640" s="34"/>
      <c r="K640" s="18"/>
      <c r="L640" s="34"/>
      <c r="M640" s="34"/>
      <c r="N640" s="35"/>
      <c r="O640" s="34"/>
      <c r="P640" s="34"/>
      <c r="S640" s="36"/>
      <c r="T640" s="35"/>
      <c r="U640" s="37"/>
      <c r="W640" s="39"/>
      <c r="X640" s="39"/>
      <c r="Y640" s="40"/>
      <c r="Z640" s="40"/>
      <c r="AA640" s="40"/>
      <c r="AB640" s="40"/>
      <c r="AC640" s="40"/>
      <c r="AD640" s="18"/>
      <c r="AE640" s="34"/>
      <c r="AF640" s="18"/>
      <c r="AG640" s="18"/>
      <c r="AH640" s="18"/>
      <c r="AI640" s="18"/>
      <c r="AJ640" s="18"/>
      <c r="AK640" s="34"/>
      <c r="AL640" s="18"/>
      <c r="AM640" s="34"/>
    </row>
    <row r="641" spans="4:39" ht="15.75" customHeight="1">
      <c r="D641" s="7"/>
      <c r="H641" s="18"/>
      <c r="I641" s="34"/>
      <c r="J641" s="34"/>
      <c r="K641" s="18"/>
      <c r="L641" s="34"/>
      <c r="M641" s="34"/>
      <c r="N641" s="35"/>
      <c r="O641" s="34"/>
      <c r="P641" s="34"/>
      <c r="S641" s="36"/>
      <c r="T641" s="35"/>
      <c r="U641" s="37"/>
      <c r="W641" s="39"/>
      <c r="X641" s="39"/>
      <c r="Y641" s="40"/>
      <c r="Z641" s="40"/>
      <c r="AA641" s="40"/>
      <c r="AB641" s="40"/>
      <c r="AC641" s="40"/>
      <c r="AD641" s="18"/>
      <c r="AE641" s="18"/>
      <c r="AF641" s="18"/>
      <c r="AG641" s="18"/>
      <c r="AH641" s="18"/>
      <c r="AI641" s="18"/>
      <c r="AJ641" s="18"/>
      <c r="AK641" s="18"/>
      <c r="AL641" s="18"/>
      <c r="AM641" s="34"/>
    </row>
    <row r="642" spans="4:39" ht="15.75" customHeight="1">
      <c r="D642" s="7"/>
      <c r="H642" s="18"/>
      <c r="I642" s="34"/>
      <c r="J642" s="34"/>
      <c r="K642" s="18"/>
      <c r="L642" s="34"/>
      <c r="M642" s="34"/>
      <c r="N642" s="35"/>
      <c r="O642" s="34"/>
      <c r="P642" s="34"/>
      <c r="S642" s="36"/>
      <c r="T642" s="35"/>
      <c r="U642" s="37"/>
      <c r="W642" s="39"/>
      <c r="X642" s="39"/>
      <c r="Y642" s="40"/>
      <c r="Z642" s="40"/>
      <c r="AA642" s="40"/>
      <c r="AB642" s="40"/>
      <c r="AC642" s="40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</row>
    <row r="643" spans="4:39" ht="15.75" customHeight="1">
      <c r="D643" s="7"/>
      <c r="H643" s="18"/>
      <c r="I643" s="34"/>
      <c r="J643" s="34"/>
      <c r="K643" s="18"/>
      <c r="L643" s="34"/>
      <c r="M643" s="34"/>
      <c r="N643" s="35"/>
      <c r="O643" s="34"/>
      <c r="P643" s="34"/>
      <c r="S643" s="36"/>
      <c r="T643" s="35"/>
      <c r="U643" s="37"/>
      <c r="W643" s="39"/>
      <c r="X643" s="39"/>
      <c r="Y643" s="40"/>
      <c r="Z643" s="40"/>
      <c r="AA643" s="40"/>
      <c r="AB643" s="40"/>
      <c r="AC643" s="40"/>
      <c r="AD643" s="18"/>
      <c r="AE643" s="18"/>
      <c r="AF643" s="18"/>
      <c r="AG643" s="18"/>
      <c r="AH643" s="18"/>
      <c r="AI643" s="18"/>
      <c r="AJ643" s="34"/>
      <c r="AK643" s="34"/>
      <c r="AL643" s="18"/>
      <c r="AM643" s="18"/>
    </row>
    <row r="644" spans="4:39" ht="15.75" customHeight="1">
      <c r="D644" s="7"/>
      <c r="H644" s="18"/>
      <c r="I644" s="34"/>
      <c r="J644" s="34"/>
      <c r="K644" s="18"/>
      <c r="L644" s="34"/>
      <c r="M644" s="34"/>
      <c r="N644" s="35"/>
      <c r="O644" s="34"/>
      <c r="P644" s="34"/>
      <c r="S644" s="36"/>
      <c r="T644" s="35"/>
      <c r="U644" s="37"/>
      <c r="W644" s="39"/>
      <c r="X644" s="39"/>
      <c r="Y644" s="40"/>
      <c r="Z644" s="40"/>
      <c r="AA644" s="40"/>
      <c r="AB644" s="40"/>
      <c r="AC644" s="40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</row>
    <row r="645" spans="4:39" ht="15.75" customHeight="1">
      <c r="D645" s="7"/>
      <c r="H645" s="18"/>
      <c r="I645" s="34"/>
      <c r="J645" s="34"/>
      <c r="K645" s="18"/>
      <c r="L645" s="34"/>
      <c r="M645" s="34"/>
      <c r="N645" s="35"/>
      <c r="O645" s="34"/>
      <c r="P645" s="34"/>
      <c r="S645" s="36"/>
      <c r="T645" s="35"/>
      <c r="U645" s="37"/>
      <c r="W645" s="39"/>
      <c r="X645" s="39"/>
      <c r="Y645" s="40"/>
      <c r="Z645" s="40"/>
      <c r="AA645" s="40"/>
      <c r="AB645" s="40"/>
      <c r="AC645" s="40"/>
      <c r="AD645" s="18"/>
      <c r="AE645" s="18"/>
      <c r="AF645" s="18"/>
      <c r="AG645" s="18"/>
      <c r="AH645" s="18"/>
      <c r="AI645" s="18"/>
      <c r="AJ645" s="34"/>
      <c r="AK645" s="34"/>
      <c r="AL645" s="18"/>
      <c r="AM645" s="18"/>
    </row>
    <row r="646" spans="4:39" ht="15.75" customHeight="1">
      <c r="D646" s="7"/>
      <c r="H646" s="18"/>
      <c r="I646" s="34"/>
      <c r="J646" s="34"/>
      <c r="K646" s="18"/>
      <c r="L646" s="34"/>
      <c r="M646" s="34"/>
      <c r="N646" s="35"/>
      <c r="O646" s="34"/>
      <c r="P646" s="34"/>
      <c r="S646" s="36"/>
      <c r="T646" s="35"/>
      <c r="U646" s="37"/>
      <c r="W646" s="39"/>
      <c r="X646" s="39"/>
      <c r="Y646" s="40"/>
      <c r="Z646" s="40"/>
      <c r="AA646" s="40"/>
      <c r="AB646" s="40"/>
      <c r="AC646" s="40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</row>
    <row r="647" spans="4:39" ht="15.75" customHeight="1">
      <c r="D647" s="7"/>
      <c r="G647" s="35"/>
      <c r="H647" s="18"/>
      <c r="I647" s="34"/>
      <c r="J647" s="34"/>
      <c r="K647" s="18"/>
      <c r="L647" s="34"/>
      <c r="M647" s="34"/>
      <c r="N647" s="35"/>
      <c r="O647" s="34"/>
      <c r="P647" s="34"/>
      <c r="S647" s="36"/>
      <c r="T647" s="35"/>
      <c r="U647" s="37"/>
      <c r="V647" s="35"/>
      <c r="W647" s="40"/>
      <c r="X647" s="39"/>
      <c r="Y647" s="40"/>
      <c r="Z647" s="40"/>
      <c r="AA647" s="40"/>
      <c r="AB647" s="40"/>
      <c r="AC647" s="40"/>
      <c r="AD647" s="18"/>
      <c r="AE647" s="34"/>
      <c r="AF647" s="18"/>
      <c r="AG647" s="18"/>
      <c r="AH647" s="18"/>
      <c r="AI647" s="18"/>
      <c r="AJ647" s="18"/>
      <c r="AK647" s="34"/>
      <c r="AL647" s="34"/>
      <c r="AM647" s="34"/>
    </row>
    <row r="648" spans="4:39" ht="15.75" customHeight="1">
      <c r="D648" s="7"/>
      <c r="G648" s="35"/>
      <c r="H648" s="18"/>
      <c r="I648" s="34"/>
      <c r="J648" s="34"/>
      <c r="K648" s="18"/>
      <c r="L648" s="34"/>
      <c r="M648" s="34"/>
      <c r="N648" s="35"/>
      <c r="O648" s="34"/>
      <c r="P648" s="34"/>
      <c r="S648" s="36"/>
      <c r="T648" s="35"/>
      <c r="U648" s="37"/>
      <c r="V648" s="35"/>
      <c r="W648" s="40"/>
      <c r="X648" s="39"/>
      <c r="Y648" s="40"/>
      <c r="Z648" s="40"/>
      <c r="AA648" s="40"/>
      <c r="AB648" s="40"/>
      <c r="AC648" s="40"/>
      <c r="AD648" s="18"/>
      <c r="AE648" s="34"/>
      <c r="AF648" s="18"/>
      <c r="AG648" s="18"/>
      <c r="AH648" s="18"/>
      <c r="AI648" s="18"/>
      <c r="AJ648" s="18"/>
      <c r="AK648" s="34"/>
      <c r="AL648" s="34"/>
      <c r="AM648" s="34"/>
    </row>
    <row r="649" spans="4:39" ht="15.75" customHeight="1">
      <c r="D649" s="7"/>
      <c r="G649" s="35"/>
      <c r="H649" s="18"/>
      <c r="I649" s="34"/>
      <c r="J649" s="34"/>
      <c r="K649" s="18"/>
      <c r="L649" s="34"/>
      <c r="M649" s="34"/>
      <c r="N649" s="35"/>
      <c r="O649" s="34"/>
      <c r="P649" s="34"/>
      <c r="S649" s="36"/>
      <c r="T649" s="35"/>
      <c r="U649" s="37"/>
      <c r="V649" s="35"/>
      <c r="W649" s="40"/>
      <c r="X649" s="39"/>
      <c r="Y649" s="40"/>
      <c r="Z649" s="40"/>
      <c r="AA649" s="40"/>
      <c r="AB649" s="40"/>
      <c r="AC649" s="40"/>
      <c r="AD649" s="18"/>
      <c r="AE649" s="18"/>
      <c r="AF649" s="18"/>
      <c r="AG649" s="18"/>
      <c r="AH649" s="18"/>
      <c r="AI649" s="18"/>
      <c r="AJ649" s="18"/>
      <c r="AK649" s="18"/>
      <c r="AL649" s="34"/>
      <c r="AM649" s="34"/>
    </row>
    <row r="650" spans="4:39" ht="15.75" customHeight="1">
      <c r="D650" s="7"/>
      <c r="G650" s="35"/>
      <c r="H650" s="18"/>
      <c r="I650" s="34"/>
      <c r="J650" s="34"/>
      <c r="K650" s="18"/>
      <c r="L650" s="34"/>
      <c r="M650" s="34"/>
      <c r="N650" s="35"/>
      <c r="O650" s="34"/>
      <c r="P650" s="34"/>
      <c r="S650" s="36"/>
      <c r="T650" s="35"/>
      <c r="U650" s="37"/>
      <c r="V650" s="35"/>
      <c r="W650" s="40"/>
      <c r="X650" s="39"/>
      <c r="Y650" s="40"/>
      <c r="Z650" s="40"/>
      <c r="AA650" s="40"/>
      <c r="AB650" s="40"/>
      <c r="AC650" s="40"/>
      <c r="AD650" s="18"/>
      <c r="AE650" s="18"/>
      <c r="AF650" s="18"/>
      <c r="AG650" s="18"/>
      <c r="AH650" s="18"/>
      <c r="AI650" s="18"/>
      <c r="AJ650" s="18"/>
      <c r="AK650" s="18"/>
      <c r="AL650" s="34"/>
      <c r="AM650" s="34"/>
    </row>
    <row r="651" spans="4:39" ht="15.75" customHeight="1">
      <c r="D651" s="7"/>
      <c r="G651" s="35"/>
      <c r="H651" s="18"/>
      <c r="I651" s="34"/>
      <c r="J651" s="34"/>
      <c r="K651" s="18"/>
      <c r="L651" s="34"/>
      <c r="M651" s="34"/>
      <c r="N651" s="35"/>
      <c r="O651" s="34"/>
      <c r="P651" s="34"/>
      <c r="S651" s="36"/>
      <c r="T651" s="35"/>
      <c r="U651" s="37"/>
      <c r="V651" s="35"/>
      <c r="W651" s="40"/>
      <c r="X651" s="39"/>
      <c r="Y651" s="40"/>
      <c r="Z651" s="40"/>
      <c r="AA651" s="40"/>
      <c r="AB651" s="40"/>
      <c r="AC651" s="40"/>
      <c r="AD651" s="18"/>
      <c r="AE651" s="34"/>
      <c r="AF651" s="18"/>
      <c r="AG651" s="18"/>
      <c r="AH651" s="18"/>
      <c r="AI651" s="18"/>
      <c r="AJ651" s="18"/>
      <c r="AK651" s="34"/>
      <c r="AL651" s="18"/>
      <c r="AM651" s="34"/>
    </row>
    <row r="652" spans="4:39" ht="15.75" customHeight="1">
      <c r="D652" s="7"/>
      <c r="H652" s="18"/>
      <c r="I652" s="34"/>
      <c r="J652" s="34"/>
      <c r="K652" s="18"/>
      <c r="L652" s="34"/>
      <c r="M652" s="34"/>
      <c r="N652" s="35"/>
      <c r="O652" s="34"/>
      <c r="P652" s="34"/>
      <c r="S652" s="36"/>
      <c r="T652" s="35"/>
      <c r="U652" s="37"/>
      <c r="W652" s="39"/>
      <c r="X652" s="39"/>
      <c r="Y652" s="40"/>
      <c r="Z652" s="40"/>
      <c r="AA652" s="40"/>
      <c r="AB652" s="40"/>
      <c r="AC652" s="40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</row>
    <row r="653" spans="4:39" ht="15.75" customHeight="1">
      <c r="D653" s="7"/>
      <c r="H653" s="18"/>
      <c r="I653" s="34"/>
      <c r="J653" s="34"/>
      <c r="K653" s="18"/>
      <c r="L653" s="34"/>
      <c r="M653" s="34"/>
      <c r="N653" s="35"/>
      <c r="O653" s="34"/>
      <c r="P653" s="34"/>
      <c r="S653" s="36"/>
      <c r="T653" s="35"/>
      <c r="U653" s="37"/>
      <c r="W653" s="39"/>
      <c r="X653" s="39"/>
      <c r="Y653" s="40"/>
      <c r="Z653" s="40"/>
      <c r="AA653" s="40"/>
      <c r="AB653" s="40"/>
      <c r="AC653" s="40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 spans="4:39" ht="15.75" customHeight="1">
      <c r="D654" s="7"/>
      <c r="H654" s="18"/>
      <c r="I654" s="34"/>
      <c r="J654" s="34"/>
      <c r="K654" s="18"/>
      <c r="L654" s="34"/>
      <c r="M654" s="34"/>
      <c r="N654" s="35"/>
      <c r="O654" s="34"/>
      <c r="P654" s="34"/>
      <c r="S654" s="36"/>
      <c r="T654" s="35"/>
      <c r="U654" s="37"/>
      <c r="W654" s="39"/>
      <c r="X654" s="39"/>
      <c r="Y654" s="40"/>
      <c r="Z654" s="40"/>
      <c r="AA654" s="40"/>
      <c r="AB654" s="40"/>
      <c r="AC654" s="40"/>
      <c r="AD654" s="18"/>
      <c r="AE654" s="34"/>
      <c r="AF654" s="18"/>
      <c r="AG654" s="18"/>
      <c r="AH654" s="18"/>
      <c r="AI654" s="18"/>
      <c r="AJ654" s="18"/>
      <c r="AK654" s="34"/>
      <c r="AL654" s="18"/>
      <c r="AM654" s="34"/>
    </row>
    <row r="655" spans="4:39" ht="15.75" customHeight="1">
      <c r="D655" s="7"/>
      <c r="H655" s="18"/>
      <c r="I655" s="34"/>
      <c r="J655" s="34"/>
      <c r="K655" s="18"/>
      <c r="L655" s="34"/>
      <c r="M655" s="34"/>
      <c r="N655" s="35"/>
      <c r="O655" s="34"/>
      <c r="P655" s="34"/>
      <c r="S655" s="36"/>
      <c r="T655" s="35"/>
      <c r="U655" s="37"/>
      <c r="W655" s="39"/>
      <c r="X655" s="39"/>
      <c r="Y655" s="40"/>
      <c r="Z655" s="40"/>
      <c r="AA655" s="40"/>
      <c r="AB655" s="40"/>
      <c r="AC655" s="40"/>
      <c r="AD655" s="18"/>
      <c r="AE655" s="34"/>
      <c r="AF655" s="18"/>
      <c r="AG655" s="18"/>
      <c r="AH655" s="18"/>
      <c r="AI655" s="18"/>
      <c r="AJ655" s="18"/>
      <c r="AK655" s="34"/>
      <c r="AL655" s="18"/>
      <c r="AM655" s="34"/>
    </row>
    <row r="656" spans="4:39" ht="15.75" customHeight="1">
      <c r="D656" s="7"/>
      <c r="H656" s="18"/>
      <c r="I656" s="34"/>
      <c r="J656" s="34"/>
      <c r="K656" s="18"/>
      <c r="L656" s="34"/>
      <c r="M656" s="34"/>
      <c r="N656" s="35"/>
      <c r="O656" s="34"/>
      <c r="P656" s="34"/>
      <c r="S656" s="36"/>
      <c r="T656" s="35"/>
      <c r="U656" s="37"/>
      <c r="W656" s="39"/>
      <c r="X656" s="39"/>
      <c r="Y656" s="40"/>
      <c r="Z656" s="40"/>
      <c r="AA656" s="40"/>
      <c r="AB656" s="40"/>
      <c r="AC656" s="40"/>
      <c r="AD656" s="18"/>
      <c r="AE656" s="34"/>
      <c r="AF656" s="18"/>
      <c r="AG656" s="18"/>
      <c r="AH656" s="18"/>
      <c r="AI656" s="18"/>
      <c r="AJ656" s="18"/>
      <c r="AK656" s="34"/>
      <c r="AL656" s="18"/>
      <c r="AM656" s="34"/>
    </row>
    <row r="657" spans="4:39" ht="15.75" customHeight="1">
      <c r="D657" s="7"/>
      <c r="H657" s="34"/>
      <c r="I657" s="34"/>
      <c r="J657" s="34"/>
      <c r="K657" s="18"/>
      <c r="L657" s="34"/>
      <c r="M657" s="34"/>
      <c r="N657" s="35"/>
      <c r="O657" s="34"/>
      <c r="P657" s="34"/>
      <c r="S657" s="36"/>
      <c r="T657" s="35"/>
      <c r="U657" s="37"/>
      <c r="W657" s="39"/>
      <c r="X657" s="39"/>
      <c r="Y657" s="40"/>
      <c r="Z657" s="40"/>
      <c r="AA657" s="40"/>
      <c r="AB657" s="40"/>
      <c r="AC657" s="40"/>
      <c r="AD657" s="18"/>
      <c r="AE657" s="34"/>
      <c r="AF657" s="18"/>
      <c r="AG657" s="18"/>
      <c r="AH657" s="18"/>
      <c r="AI657" s="18"/>
      <c r="AJ657" s="18"/>
      <c r="AK657" s="34"/>
      <c r="AL657" s="18"/>
      <c r="AM657" s="34"/>
    </row>
    <row r="658" spans="4:39" ht="15.75" customHeight="1">
      <c r="D658" s="7"/>
      <c r="H658" s="34"/>
      <c r="I658" s="34"/>
      <c r="J658" s="34"/>
      <c r="K658" s="18"/>
      <c r="L658" s="34"/>
      <c r="M658" s="34"/>
      <c r="N658" s="35"/>
      <c r="O658" s="34"/>
      <c r="P658" s="34"/>
      <c r="S658" s="36"/>
      <c r="T658" s="35"/>
      <c r="U658" s="37"/>
      <c r="W658" s="39"/>
      <c r="X658" s="39"/>
      <c r="Y658" s="40"/>
      <c r="Z658" s="40"/>
      <c r="AA658" s="40"/>
      <c r="AB658" s="40"/>
      <c r="AC658" s="40"/>
      <c r="AD658" s="18"/>
      <c r="AE658" s="34"/>
      <c r="AF658" s="18"/>
      <c r="AG658" s="18"/>
      <c r="AH658" s="18"/>
      <c r="AI658" s="18"/>
      <c r="AJ658" s="18"/>
      <c r="AK658" s="34"/>
      <c r="AL658" s="18"/>
      <c r="AM658" s="34"/>
    </row>
    <row r="659" spans="4:39" ht="15.75" customHeight="1">
      <c r="D659" s="7"/>
      <c r="H659" s="34"/>
      <c r="I659" s="34"/>
      <c r="J659" s="34"/>
      <c r="K659" s="18"/>
      <c r="L659" s="34"/>
      <c r="M659" s="34"/>
      <c r="N659" s="35"/>
      <c r="O659" s="34"/>
      <c r="P659" s="34"/>
      <c r="S659" s="36"/>
      <c r="T659" s="35"/>
      <c r="U659" s="37"/>
      <c r="W659" s="39"/>
      <c r="X659" s="39"/>
      <c r="Y659" s="40"/>
      <c r="Z659" s="40"/>
      <c r="AA659" s="40"/>
      <c r="AB659" s="40"/>
      <c r="AC659" s="40"/>
      <c r="AD659" s="18"/>
      <c r="AE659" s="34"/>
      <c r="AF659" s="18"/>
      <c r="AG659" s="18"/>
      <c r="AH659" s="18"/>
      <c r="AI659" s="18"/>
      <c r="AJ659" s="18"/>
      <c r="AK659" s="34"/>
      <c r="AL659" s="18"/>
      <c r="AM659" s="34"/>
    </row>
    <row r="660" spans="4:39" ht="15.75" customHeight="1">
      <c r="D660" s="7"/>
      <c r="G660" s="35"/>
      <c r="H660" s="34"/>
      <c r="I660" s="34"/>
      <c r="J660" s="34"/>
      <c r="K660" s="18"/>
      <c r="L660" s="34"/>
      <c r="M660" s="34"/>
      <c r="N660" s="35"/>
      <c r="O660" s="34"/>
      <c r="P660" s="34"/>
      <c r="S660" s="36"/>
      <c r="T660" s="35"/>
      <c r="U660" s="37"/>
      <c r="W660" s="39"/>
      <c r="X660" s="39"/>
      <c r="Y660" s="40"/>
      <c r="Z660" s="40"/>
      <c r="AA660" s="40"/>
      <c r="AB660" s="40"/>
      <c r="AC660" s="40"/>
      <c r="AD660" s="18"/>
      <c r="AE660" s="34"/>
      <c r="AF660" s="18"/>
      <c r="AG660" s="18"/>
      <c r="AH660" s="18"/>
      <c r="AI660" s="18"/>
      <c r="AJ660" s="18"/>
      <c r="AK660" s="34"/>
      <c r="AL660" s="18"/>
      <c r="AM660" s="34"/>
    </row>
    <row r="661" spans="4:39" ht="15.75" customHeight="1">
      <c r="D661" s="7"/>
      <c r="H661" s="34"/>
      <c r="I661" s="34"/>
      <c r="J661" s="34"/>
      <c r="K661" s="18"/>
      <c r="L661" s="34"/>
      <c r="M661" s="34"/>
      <c r="N661" s="35"/>
      <c r="O661" s="34"/>
      <c r="P661" s="34"/>
      <c r="S661" s="36"/>
      <c r="T661" s="35"/>
      <c r="U661" s="37"/>
      <c r="V661" s="35"/>
      <c r="W661" s="40"/>
      <c r="X661" s="39"/>
      <c r="Y661" s="40"/>
      <c r="Z661" s="40"/>
      <c r="AA661" s="40"/>
      <c r="AB661" s="40"/>
      <c r="AC661" s="40"/>
      <c r="AD661" s="18"/>
      <c r="AE661" s="34"/>
      <c r="AF661" s="18"/>
      <c r="AG661" s="18"/>
      <c r="AH661" s="18"/>
      <c r="AI661" s="18"/>
      <c r="AJ661" s="18"/>
      <c r="AK661" s="34"/>
      <c r="AL661" s="18"/>
      <c r="AM661" s="34"/>
    </row>
    <row r="662" spans="4:39" ht="15.75" customHeight="1">
      <c r="D662" s="7"/>
      <c r="H662" s="34"/>
      <c r="I662" s="34"/>
      <c r="J662" s="34"/>
      <c r="K662" s="18"/>
      <c r="L662" s="34"/>
      <c r="M662" s="34"/>
      <c r="N662" s="35"/>
      <c r="O662" s="34"/>
      <c r="P662" s="34"/>
      <c r="S662" s="36"/>
      <c r="T662" s="35"/>
      <c r="U662" s="37"/>
      <c r="V662" s="35"/>
      <c r="W662" s="40"/>
      <c r="X662" s="39"/>
      <c r="Y662" s="40"/>
      <c r="Z662" s="40"/>
      <c r="AA662" s="40"/>
      <c r="AB662" s="40"/>
      <c r="AC662" s="40"/>
      <c r="AD662" s="18"/>
      <c r="AE662" s="34"/>
      <c r="AF662" s="18"/>
      <c r="AG662" s="18"/>
      <c r="AH662" s="18"/>
      <c r="AI662" s="18"/>
      <c r="AJ662" s="18"/>
      <c r="AK662" s="34"/>
      <c r="AL662" s="18"/>
      <c r="AM662" s="34"/>
    </row>
    <row r="663" spans="4:39" ht="15.75" customHeight="1">
      <c r="D663" s="7"/>
      <c r="G663" s="35"/>
      <c r="H663" s="34"/>
      <c r="I663" s="34"/>
      <c r="J663" s="34"/>
      <c r="K663" s="18"/>
      <c r="L663" s="34"/>
      <c r="M663" s="34"/>
      <c r="N663" s="35"/>
      <c r="O663" s="34"/>
      <c r="P663" s="34"/>
      <c r="S663" s="36"/>
      <c r="T663" s="35"/>
      <c r="U663" s="37"/>
      <c r="V663" s="35"/>
      <c r="W663" s="40"/>
      <c r="X663" s="39"/>
      <c r="Y663" s="40"/>
      <c r="Z663" s="40"/>
      <c r="AA663" s="40"/>
      <c r="AB663" s="40"/>
      <c r="AC663" s="40"/>
      <c r="AD663" s="18"/>
      <c r="AE663" s="34"/>
      <c r="AF663" s="18"/>
      <c r="AG663" s="18"/>
      <c r="AH663" s="18"/>
      <c r="AI663" s="18"/>
      <c r="AJ663" s="18"/>
      <c r="AK663" s="34"/>
      <c r="AL663" s="18"/>
      <c r="AM663" s="34"/>
    </row>
    <row r="664" spans="4:39" ht="15.75" customHeight="1">
      <c r="D664" s="7"/>
      <c r="H664" s="18"/>
      <c r="I664" s="34"/>
      <c r="J664" s="34"/>
      <c r="K664" s="18"/>
      <c r="L664" s="34"/>
      <c r="M664" s="34"/>
      <c r="N664" s="35"/>
      <c r="O664" s="34"/>
      <c r="P664" s="34"/>
      <c r="S664" s="36"/>
      <c r="T664" s="35"/>
      <c r="U664" s="37"/>
      <c r="W664" s="39"/>
      <c r="X664" s="39"/>
      <c r="Y664" s="40"/>
      <c r="Z664" s="40"/>
      <c r="AA664" s="40"/>
      <c r="AB664" s="40"/>
      <c r="AC664" s="40"/>
      <c r="AD664" s="18"/>
      <c r="AE664" s="34"/>
      <c r="AF664" s="18"/>
      <c r="AG664" s="18"/>
      <c r="AH664" s="18"/>
      <c r="AI664" s="18"/>
      <c r="AJ664" s="18"/>
      <c r="AK664" s="34"/>
      <c r="AL664" s="18"/>
      <c r="AM664" s="18"/>
    </row>
    <row r="665" spans="4:39" ht="15.75" customHeight="1">
      <c r="D665" s="7"/>
      <c r="H665" s="18"/>
      <c r="I665" s="34"/>
      <c r="J665" s="34"/>
      <c r="K665" s="18"/>
      <c r="L665" s="34"/>
      <c r="M665" s="34"/>
      <c r="N665" s="41"/>
      <c r="O665" s="34"/>
      <c r="P665" s="34"/>
      <c r="S665" s="36"/>
      <c r="T665" s="35"/>
      <c r="U665" s="37"/>
      <c r="V665" s="35"/>
      <c r="W665" s="40"/>
      <c r="X665" s="39"/>
      <c r="Y665" s="40"/>
      <c r="Z665" s="40"/>
      <c r="AA665" s="40"/>
      <c r="AB665" s="40"/>
      <c r="AC665" s="40"/>
      <c r="AD665" s="18"/>
      <c r="AE665" s="34"/>
      <c r="AF665" s="18"/>
      <c r="AG665" s="18"/>
      <c r="AH665" s="18"/>
      <c r="AI665" s="18"/>
      <c r="AJ665" s="18"/>
      <c r="AK665" s="34"/>
      <c r="AL665" s="18"/>
      <c r="AM665" s="34"/>
    </row>
    <row r="666" spans="4:39" ht="15.75" customHeight="1">
      <c r="D666" s="7"/>
      <c r="H666" s="34"/>
      <c r="I666" s="34"/>
      <c r="J666" s="34"/>
      <c r="K666" s="18"/>
      <c r="L666" s="34"/>
      <c r="M666" s="34"/>
      <c r="N666" s="35"/>
      <c r="O666" s="34"/>
      <c r="P666" s="34"/>
      <c r="S666" s="36"/>
      <c r="T666" s="35"/>
      <c r="U666" s="37"/>
      <c r="W666" s="39"/>
      <c r="X666" s="39"/>
      <c r="Y666" s="40"/>
      <c r="Z666" s="40"/>
      <c r="AA666" s="40"/>
      <c r="AB666" s="40"/>
      <c r="AC666" s="40"/>
      <c r="AD666" s="18"/>
      <c r="AE666" s="18"/>
      <c r="AF666" s="18"/>
      <c r="AG666" s="18"/>
      <c r="AH666" s="18"/>
      <c r="AI666" s="18"/>
      <c r="AJ666" s="18"/>
      <c r="AK666" s="18"/>
      <c r="AL666" s="18"/>
      <c r="AM666" s="34"/>
    </row>
    <row r="667" spans="4:39" ht="15.75" customHeight="1">
      <c r="D667" s="7"/>
      <c r="H667" s="34"/>
      <c r="I667" s="34"/>
      <c r="J667" s="34"/>
      <c r="K667" s="18"/>
      <c r="L667" s="34"/>
      <c r="M667" s="34"/>
      <c r="N667" s="35"/>
      <c r="O667" s="34"/>
      <c r="P667" s="34"/>
      <c r="S667" s="36"/>
      <c r="T667" s="35"/>
      <c r="U667" s="37"/>
      <c r="W667" s="39"/>
      <c r="X667" s="39"/>
      <c r="Y667" s="40"/>
      <c r="Z667" s="40"/>
      <c r="AA667" s="40"/>
      <c r="AB667" s="40"/>
      <c r="AC667" s="40"/>
      <c r="AD667" s="18"/>
      <c r="AE667" s="34"/>
      <c r="AF667" s="18"/>
      <c r="AG667" s="18"/>
      <c r="AH667" s="18"/>
      <c r="AI667" s="18"/>
      <c r="AJ667" s="18"/>
      <c r="AK667" s="34"/>
      <c r="AL667" s="18"/>
      <c r="AM667" s="34"/>
    </row>
    <row r="668" spans="4:39" ht="15.75" customHeight="1">
      <c r="D668" s="7"/>
      <c r="H668" s="34"/>
      <c r="I668" s="34"/>
      <c r="J668" s="34"/>
      <c r="K668" s="18"/>
      <c r="L668" s="34"/>
      <c r="M668" s="34"/>
      <c r="N668" s="35"/>
      <c r="O668" s="34"/>
      <c r="P668" s="34"/>
      <c r="S668" s="36"/>
      <c r="T668" s="35"/>
      <c r="U668" s="37"/>
      <c r="W668" s="39"/>
      <c r="X668" s="39"/>
      <c r="Y668" s="40"/>
      <c r="Z668" s="40"/>
      <c r="AA668" s="40"/>
      <c r="AB668" s="40"/>
      <c r="AC668" s="40"/>
      <c r="AD668" s="18"/>
      <c r="AE668" s="34"/>
      <c r="AF668" s="18"/>
      <c r="AG668" s="18"/>
      <c r="AH668" s="18"/>
      <c r="AI668" s="18"/>
      <c r="AJ668" s="18"/>
      <c r="AK668" s="34"/>
      <c r="AL668" s="18"/>
      <c r="AM668" s="34"/>
    </row>
    <row r="669" spans="4:39" ht="15.75" customHeight="1">
      <c r="D669" s="7"/>
      <c r="H669" s="34"/>
      <c r="I669" s="34"/>
      <c r="J669" s="34"/>
      <c r="K669" s="18"/>
      <c r="L669" s="34"/>
      <c r="M669" s="34"/>
      <c r="N669" s="35"/>
      <c r="O669" s="34"/>
      <c r="P669" s="34"/>
      <c r="S669" s="36"/>
      <c r="T669" s="35"/>
      <c r="U669" s="37"/>
      <c r="W669" s="39"/>
      <c r="X669" s="39"/>
      <c r="Y669" s="40"/>
      <c r="Z669" s="40"/>
      <c r="AA669" s="40"/>
      <c r="AB669" s="40"/>
      <c r="AC669" s="40"/>
      <c r="AD669" s="18"/>
      <c r="AE669" s="34"/>
      <c r="AF669" s="18"/>
      <c r="AG669" s="18"/>
      <c r="AH669" s="18"/>
      <c r="AI669" s="18"/>
      <c r="AJ669" s="18"/>
      <c r="AK669" s="34"/>
      <c r="AL669" s="18"/>
      <c r="AM669" s="34"/>
    </row>
    <row r="670" spans="4:39" ht="15.75" customHeight="1">
      <c r="D670" s="7"/>
      <c r="G670" s="35"/>
      <c r="H670" s="18"/>
      <c r="I670" s="34"/>
      <c r="J670" s="34"/>
      <c r="K670" s="18"/>
      <c r="L670" s="34"/>
      <c r="M670" s="34"/>
      <c r="N670" s="35"/>
      <c r="O670" s="34"/>
      <c r="P670" s="34"/>
      <c r="S670" s="36"/>
      <c r="T670" s="35"/>
      <c r="U670" s="37"/>
      <c r="W670" s="39"/>
      <c r="X670" s="39"/>
      <c r="Y670" s="40"/>
      <c r="Z670" s="40"/>
      <c r="AA670" s="40"/>
      <c r="AB670" s="40"/>
      <c r="AC670" s="40"/>
      <c r="AD670" s="18"/>
      <c r="AE670" s="34"/>
      <c r="AF670" s="18"/>
      <c r="AG670" s="18"/>
      <c r="AH670" s="18"/>
      <c r="AI670" s="18"/>
      <c r="AJ670" s="18"/>
      <c r="AK670" s="34"/>
      <c r="AL670" s="18"/>
      <c r="AM670" s="34"/>
    </row>
    <row r="671" spans="4:39" ht="15.75" customHeight="1">
      <c r="D671" s="7"/>
      <c r="H671" s="18"/>
      <c r="I671" s="34"/>
      <c r="J671" s="34"/>
      <c r="K671" s="18"/>
      <c r="L671" s="34"/>
      <c r="M671" s="34"/>
      <c r="N671" s="35"/>
      <c r="O671" s="34"/>
      <c r="P671" s="34"/>
      <c r="S671" s="36"/>
      <c r="T671" s="35"/>
      <c r="U671" s="37"/>
      <c r="W671" s="39"/>
      <c r="X671" s="39"/>
      <c r="Y671" s="40"/>
      <c r="Z671" s="40"/>
      <c r="AA671" s="40"/>
      <c r="AB671" s="40"/>
      <c r="AC671" s="40"/>
      <c r="AD671" s="18"/>
      <c r="AE671" s="34"/>
      <c r="AF671" s="18"/>
      <c r="AG671" s="18"/>
      <c r="AH671" s="18"/>
      <c r="AI671" s="18"/>
      <c r="AJ671" s="18"/>
      <c r="AK671" s="34"/>
      <c r="AL671" s="18"/>
      <c r="AM671" s="34"/>
    </row>
    <row r="672" spans="4:39" ht="15.75" customHeight="1">
      <c r="D672" s="7"/>
      <c r="G672" s="35"/>
      <c r="H672" s="18"/>
      <c r="I672" s="34"/>
      <c r="J672" s="34"/>
      <c r="K672" s="18"/>
      <c r="L672" s="34"/>
      <c r="M672" s="34"/>
      <c r="N672" s="35"/>
      <c r="O672" s="34"/>
      <c r="P672" s="34"/>
      <c r="S672" s="36"/>
      <c r="U672" s="37"/>
      <c r="V672" s="35"/>
      <c r="W672" s="40"/>
      <c r="X672" s="39"/>
      <c r="Y672" s="40"/>
      <c r="Z672" s="40"/>
      <c r="AA672" s="40"/>
      <c r="AB672" s="40"/>
      <c r="AC672" s="40"/>
      <c r="AD672" s="18"/>
      <c r="AE672" s="34"/>
      <c r="AF672" s="18"/>
      <c r="AG672" s="18"/>
      <c r="AH672" s="18"/>
      <c r="AI672" s="18"/>
      <c r="AJ672" s="18"/>
      <c r="AK672" s="34"/>
      <c r="AL672" s="18"/>
      <c r="AM672" s="34"/>
    </row>
    <row r="673" spans="4:39" ht="15.75" customHeight="1">
      <c r="D673" s="7"/>
      <c r="G673" s="35"/>
      <c r="H673" s="18"/>
      <c r="I673" s="34"/>
      <c r="J673" s="34"/>
      <c r="K673" s="18"/>
      <c r="L673" s="34"/>
      <c r="M673" s="34"/>
      <c r="N673" s="35"/>
      <c r="O673" s="34"/>
      <c r="P673" s="34"/>
      <c r="S673" s="36"/>
      <c r="U673" s="37"/>
      <c r="V673" s="35"/>
      <c r="W673" s="40"/>
      <c r="X673" s="39"/>
      <c r="Y673" s="40"/>
      <c r="Z673" s="40"/>
      <c r="AA673" s="40"/>
      <c r="AB673" s="40"/>
      <c r="AC673" s="40"/>
      <c r="AD673" s="18"/>
      <c r="AE673" s="34"/>
      <c r="AF673" s="18"/>
      <c r="AG673" s="18"/>
      <c r="AH673" s="18"/>
      <c r="AI673" s="18"/>
      <c r="AJ673" s="18"/>
      <c r="AK673" s="34"/>
      <c r="AL673" s="18"/>
      <c r="AM673" s="34"/>
    </row>
    <row r="674" spans="4:39" ht="15.75" customHeight="1">
      <c r="D674" s="7"/>
      <c r="G674" s="35"/>
      <c r="H674" s="18"/>
      <c r="I674" s="34"/>
      <c r="J674" s="34"/>
      <c r="K674" s="18"/>
      <c r="L674" s="34"/>
      <c r="M674" s="34"/>
      <c r="N674" s="35"/>
      <c r="O674" s="34"/>
      <c r="P674" s="34"/>
      <c r="S674" s="36"/>
      <c r="U674" s="37"/>
      <c r="V674" s="35"/>
      <c r="W674" s="40"/>
      <c r="X674" s="39"/>
      <c r="Y674" s="40"/>
      <c r="Z674" s="40"/>
      <c r="AA674" s="40"/>
      <c r="AB674" s="40"/>
      <c r="AC674" s="40"/>
      <c r="AD674" s="18"/>
      <c r="AE674" s="34"/>
      <c r="AF674" s="18"/>
      <c r="AG674" s="18"/>
      <c r="AH674" s="18"/>
      <c r="AI674" s="18"/>
      <c r="AJ674" s="18"/>
      <c r="AK674" s="34"/>
      <c r="AL674" s="18"/>
      <c r="AM674" s="34"/>
    </row>
    <row r="675" spans="4:39" ht="15.75" customHeight="1">
      <c r="D675" s="7"/>
      <c r="G675" s="35"/>
      <c r="H675" s="18"/>
      <c r="I675" s="34"/>
      <c r="J675" s="34"/>
      <c r="K675" s="18"/>
      <c r="L675" s="34"/>
      <c r="M675" s="34"/>
      <c r="N675" s="35"/>
      <c r="O675" s="34"/>
      <c r="P675" s="34"/>
      <c r="S675" s="36"/>
      <c r="U675" s="37"/>
      <c r="V675" s="35"/>
      <c r="W675" s="40"/>
      <c r="X675" s="39"/>
      <c r="Y675" s="40"/>
      <c r="Z675" s="40"/>
      <c r="AA675" s="40"/>
      <c r="AB675" s="40"/>
      <c r="AC675" s="40"/>
      <c r="AD675" s="18"/>
      <c r="AE675" s="34"/>
      <c r="AF675" s="18"/>
      <c r="AG675" s="18"/>
      <c r="AH675" s="18"/>
      <c r="AI675" s="18"/>
      <c r="AJ675" s="18"/>
      <c r="AK675" s="34"/>
      <c r="AL675" s="18"/>
      <c r="AM675" s="34"/>
    </row>
    <row r="676" spans="4:39" ht="15.75" customHeight="1">
      <c r="D676" s="7"/>
      <c r="G676" s="35"/>
      <c r="H676" s="18"/>
      <c r="I676" s="34"/>
      <c r="J676" s="34"/>
      <c r="K676" s="18"/>
      <c r="L676" s="34"/>
      <c r="M676" s="34"/>
      <c r="N676" s="35"/>
      <c r="O676" s="34"/>
      <c r="P676" s="34"/>
      <c r="S676" s="36"/>
      <c r="U676" s="37"/>
      <c r="V676" s="35"/>
      <c r="W676" s="40"/>
      <c r="X676" s="39"/>
      <c r="Y676" s="40"/>
      <c r="Z676" s="40"/>
      <c r="AA676" s="40"/>
      <c r="AB676" s="40"/>
      <c r="AC676" s="40"/>
      <c r="AD676" s="18"/>
      <c r="AE676" s="34"/>
      <c r="AF676" s="18"/>
      <c r="AG676" s="18"/>
      <c r="AH676" s="18"/>
      <c r="AI676" s="18"/>
      <c r="AJ676" s="18"/>
      <c r="AK676" s="34"/>
      <c r="AL676" s="18"/>
      <c r="AM676" s="34"/>
    </row>
    <row r="677" spans="4:39" ht="15.75" customHeight="1">
      <c r="D677" s="7"/>
      <c r="G677" s="35"/>
      <c r="H677" s="18"/>
      <c r="I677" s="34"/>
      <c r="J677" s="34"/>
      <c r="K677" s="18"/>
      <c r="L677" s="34"/>
      <c r="M677" s="34"/>
      <c r="N677" s="35"/>
      <c r="O677" s="34"/>
      <c r="P677" s="34"/>
      <c r="S677" s="36"/>
      <c r="U677" s="37"/>
      <c r="V677" s="35"/>
      <c r="W677" s="40"/>
      <c r="X677" s="39"/>
      <c r="Y677" s="40"/>
      <c r="Z677" s="40"/>
      <c r="AA677" s="40"/>
      <c r="AB677" s="40"/>
      <c r="AC677" s="40"/>
      <c r="AD677" s="18"/>
      <c r="AE677" s="34"/>
      <c r="AF677" s="18"/>
      <c r="AG677" s="18"/>
      <c r="AH677" s="18"/>
      <c r="AI677" s="18"/>
      <c r="AJ677" s="18"/>
      <c r="AK677" s="34"/>
      <c r="AL677" s="18"/>
      <c r="AM677" s="34"/>
    </row>
    <row r="678" spans="4:39" ht="15.75" customHeight="1">
      <c r="D678" s="7"/>
      <c r="G678" s="35"/>
      <c r="H678" s="18"/>
      <c r="I678" s="34"/>
      <c r="J678" s="34"/>
      <c r="K678" s="18"/>
      <c r="L678" s="34"/>
      <c r="M678" s="34"/>
      <c r="N678" s="35"/>
      <c r="O678" s="34"/>
      <c r="P678" s="34"/>
      <c r="S678" s="36"/>
      <c r="U678" s="37"/>
      <c r="V678" s="35"/>
      <c r="W678" s="40"/>
      <c r="X678" s="39"/>
      <c r="Y678" s="40"/>
      <c r="Z678" s="40"/>
      <c r="AA678" s="40"/>
      <c r="AB678" s="40"/>
      <c r="AC678" s="40"/>
      <c r="AD678" s="18"/>
      <c r="AE678" s="34"/>
      <c r="AF678" s="18"/>
      <c r="AG678" s="18"/>
      <c r="AH678" s="18"/>
      <c r="AI678" s="18"/>
      <c r="AJ678" s="18"/>
      <c r="AK678" s="34"/>
      <c r="AL678" s="18"/>
      <c r="AM678" s="34"/>
    </row>
    <row r="679" spans="4:39" ht="15.75" customHeight="1">
      <c r="D679" s="7"/>
      <c r="G679" s="35"/>
      <c r="H679" s="18"/>
      <c r="I679" s="34"/>
      <c r="J679" s="34"/>
      <c r="K679" s="18"/>
      <c r="L679" s="34"/>
      <c r="M679" s="34"/>
      <c r="N679" s="35"/>
      <c r="O679" s="34"/>
      <c r="P679" s="34"/>
      <c r="S679" s="36"/>
      <c r="U679" s="37"/>
      <c r="V679" s="35"/>
      <c r="W679" s="40"/>
      <c r="X679" s="39"/>
      <c r="Y679" s="40"/>
      <c r="Z679" s="40"/>
      <c r="AA679" s="40"/>
      <c r="AB679" s="40"/>
      <c r="AC679" s="40"/>
      <c r="AD679" s="18"/>
      <c r="AE679" s="34"/>
      <c r="AF679" s="18"/>
      <c r="AG679" s="18"/>
      <c r="AH679" s="18"/>
      <c r="AI679" s="18"/>
      <c r="AJ679" s="18"/>
      <c r="AK679" s="34"/>
      <c r="AL679" s="18"/>
      <c r="AM679" s="34"/>
    </row>
    <row r="680" spans="4:39" ht="15.75" customHeight="1">
      <c r="D680" s="7"/>
      <c r="G680" s="35"/>
      <c r="H680" s="18"/>
      <c r="I680" s="34"/>
      <c r="J680" s="34"/>
      <c r="K680" s="18"/>
      <c r="L680" s="34"/>
      <c r="M680" s="34"/>
      <c r="N680" s="35"/>
      <c r="O680" s="34"/>
      <c r="P680" s="34"/>
      <c r="S680" s="36"/>
      <c r="U680" s="37"/>
      <c r="V680" s="35"/>
      <c r="W680" s="40"/>
      <c r="X680" s="39"/>
      <c r="Y680" s="40"/>
      <c r="Z680" s="40"/>
      <c r="AA680" s="40"/>
      <c r="AB680" s="40"/>
      <c r="AC680" s="40"/>
      <c r="AD680" s="18"/>
      <c r="AE680" s="34"/>
      <c r="AF680" s="18"/>
      <c r="AG680" s="18"/>
      <c r="AH680" s="18"/>
      <c r="AI680" s="18"/>
      <c r="AJ680" s="18"/>
      <c r="AK680" s="34"/>
      <c r="AL680" s="18"/>
      <c r="AM680" s="34"/>
    </row>
    <row r="681" spans="4:39" ht="15.75" customHeight="1">
      <c r="D681" s="7"/>
      <c r="H681" s="18"/>
      <c r="I681" s="34"/>
      <c r="J681" s="34"/>
      <c r="K681" s="18"/>
      <c r="L681" s="34"/>
      <c r="M681" s="34"/>
      <c r="N681" s="35"/>
      <c r="O681" s="34"/>
      <c r="P681" s="34"/>
      <c r="S681" s="36"/>
      <c r="U681" s="37"/>
      <c r="W681" s="39"/>
      <c r="X681" s="39"/>
      <c r="Y681" s="40"/>
      <c r="Z681" s="40"/>
      <c r="AA681" s="40"/>
      <c r="AB681" s="40"/>
      <c r="AC681" s="40"/>
      <c r="AD681" s="18"/>
      <c r="AE681" s="18"/>
      <c r="AF681" s="18"/>
      <c r="AG681" s="18"/>
      <c r="AH681" s="18"/>
      <c r="AI681" s="18"/>
      <c r="AJ681" s="18"/>
      <c r="AK681" s="18"/>
      <c r="AL681" s="18"/>
      <c r="AM681" s="34"/>
    </row>
    <row r="682" spans="4:39" ht="15.75" customHeight="1">
      <c r="D682" s="7"/>
      <c r="G682" s="35"/>
      <c r="H682" s="18"/>
      <c r="I682" s="34"/>
      <c r="J682" s="34"/>
      <c r="K682" s="18"/>
      <c r="L682" s="34"/>
      <c r="M682" s="34"/>
      <c r="N682" s="35"/>
      <c r="O682" s="34"/>
      <c r="P682" s="34"/>
      <c r="S682" s="36"/>
      <c r="U682" s="37"/>
      <c r="W682" s="39"/>
      <c r="X682" s="39"/>
      <c r="Y682" s="40"/>
      <c r="Z682" s="40"/>
      <c r="AA682" s="40"/>
      <c r="AB682" s="40"/>
      <c r="AC682" s="40"/>
      <c r="AD682" s="18"/>
      <c r="AE682" s="18"/>
      <c r="AF682" s="18"/>
      <c r="AG682" s="18"/>
      <c r="AH682" s="18"/>
      <c r="AI682" s="18"/>
      <c r="AJ682" s="18"/>
      <c r="AK682" s="18"/>
      <c r="AL682" s="18"/>
      <c r="AM682" s="34"/>
    </row>
    <row r="683" spans="4:39" ht="15.75" customHeight="1">
      <c r="D683" s="7"/>
      <c r="G683" s="35"/>
      <c r="H683" s="18"/>
      <c r="I683" s="34"/>
      <c r="J683" s="34"/>
      <c r="K683" s="18"/>
      <c r="L683" s="34"/>
      <c r="M683" s="34"/>
      <c r="N683" s="35"/>
      <c r="O683" s="34"/>
      <c r="P683" s="34"/>
      <c r="S683" s="36"/>
      <c r="U683" s="37"/>
      <c r="W683" s="39"/>
      <c r="X683" s="39"/>
      <c r="Y683" s="40"/>
      <c r="Z683" s="40"/>
      <c r="AA683" s="40"/>
      <c r="AB683" s="40"/>
      <c r="AC683" s="40"/>
      <c r="AD683" s="18"/>
      <c r="AE683" s="18"/>
      <c r="AF683" s="18"/>
      <c r="AG683" s="18"/>
      <c r="AH683" s="18"/>
      <c r="AI683" s="18"/>
      <c r="AJ683" s="18"/>
      <c r="AK683" s="18"/>
      <c r="AL683" s="18"/>
      <c r="AM683" s="34"/>
    </row>
    <row r="684" spans="4:39" ht="15.75" customHeight="1">
      <c r="D684" s="7"/>
      <c r="H684" s="18"/>
      <c r="I684" s="34"/>
      <c r="J684" s="34"/>
      <c r="K684" s="18"/>
      <c r="L684" s="34"/>
      <c r="M684" s="34"/>
      <c r="N684" s="35"/>
      <c r="O684" s="34"/>
      <c r="P684" s="34"/>
      <c r="S684" s="36"/>
      <c r="U684" s="37"/>
      <c r="W684" s="39"/>
      <c r="X684" s="39"/>
      <c r="Y684" s="40"/>
      <c r="Z684" s="40"/>
      <c r="AA684" s="40"/>
      <c r="AB684" s="40"/>
      <c r="AC684" s="40"/>
      <c r="AD684" s="18"/>
      <c r="AE684" s="18"/>
      <c r="AF684" s="18"/>
      <c r="AG684" s="18"/>
      <c r="AH684" s="18"/>
      <c r="AI684" s="18"/>
      <c r="AJ684" s="18"/>
      <c r="AK684" s="18"/>
      <c r="AL684" s="18"/>
      <c r="AM684" s="34"/>
    </row>
    <row r="685" spans="4:39" ht="15.75" customHeight="1">
      <c r="D685" s="7"/>
      <c r="H685" s="18"/>
      <c r="I685" s="34"/>
      <c r="J685" s="34"/>
      <c r="K685" s="18"/>
      <c r="L685" s="34"/>
      <c r="M685" s="34"/>
      <c r="N685" s="35"/>
      <c r="O685" s="34"/>
      <c r="P685" s="34"/>
      <c r="S685" s="36"/>
      <c r="U685" s="37"/>
      <c r="W685" s="39"/>
      <c r="X685" s="39"/>
      <c r="Y685" s="40"/>
      <c r="Z685" s="40"/>
      <c r="AA685" s="40"/>
      <c r="AB685" s="40"/>
      <c r="AC685" s="40"/>
      <c r="AD685" s="18"/>
      <c r="AE685" s="34"/>
      <c r="AF685" s="18"/>
      <c r="AG685" s="18"/>
      <c r="AH685" s="18"/>
      <c r="AI685" s="18"/>
      <c r="AJ685" s="18"/>
      <c r="AK685" s="34"/>
      <c r="AL685" s="18"/>
      <c r="AM685" s="34"/>
    </row>
    <row r="686" spans="4:39" ht="15.75" customHeight="1">
      <c r="D686" s="7"/>
      <c r="H686" s="18"/>
      <c r="I686" s="34"/>
      <c r="J686" s="34"/>
      <c r="K686" s="18"/>
      <c r="L686" s="34"/>
      <c r="M686" s="34"/>
      <c r="N686" s="35"/>
      <c r="O686" s="34"/>
      <c r="P686" s="34"/>
      <c r="S686" s="36"/>
      <c r="U686" s="37"/>
      <c r="V686" s="35"/>
      <c r="W686" s="40"/>
      <c r="X686" s="39"/>
      <c r="Y686" s="40"/>
      <c r="Z686" s="40"/>
      <c r="AA686" s="40"/>
      <c r="AB686" s="40"/>
      <c r="AC686" s="40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</row>
    <row r="687" spans="4:39" ht="15.75" customHeight="1">
      <c r="D687" s="7"/>
      <c r="H687" s="18"/>
      <c r="I687" s="34"/>
      <c r="J687" s="34"/>
      <c r="K687" s="18"/>
      <c r="L687" s="34"/>
      <c r="M687" s="34"/>
      <c r="N687" s="35"/>
      <c r="O687" s="34"/>
      <c r="P687" s="34"/>
      <c r="S687" s="36"/>
      <c r="U687" s="37"/>
      <c r="V687" s="35"/>
      <c r="W687" s="40"/>
      <c r="X687" s="39"/>
      <c r="Y687" s="40"/>
      <c r="Z687" s="40"/>
      <c r="AA687" s="40"/>
      <c r="AB687" s="40"/>
      <c r="AC687" s="40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workbookViewId="0"/>
  </sheetViews>
  <sheetFormatPr defaultColWidth="14.453125" defaultRowHeight="15" customHeight="1"/>
  <cols>
    <col min="1" max="2" width="21.453125" customWidth="1"/>
    <col min="3" max="3" width="23" customWidth="1"/>
    <col min="4" max="6" width="9.1796875" customWidth="1"/>
    <col min="7" max="26" width="8.7265625" customWidth="1"/>
  </cols>
  <sheetData>
    <row r="1" spans="1:26" ht="14.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5">
      <c r="A2" s="88" t="s">
        <v>442</v>
      </c>
      <c r="B2" s="89"/>
      <c r="C2" s="89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5">
      <c r="A3" s="42">
        <v>100577266</v>
      </c>
      <c r="B3" s="42">
        <v>100874830</v>
      </c>
      <c r="C3" s="42">
        <v>114544426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5">
      <c r="A4" s="42">
        <v>618749</v>
      </c>
      <c r="B4" s="42">
        <v>437959</v>
      </c>
      <c r="C4" s="42">
        <v>450363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5">
      <c r="A5" s="42">
        <v>21646177</v>
      </c>
      <c r="B5" s="42">
        <v>23284126</v>
      </c>
      <c r="C5" s="42">
        <v>29624898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4.5">
      <c r="A6" s="42">
        <v>1528415</v>
      </c>
      <c r="B6" s="42">
        <v>1483648</v>
      </c>
      <c r="C6" s="42">
        <v>1664714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5">
      <c r="A7" s="42">
        <v>56925260</v>
      </c>
      <c r="B7" s="42">
        <v>55928711</v>
      </c>
      <c r="C7" s="42">
        <v>54076685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5">
      <c r="A8" s="42">
        <v>6729951</v>
      </c>
      <c r="B8" s="42">
        <v>6080793</v>
      </c>
      <c r="C8" s="42">
        <v>5486436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5">
      <c r="A9" s="42">
        <v>15450006</v>
      </c>
      <c r="B9" s="42">
        <v>16600424</v>
      </c>
      <c r="C9" s="42">
        <v>16490088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5">
      <c r="A10" s="42">
        <v>101219947</v>
      </c>
      <c r="B10" s="42">
        <v>67291213</v>
      </c>
      <c r="C10" s="42">
        <v>68072520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5">
      <c r="A11" s="42">
        <v>96500</v>
      </c>
      <c r="B11" s="42">
        <v>76200</v>
      </c>
      <c r="C11" s="42">
        <v>66700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5">
      <c r="A12" s="42">
        <f t="shared" ref="A12:C12" si="0">SUM(A3:A11)</f>
        <v>304792271</v>
      </c>
      <c r="B12" s="42">
        <f t="shared" si="0"/>
        <v>272057904</v>
      </c>
      <c r="C12" s="42">
        <f t="shared" si="0"/>
        <v>290476830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5">
      <c r="A14" s="88" t="s">
        <v>443</v>
      </c>
      <c r="B14" s="89"/>
      <c r="C14" s="8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5">
      <c r="A16" s="42">
        <v>211605200000</v>
      </c>
      <c r="B16" s="42">
        <v>192475119000</v>
      </c>
      <c r="C16" s="42">
        <v>181937996190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5">
      <c r="A17" s="42">
        <v>4445786600</v>
      </c>
      <c r="B17" s="42">
        <v>3794412480</v>
      </c>
      <c r="C17" s="42">
        <v>4113860200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5">
      <c r="A18" s="42">
        <v>103519000000</v>
      </c>
      <c r="B18" s="42">
        <v>108236723800</v>
      </c>
      <c r="C18" s="42">
        <v>111934083010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5">
      <c r="A19" s="42">
        <v>50000000000</v>
      </c>
      <c r="B19" s="42">
        <v>50000000000</v>
      </c>
      <c r="C19" s="42">
        <v>50000000000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5">
      <c r="A20" s="42">
        <v>23582160000</v>
      </c>
      <c r="B20" s="42">
        <v>21982190044</v>
      </c>
      <c r="C20" s="42">
        <v>23833902641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42">
        <v>9978743001</v>
      </c>
      <c r="B21" s="42">
        <v>8413067469</v>
      </c>
      <c r="C21" s="42">
        <v>7143462511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42">
        <v>2039200000</v>
      </c>
      <c r="B22" s="42">
        <v>2039200000</v>
      </c>
      <c r="C22" s="42">
        <v>2039200000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42">
        <f t="shared" ref="A23:C23" si="1">SUM(A16:A22)</f>
        <v>405170089601</v>
      </c>
      <c r="B23" s="42">
        <f t="shared" si="1"/>
        <v>386940712793</v>
      </c>
      <c r="C23" s="42">
        <f t="shared" si="1"/>
        <v>381002504552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88" t="s">
        <v>444</v>
      </c>
      <c r="B25" s="89"/>
      <c r="C25" s="8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42">
        <v>3426305000000</v>
      </c>
      <c r="B26" s="42">
        <v>2653527000000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42">
        <v>3332970000000</v>
      </c>
      <c r="B27" s="42">
        <v>989198000000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42">
        <f t="shared" ref="A28:B28" si="2">SUM(A26:A27)</f>
        <v>6759275000000</v>
      </c>
      <c r="B28" s="42">
        <f t="shared" si="2"/>
        <v>3642725000000</v>
      </c>
      <c r="C28" s="42">
        <f>SUM(C26)</f>
        <v>0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90" t="s">
        <v>445</v>
      </c>
      <c r="B30" s="89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42" t="s">
        <v>446</v>
      </c>
      <c r="B31" s="42" t="s">
        <v>447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42">
        <v>74454382000000</v>
      </c>
      <c r="B32" s="42">
        <v>23710628000000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42">
        <v>6538188000000</v>
      </c>
      <c r="B33" s="43">
        <v>2659310000000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42">
        <v>10342487000000</v>
      </c>
      <c r="B34" s="42">
        <v>7635354000000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42">
        <f>SUM(A32,A33,A34)</f>
        <v>91335057000000</v>
      </c>
      <c r="B35" s="42">
        <f>SUM(B34,B33,B32)</f>
        <v>34005292000000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42">
        <v>84431175000000</v>
      </c>
      <c r="B37" s="42">
        <v>29070226000000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42">
        <v>7093915000000</v>
      </c>
      <c r="B38" s="42">
        <v>3014676000000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42">
        <v>11113650000000</v>
      </c>
      <c r="B39" s="42">
        <v>9306147000000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42">
        <f t="shared" ref="A40:B40" si="3">SUM(A39,A38,A37)</f>
        <v>102638740000000</v>
      </c>
      <c r="B40" s="42">
        <f t="shared" si="3"/>
        <v>41391049000000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42">
        <v>80093037000000</v>
      </c>
      <c r="B42" s="42">
        <v>28222605000000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42">
        <v>7228080000000</v>
      </c>
      <c r="B43" s="43">
        <v>2590383000000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42">
        <v>12890360000000</v>
      </c>
      <c r="B44" s="42">
        <v>11376645000000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42">
        <f t="shared" ref="A45:B45" si="4">SUM(A44,A43,A42)</f>
        <v>100211477000000</v>
      </c>
      <c r="B45" s="42">
        <f t="shared" si="4"/>
        <v>42189633000000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90" t="s">
        <v>448</v>
      </c>
      <c r="B47" s="89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42">
        <v>389948000000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42">
        <v>263067000000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42">
        <f>SUM(A49,A48)</f>
        <v>653015000000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42">
        <v>10000000000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42">
        <v>263067000000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42">
        <f>SUM(A53,A52)</f>
        <v>273067000000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42">
        <v>10000000000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42">
        <v>992718000000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42">
        <f>SUM(A57,A56)</f>
        <v>1002718000000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42" t="s">
        <v>306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42">
        <v>50618272000</v>
      </c>
      <c r="B61" s="42">
        <v>47340365600</v>
      </c>
      <c r="C61" s="42">
        <v>32058273564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42">
        <v>1058515254376</v>
      </c>
      <c r="B62" s="42">
        <v>1231750009584</v>
      </c>
      <c r="C62" s="42">
        <v>622077010518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42">
        <v>622145108829</v>
      </c>
      <c r="B63" s="42">
        <v>731541758548</v>
      </c>
      <c r="C63" s="42">
        <v>737155177576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42">
        <f t="shared" ref="A64:B64" si="5">SUM(A61:A63)</f>
        <v>1731278635205</v>
      </c>
      <c r="B64" s="42">
        <f t="shared" si="5"/>
        <v>2010632133732</v>
      </c>
      <c r="C64" s="42">
        <f>SUM(C61:C63)</f>
        <v>1391290461658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42" t="s">
        <v>350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42">
        <v>4700208</v>
      </c>
      <c r="B67" s="42">
        <v>4491322</v>
      </c>
      <c r="C67" s="42">
        <v>2097325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42"/>
      <c r="B68" s="42">
        <v>3239387</v>
      </c>
      <c r="C68" s="42">
        <v>1991078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42">
        <v>145985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42">
        <f t="shared" ref="A70:C70" si="6">SUM(A67:A69)</f>
        <v>4846193</v>
      </c>
      <c r="B70" s="42">
        <f t="shared" si="6"/>
        <v>7730709</v>
      </c>
      <c r="C70" s="42">
        <f t="shared" si="6"/>
        <v>4088403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42" t="s">
        <v>213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42">
        <v>2414841846</v>
      </c>
      <c r="B73" s="42">
        <v>2860228288</v>
      </c>
      <c r="C73" s="42">
        <v>60000000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42">
        <v>12138603</v>
      </c>
      <c r="B74" s="42">
        <v>4697728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42">
        <v>-3823855541</v>
      </c>
      <c r="B75" s="42">
        <v>-5019110393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42">
        <v>-502177303</v>
      </c>
      <c r="B76" s="42">
        <v>-1252816478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42">
        <v>882715528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42">
        <f t="shared" ref="A78:B78" si="7">A73+A74+A77</f>
        <v>3309695977</v>
      </c>
      <c r="B78" s="42">
        <f t="shared" si="7"/>
        <v>2864926016</v>
      </c>
      <c r="C78" s="42">
        <f>SUM(C73:C77)</f>
        <v>60000000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42">
        <f t="shared" ref="A79:C79" si="8">SUM(A75:A76)</f>
        <v>-4326032844</v>
      </c>
      <c r="B79" s="42">
        <f t="shared" si="8"/>
        <v>-6271926871</v>
      </c>
      <c r="C79" s="42">
        <f t="shared" si="8"/>
        <v>0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5.75" customHeight="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5.75" customHeight="1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ht="15.75" customHeight="1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ht="15.75" customHeight="1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ht="15.75" customHeight="1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ht="15.75" customHeight="1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ht="15.75" customHeight="1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spans="1:26" ht="15.75" customHeight="1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spans="1:26" ht="15.75" customHeight="1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spans="1:26" ht="15.75" customHeight="1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spans="1:26" ht="15.75" customHeight="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</sheetData>
  <mergeCells count="5">
    <mergeCell ref="A2:C2"/>
    <mergeCell ref="A14:C14"/>
    <mergeCell ref="A25:C25"/>
    <mergeCell ref="A30:B30"/>
    <mergeCell ref="A47:B4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9" customWidth="1"/>
    <col min="4" max="4" width="25.7265625" customWidth="1"/>
    <col min="5" max="5" width="23" customWidth="1"/>
    <col min="6" max="6" width="25.7265625" customWidth="1"/>
    <col min="7" max="7" width="16.453125" customWidth="1"/>
    <col min="8" max="8" width="18.453125" customWidth="1"/>
    <col min="9" max="9" width="25.7265625" customWidth="1"/>
    <col min="10" max="10" width="24" customWidth="1"/>
    <col min="11" max="11" width="22" customWidth="1"/>
    <col min="12" max="12" width="24" customWidth="1"/>
    <col min="13" max="16" width="23" customWidth="1"/>
  </cols>
  <sheetData>
    <row r="1" spans="1:27">
      <c r="A1" s="44" t="s">
        <v>449</v>
      </c>
      <c r="B1" s="44" t="s">
        <v>450</v>
      </c>
      <c r="C1" s="44" t="s">
        <v>451</v>
      </c>
      <c r="D1" s="45" t="s">
        <v>452</v>
      </c>
      <c r="E1" s="45" t="s">
        <v>453</v>
      </c>
      <c r="F1" s="45" t="s">
        <v>454</v>
      </c>
      <c r="G1" s="45" t="s">
        <v>455</v>
      </c>
      <c r="H1" s="45" t="s">
        <v>456</v>
      </c>
      <c r="I1" s="45" t="s">
        <v>457</v>
      </c>
      <c r="J1" s="45" t="s">
        <v>458</v>
      </c>
      <c r="K1" s="46" t="s">
        <v>459</v>
      </c>
      <c r="L1" s="45" t="s">
        <v>460</v>
      </c>
      <c r="M1" s="45" t="s">
        <v>461</v>
      </c>
      <c r="N1" s="45" t="s">
        <v>462</v>
      </c>
      <c r="O1" s="45" t="s">
        <v>463</v>
      </c>
      <c r="P1" s="45" t="s">
        <v>464</v>
      </c>
      <c r="Q1" s="47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7" t="s">
        <v>475</v>
      </c>
    </row>
    <row r="2" spans="1:27">
      <c r="A2" s="49">
        <v>2018</v>
      </c>
      <c r="B2" s="49" t="s">
        <v>54</v>
      </c>
      <c r="C2" s="49" t="s">
        <v>55</v>
      </c>
      <c r="D2" s="50">
        <v>673579165000</v>
      </c>
      <c r="E2" s="50">
        <v>123308301000</v>
      </c>
      <c r="F2" s="50">
        <v>874472888000</v>
      </c>
      <c r="G2" s="50"/>
      <c r="H2" s="50"/>
      <c r="I2" s="50">
        <v>593110979000</v>
      </c>
      <c r="J2" s="50">
        <v>281361909000</v>
      </c>
      <c r="K2" s="51">
        <v>640000000</v>
      </c>
      <c r="L2" s="50">
        <v>264899142000</v>
      </c>
      <c r="M2" s="50">
        <v>124758053000</v>
      </c>
      <c r="N2" s="50">
        <v>3501669000</v>
      </c>
      <c r="O2" s="50">
        <v>3274307000</v>
      </c>
      <c r="P2" s="50">
        <v>3658165000</v>
      </c>
      <c r="Q2" s="52">
        <v>250</v>
      </c>
      <c r="R2" s="49">
        <f t="shared" ref="R2:R154" si="0">D2/I2</f>
        <v>1.1356713816622841</v>
      </c>
      <c r="S2" s="49">
        <f t="shared" ref="S2:S154" si="1">I2/J2</f>
        <v>2.1080002659492902</v>
      </c>
      <c r="T2" s="51">
        <f t="shared" ref="T2:T154" si="2">O2/F2</f>
        <v>3.7443207730415077E-3</v>
      </c>
      <c r="U2" s="51">
        <f t="shared" ref="U2:U154" si="3">O2/J2</f>
        <v>1.1637349958412459E-2</v>
      </c>
      <c r="V2" s="51">
        <f t="shared" ref="V2:V154" si="4">O2/L2</f>
        <v>1.2360579861749798E-2</v>
      </c>
      <c r="W2" s="51">
        <f t="shared" ref="W2:W154" si="5">(P2/K2)/Q2</f>
        <v>2.2863531250000003E-2</v>
      </c>
      <c r="X2" s="51">
        <f t="shared" ref="X2:X154" si="6">P2/O2</f>
        <v>1.117233356554532</v>
      </c>
      <c r="Y2" s="51">
        <f t="shared" ref="Y2:Y154" si="7">Q2/(O2/K2)</f>
        <v>48.865301879145726</v>
      </c>
      <c r="Z2" s="51">
        <f t="shared" ref="Z2:Z154" si="8">Q2/(J2/K2)</f>
        <v>0.5686626187910887</v>
      </c>
      <c r="AA2" s="52">
        <v>1</v>
      </c>
    </row>
    <row r="3" spans="1:27">
      <c r="A3" s="49">
        <v>2019</v>
      </c>
      <c r="B3" s="49" t="s">
        <v>54</v>
      </c>
      <c r="C3" s="49" t="s">
        <v>55</v>
      </c>
      <c r="D3" s="50">
        <v>653613149000</v>
      </c>
      <c r="E3" s="50">
        <v>127895603000</v>
      </c>
      <c r="F3" s="50">
        <v>857520585000</v>
      </c>
      <c r="G3" s="50"/>
      <c r="H3" s="50"/>
      <c r="I3" s="50">
        <v>566035087000</v>
      </c>
      <c r="J3" s="50">
        <v>291351494000</v>
      </c>
      <c r="K3" s="51">
        <v>640000000</v>
      </c>
      <c r="L3" s="50">
        <v>250804486000</v>
      </c>
      <c r="M3" s="50">
        <v>134257087000</v>
      </c>
      <c r="N3" s="50">
        <v>1102516000</v>
      </c>
      <c r="O3" s="50">
        <v>3581215000</v>
      </c>
      <c r="P3" s="50">
        <v>3516989000</v>
      </c>
      <c r="Q3" s="52">
        <v>308</v>
      </c>
      <c r="R3" s="49">
        <f t="shared" si="0"/>
        <v>1.1547219669087405</v>
      </c>
      <c r="S3" s="49">
        <f t="shared" si="1"/>
        <v>1.9427910913681465</v>
      </c>
      <c r="T3" s="51">
        <f t="shared" si="2"/>
        <v>4.1762437691218804E-3</v>
      </c>
      <c r="U3" s="51">
        <f t="shared" si="3"/>
        <v>1.2291733777757803E-2</v>
      </c>
      <c r="V3" s="51">
        <f t="shared" si="4"/>
        <v>1.4278911263174137E-2</v>
      </c>
      <c r="W3" s="51">
        <f t="shared" si="5"/>
        <v>1.7841867897727272E-2</v>
      </c>
      <c r="X3" s="51">
        <f t="shared" si="6"/>
        <v>0.98206586312187349</v>
      </c>
      <c r="Y3" s="51">
        <f t="shared" si="7"/>
        <v>55.042771796722619</v>
      </c>
      <c r="Z3" s="51">
        <f t="shared" si="8"/>
        <v>0.67657109731519005</v>
      </c>
      <c r="AA3" s="52">
        <v>1</v>
      </c>
    </row>
    <row r="4" spans="1:27">
      <c r="A4" s="49">
        <v>2020</v>
      </c>
      <c r="B4" s="49" t="s">
        <v>54</v>
      </c>
      <c r="C4" s="49" t="s">
        <v>55</v>
      </c>
      <c r="D4" s="50">
        <v>632468200000</v>
      </c>
      <c r="E4" s="50">
        <v>125064327000</v>
      </c>
      <c r="F4" s="50">
        <v>871769183000</v>
      </c>
      <c r="G4" s="50"/>
      <c r="H4" s="50"/>
      <c r="I4" s="50">
        <v>557997452000</v>
      </c>
      <c r="J4" s="50">
        <v>313771731000</v>
      </c>
      <c r="K4" s="51">
        <v>640000000</v>
      </c>
      <c r="L4" s="50">
        <v>231470118000</v>
      </c>
      <c r="M4" s="50">
        <v>109895092000</v>
      </c>
      <c r="N4" s="50">
        <v>1205232000</v>
      </c>
      <c r="O4" s="50">
        <v>10456654000</v>
      </c>
      <c r="P4" s="50">
        <v>2091802000</v>
      </c>
      <c r="Q4" s="52">
        <v>310</v>
      </c>
      <c r="R4" s="49">
        <f t="shared" si="0"/>
        <v>1.1334607312866367</v>
      </c>
      <c r="S4" s="49">
        <f t="shared" si="1"/>
        <v>1.778354761984597</v>
      </c>
      <c r="T4" s="51">
        <f t="shared" si="2"/>
        <v>1.1994750679320583E-2</v>
      </c>
      <c r="U4" s="51">
        <f t="shared" si="3"/>
        <v>3.3325672668708325E-2</v>
      </c>
      <c r="V4" s="51">
        <f t="shared" si="4"/>
        <v>4.5174962929772217E-2</v>
      </c>
      <c r="W4" s="51">
        <f t="shared" si="5"/>
        <v>1.054335685483871E-2</v>
      </c>
      <c r="X4" s="51">
        <f t="shared" si="6"/>
        <v>0.20004506221588664</v>
      </c>
      <c r="Y4" s="51">
        <f t="shared" si="7"/>
        <v>18.973564583852539</v>
      </c>
      <c r="Z4" s="51">
        <f t="shared" si="8"/>
        <v>0.63230680268006678</v>
      </c>
      <c r="AA4" s="52">
        <v>1</v>
      </c>
    </row>
    <row r="5" spans="1:27">
      <c r="A5" s="49">
        <v>2018</v>
      </c>
      <c r="B5" s="49" t="s">
        <v>58</v>
      </c>
      <c r="C5" s="49" t="s">
        <v>59</v>
      </c>
      <c r="D5" s="50">
        <v>920102856747</v>
      </c>
      <c r="E5" s="50">
        <v>21609167523</v>
      </c>
      <c r="F5" s="50">
        <v>969866560976</v>
      </c>
      <c r="G5" s="50"/>
      <c r="H5" s="50"/>
      <c r="I5" s="50">
        <v>450272263738</v>
      </c>
      <c r="J5" s="50">
        <v>519594297238</v>
      </c>
      <c r="K5" s="51">
        <v>25000000000</v>
      </c>
      <c r="L5" s="50">
        <v>135633770098</v>
      </c>
      <c r="M5" s="50">
        <v>68591523905</v>
      </c>
      <c r="N5" s="50">
        <v>76025853817</v>
      </c>
      <c r="O5" s="50">
        <v>71761034881</v>
      </c>
      <c r="P5" s="50"/>
      <c r="Q5" s="52">
        <v>700</v>
      </c>
      <c r="R5" s="49">
        <f t="shared" si="0"/>
        <v>2.0434366734220619</v>
      </c>
      <c r="S5" s="49">
        <f t="shared" si="1"/>
        <v>0.8665843065089549</v>
      </c>
      <c r="T5" s="51">
        <f t="shared" si="2"/>
        <v>7.3990626925816622E-2</v>
      </c>
      <c r="U5" s="51">
        <f t="shared" si="3"/>
        <v>0.13810974304848825</v>
      </c>
      <c r="V5" s="51">
        <f t="shared" si="4"/>
        <v>0.52907940868376824</v>
      </c>
      <c r="W5" s="51">
        <f t="shared" si="5"/>
        <v>0</v>
      </c>
      <c r="X5" s="51">
        <f t="shared" si="6"/>
        <v>0</v>
      </c>
      <c r="Y5" s="51">
        <f t="shared" si="7"/>
        <v>243.86493351189719</v>
      </c>
      <c r="Z5" s="51">
        <f t="shared" si="8"/>
        <v>33.68012330586479</v>
      </c>
      <c r="AA5" s="52">
        <v>1</v>
      </c>
    </row>
    <row r="6" spans="1:27">
      <c r="A6" s="49">
        <v>2019</v>
      </c>
      <c r="B6" s="49" t="s">
        <v>58</v>
      </c>
      <c r="C6" s="49" t="s">
        <v>59</v>
      </c>
      <c r="D6" s="50">
        <v>922123474882</v>
      </c>
      <c r="E6" s="50">
        <v>24621076327</v>
      </c>
      <c r="F6" s="50">
        <v>975687462693</v>
      </c>
      <c r="G6" s="50"/>
      <c r="H6" s="50"/>
      <c r="I6" s="50">
        <v>445392630259</v>
      </c>
      <c r="J6" s="50">
        <v>530294832434</v>
      </c>
      <c r="K6" s="51">
        <v>25000000000</v>
      </c>
      <c r="L6" s="50">
        <v>175174507884</v>
      </c>
      <c r="M6" s="50">
        <v>101954815930</v>
      </c>
      <c r="N6" s="50">
        <v>72793612247</v>
      </c>
      <c r="O6" s="50">
        <v>8260755476</v>
      </c>
      <c r="P6" s="50"/>
      <c r="Q6" s="52">
        <v>1285</v>
      </c>
      <c r="R6" s="49">
        <f t="shared" si="0"/>
        <v>2.0703608731598826</v>
      </c>
      <c r="S6" s="49">
        <f t="shared" si="1"/>
        <v>0.83989622945162901</v>
      </c>
      <c r="T6" s="51">
        <f t="shared" si="2"/>
        <v>8.4666000044721756E-3</v>
      </c>
      <c r="U6" s="51">
        <f t="shared" si="3"/>
        <v>1.5577665424503501E-2</v>
      </c>
      <c r="V6" s="51">
        <f t="shared" si="4"/>
        <v>4.7157292324007817E-2</v>
      </c>
      <c r="W6" s="51">
        <f t="shared" si="5"/>
        <v>0</v>
      </c>
      <c r="X6" s="51">
        <f t="shared" si="6"/>
        <v>0</v>
      </c>
      <c r="Y6" s="51">
        <f t="shared" si="7"/>
        <v>3888.8694978725457</v>
      </c>
      <c r="Z6" s="51">
        <f t="shared" si="8"/>
        <v>60.579507917415448</v>
      </c>
      <c r="AA6" s="52">
        <v>1</v>
      </c>
    </row>
    <row r="7" spans="1:27">
      <c r="A7" s="49">
        <v>2020</v>
      </c>
      <c r="B7" s="49" t="s">
        <v>58</v>
      </c>
      <c r="C7" s="49" t="s">
        <v>59</v>
      </c>
      <c r="D7" s="50">
        <v>924782474882</v>
      </c>
      <c r="E7" s="50">
        <v>23989286699</v>
      </c>
      <c r="F7" s="50">
        <v>990991744064</v>
      </c>
      <c r="G7" s="50"/>
      <c r="H7" s="50"/>
      <c r="I7" s="50">
        <v>547541424689</v>
      </c>
      <c r="J7" s="50">
        <v>443450319375</v>
      </c>
      <c r="K7" s="51">
        <v>25000000000</v>
      </c>
      <c r="L7" s="50">
        <v>185567699856</v>
      </c>
      <c r="M7" s="50">
        <v>179184782942</v>
      </c>
      <c r="N7" s="50">
        <v>91760615438</v>
      </c>
      <c r="O7" s="50">
        <v>-88526593736</v>
      </c>
      <c r="P7" s="50"/>
      <c r="Q7" s="52">
        <v>990</v>
      </c>
      <c r="R7" s="49">
        <f t="shared" si="0"/>
        <v>1.6889726204866975</v>
      </c>
      <c r="S7" s="49">
        <f t="shared" si="1"/>
        <v>1.2347300267157464</v>
      </c>
      <c r="T7" s="51">
        <f t="shared" si="2"/>
        <v>-8.9331313067208359E-2</v>
      </c>
      <c r="U7" s="51">
        <f t="shared" si="3"/>
        <v>-0.19963136763723521</v>
      </c>
      <c r="V7" s="51">
        <f t="shared" si="4"/>
        <v>-0.47705820465898097</v>
      </c>
      <c r="W7" s="51">
        <f t="shared" si="5"/>
        <v>0</v>
      </c>
      <c r="X7" s="51">
        <f t="shared" si="6"/>
        <v>0</v>
      </c>
      <c r="Y7" s="51">
        <f t="shared" si="7"/>
        <v>-279.57700568270286</v>
      </c>
      <c r="Z7" s="51">
        <f t="shared" si="8"/>
        <v>55.812340004361054</v>
      </c>
      <c r="AA7" s="52">
        <v>1</v>
      </c>
    </row>
    <row r="8" spans="1:27">
      <c r="A8" s="49">
        <v>2018</v>
      </c>
      <c r="B8" s="49" t="s">
        <v>60</v>
      </c>
      <c r="C8" s="49" t="s">
        <v>61</v>
      </c>
      <c r="D8" s="50">
        <v>1210842541630</v>
      </c>
      <c r="E8" s="50">
        <v>59951428986</v>
      </c>
      <c r="F8" s="50">
        <v>1478007061719</v>
      </c>
      <c r="G8" s="50"/>
      <c r="H8" s="50"/>
      <c r="I8" s="50">
        <v>1072221723281</v>
      </c>
      <c r="J8" s="50">
        <v>405785338438</v>
      </c>
      <c r="K8" s="51">
        <v>420000000</v>
      </c>
      <c r="L8" s="50">
        <v>902165344517</v>
      </c>
      <c r="M8" s="50">
        <v>590399043504</v>
      </c>
      <c r="N8" s="50">
        <v>31849926816</v>
      </c>
      <c r="O8" s="50">
        <v>3573526494</v>
      </c>
      <c r="P8" s="50">
        <v>21297309695</v>
      </c>
      <c r="Q8" s="52">
        <v>2350</v>
      </c>
      <c r="R8" s="49">
        <f t="shared" si="0"/>
        <v>1.1292837249415355</v>
      </c>
      <c r="S8" s="49">
        <f t="shared" si="1"/>
        <v>2.6423372697700978</v>
      </c>
      <c r="T8" s="51">
        <f t="shared" si="2"/>
        <v>2.4178006902374339E-3</v>
      </c>
      <c r="U8" s="51">
        <f t="shared" si="3"/>
        <v>8.8064455649276736E-3</v>
      </c>
      <c r="V8" s="51">
        <f t="shared" si="4"/>
        <v>3.9610549393395171E-3</v>
      </c>
      <c r="W8" s="51">
        <f t="shared" si="5"/>
        <v>2.1577821372847011E-2</v>
      </c>
      <c r="X8" s="51">
        <f t="shared" si="6"/>
        <v>5.9597458507047518</v>
      </c>
      <c r="Y8" s="51">
        <f t="shared" si="7"/>
        <v>276.19775637796067</v>
      </c>
      <c r="Z8" s="51">
        <f t="shared" si="8"/>
        <v>2.4323205066976659</v>
      </c>
      <c r="AA8" s="52">
        <v>1</v>
      </c>
    </row>
    <row r="9" spans="1:27">
      <c r="A9" s="49">
        <v>2019</v>
      </c>
      <c r="B9" s="49" t="s">
        <v>60</v>
      </c>
      <c r="C9" s="49" t="s">
        <v>61</v>
      </c>
      <c r="D9" s="50">
        <v>1254061746961</v>
      </c>
      <c r="E9" s="50">
        <v>67512713635</v>
      </c>
      <c r="F9" s="50">
        <v>1548001829554</v>
      </c>
      <c r="G9" s="50"/>
      <c r="H9" s="50"/>
      <c r="I9" s="50">
        <v>1104712550189</v>
      </c>
      <c r="J9" s="50">
        <v>443289279365</v>
      </c>
      <c r="K9" s="51">
        <v>420000000</v>
      </c>
      <c r="L9" s="50">
        <v>1177500392010</v>
      </c>
      <c r="M9" s="50">
        <v>842624761795</v>
      </c>
      <c r="N9" s="50">
        <v>40486294000</v>
      </c>
      <c r="O9" s="50">
        <v>2089220151</v>
      </c>
      <c r="P9" s="50">
        <v>18237550870</v>
      </c>
      <c r="Q9" s="52">
        <v>2010</v>
      </c>
      <c r="R9" s="49">
        <f t="shared" si="0"/>
        <v>1.135192812597674</v>
      </c>
      <c r="S9" s="49">
        <f t="shared" si="1"/>
        <v>2.4920804576448838</v>
      </c>
      <c r="T9" s="51">
        <f t="shared" si="2"/>
        <v>1.3496238254459506E-3</v>
      </c>
      <c r="U9" s="51">
        <f t="shared" si="3"/>
        <v>4.7129949860117348E-3</v>
      </c>
      <c r="V9" s="51">
        <f t="shared" si="4"/>
        <v>1.7742840386096935E-3</v>
      </c>
      <c r="W9" s="51">
        <f t="shared" si="5"/>
        <v>2.1603353316749584E-2</v>
      </c>
      <c r="X9" s="51">
        <f t="shared" si="6"/>
        <v>8.7293581106187599</v>
      </c>
      <c r="Y9" s="51">
        <f t="shared" si="7"/>
        <v>404.07421860062271</v>
      </c>
      <c r="Z9" s="51">
        <f t="shared" si="8"/>
        <v>1.9043997662413443</v>
      </c>
      <c r="AA9" s="52">
        <v>1</v>
      </c>
    </row>
    <row r="10" spans="1:27">
      <c r="A10" s="49">
        <v>2020</v>
      </c>
      <c r="B10" s="49" t="s">
        <v>60</v>
      </c>
      <c r="C10" s="49" t="s">
        <v>61</v>
      </c>
      <c r="D10" s="50">
        <v>1213949686630</v>
      </c>
      <c r="E10" s="50">
        <v>65757265183</v>
      </c>
      <c r="F10" s="50">
        <v>1516562973028</v>
      </c>
      <c r="G10" s="50"/>
      <c r="H10" s="50"/>
      <c r="I10" s="50">
        <v>1013381758085</v>
      </c>
      <c r="J10" s="50">
        <v>503181214943</v>
      </c>
      <c r="K10" s="51">
        <v>420000000</v>
      </c>
      <c r="L10" s="50">
        <v>1323139975825</v>
      </c>
      <c r="M10" s="50">
        <v>1014017867183</v>
      </c>
      <c r="N10" s="50">
        <v>25818453029</v>
      </c>
      <c r="O10" s="50">
        <v>16434884891</v>
      </c>
      <c r="P10" s="50">
        <v>16272822539</v>
      </c>
      <c r="Q10" s="52">
        <v>1680</v>
      </c>
      <c r="R10" s="49">
        <f t="shared" si="0"/>
        <v>1.1979194187627924</v>
      </c>
      <c r="S10" s="49">
        <f t="shared" si="1"/>
        <v>2.0139499011301427</v>
      </c>
      <c r="T10" s="51">
        <f t="shared" si="2"/>
        <v>1.083692875488433E-2</v>
      </c>
      <c r="U10" s="51">
        <f t="shared" si="3"/>
        <v>3.2661960349338028E-2</v>
      </c>
      <c r="V10" s="51">
        <f t="shared" si="4"/>
        <v>1.2421123381713695E-2</v>
      </c>
      <c r="W10" s="51">
        <f t="shared" si="5"/>
        <v>2.30623902196712E-2</v>
      </c>
      <c r="X10" s="51">
        <f t="shared" si="6"/>
        <v>0.99013912460751408</v>
      </c>
      <c r="Y10" s="51">
        <f t="shared" si="7"/>
        <v>42.933066138260429</v>
      </c>
      <c r="Z10" s="51">
        <f t="shared" si="8"/>
        <v>1.4022781038833689</v>
      </c>
      <c r="AA10" s="52">
        <v>1</v>
      </c>
    </row>
    <row r="11" spans="1:27">
      <c r="A11" s="49">
        <v>2018</v>
      </c>
      <c r="B11" s="49" t="s">
        <v>62</v>
      </c>
      <c r="C11" s="49" t="s">
        <v>63</v>
      </c>
      <c r="D11" s="50">
        <v>2315732267904</v>
      </c>
      <c r="E11" s="50">
        <v>41712464138</v>
      </c>
      <c r="F11" s="50">
        <v>2485186649117</v>
      </c>
      <c r="G11" s="50"/>
      <c r="H11" s="50"/>
      <c r="I11" s="50">
        <v>1605367155250</v>
      </c>
      <c r="J11" s="50">
        <v>879819493867</v>
      </c>
      <c r="K11" s="51">
        <v>350000</v>
      </c>
      <c r="L11" s="50">
        <v>1132421357486</v>
      </c>
      <c r="M11" s="50">
        <v>1054327720740</v>
      </c>
      <c r="N11" s="50">
        <v>140384182320</v>
      </c>
      <c r="O11" s="50">
        <v>68687123783</v>
      </c>
      <c r="P11" s="50">
        <v>36732360000</v>
      </c>
      <c r="Q11" s="52">
        <v>4300</v>
      </c>
      <c r="R11" s="49">
        <f t="shared" si="0"/>
        <v>1.4424938621242545</v>
      </c>
      <c r="S11" s="49">
        <f t="shared" si="1"/>
        <v>1.8246551326045966</v>
      </c>
      <c r="T11" s="51">
        <f t="shared" si="2"/>
        <v>2.7638617730143086E-2</v>
      </c>
      <c r="U11" s="51">
        <f t="shared" si="3"/>
        <v>7.8069563429545075E-2</v>
      </c>
      <c r="V11" s="51">
        <f t="shared" si="4"/>
        <v>6.0655093909114277E-2</v>
      </c>
      <c r="W11" s="51">
        <f t="shared" si="5"/>
        <v>24.406883720930235</v>
      </c>
      <c r="X11" s="51">
        <f t="shared" si="6"/>
        <v>0.53477796094719032</v>
      </c>
      <c r="Y11" s="51">
        <f t="shared" si="7"/>
        <v>2.1910948036704458E-2</v>
      </c>
      <c r="Z11" s="51">
        <f t="shared" si="8"/>
        <v>1.7105781475529648E-3</v>
      </c>
      <c r="AA11" s="52">
        <v>1</v>
      </c>
    </row>
    <row r="12" spans="1:27">
      <c r="A12" s="49">
        <v>2019</v>
      </c>
      <c r="B12" s="49" t="s">
        <v>62</v>
      </c>
      <c r="C12" s="49" t="s">
        <v>63</v>
      </c>
      <c r="D12" s="50">
        <v>2235292189141</v>
      </c>
      <c r="E12" s="50">
        <v>59931111698</v>
      </c>
      <c r="F12" s="50">
        <v>2425843273596</v>
      </c>
      <c r="G12" s="50"/>
      <c r="H12" s="50"/>
      <c r="I12" s="50">
        <v>1575194310012</v>
      </c>
      <c r="J12" s="50">
        <v>848511733189</v>
      </c>
      <c r="K12" s="51">
        <v>350000</v>
      </c>
      <c r="L12" s="50">
        <v>1167490752228</v>
      </c>
      <c r="M12" s="50">
        <v>1079716721795</v>
      </c>
      <c r="N12" s="50">
        <v>190106898267</v>
      </c>
      <c r="O12" s="50">
        <v>80002543527</v>
      </c>
      <c r="P12" s="50">
        <v>48726600000</v>
      </c>
      <c r="Q12" s="52">
        <v>3600</v>
      </c>
      <c r="R12" s="49">
        <f t="shared" si="0"/>
        <v>1.4190580647310562</v>
      </c>
      <c r="S12" s="49">
        <f t="shared" si="1"/>
        <v>1.8564201865445937</v>
      </c>
      <c r="T12" s="51">
        <f t="shared" si="2"/>
        <v>3.2979271331245792E-2</v>
      </c>
      <c r="U12" s="51">
        <f t="shared" si="3"/>
        <v>9.4285724519474617E-2</v>
      </c>
      <c r="V12" s="51">
        <f t="shared" si="4"/>
        <v>6.852520533830854E-2</v>
      </c>
      <c r="W12" s="51">
        <f t="shared" si="5"/>
        <v>38.671904761904756</v>
      </c>
      <c r="X12" s="51">
        <f t="shared" si="6"/>
        <v>0.60906313539338031</v>
      </c>
      <c r="Y12" s="51">
        <f t="shared" si="7"/>
        <v>1.5749499259042479E-2</v>
      </c>
      <c r="Z12" s="51">
        <f t="shared" si="8"/>
        <v>1.4849529484577486E-3</v>
      </c>
      <c r="AA12" s="52">
        <v>1</v>
      </c>
    </row>
    <row r="13" spans="1:27">
      <c r="A13" s="49">
        <v>2020</v>
      </c>
      <c r="B13" s="49" t="s">
        <v>62</v>
      </c>
      <c r="C13" s="49" t="s">
        <v>63</v>
      </c>
      <c r="D13" s="50">
        <v>2624614720238</v>
      </c>
      <c r="E13" s="50">
        <v>61211166120</v>
      </c>
      <c r="F13" s="50">
        <v>2815578393095</v>
      </c>
      <c r="G13" s="50"/>
      <c r="H13" s="50"/>
      <c r="I13" s="50">
        <v>1954498917680</v>
      </c>
      <c r="J13" s="50">
        <v>861079475415</v>
      </c>
      <c r="K13" s="51">
        <v>350000</v>
      </c>
      <c r="L13" s="50">
        <v>1220142637207</v>
      </c>
      <c r="M13" s="50">
        <v>1108228300836</v>
      </c>
      <c r="N13" s="50">
        <v>206201182748</v>
      </c>
      <c r="O13" s="50">
        <v>92908485040</v>
      </c>
      <c r="P13" s="50">
        <v>32084592000</v>
      </c>
      <c r="Q13" s="52">
        <v>3390</v>
      </c>
      <c r="R13" s="49">
        <f t="shared" si="0"/>
        <v>1.3428581087951845</v>
      </c>
      <c r="S13" s="49">
        <f t="shared" si="1"/>
        <v>2.2698240679096702</v>
      </c>
      <c r="T13" s="51">
        <f t="shared" si="2"/>
        <v>3.2998010379626179E-2</v>
      </c>
      <c r="U13" s="51">
        <f t="shared" si="3"/>
        <v>0.10789768853243478</v>
      </c>
      <c r="V13" s="51">
        <f t="shared" si="4"/>
        <v>7.6145593315773835E-2</v>
      </c>
      <c r="W13" s="51">
        <f t="shared" si="5"/>
        <v>27.041375474083438</v>
      </c>
      <c r="X13" s="51">
        <f t="shared" si="6"/>
        <v>0.34533543396156535</v>
      </c>
      <c r="Y13" s="51">
        <f t="shared" si="7"/>
        <v>1.2770631223716272E-2</v>
      </c>
      <c r="Z13" s="51">
        <f t="shared" si="8"/>
        <v>1.3779215901391247E-3</v>
      </c>
      <c r="AA13" s="52">
        <v>1</v>
      </c>
    </row>
    <row r="14" spans="1:27">
      <c r="A14" s="49">
        <v>2018</v>
      </c>
      <c r="B14" s="49" t="s">
        <v>64</v>
      </c>
      <c r="C14" s="49" t="s">
        <v>65</v>
      </c>
      <c r="D14" s="50">
        <v>2614558188655</v>
      </c>
      <c r="E14" s="50">
        <v>56864203151</v>
      </c>
      <c r="F14" s="50">
        <v>3426618296227</v>
      </c>
      <c r="G14" s="50"/>
      <c r="H14" s="50"/>
      <c r="I14" s="50">
        <v>2016141327384</v>
      </c>
      <c r="J14" s="50">
        <v>1410476968843</v>
      </c>
      <c r="K14" s="51">
        <v>1500000000</v>
      </c>
      <c r="L14" s="50">
        <v>1216973600364</v>
      </c>
      <c r="M14" s="50">
        <v>1045948505140</v>
      </c>
      <c r="N14" s="50">
        <v>94173689178</v>
      </c>
      <c r="O14" s="50">
        <v>140867155045</v>
      </c>
      <c r="P14" s="50">
        <v>28291292960</v>
      </c>
      <c r="Q14" s="52">
        <v>5100</v>
      </c>
      <c r="R14" s="49">
        <f t="shared" si="0"/>
        <v>1.2968129531115076</v>
      </c>
      <c r="S14" s="49">
        <f t="shared" si="1"/>
        <v>1.429403933506139</v>
      </c>
      <c r="T14" s="51">
        <f t="shared" si="2"/>
        <v>4.1109672238692822E-2</v>
      </c>
      <c r="U14" s="51">
        <f t="shared" si="3"/>
        <v>9.9871999441828466E-2</v>
      </c>
      <c r="V14" s="51">
        <f t="shared" si="4"/>
        <v>0.11575202206758328</v>
      </c>
      <c r="W14" s="51">
        <f t="shared" si="5"/>
        <v>3.6982082300653593E-3</v>
      </c>
      <c r="X14" s="51">
        <f t="shared" si="6"/>
        <v>0.20083668865863266</v>
      </c>
      <c r="Y14" s="51">
        <f t="shared" si="7"/>
        <v>54.30648469869508</v>
      </c>
      <c r="Z14" s="51">
        <f t="shared" si="8"/>
        <v>5.4236972095157414</v>
      </c>
      <c r="AA14" s="52">
        <v>1</v>
      </c>
    </row>
    <row r="15" spans="1:27">
      <c r="A15" s="49">
        <v>2019</v>
      </c>
      <c r="B15" s="49" t="s">
        <v>64</v>
      </c>
      <c r="C15" s="49" t="s">
        <v>65</v>
      </c>
      <c r="D15" s="50">
        <v>3050314188997</v>
      </c>
      <c r="E15" s="50">
        <v>51455786161</v>
      </c>
      <c r="F15" s="50">
        <v>3915599148016</v>
      </c>
      <c r="G15" s="50"/>
      <c r="H15" s="50"/>
      <c r="I15" s="50">
        <v>2320512877462</v>
      </c>
      <c r="J15" s="50">
        <v>1595086270554</v>
      </c>
      <c r="K15" s="51">
        <v>1500000000</v>
      </c>
      <c r="L15" s="50">
        <v>1470949804896</v>
      </c>
      <c r="M15" s="50">
        <v>1309841112268</v>
      </c>
      <c r="N15" s="50">
        <v>97129177369</v>
      </c>
      <c r="O15" s="50">
        <v>179282076899</v>
      </c>
      <c r="P15" s="50">
        <v>25754804480</v>
      </c>
      <c r="Q15" s="52">
        <v>4280</v>
      </c>
      <c r="R15" s="49">
        <f t="shared" si="0"/>
        <v>1.3145000049873461</v>
      </c>
      <c r="S15" s="49">
        <f t="shared" si="1"/>
        <v>1.4547883210455115</v>
      </c>
      <c r="T15" s="51">
        <f t="shared" si="2"/>
        <v>4.578662680265437E-2</v>
      </c>
      <c r="U15" s="51">
        <f t="shared" si="3"/>
        <v>0.11239647673522533</v>
      </c>
      <c r="V15" s="51">
        <f t="shared" si="4"/>
        <v>0.12188184552747244</v>
      </c>
      <c r="W15" s="51">
        <f t="shared" si="5"/>
        <v>4.0116517881619938E-3</v>
      </c>
      <c r="X15" s="51">
        <f t="shared" si="6"/>
        <v>0.14365521041185381</v>
      </c>
      <c r="Y15" s="51">
        <f t="shared" si="7"/>
        <v>35.809491450820033</v>
      </c>
      <c r="Z15" s="51">
        <f t="shared" si="8"/>
        <v>4.0248606727523439</v>
      </c>
      <c r="AA15" s="52">
        <v>1</v>
      </c>
    </row>
    <row r="16" spans="1:27">
      <c r="A16" s="49">
        <v>2020</v>
      </c>
      <c r="B16" s="49" t="s">
        <v>64</v>
      </c>
      <c r="C16" s="49" t="s">
        <v>65</v>
      </c>
      <c r="D16" s="50">
        <v>3311255955993</v>
      </c>
      <c r="E16" s="50">
        <v>47281288654</v>
      </c>
      <c r="F16" s="50">
        <v>4203345266072</v>
      </c>
      <c r="G16" s="50"/>
      <c r="H16" s="50"/>
      <c r="I16" s="50">
        <v>2447545581054</v>
      </c>
      <c r="J16" s="50">
        <v>1755799685018</v>
      </c>
      <c r="K16" s="51">
        <v>1500000000</v>
      </c>
      <c r="L16" s="50">
        <v>1526256873467</v>
      </c>
      <c r="M16" s="50">
        <v>1437653868089</v>
      </c>
      <c r="N16" s="50">
        <v>92126420155</v>
      </c>
      <c r="O16" s="50">
        <v>105182858790</v>
      </c>
      <c r="P16" s="50">
        <v>25718451237</v>
      </c>
      <c r="Q16" s="52">
        <v>4700</v>
      </c>
      <c r="R16" s="49">
        <f t="shared" si="0"/>
        <v>1.3528883717732667</v>
      </c>
      <c r="S16" s="49">
        <f t="shared" si="1"/>
        <v>1.39397768546069</v>
      </c>
      <c r="T16" s="51">
        <f t="shared" si="2"/>
        <v>2.5023606706544174E-2</v>
      </c>
      <c r="U16" s="51">
        <f t="shared" si="3"/>
        <v>5.9905956065211215E-2</v>
      </c>
      <c r="V16" s="51">
        <f t="shared" si="4"/>
        <v>6.8915567633821506E-2</v>
      </c>
      <c r="W16" s="51">
        <f t="shared" si="5"/>
        <v>3.6480072676595746E-3</v>
      </c>
      <c r="X16" s="51">
        <f t="shared" si="6"/>
        <v>0.244511810506572</v>
      </c>
      <c r="Y16" s="51">
        <f t="shared" si="7"/>
        <v>67.026130313452384</v>
      </c>
      <c r="Z16" s="51">
        <f t="shared" si="8"/>
        <v>4.0152644177788002</v>
      </c>
      <c r="AA16" s="52">
        <v>1</v>
      </c>
    </row>
    <row r="17" spans="1:27">
      <c r="A17" s="49">
        <v>2018</v>
      </c>
      <c r="B17" s="49" t="s">
        <v>66</v>
      </c>
      <c r="C17" s="49" t="s">
        <v>67</v>
      </c>
      <c r="D17" s="50">
        <v>256222710742</v>
      </c>
      <c r="E17" s="50">
        <v>1162886570</v>
      </c>
      <c r="F17" s="50">
        <v>262118630829</v>
      </c>
      <c r="G17" s="50"/>
      <c r="H17" s="50"/>
      <c r="I17" s="50">
        <v>82390315351</v>
      </c>
      <c r="J17" s="50">
        <v>179728315478</v>
      </c>
      <c r="K17" s="51">
        <v>4250000000</v>
      </c>
      <c r="L17" s="50">
        <v>25396161153</v>
      </c>
      <c r="M17" s="50">
        <v>13254779808</v>
      </c>
      <c r="N17" s="50">
        <v>13406900449</v>
      </c>
      <c r="O17" s="50">
        <v>3947657923</v>
      </c>
      <c r="P17" s="50">
        <v>2325732322</v>
      </c>
      <c r="Q17" s="52">
        <v>126</v>
      </c>
      <c r="R17" s="49">
        <f t="shared" si="0"/>
        <v>3.1098644258179808</v>
      </c>
      <c r="S17" s="49">
        <f t="shared" si="1"/>
        <v>0.45841588806904021</v>
      </c>
      <c r="T17" s="51">
        <f t="shared" si="2"/>
        <v>1.5060577382518677E-2</v>
      </c>
      <c r="U17" s="51">
        <f t="shared" si="3"/>
        <v>2.1964585338158475E-2</v>
      </c>
      <c r="V17" s="51">
        <f t="shared" si="4"/>
        <v>0.15544309627022787</v>
      </c>
      <c r="W17" s="51">
        <f t="shared" si="5"/>
        <v>4.3431042427637722E-3</v>
      </c>
      <c r="X17" s="51">
        <f t="shared" si="6"/>
        <v>0.58914231358541147</v>
      </c>
      <c r="Y17" s="51">
        <f t="shared" si="7"/>
        <v>135.65005135831268</v>
      </c>
      <c r="Z17" s="51">
        <f t="shared" si="8"/>
        <v>2.9794971291852392</v>
      </c>
      <c r="AA17" s="52">
        <v>1</v>
      </c>
    </row>
    <row r="18" spans="1:27">
      <c r="A18" s="49">
        <v>2019</v>
      </c>
      <c r="B18" s="49" t="s">
        <v>66</v>
      </c>
      <c r="C18" s="49" t="s">
        <v>67</v>
      </c>
      <c r="D18" s="50">
        <v>278787602299</v>
      </c>
      <c r="E18" s="50">
        <v>2050262917</v>
      </c>
      <c r="F18" s="50">
        <v>284170955431</v>
      </c>
      <c r="G18" s="50"/>
      <c r="H18" s="50"/>
      <c r="I18" s="50">
        <v>97838690688</v>
      </c>
      <c r="J18" s="50">
        <v>186332264743</v>
      </c>
      <c r="K18" s="51">
        <v>4250000000</v>
      </c>
      <c r="L18" s="50">
        <v>26117484368</v>
      </c>
      <c r="M18" s="50">
        <v>11356539881</v>
      </c>
      <c r="N18" s="50">
        <v>15315108957</v>
      </c>
      <c r="O18" s="50">
        <v>21806030031</v>
      </c>
      <c r="P18" s="50">
        <v>12646169490</v>
      </c>
      <c r="Q18" s="52">
        <v>123</v>
      </c>
      <c r="R18" s="49">
        <f t="shared" si="0"/>
        <v>2.8494617041435282</v>
      </c>
      <c r="S18" s="49">
        <f t="shared" si="1"/>
        <v>0.52507648540066132</v>
      </c>
      <c r="T18" s="51">
        <f t="shared" si="2"/>
        <v>7.6735604446017208E-2</v>
      </c>
      <c r="U18" s="51">
        <f t="shared" si="3"/>
        <v>0.11702766593362728</v>
      </c>
      <c r="V18" s="51">
        <f t="shared" si="4"/>
        <v>0.83492076509931656</v>
      </c>
      <c r="W18" s="51">
        <f t="shared" si="5"/>
        <v>2.4191620258249641E-2</v>
      </c>
      <c r="X18" s="51">
        <f t="shared" si="6"/>
        <v>0.57993910271708737</v>
      </c>
      <c r="Y18" s="51">
        <f t="shared" si="7"/>
        <v>23.972726775889303</v>
      </c>
      <c r="Z18" s="51">
        <f t="shared" si="8"/>
        <v>2.8054722606468951</v>
      </c>
      <c r="AA18" s="52">
        <v>1</v>
      </c>
    </row>
    <row r="19" spans="1:27">
      <c r="A19" s="49">
        <v>2020</v>
      </c>
      <c r="B19" s="49" t="s">
        <v>66</v>
      </c>
      <c r="C19" s="49" t="s">
        <v>67</v>
      </c>
      <c r="D19" s="50">
        <v>317224915081</v>
      </c>
      <c r="E19" s="50">
        <v>3518827068</v>
      </c>
      <c r="F19" s="50">
        <v>322342387320</v>
      </c>
      <c r="G19" s="50"/>
      <c r="H19" s="50"/>
      <c r="I19" s="50">
        <v>138095296876</v>
      </c>
      <c r="J19" s="50">
        <v>184247090444</v>
      </c>
      <c r="K19" s="51">
        <v>4250000000</v>
      </c>
      <c r="L19" s="50">
        <v>26509968632</v>
      </c>
      <c r="M19" s="50">
        <v>17239784399</v>
      </c>
      <c r="N19" s="50">
        <v>13577579905</v>
      </c>
      <c r="O19" s="50">
        <v>6211645756</v>
      </c>
      <c r="P19" s="50">
        <v>13874395982</v>
      </c>
      <c r="Q19" s="52">
        <v>91</v>
      </c>
      <c r="R19" s="49">
        <f t="shared" si="0"/>
        <v>2.2971449590049833</v>
      </c>
      <c r="S19" s="49">
        <f t="shared" si="1"/>
        <v>0.74951141178521152</v>
      </c>
      <c r="T19" s="51">
        <f t="shared" si="2"/>
        <v>1.927033489962179E-2</v>
      </c>
      <c r="U19" s="51">
        <f t="shared" si="3"/>
        <v>3.3713670815811149E-2</v>
      </c>
      <c r="V19" s="51">
        <f t="shared" si="4"/>
        <v>0.23431358377776296</v>
      </c>
      <c r="W19" s="51">
        <f t="shared" si="5"/>
        <v>3.587432703813833E-2</v>
      </c>
      <c r="X19" s="51">
        <f t="shared" si="6"/>
        <v>2.2336103066724848</v>
      </c>
      <c r="Y19" s="51">
        <f t="shared" si="7"/>
        <v>62.262082416149937</v>
      </c>
      <c r="Z19" s="51">
        <f t="shared" si="8"/>
        <v>2.0990833508849827</v>
      </c>
      <c r="AA19" s="52">
        <v>1</v>
      </c>
    </row>
    <row r="20" spans="1:27">
      <c r="A20" s="49">
        <v>2018</v>
      </c>
      <c r="B20" s="49" t="s">
        <v>68</v>
      </c>
      <c r="C20" s="49" t="s">
        <v>69</v>
      </c>
      <c r="D20" s="50">
        <v>22966954769000</v>
      </c>
      <c r="E20" s="50">
        <v>259140701000</v>
      </c>
      <c r="F20" s="50">
        <v>23313671252000</v>
      </c>
      <c r="G20" s="50"/>
      <c r="H20" s="50"/>
      <c r="I20" s="50">
        <v>18889385436000</v>
      </c>
      <c r="J20" s="50">
        <v>4424285816000</v>
      </c>
      <c r="K20" s="51">
        <v>60000000000</v>
      </c>
      <c r="L20" s="50">
        <v>1663667161000</v>
      </c>
      <c r="M20" s="50">
        <v>987737580000</v>
      </c>
      <c r="N20" s="50">
        <v>281302960000</v>
      </c>
      <c r="O20" s="50">
        <v>142660203000</v>
      </c>
      <c r="P20" s="50">
        <v>53388294000</v>
      </c>
      <c r="Q20" s="52">
        <v>310</v>
      </c>
      <c r="R20" s="49">
        <f t="shared" si="0"/>
        <v>1.2158656429991013</v>
      </c>
      <c r="S20" s="49">
        <f t="shared" si="1"/>
        <v>4.2694767520869403</v>
      </c>
      <c r="T20" s="51">
        <f t="shared" si="2"/>
        <v>6.1191650794922168E-3</v>
      </c>
      <c r="U20" s="51">
        <f t="shared" si="3"/>
        <v>3.2244798128566475E-2</v>
      </c>
      <c r="V20" s="51">
        <f t="shared" si="4"/>
        <v>8.5750447171325753E-2</v>
      </c>
      <c r="W20" s="51">
        <f t="shared" si="5"/>
        <v>2.8703383870967744E-3</v>
      </c>
      <c r="X20" s="51">
        <f t="shared" si="6"/>
        <v>0.37423396909087531</v>
      </c>
      <c r="Y20" s="51">
        <f t="shared" si="7"/>
        <v>130.37973876989366</v>
      </c>
      <c r="Z20" s="51">
        <f t="shared" si="8"/>
        <v>4.2040683566904526</v>
      </c>
      <c r="AA20" s="52">
        <v>1</v>
      </c>
    </row>
    <row r="21" spans="1:27">
      <c r="A21" s="49">
        <v>2019</v>
      </c>
      <c r="B21" s="49" t="s">
        <v>68</v>
      </c>
      <c r="C21" s="49" t="s">
        <v>69</v>
      </c>
      <c r="D21" s="50">
        <v>26693158085000</v>
      </c>
      <c r="E21" s="50">
        <v>262120871000</v>
      </c>
      <c r="F21" s="50">
        <v>27067922912000</v>
      </c>
      <c r="G21" s="50"/>
      <c r="H21" s="50"/>
      <c r="I21" s="50">
        <v>22586218693000</v>
      </c>
      <c r="J21" s="50">
        <v>4481704219000</v>
      </c>
      <c r="K21" s="51">
        <v>60000000000</v>
      </c>
      <c r="L21" s="50">
        <v>2054837678000</v>
      </c>
      <c r="M21" s="50">
        <v>1361627112000</v>
      </c>
      <c r="N21" s="50">
        <v>312040493000</v>
      </c>
      <c r="O21" s="50">
        <v>86365196000</v>
      </c>
      <c r="P21" s="50">
        <v>40842525000</v>
      </c>
      <c r="Q21" s="52">
        <v>198</v>
      </c>
      <c r="R21" s="49">
        <f t="shared" si="0"/>
        <v>1.1818338628445513</v>
      </c>
      <c r="S21" s="49">
        <f t="shared" si="1"/>
        <v>5.0396495594793294</v>
      </c>
      <c r="T21" s="51">
        <f t="shared" si="2"/>
        <v>3.1906842752870332E-3</v>
      </c>
      <c r="U21" s="51">
        <f t="shared" si="3"/>
        <v>1.9270614877674952E-2</v>
      </c>
      <c r="V21" s="51">
        <f t="shared" si="4"/>
        <v>4.2030179281149035E-2</v>
      </c>
      <c r="W21" s="51">
        <f t="shared" si="5"/>
        <v>3.4379229797979797E-3</v>
      </c>
      <c r="X21" s="51">
        <f t="shared" si="6"/>
        <v>0.47290490720359157</v>
      </c>
      <c r="Y21" s="51">
        <f t="shared" si="7"/>
        <v>137.55541063092127</v>
      </c>
      <c r="Z21" s="51">
        <f t="shared" si="8"/>
        <v>2.6507773426089187</v>
      </c>
      <c r="AA21" s="52">
        <v>1</v>
      </c>
    </row>
    <row r="22" spans="1:27">
      <c r="A22" s="49">
        <v>2020</v>
      </c>
      <c r="B22" s="49" t="s">
        <v>68</v>
      </c>
      <c r="C22" s="49" t="s">
        <v>69</v>
      </c>
      <c r="D22" s="50">
        <v>27536353583000</v>
      </c>
      <c r="E22" s="50">
        <v>277438069000</v>
      </c>
      <c r="F22" s="50">
        <v>28015492262000</v>
      </c>
      <c r="G22" s="50"/>
      <c r="H22" s="50"/>
      <c r="I22" s="50">
        <v>23727802051000</v>
      </c>
      <c r="J22" s="50">
        <v>4287690211000</v>
      </c>
      <c r="K22" s="51">
        <v>60000000000</v>
      </c>
      <c r="L22" s="50">
        <v>1931524786000</v>
      </c>
      <c r="M22" s="50">
        <v>1306889194000</v>
      </c>
      <c r="N22" s="50">
        <v>315820017000</v>
      </c>
      <c r="O22" s="50">
        <v>117206028000</v>
      </c>
      <c r="P22" s="50">
        <v>0</v>
      </c>
      <c r="Q22" s="52">
        <v>1035</v>
      </c>
      <c r="R22" s="49">
        <f t="shared" si="0"/>
        <v>1.1605100853342414</v>
      </c>
      <c r="S22" s="49">
        <f t="shared" si="1"/>
        <v>5.5339357284084345</v>
      </c>
      <c r="T22" s="51">
        <f t="shared" si="2"/>
        <v>4.183614797980093E-3</v>
      </c>
      <c r="U22" s="51">
        <f t="shared" si="3"/>
        <v>2.7335470202420369E-2</v>
      </c>
      <c r="V22" s="51">
        <f t="shared" si="4"/>
        <v>6.0680571561663614E-2</v>
      </c>
      <c r="W22" s="51">
        <f t="shared" si="5"/>
        <v>0</v>
      </c>
      <c r="X22" s="51">
        <f t="shared" si="6"/>
        <v>0</v>
      </c>
      <c r="Y22" s="51">
        <f t="shared" si="7"/>
        <v>529.83622992496601</v>
      </c>
      <c r="Z22" s="51">
        <f t="shared" si="8"/>
        <v>14.483322475276655</v>
      </c>
      <c r="AA22" s="52">
        <v>1</v>
      </c>
    </row>
    <row r="23" spans="1:27">
      <c r="A23" s="49">
        <v>2018</v>
      </c>
      <c r="B23" s="49" t="s">
        <v>72</v>
      </c>
      <c r="C23" s="49" t="s">
        <v>73</v>
      </c>
      <c r="D23" s="50">
        <v>4035734000000</v>
      </c>
      <c r="E23" s="50">
        <v>15792000000</v>
      </c>
      <c r="F23" s="50">
        <v>4151151000000</v>
      </c>
      <c r="G23" s="50"/>
      <c r="H23" s="50"/>
      <c r="I23" s="50">
        <v>3618348000000</v>
      </c>
      <c r="J23" s="50">
        <v>532803000000</v>
      </c>
      <c r="K23" s="51">
        <v>11800000000</v>
      </c>
      <c r="L23" s="50">
        <v>133934000000</v>
      </c>
      <c r="M23" s="50">
        <v>171078000000</v>
      </c>
      <c r="N23" s="50">
        <v>171078000000</v>
      </c>
      <c r="O23" s="50">
        <v>-31122000000</v>
      </c>
      <c r="P23" s="50"/>
      <c r="Q23" s="52">
        <v>238</v>
      </c>
      <c r="R23" s="49">
        <f t="shared" si="0"/>
        <v>1.1153526415922403</v>
      </c>
      <c r="S23" s="49">
        <f t="shared" si="1"/>
        <v>6.7911554552057698</v>
      </c>
      <c r="T23" s="51">
        <f t="shared" si="2"/>
        <v>-7.4971977651499544E-3</v>
      </c>
      <c r="U23" s="51">
        <f t="shared" si="3"/>
        <v>-5.8411833266704578E-2</v>
      </c>
      <c r="V23" s="51">
        <f t="shared" si="4"/>
        <v>-0.23236818134304957</v>
      </c>
      <c r="W23" s="51">
        <f t="shared" si="5"/>
        <v>0</v>
      </c>
      <c r="X23" s="51">
        <f t="shared" si="6"/>
        <v>0</v>
      </c>
      <c r="Y23" s="51">
        <f t="shared" si="7"/>
        <v>-90.238416554206026</v>
      </c>
      <c r="Z23" s="51">
        <f t="shared" si="8"/>
        <v>5.2709913420157175</v>
      </c>
      <c r="AA23" s="52">
        <v>1</v>
      </c>
    </row>
    <row r="24" spans="1:27">
      <c r="A24" s="49">
        <v>2019</v>
      </c>
      <c r="B24" s="49" t="s">
        <v>72</v>
      </c>
      <c r="C24" s="49" t="s">
        <v>73</v>
      </c>
      <c r="D24" s="50">
        <v>6083396000000</v>
      </c>
      <c r="E24" s="50">
        <v>134776000000</v>
      </c>
      <c r="F24" s="50">
        <v>6421844000000</v>
      </c>
      <c r="G24" s="50"/>
      <c r="H24" s="50"/>
      <c r="I24" s="50">
        <v>5219244000000</v>
      </c>
      <c r="J24" s="50">
        <v>1202600000000</v>
      </c>
      <c r="K24" s="51">
        <v>11800000000</v>
      </c>
      <c r="L24" s="50">
        <v>166231000000</v>
      </c>
      <c r="M24" s="50">
        <v>223544000000</v>
      </c>
      <c r="N24" s="50">
        <v>212614000000</v>
      </c>
      <c r="O24" s="50">
        <v>-259525000000</v>
      </c>
      <c r="P24" s="50"/>
      <c r="Q24" s="52">
        <v>135</v>
      </c>
      <c r="R24" s="49">
        <f t="shared" si="0"/>
        <v>1.1655703393058459</v>
      </c>
      <c r="S24" s="49">
        <f t="shared" si="1"/>
        <v>4.3399667387327456</v>
      </c>
      <c r="T24" s="51">
        <f t="shared" si="2"/>
        <v>-4.0412847151067514E-2</v>
      </c>
      <c r="U24" s="51">
        <f t="shared" si="3"/>
        <v>-0.21580325960419092</v>
      </c>
      <c r="V24" s="51">
        <f t="shared" si="4"/>
        <v>-1.5612310579855744</v>
      </c>
      <c r="W24" s="51">
        <f t="shared" si="5"/>
        <v>0</v>
      </c>
      <c r="X24" s="51">
        <f t="shared" si="6"/>
        <v>0</v>
      </c>
      <c r="Y24" s="51">
        <f t="shared" si="7"/>
        <v>-6.1381369810230231</v>
      </c>
      <c r="Z24" s="51">
        <f t="shared" si="8"/>
        <v>1.3246299684017961</v>
      </c>
      <c r="AA24" s="52">
        <v>1</v>
      </c>
    </row>
    <row r="25" spans="1:27">
      <c r="A25" s="49">
        <v>2020</v>
      </c>
      <c r="B25" s="49" t="s">
        <v>72</v>
      </c>
      <c r="C25" s="49" t="s">
        <v>73</v>
      </c>
      <c r="D25" s="50">
        <v>7907292000000</v>
      </c>
      <c r="E25" s="50">
        <v>171496000000</v>
      </c>
      <c r="F25" s="50">
        <v>9854035000000</v>
      </c>
      <c r="G25" s="50"/>
      <c r="H25" s="50"/>
      <c r="I25" s="50">
        <v>7954197000000</v>
      </c>
      <c r="J25" s="50">
        <v>1899838000000</v>
      </c>
      <c r="K25" s="51">
        <v>11800000000</v>
      </c>
      <c r="L25" s="50">
        <v>169710000000</v>
      </c>
      <c r="M25" s="50">
        <v>336070000000</v>
      </c>
      <c r="N25" s="50">
        <v>336070000000</v>
      </c>
      <c r="O25" s="50">
        <v>-176863000000</v>
      </c>
      <c r="P25" s="50"/>
      <c r="Q25" s="52">
        <v>204</v>
      </c>
      <c r="R25" s="49">
        <f t="shared" si="0"/>
        <v>0.99410311311122923</v>
      </c>
      <c r="S25" s="49">
        <f t="shared" si="1"/>
        <v>4.1867764514658621</v>
      </c>
      <c r="T25" s="51">
        <f t="shared" si="2"/>
        <v>-1.7948282099667801E-2</v>
      </c>
      <c r="U25" s="51">
        <f t="shared" si="3"/>
        <v>-9.3093726938823201E-2</v>
      </c>
      <c r="V25" s="51">
        <f t="shared" si="4"/>
        <v>-1.0421483707501031</v>
      </c>
      <c r="W25" s="51">
        <f t="shared" si="5"/>
        <v>0</v>
      </c>
      <c r="X25" s="51">
        <f t="shared" si="6"/>
        <v>0</v>
      </c>
      <c r="Y25" s="51">
        <f t="shared" si="7"/>
        <v>-13.610534707655079</v>
      </c>
      <c r="Z25" s="51">
        <f t="shared" si="8"/>
        <v>1.2670554015658178</v>
      </c>
      <c r="AA25" s="52">
        <v>1</v>
      </c>
    </row>
    <row r="26" spans="1:27">
      <c r="A26" s="49">
        <v>2018</v>
      </c>
      <c r="B26" s="49" t="s">
        <v>74</v>
      </c>
      <c r="C26" s="49" t="s">
        <v>75</v>
      </c>
      <c r="D26" s="50">
        <v>9968365000000</v>
      </c>
      <c r="E26" s="50">
        <v>48137000000</v>
      </c>
      <c r="F26" s="50">
        <v>10854855000000</v>
      </c>
      <c r="G26" s="50"/>
      <c r="H26" s="50"/>
      <c r="I26" s="50">
        <v>9424865000000</v>
      </c>
      <c r="J26" s="50">
        <v>1429990000000</v>
      </c>
      <c r="K26" s="51">
        <v>60000000000</v>
      </c>
      <c r="L26" s="50">
        <v>960256000000</v>
      </c>
      <c r="M26" s="50">
        <v>572785000000</v>
      </c>
      <c r="N26" s="50">
        <v>307274000000</v>
      </c>
      <c r="O26" s="50">
        <v>57021000000</v>
      </c>
      <c r="P26" s="50"/>
      <c r="Q26" s="52">
        <v>50</v>
      </c>
      <c r="R26" s="49">
        <f t="shared" si="0"/>
        <v>1.0576666084872304</v>
      </c>
      <c r="S26" s="49">
        <f t="shared" si="1"/>
        <v>6.5908607752501762</v>
      </c>
      <c r="T26" s="51">
        <f t="shared" si="2"/>
        <v>5.2530411507109029E-3</v>
      </c>
      <c r="U26" s="51">
        <f t="shared" si="3"/>
        <v>3.9875104021706444E-2</v>
      </c>
      <c r="V26" s="51">
        <f t="shared" si="4"/>
        <v>5.9381040055985074E-2</v>
      </c>
      <c r="W26" s="51">
        <f t="shared" si="5"/>
        <v>0</v>
      </c>
      <c r="X26" s="51">
        <f t="shared" si="6"/>
        <v>0</v>
      </c>
      <c r="Y26" s="51">
        <f t="shared" si="7"/>
        <v>52.612195506918503</v>
      </c>
      <c r="Z26" s="51">
        <f t="shared" si="8"/>
        <v>2.0979167686487319</v>
      </c>
      <c r="AA26" s="52">
        <v>1</v>
      </c>
    </row>
    <row r="27" spans="1:27">
      <c r="A27" s="49">
        <v>2019</v>
      </c>
      <c r="B27" s="49" t="s">
        <v>74</v>
      </c>
      <c r="C27" s="49" t="s">
        <v>75</v>
      </c>
      <c r="D27" s="50">
        <v>9281777000000</v>
      </c>
      <c r="E27" s="50">
        <v>48316000000</v>
      </c>
      <c r="F27" s="50">
        <v>10607879000000</v>
      </c>
      <c r="G27" s="50"/>
      <c r="H27" s="50"/>
      <c r="I27" s="50">
        <v>9048429000000</v>
      </c>
      <c r="J27" s="50">
        <v>1559450000000</v>
      </c>
      <c r="K27" s="51">
        <v>60000000000</v>
      </c>
      <c r="L27" s="50">
        <v>1071032000000</v>
      </c>
      <c r="M27" s="50">
        <v>667529000000</v>
      </c>
      <c r="N27" s="50">
        <v>339722000000</v>
      </c>
      <c r="O27" s="50">
        <v>20433000000</v>
      </c>
      <c r="P27" s="50"/>
      <c r="Q27" s="52">
        <v>50</v>
      </c>
      <c r="R27" s="49">
        <f t="shared" si="0"/>
        <v>1.0257887860975645</v>
      </c>
      <c r="S27" s="49">
        <f t="shared" si="1"/>
        <v>5.8023206899868542</v>
      </c>
      <c r="T27" s="51">
        <f t="shared" si="2"/>
        <v>1.9262097540893896E-3</v>
      </c>
      <c r="U27" s="51">
        <f t="shared" si="3"/>
        <v>1.3102696463496745E-2</v>
      </c>
      <c r="V27" s="51">
        <f t="shared" si="4"/>
        <v>1.9077861352415241E-2</v>
      </c>
      <c r="W27" s="51">
        <f t="shared" si="5"/>
        <v>0</v>
      </c>
      <c r="X27" s="51">
        <f t="shared" si="6"/>
        <v>0</v>
      </c>
      <c r="Y27" s="51">
        <f t="shared" si="7"/>
        <v>146.82131845543972</v>
      </c>
      <c r="Z27" s="51">
        <f t="shared" si="8"/>
        <v>1.9237551700920195</v>
      </c>
      <c r="AA27" s="52">
        <v>1</v>
      </c>
    </row>
    <row r="28" spans="1:27">
      <c r="A28" s="49">
        <v>2020</v>
      </c>
      <c r="B28" s="49" t="s">
        <v>74</v>
      </c>
      <c r="C28" s="49" t="s">
        <v>75</v>
      </c>
      <c r="D28" s="50">
        <v>102648350000000</v>
      </c>
      <c r="E28" s="50">
        <v>40914000000</v>
      </c>
      <c r="F28" s="50">
        <v>11652904000000</v>
      </c>
      <c r="G28" s="50"/>
      <c r="H28" s="50"/>
      <c r="I28" s="50">
        <v>10101667000000</v>
      </c>
      <c r="J28" s="50">
        <v>11652904000000</v>
      </c>
      <c r="K28" s="51">
        <v>60000000000</v>
      </c>
      <c r="L28" s="50">
        <v>969784000000</v>
      </c>
      <c r="M28" s="50">
        <v>368535000000</v>
      </c>
      <c r="N28" s="50">
        <v>345839000000</v>
      </c>
      <c r="O28" s="50">
        <v>10414000000</v>
      </c>
      <c r="P28" s="50"/>
      <c r="Q28" s="52">
        <v>50</v>
      </c>
      <c r="R28" s="49">
        <f t="shared" si="0"/>
        <v>10.161525815491641</v>
      </c>
      <c r="S28" s="49">
        <f t="shared" si="1"/>
        <v>0.86687979236763646</v>
      </c>
      <c r="T28" s="51">
        <f t="shared" si="2"/>
        <v>8.9368281073970923E-4</v>
      </c>
      <c r="U28" s="51">
        <f t="shared" si="3"/>
        <v>8.9368281073970923E-4</v>
      </c>
      <c r="V28" s="51">
        <f t="shared" si="4"/>
        <v>1.0738473721983452E-2</v>
      </c>
      <c r="W28" s="51">
        <f t="shared" si="5"/>
        <v>0</v>
      </c>
      <c r="X28" s="51">
        <f t="shared" si="6"/>
        <v>0</v>
      </c>
      <c r="Y28" s="51">
        <f t="shared" si="7"/>
        <v>288.07374687920105</v>
      </c>
      <c r="Z28" s="51">
        <f t="shared" si="8"/>
        <v>0.25744655581132392</v>
      </c>
      <c r="AA28" s="52">
        <v>1</v>
      </c>
    </row>
    <row r="29" spans="1:27">
      <c r="A29" s="49">
        <v>2018</v>
      </c>
      <c r="B29" s="49" t="s">
        <v>76</v>
      </c>
      <c r="C29" s="49" t="s">
        <v>77</v>
      </c>
      <c r="D29" s="50">
        <v>788261904000000</v>
      </c>
      <c r="E29" s="50">
        <v>19336901000000</v>
      </c>
      <c r="F29" s="50">
        <v>824787944000000</v>
      </c>
      <c r="G29" s="50"/>
      <c r="H29" s="50"/>
      <c r="I29" s="50">
        <v>668438779000000</v>
      </c>
      <c r="J29" s="50">
        <v>151753427000000</v>
      </c>
      <c r="K29" s="51">
        <v>88000000000</v>
      </c>
      <c r="L29" s="50">
        <v>56766800000000</v>
      </c>
      <c r="M29" s="50">
        <v>11476255000000</v>
      </c>
      <c r="N29" s="50">
        <v>27651554000000</v>
      </c>
      <c r="O29" s="50">
        <v>25851660000000</v>
      </c>
      <c r="P29" s="50">
        <v>6410302000000</v>
      </c>
      <c r="Q29" s="52">
        <v>26000</v>
      </c>
      <c r="R29" s="49">
        <f t="shared" si="0"/>
        <v>1.1792581890285572</v>
      </c>
      <c r="S29" s="49">
        <f t="shared" si="1"/>
        <v>4.4047689216270554</v>
      </c>
      <c r="T29" s="51">
        <f t="shared" si="2"/>
        <v>3.1343401886582377E-2</v>
      </c>
      <c r="U29" s="51">
        <f t="shared" si="3"/>
        <v>0.17035305568420542</v>
      </c>
      <c r="V29" s="51">
        <f t="shared" si="4"/>
        <v>0.45540104427235639</v>
      </c>
      <c r="W29" s="51">
        <f t="shared" si="5"/>
        <v>2.8017054195804193E-3</v>
      </c>
      <c r="X29" s="51">
        <f t="shared" si="6"/>
        <v>0.24796481154401689</v>
      </c>
      <c r="Y29" s="51">
        <f t="shared" si="7"/>
        <v>88.50495480754428</v>
      </c>
      <c r="Z29" s="51">
        <f t="shared" si="8"/>
        <v>15.077089494657674</v>
      </c>
      <c r="AA29" s="52">
        <v>1</v>
      </c>
    </row>
    <row r="30" spans="1:27">
      <c r="A30" s="49">
        <v>2019</v>
      </c>
      <c r="B30" s="49" t="s">
        <v>76</v>
      </c>
      <c r="C30" s="49" t="s">
        <v>77</v>
      </c>
      <c r="D30" s="50">
        <v>878881370000000</v>
      </c>
      <c r="E30" s="50">
        <v>20852301000000</v>
      </c>
      <c r="F30" s="50">
        <v>918989312000000</v>
      </c>
      <c r="G30" s="50"/>
      <c r="H30" s="50"/>
      <c r="I30" s="50">
        <v>740067127000000</v>
      </c>
      <c r="J30" s="50">
        <v>174143156000000</v>
      </c>
      <c r="K30" s="51">
        <v>88000000000</v>
      </c>
      <c r="L30" s="50">
        <v>63837795000000</v>
      </c>
      <c r="M30" s="50">
        <v>13360347000000</v>
      </c>
      <c r="N30" s="50">
        <v>30742208000000</v>
      </c>
      <c r="O30" s="50">
        <v>28569974000000</v>
      </c>
      <c r="P30" s="50">
        <v>8752529000000</v>
      </c>
      <c r="Q30" s="52">
        <v>33425</v>
      </c>
      <c r="R30" s="49">
        <f t="shared" si="0"/>
        <v>1.1875698000027504</v>
      </c>
      <c r="S30" s="49">
        <f t="shared" si="1"/>
        <v>4.2497629191927588</v>
      </c>
      <c r="T30" s="51">
        <f t="shared" si="2"/>
        <v>3.1088472550157363E-2</v>
      </c>
      <c r="U30" s="51">
        <f t="shared" si="3"/>
        <v>0.16406027463979117</v>
      </c>
      <c r="V30" s="51">
        <f t="shared" si="4"/>
        <v>0.44754011318843329</v>
      </c>
      <c r="W30" s="51">
        <f t="shared" si="5"/>
        <v>2.9756337118379004E-3</v>
      </c>
      <c r="X30" s="51">
        <f t="shared" si="6"/>
        <v>0.30635411148781583</v>
      </c>
      <c r="Y30" s="51">
        <f t="shared" si="7"/>
        <v>102.95424140042969</v>
      </c>
      <c r="Z30" s="51">
        <f t="shared" si="8"/>
        <v>16.890701119485854</v>
      </c>
      <c r="AA30" s="52">
        <v>1</v>
      </c>
    </row>
    <row r="31" spans="1:27">
      <c r="A31" s="49">
        <v>2020</v>
      </c>
      <c r="B31" s="49" t="s">
        <v>76</v>
      </c>
      <c r="C31" s="49" t="s">
        <v>77</v>
      </c>
      <c r="D31" s="50">
        <v>1030530192000000</v>
      </c>
      <c r="E31" s="50">
        <v>21915054000000</v>
      </c>
      <c r="F31" s="50">
        <v>1075570256000000</v>
      </c>
      <c r="G31" s="50"/>
      <c r="H31" s="50"/>
      <c r="I31" s="50">
        <v>885537919000000</v>
      </c>
      <c r="J31" s="50">
        <v>184714709000000</v>
      </c>
      <c r="K31" s="51">
        <v>88000000000</v>
      </c>
      <c r="L31" s="50">
        <v>65403161000000</v>
      </c>
      <c r="M31" s="50">
        <v>11241891000000</v>
      </c>
      <c r="N31" s="50">
        <v>29968715000000</v>
      </c>
      <c r="O31" s="50">
        <v>27147109000000</v>
      </c>
      <c r="P31" s="50">
        <v>13634221000000</v>
      </c>
      <c r="Q31" s="52">
        <v>33850</v>
      </c>
      <c r="R31" s="49">
        <f t="shared" si="0"/>
        <v>1.1637335566202898</v>
      </c>
      <c r="S31" s="49">
        <f t="shared" si="1"/>
        <v>4.7940844765102062</v>
      </c>
      <c r="T31" s="51">
        <f t="shared" si="2"/>
        <v>2.5239735710951085E-2</v>
      </c>
      <c r="U31" s="51">
        <f t="shared" si="3"/>
        <v>0.14696777071500028</v>
      </c>
      <c r="V31" s="51">
        <f t="shared" si="4"/>
        <v>0.41507334790745054</v>
      </c>
      <c r="W31" s="51">
        <f t="shared" si="5"/>
        <v>4.5770850678125419E-3</v>
      </c>
      <c r="X31" s="51">
        <f t="shared" si="6"/>
        <v>0.50223473151413656</v>
      </c>
      <c r="Y31" s="51">
        <f t="shared" si="7"/>
        <v>109.72807454377555</v>
      </c>
      <c r="Z31" s="51">
        <f t="shared" si="8"/>
        <v>16.126490500548066</v>
      </c>
      <c r="AA31" s="52">
        <v>1</v>
      </c>
    </row>
    <row r="32" spans="1:27">
      <c r="A32" s="49">
        <v>2018</v>
      </c>
      <c r="B32" s="49" t="s">
        <v>78</v>
      </c>
      <c r="C32" s="49" t="s">
        <v>79</v>
      </c>
      <c r="D32" s="50">
        <v>2020118373285</v>
      </c>
      <c r="E32" s="50">
        <v>34368921424</v>
      </c>
      <c r="F32" s="50">
        <v>2264172563518</v>
      </c>
      <c r="G32" s="50"/>
      <c r="H32" s="50"/>
      <c r="I32" s="50">
        <v>1927690426617</v>
      </c>
      <c r="J32" s="50">
        <v>336482136901</v>
      </c>
      <c r="K32" s="51">
        <v>10000000000</v>
      </c>
      <c r="L32" s="50">
        <v>222339040371</v>
      </c>
      <c r="M32" s="50">
        <v>120624113372</v>
      </c>
      <c r="N32" s="50">
        <v>58187078926</v>
      </c>
      <c r="O32" s="50">
        <v>-123143307728</v>
      </c>
      <c r="P32" s="50"/>
      <c r="Q32" s="52">
        <v>171</v>
      </c>
      <c r="R32" s="49">
        <f t="shared" si="0"/>
        <v>1.0479475051552787</v>
      </c>
      <c r="S32" s="49">
        <f t="shared" si="1"/>
        <v>5.728953234697765</v>
      </c>
      <c r="T32" s="51">
        <f t="shared" si="2"/>
        <v>-5.4387774903810249E-2</v>
      </c>
      <c r="U32" s="51">
        <f t="shared" si="3"/>
        <v>-0.36597279386700787</v>
      </c>
      <c r="V32" s="51">
        <f t="shared" si="4"/>
        <v>-0.55385373402044136</v>
      </c>
      <c r="W32" s="51">
        <f t="shared" si="5"/>
        <v>0</v>
      </c>
      <c r="X32" s="51">
        <f t="shared" si="6"/>
        <v>0</v>
      </c>
      <c r="Y32" s="51">
        <f t="shared" si="7"/>
        <v>-13.886260094434549</v>
      </c>
      <c r="Z32" s="51">
        <f t="shared" si="8"/>
        <v>5.0819934031241525</v>
      </c>
      <c r="AA32" s="52">
        <v>1</v>
      </c>
    </row>
    <row r="33" spans="1:27">
      <c r="A33" s="49">
        <v>2019</v>
      </c>
      <c r="B33" s="49" t="s">
        <v>78</v>
      </c>
      <c r="C33" s="49" t="s">
        <v>79</v>
      </c>
      <c r="D33" s="50">
        <v>2287435487925</v>
      </c>
      <c r="E33" s="50">
        <v>32804430650</v>
      </c>
      <c r="F33" s="50">
        <v>2527173168770</v>
      </c>
      <c r="G33" s="50"/>
      <c r="H33" s="50"/>
      <c r="I33" s="50">
        <v>2227407291122</v>
      </c>
      <c r="J33" s="50">
        <v>299765877648</v>
      </c>
      <c r="K33" s="51">
        <v>10000000000</v>
      </c>
      <c r="L33" s="50">
        <v>222323923791</v>
      </c>
      <c r="M33" s="50">
        <v>135940003048</v>
      </c>
      <c r="N33" s="50">
        <v>60987155987</v>
      </c>
      <c r="O33" s="50">
        <v>-36549663189</v>
      </c>
      <c r="P33" s="50"/>
      <c r="Q33" s="52">
        <v>125</v>
      </c>
      <c r="R33" s="49">
        <f t="shared" si="0"/>
        <v>1.0269498070883849</v>
      </c>
      <c r="S33" s="49">
        <f t="shared" si="1"/>
        <v>7.430489782888273</v>
      </c>
      <c r="T33" s="51">
        <f t="shared" si="2"/>
        <v>-1.4462666682548343E-2</v>
      </c>
      <c r="U33" s="51">
        <f t="shared" si="3"/>
        <v>-0.12192736370054244</v>
      </c>
      <c r="V33" s="51">
        <f t="shared" si="4"/>
        <v>-0.1643982463324965</v>
      </c>
      <c r="W33" s="51">
        <f t="shared" si="5"/>
        <v>0</v>
      </c>
      <c r="X33" s="51">
        <f t="shared" si="6"/>
        <v>0</v>
      </c>
      <c r="Y33" s="51">
        <f t="shared" si="7"/>
        <v>-34.200041558144932</v>
      </c>
      <c r="Z33" s="51">
        <f t="shared" si="8"/>
        <v>4.1699209056336031</v>
      </c>
      <c r="AA33" s="52">
        <v>1</v>
      </c>
    </row>
    <row r="34" spans="1:27">
      <c r="A34" s="49">
        <v>2020</v>
      </c>
      <c r="B34" s="49" t="s">
        <v>78</v>
      </c>
      <c r="C34" s="49" t="s">
        <v>79</v>
      </c>
      <c r="D34" s="50">
        <v>2306058477913</v>
      </c>
      <c r="E34" s="50">
        <v>30376640192</v>
      </c>
      <c r="F34" s="50">
        <v>2586663487991</v>
      </c>
      <c r="G34" s="50"/>
      <c r="H34" s="50"/>
      <c r="I34" s="50">
        <v>2239597029811</v>
      </c>
      <c r="J34" s="50">
        <v>347066458180</v>
      </c>
      <c r="K34" s="51">
        <v>10000000000</v>
      </c>
      <c r="L34" s="50">
        <v>162125871157</v>
      </c>
      <c r="M34" s="50">
        <v>114535488869</v>
      </c>
      <c r="N34" s="50">
        <v>41188991154</v>
      </c>
      <c r="O34" s="50">
        <v>37011391337</v>
      </c>
      <c r="P34" s="50"/>
      <c r="Q34" s="52">
        <v>424</v>
      </c>
      <c r="R34" s="49">
        <f t="shared" si="0"/>
        <v>1.0296756278997248</v>
      </c>
      <c r="S34" s="49">
        <f t="shared" si="1"/>
        <v>6.4529342350031182</v>
      </c>
      <c r="T34" s="51">
        <f t="shared" si="2"/>
        <v>1.4308545162071262E-2</v>
      </c>
      <c r="U34" s="51">
        <f t="shared" si="3"/>
        <v>0.10664064609148916</v>
      </c>
      <c r="V34" s="51">
        <f t="shared" si="4"/>
        <v>0.22828800285155465</v>
      </c>
      <c r="W34" s="51">
        <f t="shared" si="5"/>
        <v>0</v>
      </c>
      <c r="X34" s="51">
        <f t="shared" si="6"/>
        <v>0</v>
      </c>
      <c r="Y34" s="51">
        <f t="shared" si="7"/>
        <v>114.55932476013959</v>
      </c>
      <c r="Z34" s="51">
        <f t="shared" si="8"/>
        <v>12.216680408226017</v>
      </c>
      <c r="AA34" s="52">
        <v>1</v>
      </c>
    </row>
    <row r="35" spans="1:27">
      <c r="A35" s="49">
        <v>2018</v>
      </c>
      <c r="B35" s="49" t="s">
        <v>80</v>
      </c>
      <c r="C35" s="49" t="s">
        <v>81</v>
      </c>
      <c r="D35" s="50">
        <v>85349356000000</v>
      </c>
      <c r="E35" s="50">
        <v>3075041000000</v>
      </c>
      <c r="F35" s="50">
        <v>95643923000000</v>
      </c>
      <c r="G35" s="50"/>
      <c r="H35" s="50"/>
      <c r="I35" s="50">
        <v>87049486000000</v>
      </c>
      <c r="J35" s="50">
        <v>8594437000000</v>
      </c>
      <c r="K35" s="51">
        <v>22887540178</v>
      </c>
      <c r="L35" s="50">
        <v>7980892000000</v>
      </c>
      <c r="M35" s="50">
        <v>5387749000000</v>
      </c>
      <c r="N35" s="50">
        <v>2759809000000</v>
      </c>
      <c r="O35" s="50">
        <v>189970000000</v>
      </c>
      <c r="P35" s="50"/>
      <c r="Q35" s="52">
        <v>272</v>
      </c>
      <c r="R35" s="49">
        <f t="shared" si="0"/>
        <v>0.98046938496569636</v>
      </c>
      <c r="S35" s="49">
        <f t="shared" si="1"/>
        <v>10.128585037041985</v>
      </c>
      <c r="T35" s="51">
        <f t="shared" si="2"/>
        <v>1.9862213305491452E-3</v>
      </c>
      <c r="U35" s="51">
        <f t="shared" si="3"/>
        <v>2.210383297940284E-2</v>
      </c>
      <c r="V35" s="51">
        <f t="shared" si="4"/>
        <v>2.3803103713219025E-2</v>
      </c>
      <c r="W35" s="51">
        <f t="shared" si="5"/>
        <v>0</v>
      </c>
      <c r="X35" s="51">
        <f t="shared" si="6"/>
        <v>0</v>
      </c>
      <c r="Y35" s="51">
        <f t="shared" si="7"/>
        <v>32.770494964552299</v>
      </c>
      <c r="Z35" s="51">
        <f t="shared" si="8"/>
        <v>0.72435354734882573</v>
      </c>
      <c r="AA35" s="52">
        <v>1</v>
      </c>
    </row>
    <row r="36" spans="1:27">
      <c r="A36" s="49">
        <v>2019</v>
      </c>
      <c r="B36" s="49" t="s">
        <v>80</v>
      </c>
      <c r="C36" s="49" t="s">
        <v>81</v>
      </c>
      <c r="D36" s="50">
        <v>87668576000000</v>
      </c>
      <c r="E36" s="50">
        <v>3012215000000</v>
      </c>
      <c r="F36" s="50">
        <v>100264248000000</v>
      </c>
      <c r="G36" s="50"/>
      <c r="H36" s="50"/>
      <c r="I36" s="50">
        <v>91358763000000</v>
      </c>
      <c r="J36" s="50">
        <v>8905485000000</v>
      </c>
      <c r="K36" s="51">
        <v>22887540178</v>
      </c>
      <c r="L36" s="50">
        <v>7764858000000</v>
      </c>
      <c r="M36" s="50">
        <v>5750319000000</v>
      </c>
      <c r="N36" s="50">
        <v>2801776000000</v>
      </c>
      <c r="O36" s="50">
        <v>216749000000</v>
      </c>
      <c r="P36" s="50"/>
      <c r="Q36" s="52">
        <v>224</v>
      </c>
      <c r="R36" s="49">
        <f t="shared" si="0"/>
        <v>0.95960773899707907</v>
      </c>
      <c r="S36" s="49">
        <f t="shared" si="1"/>
        <v>10.258707190007058</v>
      </c>
      <c r="T36" s="51">
        <f t="shared" si="2"/>
        <v>2.1617775460700608E-3</v>
      </c>
      <c r="U36" s="51">
        <f t="shared" si="3"/>
        <v>2.4338820401134807E-2</v>
      </c>
      <c r="V36" s="51">
        <f t="shared" si="4"/>
        <v>2.7914097076855753E-2</v>
      </c>
      <c r="W36" s="51">
        <f t="shared" si="5"/>
        <v>0</v>
      </c>
      <c r="X36" s="51">
        <f t="shared" si="6"/>
        <v>0</v>
      </c>
      <c r="Y36" s="51">
        <f t="shared" si="7"/>
        <v>23.653207165301801</v>
      </c>
      <c r="Z36" s="51">
        <f t="shared" si="8"/>
        <v>0.57569116110711538</v>
      </c>
      <c r="AA36" s="52">
        <v>1</v>
      </c>
    </row>
    <row r="37" spans="1:27">
      <c r="A37" s="49">
        <v>2020</v>
      </c>
      <c r="B37" s="49" t="s">
        <v>80</v>
      </c>
      <c r="C37" s="49" t="s">
        <v>81</v>
      </c>
      <c r="D37" s="50">
        <v>69019702000000</v>
      </c>
      <c r="E37" s="50">
        <v>3504403000000</v>
      </c>
      <c r="F37" s="50">
        <v>79938578000000</v>
      </c>
      <c r="G37" s="50"/>
      <c r="H37" s="50"/>
      <c r="I37" s="50">
        <v>71472136000000</v>
      </c>
      <c r="J37" s="50">
        <v>8466442000000</v>
      </c>
      <c r="K37" s="51">
        <v>22887540178</v>
      </c>
      <c r="L37" s="50">
        <v>5308366000000</v>
      </c>
      <c r="M37" s="50">
        <v>4756310000000</v>
      </c>
      <c r="N37" s="50">
        <v>2758323000000</v>
      </c>
      <c r="O37" s="50">
        <v>-3258109000000</v>
      </c>
      <c r="P37" s="50"/>
      <c r="Q37" s="52">
        <v>575</v>
      </c>
      <c r="R37" s="49">
        <f t="shared" si="0"/>
        <v>0.96568685172638469</v>
      </c>
      <c r="S37" s="49">
        <f t="shared" si="1"/>
        <v>8.4418148733553</v>
      </c>
      <c r="T37" s="51">
        <f t="shared" si="2"/>
        <v>-4.0757655208727879E-2</v>
      </c>
      <c r="U37" s="51">
        <f t="shared" si="3"/>
        <v>-0.38482623515285408</v>
      </c>
      <c r="V37" s="51">
        <f t="shared" si="4"/>
        <v>-0.61376871903708219</v>
      </c>
      <c r="W37" s="51">
        <f t="shared" si="5"/>
        <v>0</v>
      </c>
      <c r="X37" s="51">
        <f t="shared" si="6"/>
        <v>0</v>
      </c>
      <c r="Y37" s="51">
        <f t="shared" si="7"/>
        <v>-4.0392557776151756</v>
      </c>
      <c r="Z37" s="51">
        <f t="shared" si="8"/>
        <v>1.5544115937190617</v>
      </c>
      <c r="AA37" s="52">
        <v>1</v>
      </c>
    </row>
    <row r="38" spans="1:27">
      <c r="A38" s="49">
        <v>2018</v>
      </c>
      <c r="B38" s="49" t="s">
        <v>82</v>
      </c>
      <c r="C38" s="49" t="s">
        <v>83</v>
      </c>
      <c r="D38" s="50">
        <v>11454704380759</v>
      </c>
      <c r="E38" s="50">
        <v>470415776572</v>
      </c>
      <c r="F38" s="50">
        <v>12093079368934</v>
      </c>
      <c r="G38" s="50"/>
      <c r="H38" s="50"/>
      <c r="I38" s="50">
        <v>9005066283473</v>
      </c>
      <c r="J38" s="50">
        <v>3088013085461</v>
      </c>
      <c r="K38" s="51">
        <v>10000000000</v>
      </c>
      <c r="L38" s="50">
        <v>1026137099056</v>
      </c>
      <c r="M38" s="50">
        <v>339167553637</v>
      </c>
      <c r="N38" s="50">
        <v>428776741954</v>
      </c>
      <c r="O38" s="50">
        <v>265862564725</v>
      </c>
      <c r="P38" s="50"/>
      <c r="Q38" s="52">
        <v>1380</v>
      </c>
      <c r="R38" s="49">
        <f t="shared" si="0"/>
        <v>1.2720288802073363</v>
      </c>
      <c r="S38" s="49">
        <f t="shared" si="1"/>
        <v>2.9161360506763079</v>
      </c>
      <c r="T38" s="51">
        <f t="shared" si="2"/>
        <v>2.198468699444546E-2</v>
      </c>
      <c r="U38" s="51">
        <f t="shared" si="3"/>
        <v>8.6095025301782424E-2</v>
      </c>
      <c r="V38" s="51">
        <f t="shared" si="4"/>
        <v>0.25909068580561173</v>
      </c>
      <c r="W38" s="51">
        <f t="shared" si="5"/>
        <v>0</v>
      </c>
      <c r="X38" s="51">
        <f t="shared" si="6"/>
        <v>0</v>
      </c>
      <c r="Y38" s="51">
        <f t="shared" si="7"/>
        <v>51.906517994642428</v>
      </c>
      <c r="Z38" s="51">
        <f t="shared" si="8"/>
        <v>4.4688929800761645</v>
      </c>
      <c r="AA38" s="52">
        <v>1</v>
      </c>
    </row>
    <row r="39" spans="1:27">
      <c r="A39" s="49">
        <v>2019</v>
      </c>
      <c r="B39" s="49" t="s">
        <v>82</v>
      </c>
      <c r="C39" s="49" t="s">
        <v>83</v>
      </c>
      <c r="D39" s="50">
        <v>12276512567406</v>
      </c>
      <c r="E39" s="50">
        <v>492662820097</v>
      </c>
      <c r="F39" s="50">
        <v>12900218775263</v>
      </c>
      <c r="G39" s="50"/>
      <c r="H39" s="50"/>
      <c r="I39" s="50">
        <v>9419749653807</v>
      </c>
      <c r="J39" s="50">
        <v>3480469121456</v>
      </c>
      <c r="K39" s="51">
        <v>10000000000</v>
      </c>
      <c r="L39" s="50">
        <v>1058536635511</v>
      </c>
      <c r="M39" s="50">
        <v>358086464478</v>
      </c>
      <c r="N39" s="50">
        <v>473384503657</v>
      </c>
      <c r="O39" s="50">
        <v>247573726183</v>
      </c>
      <c r="P39" s="50"/>
      <c r="Q39" s="52">
        <v>2800</v>
      </c>
      <c r="R39" s="49">
        <f t="shared" si="0"/>
        <v>1.3032737618928585</v>
      </c>
      <c r="S39" s="49">
        <f t="shared" si="1"/>
        <v>2.7064597688102445</v>
      </c>
      <c r="T39" s="51">
        <f t="shared" si="2"/>
        <v>1.9191436245851779E-2</v>
      </c>
      <c r="U39" s="51">
        <f t="shared" si="3"/>
        <v>7.1132286350936338E-2</v>
      </c>
      <c r="V39" s="51">
        <f t="shared" si="4"/>
        <v>0.23388300213481586</v>
      </c>
      <c r="W39" s="51">
        <f t="shared" si="5"/>
        <v>0</v>
      </c>
      <c r="X39" s="51">
        <f t="shared" si="6"/>
        <v>0</v>
      </c>
      <c r="Y39" s="51">
        <f t="shared" si="7"/>
        <v>113.09762320781623</v>
      </c>
      <c r="Z39" s="51">
        <f t="shared" si="8"/>
        <v>8.0448925196286858</v>
      </c>
      <c r="AA39" s="52">
        <v>1</v>
      </c>
    </row>
    <row r="40" spans="1:27">
      <c r="A40" s="49">
        <v>2020</v>
      </c>
      <c r="B40" s="49" t="s">
        <v>82</v>
      </c>
      <c r="C40" s="49" t="s">
        <v>83</v>
      </c>
      <c r="D40" s="50">
        <v>13522482361051</v>
      </c>
      <c r="E40" s="50">
        <v>479822488029</v>
      </c>
      <c r="F40" s="50">
        <v>14159755232533</v>
      </c>
      <c r="G40" s="50"/>
      <c r="H40" s="50"/>
      <c r="I40" s="50">
        <v>10150492606994</v>
      </c>
      <c r="J40" s="50">
        <v>4009262625539</v>
      </c>
      <c r="K40" s="51">
        <v>10000000000</v>
      </c>
      <c r="L40" s="50">
        <v>1122202992204</v>
      </c>
      <c r="M40" s="50">
        <v>326616871157</v>
      </c>
      <c r="N40" s="50">
        <v>534878138389</v>
      </c>
      <c r="O40" s="50">
        <v>325932118524</v>
      </c>
      <c r="P40" s="50"/>
      <c r="Q40" s="52">
        <v>1500</v>
      </c>
      <c r="R40" s="49">
        <f t="shared" si="0"/>
        <v>1.3321996167687069</v>
      </c>
      <c r="S40" s="49">
        <f t="shared" si="1"/>
        <v>2.5317604644643055</v>
      </c>
      <c r="T40" s="51">
        <f t="shared" si="2"/>
        <v>2.3018202869435823E-2</v>
      </c>
      <c r="U40" s="51">
        <f t="shared" si="3"/>
        <v>8.1294778857292277E-2</v>
      </c>
      <c r="V40" s="51">
        <f t="shared" si="4"/>
        <v>0.29043953793410521</v>
      </c>
      <c r="W40" s="51">
        <f t="shared" si="5"/>
        <v>0</v>
      </c>
      <c r="X40" s="51">
        <f t="shared" si="6"/>
        <v>0</v>
      </c>
      <c r="Y40" s="51">
        <f t="shared" si="7"/>
        <v>46.021852856748986</v>
      </c>
      <c r="Z40" s="51">
        <f t="shared" si="8"/>
        <v>3.7413363505922534</v>
      </c>
      <c r="AA40" s="52">
        <v>1</v>
      </c>
    </row>
    <row r="41" spans="1:27">
      <c r="A41" s="49">
        <v>2018</v>
      </c>
      <c r="B41" s="49" t="s">
        <v>84</v>
      </c>
      <c r="C41" s="49" t="s">
        <v>85</v>
      </c>
      <c r="D41" s="50"/>
      <c r="E41" s="50"/>
      <c r="F41" s="50"/>
      <c r="G41" s="50"/>
      <c r="H41" s="50"/>
      <c r="I41" s="50"/>
      <c r="J41" s="50"/>
      <c r="K41" s="51"/>
      <c r="L41" s="50"/>
      <c r="M41" s="50"/>
      <c r="N41" s="50"/>
      <c r="O41" s="50"/>
      <c r="P41" s="50"/>
      <c r="Q41" s="52">
        <v>2200</v>
      </c>
      <c r="R41" s="49" t="e">
        <f t="shared" si="0"/>
        <v>#DIV/0!</v>
      </c>
      <c r="S41" s="49" t="e">
        <f t="shared" si="1"/>
        <v>#DIV/0!</v>
      </c>
      <c r="T41" s="51" t="e">
        <f t="shared" si="2"/>
        <v>#DIV/0!</v>
      </c>
      <c r="U41" s="51" t="e">
        <f t="shared" si="3"/>
        <v>#DIV/0!</v>
      </c>
      <c r="V41" s="51" t="e">
        <f t="shared" si="4"/>
        <v>#DIV/0!</v>
      </c>
      <c r="W41" s="51" t="e">
        <f t="shared" si="5"/>
        <v>#DIV/0!</v>
      </c>
      <c r="X41" s="51" t="e">
        <f t="shared" si="6"/>
        <v>#DIV/0!</v>
      </c>
      <c r="Y41" s="51" t="e">
        <f t="shared" si="7"/>
        <v>#DIV/0!</v>
      </c>
      <c r="Z41" s="51" t="e">
        <f t="shared" si="8"/>
        <v>#DIV/0!</v>
      </c>
      <c r="AA41" s="52">
        <v>1</v>
      </c>
    </row>
    <row r="42" spans="1:27">
      <c r="A42" s="49">
        <v>2019</v>
      </c>
      <c r="B42" s="49" t="s">
        <v>84</v>
      </c>
      <c r="C42" s="49" t="s">
        <v>85</v>
      </c>
      <c r="D42" s="50"/>
      <c r="E42" s="50"/>
      <c r="F42" s="50"/>
      <c r="G42" s="50"/>
      <c r="H42" s="50"/>
      <c r="I42" s="50"/>
      <c r="J42" s="50"/>
      <c r="K42" s="51"/>
      <c r="L42" s="50"/>
      <c r="M42" s="50"/>
      <c r="N42" s="50"/>
      <c r="O42" s="50"/>
      <c r="P42" s="50"/>
      <c r="Q42" s="52">
        <v>0</v>
      </c>
      <c r="R42" s="49" t="e">
        <f t="shared" si="0"/>
        <v>#DIV/0!</v>
      </c>
      <c r="S42" s="49" t="e">
        <f t="shared" si="1"/>
        <v>#DIV/0!</v>
      </c>
      <c r="T42" s="51" t="e">
        <f t="shared" si="2"/>
        <v>#DIV/0!</v>
      </c>
      <c r="U42" s="51" t="e">
        <f t="shared" si="3"/>
        <v>#DIV/0!</v>
      </c>
      <c r="V42" s="51" t="e">
        <f t="shared" si="4"/>
        <v>#DIV/0!</v>
      </c>
      <c r="W42" s="51" t="e">
        <f t="shared" si="5"/>
        <v>#DIV/0!</v>
      </c>
      <c r="X42" s="51" t="e">
        <f t="shared" si="6"/>
        <v>#DIV/0!</v>
      </c>
      <c r="Y42" s="51" t="e">
        <f t="shared" si="7"/>
        <v>#DIV/0!</v>
      </c>
      <c r="Z42" s="51" t="e">
        <f t="shared" si="8"/>
        <v>#DIV/0!</v>
      </c>
      <c r="AA42" s="52">
        <v>1</v>
      </c>
    </row>
    <row r="43" spans="1:27">
      <c r="A43" s="49">
        <v>2020</v>
      </c>
      <c r="B43" s="49" t="s">
        <v>84</v>
      </c>
      <c r="C43" s="49" t="s">
        <v>85</v>
      </c>
      <c r="D43" s="50"/>
      <c r="E43" s="50"/>
      <c r="F43" s="50"/>
      <c r="G43" s="50"/>
      <c r="H43" s="50"/>
      <c r="I43" s="50"/>
      <c r="J43" s="50"/>
      <c r="K43" s="51"/>
      <c r="L43" s="50"/>
      <c r="M43" s="50"/>
      <c r="N43" s="50"/>
      <c r="O43" s="50"/>
      <c r="P43" s="50"/>
      <c r="Q43" s="52"/>
      <c r="R43" s="49" t="e">
        <f t="shared" si="0"/>
        <v>#DIV/0!</v>
      </c>
      <c r="S43" s="49" t="e">
        <f t="shared" si="1"/>
        <v>#DIV/0!</v>
      </c>
      <c r="T43" s="51" t="e">
        <f t="shared" si="2"/>
        <v>#DIV/0!</v>
      </c>
      <c r="U43" s="51" t="e">
        <f t="shared" si="3"/>
        <v>#DIV/0!</v>
      </c>
      <c r="V43" s="51" t="e">
        <f t="shared" si="4"/>
        <v>#DIV/0!</v>
      </c>
      <c r="W43" s="51" t="e">
        <f t="shared" si="5"/>
        <v>#DIV/0!</v>
      </c>
      <c r="X43" s="51" t="e">
        <f t="shared" si="6"/>
        <v>#DIV/0!</v>
      </c>
      <c r="Y43" s="51" t="e">
        <f t="shared" si="7"/>
        <v>#DIV/0!</v>
      </c>
      <c r="Z43" s="51" t="e">
        <f t="shared" si="8"/>
        <v>#DIV/0!</v>
      </c>
      <c r="AA43" s="52">
        <v>1</v>
      </c>
    </row>
    <row r="44" spans="1:27">
      <c r="A44" s="49">
        <v>2018</v>
      </c>
      <c r="B44" s="49" t="s">
        <v>86</v>
      </c>
      <c r="C44" s="49" t="s">
        <v>87</v>
      </c>
      <c r="D44" s="50">
        <v>1241029135000000</v>
      </c>
      <c r="E44" s="50">
        <v>26914859000000</v>
      </c>
      <c r="F44" s="50">
        <v>1296898292000000</v>
      </c>
      <c r="G44" s="50"/>
      <c r="H44" s="50"/>
      <c r="I44" s="50">
        <v>109066408400000</v>
      </c>
      <c r="J44" s="50">
        <v>185275331000000</v>
      </c>
      <c r="K44" s="51">
        <v>300000000000</v>
      </c>
      <c r="L44" s="50">
        <v>111582804000000</v>
      </c>
      <c r="M44" s="50">
        <v>33917032000000</v>
      </c>
      <c r="N44" s="50">
        <v>41990284000000</v>
      </c>
      <c r="O44" s="50">
        <v>32418486000000</v>
      </c>
      <c r="P44" s="50">
        <v>13048441000000</v>
      </c>
      <c r="Q44" s="52">
        <v>3660</v>
      </c>
      <c r="R44" s="49">
        <f t="shared" si="0"/>
        <v>11.378655932709709</v>
      </c>
      <c r="S44" s="49">
        <f t="shared" si="1"/>
        <v>0.58867204722467881</v>
      </c>
      <c r="T44" s="51">
        <f t="shared" si="2"/>
        <v>2.4996937847767634E-2</v>
      </c>
      <c r="U44" s="51">
        <f t="shared" si="3"/>
        <v>0.17497464894557388</v>
      </c>
      <c r="V44" s="51">
        <f t="shared" si="4"/>
        <v>0.29053299287944045</v>
      </c>
      <c r="W44" s="51">
        <f t="shared" si="5"/>
        <v>1.1883826047358834E-2</v>
      </c>
      <c r="X44" s="51">
        <f t="shared" si="6"/>
        <v>0.40250001187594014</v>
      </c>
      <c r="Y44" s="51">
        <f t="shared" si="7"/>
        <v>33.869564420744382</v>
      </c>
      <c r="Z44" s="51">
        <f t="shared" si="8"/>
        <v>5.9263151444592479</v>
      </c>
      <c r="AA44" s="52">
        <v>1</v>
      </c>
    </row>
    <row r="45" spans="1:27">
      <c r="A45" s="49">
        <v>2019</v>
      </c>
      <c r="B45" s="49" t="s">
        <v>86</v>
      </c>
      <c r="C45" s="49" t="s">
        <v>87</v>
      </c>
      <c r="D45" s="50">
        <v>1359773127000000</v>
      </c>
      <c r="E45" s="50">
        <v>31432629000000</v>
      </c>
      <c r="F45" s="50">
        <v>1416758840000000</v>
      </c>
      <c r="G45" s="50"/>
      <c r="H45" s="50"/>
      <c r="I45" s="50">
        <v>1183155670000000</v>
      </c>
      <c r="J45" s="50">
        <v>208784336000000</v>
      </c>
      <c r="K45" s="51">
        <v>300000000000</v>
      </c>
      <c r="L45" s="50">
        <v>121756276000000</v>
      </c>
      <c r="M45" s="50">
        <v>38671838000000</v>
      </c>
      <c r="N45" s="50">
        <v>45033505000000</v>
      </c>
      <c r="O45" s="50">
        <v>34413825000000</v>
      </c>
      <c r="P45" s="50">
        <v>16175565000000</v>
      </c>
      <c r="Q45" s="52">
        <v>4400</v>
      </c>
      <c r="R45" s="49">
        <f t="shared" si="0"/>
        <v>1.1492766011086268</v>
      </c>
      <c r="S45" s="49">
        <f t="shared" si="1"/>
        <v>5.6668794827596649</v>
      </c>
      <c r="T45" s="51">
        <f t="shared" si="2"/>
        <v>2.4290531337005809E-2</v>
      </c>
      <c r="U45" s="51">
        <f t="shared" si="3"/>
        <v>0.16482953491300228</v>
      </c>
      <c r="V45" s="51">
        <f t="shared" si="4"/>
        <v>0.28264518372753122</v>
      </c>
      <c r="W45" s="51">
        <f t="shared" si="5"/>
        <v>1.2254215909090909E-2</v>
      </c>
      <c r="X45" s="51">
        <f t="shared" si="6"/>
        <v>0.47003101224580529</v>
      </c>
      <c r="Y45" s="51">
        <f t="shared" si="7"/>
        <v>38.356677875824616</v>
      </c>
      <c r="Z45" s="51">
        <f t="shared" si="8"/>
        <v>6.3223133750800162</v>
      </c>
      <c r="AA45" s="52">
        <v>1</v>
      </c>
    </row>
    <row r="46" spans="1:27">
      <c r="A46" s="49">
        <v>2020</v>
      </c>
      <c r="B46" s="49" t="s">
        <v>86</v>
      </c>
      <c r="C46" s="49" t="s">
        <v>87</v>
      </c>
      <c r="D46" s="50">
        <v>1442620167000000</v>
      </c>
      <c r="E46" s="50">
        <v>32185160000000</v>
      </c>
      <c r="F46" s="50">
        <v>1511804628000000</v>
      </c>
      <c r="G46" s="50"/>
      <c r="H46" s="50"/>
      <c r="I46" s="50">
        <v>1278346276000000</v>
      </c>
      <c r="J46" s="50">
        <v>199911376000000</v>
      </c>
      <c r="K46" s="51">
        <v>300000000000</v>
      </c>
      <c r="L46" s="50">
        <v>116932512000000</v>
      </c>
      <c r="M46" s="50">
        <v>37722595000000</v>
      </c>
      <c r="N46" s="50">
        <v>68827650000000</v>
      </c>
      <c r="O46" s="50">
        <v>34413825000000</v>
      </c>
      <c r="P46" s="50">
        <v>20623565000000</v>
      </c>
      <c r="Q46" s="52"/>
      <c r="R46" s="49">
        <f t="shared" si="0"/>
        <v>1.1285050021923793</v>
      </c>
      <c r="S46" s="49">
        <f t="shared" si="1"/>
        <v>6.3945649396160427</v>
      </c>
      <c r="T46" s="51">
        <f t="shared" si="2"/>
        <v>2.2763407627298254E-2</v>
      </c>
      <c r="U46" s="51">
        <f t="shared" si="3"/>
        <v>0.17214540607233877</v>
      </c>
      <c r="V46" s="51">
        <f t="shared" si="4"/>
        <v>0.29430501758142336</v>
      </c>
      <c r="W46" s="51" t="e">
        <f t="shared" si="5"/>
        <v>#DIV/0!</v>
      </c>
      <c r="X46" s="51">
        <f t="shared" si="6"/>
        <v>0.59928139345161424</v>
      </c>
      <c r="Y46" s="51">
        <f t="shared" si="7"/>
        <v>0</v>
      </c>
      <c r="Z46" s="51">
        <f t="shared" si="8"/>
        <v>0</v>
      </c>
      <c r="AA46" s="52">
        <v>1</v>
      </c>
    </row>
    <row r="47" spans="1:27">
      <c r="A47" s="49">
        <v>2018</v>
      </c>
      <c r="B47" s="49" t="s">
        <v>88</v>
      </c>
      <c r="C47" s="49" t="s">
        <v>89</v>
      </c>
      <c r="D47" s="50">
        <v>4781138960034</v>
      </c>
      <c r="E47" s="50">
        <v>83206069558</v>
      </c>
      <c r="F47" s="50">
        <v>4533729146622</v>
      </c>
      <c r="G47" s="50"/>
      <c r="H47" s="50"/>
      <c r="I47" s="50">
        <v>3933343821678</v>
      </c>
      <c r="J47" s="50">
        <v>600385324944</v>
      </c>
      <c r="K47" s="51">
        <v>15000000000</v>
      </c>
      <c r="L47" s="50">
        <v>589663115314</v>
      </c>
      <c r="M47" s="50">
        <v>303322028671</v>
      </c>
      <c r="N47" s="50">
        <v>440184797149</v>
      </c>
      <c r="O47" s="50">
        <v>-136988450929</v>
      </c>
      <c r="P47" s="50">
        <v>5763770665</v>
      </c>
      <c r="Q47" s="52">
        <v>284</v>
      </c>
      <c r="R47" s="49">
        <f t="shared" si="0"/>
        <v>1.2155405621251596</v>
      </c>
      <c r="S47" s="49">
        <f t="shared" si="1"/>
        <v>6.5513656950973553</v>
      </c>
      <c r="T47" s="51">
        <f t="shared" si="2"/>
        <v>-3.0215402486288276E-2</v>
      </c>
      <c r="U47" s="51">
        <f t="shared" si="3"/>
        <v>-0.22816755379851661</v>
      </c>
      <c r="V47" s="51">
        <f t="shared" si="4"/>
        <v>-0.23231646574341458</v>
      </c>
      <c r="W47" s="51">
        <f t="shared" si="5"/>
        <v>1.352997808685446E-3</v>
      </c>
      <c r="X47" s="51">
        <f t="shared" si="6"/>
        <v>-4.2074865624893557E-2</v>
      </c>
      <c r="Y47" s="51">
        <f t="shared" si="7"/>
        <v>-31.097512024629896</v>
      </c>
      <c r="Z47" s="51">
        <f t="shared" si="8"/>
        <v>7.0954432478797589</v>
      </c>
      <c r="AA47" s="52">
        <v>1</v>
      </c>
    </row>
    <row r="48" spans="1:27">
      <c r="A48" s="49">
        <v>2019</v>
      </c>
      <c r="B48" s="49" t="s">
        <v>88</v>
      </c>
      <c r="C48" s="49" t="s">
        <v>89</v>
      </c>
      <c r="D48" s="50">
        <v>4918029226569</v>
      </c>
      <c r="E48" s="50">
        <v>87885955385</v>
      </c>
      <c r="F48" s="50">
        <v>5123734649117</v>
      </c>
      <c r="G48" s="50"/>
      <c r="H48" s="50"/>
      <c r="I48" s="50">
        <v>4177951053821</v>
      </c>
      <c r="J48" s="50">
        <v>945783595296</v>
      </c>
      <c r="K48" s="51">
        <v>15000000000</v>
      </c>
      <c r="L48" s="50">
        <v>532495206620</v>
      </c>
      <c r="M48" s="50">
        <v>316396580171</v>
      </c>
      <c r="N48" s="50">
        <v>403790198835</v>
      </c>
      <c r="O48" s="50">
        <v>16002797471</v>
      </c>
      <c r="P48" s="50">
        <v>0</v>
      </c>
      <c r="Q48" s="52">
        <v>284</v>
      </c>
      <c r="R48" s="49">
        <f t="shared" si="0"/>
        <v>1.1771390241805613</v>
      </c>
      <c r="S48" s="49">
        <f t="shared" si="1"/>
        <v>4.4174492712716535</v>
      </c>
      <c r="T48" s="51">
        <f t="shared" si="2"/>
        <v>3.1232681953500159E-3</v>
      </c>
      <c r="U48" s="51">
        <f t="shared" si="3"/>
        <v>1.6920147008884879E-2</v>
      </c>
      <c r="V48" s="51">
        <f t="shared" si="4"/>
        <v>3.0052472345389467E-2</v>
      </c>
      <c r="W48" s="51">
        <f t="shared" si="5"/>
        <v>0</v>
      </c>
      <c r="X48" s="51">
        <f t="shared" si="6"/>
        <v>0</v>
      </c>
      <c r="Y48" s="51">
        <f t="shared" si="7"/>
        <v>266.20345647190129</v>
      </c>
      <c r="Z48" s="51">
        <f t="shared" si="8"/>
        <v>4.5042016177778557</v>
      </c>
      <c r="AA48" s="52">
        <v>1</v>
      </c>
    </row>
    <row r="49" spans="1:27">
      <c r="A49" s="49">
        <v>2020</v>
      </c>
      <c r="B49" s="49" t="s">
        <v>88</v>
      </c>
      <c r="C49" s="49" t="s">
        <v>89</v>
      </c>
      <c r="D49" s="50">
        <v>4978233171638</v>
      </c>
      <c r="E49" s="50">
        <v>108803796324</v>
      </c>
      <c r="F49" s="50">
        <v>5421324398438</v>
      </c>
      <c r="G49" s="50"/>
      <c r="H49" s="50"/>
      <c r="I49" s="50">
        <v>4300705118122</v>
      </c>
      <c r="J49" s="50">
        <v>1120619280316</v>
      </c>
      <c r="K49" s="51">
        <v>15000000000</v>
      </c>
      <c r="L49" s="50">
        <v>435200503846</v>
      </c>
      <c r="M49" s="50">
        <v>276969580433</v>
      </c>
      <c r="N49" s="50">
        <v>229554559339</v>
      </c>
      <c r="O49" s="50">
        <v>15871502695</v>
      </c>
      <c r="P49" s="50">
        <v>1598830857</v>
      </c>
      <c r="Q49" s="52">
        <v>298</v>
      </c>
      <c r="R49" s="49">
        <f t="shared" si="0"/>
        <v>1.1575388302399718</v>
      </c>
      <c r="S49" s="49">
        <f t="shared" si="1"/>
        <v>3.8377932574114353</v>
      </c>
      <c r="T49" s="51">
        <f t="shared" si="2"/>
        <v>2.9276061582983156E-3</v>
      </c>
      <c r="U49" s="51">
        <f t="shared" si="3"/>
        <v>1.4163153332971787E-2</v>
      </c>
      <c r="V49" s="51">
        <f t="shared" si="4"/>
        <v>3.6469403308908598E-2</v>
      </c>
      <c r="W49" s="51">
        <f t="shared" si="5"/>
        <v>3.5768028120805367E-4</v>
      </c>
      <c r="X49" s="51">
        <f t="shared" si="6"/>
        <v>0.10073594717050199</v>
      </c>
      <c r="Y49" s="51">
        <f t="shared" si="7"/>
        <v>281.63684850131955</v>
      </c>
      <c r="Z49" s="51">
        <f t="shared" si="8"/>
        <v>3.9888658695391346</v>
      </c>
      <c r="AA49" s="52">
        <v>1</v>
      </c>
    </row>
    <row r="50" spans="1:27">
      <c r="A50" s="49">
        <v>2018</v>
      </c>
      <c r="B50" s="49" t="s">
        <v>90</v>
      </c>
      <c r="C50" s="49" t="s">
        <v>91</v>
      </c>
      <c r="D50" s="50">
        <v>12539574000000</v>
      </c>
      <c r="E50" s="50">
        <v>194079000000</v>
      </c>
      <c r="F50" s="50">
        <v>17823669000000</v>
      </c>
      <c r="G50" s="50"/>
      <c r="H50" s="50"/>
      <c r="I50" s="50">
        <v>16508766000000</v>
      </c>
      <c r="J50" s="50">
        <v>1314903000000</v>
      </c>
      <c r="K50" s="51">
        <v>12384618000</v>
      </c>
      <c r="L50" s="50">
        <v>1426813000000</v>
      </c>
      <c r="M50" s="50">
        <v>1035272000000</v>
      </c>
      <c r="N50" s="50">
        <v>734524000000</v>
      </c>
      <c r="O50" s="50">
        <v>-401101000000</v>
      </c>
      <c r="P50" s="50">
        <v>0</v>
      </c>
      <c r="Q50" s="52">
        <v>450</v>
      </c>
      <c r="R50" s="49">
        <f t="shared" si="0"/>
        <v>0.75957064265130414</v>
      </c>
      <c r="S50" s="49">
        <f t="shared" si="1"/>
        <v>12.555120795982669</v>
      </c>
      <c r="T50" s="51">
        <f t="shared" si="2"/>
        <v>-2.2503840258703188E-2</v>
      </c>
      <c r="U50" s="51">
        <f t="shared" si="3"/>
        <v>-0.30504227308021958</v>
      </c>
      <c r="V50" s="51">
        <f t="shared" si="4"/>
        <v>-0.28111672657874576</v>
      </c>
      <c r="W50" s="51">
        <f t="shared" si="5"/>
        <v>0</v>
      </c>
      <c r="X50" s="51">
        <f t="shared" si="6"/>
        <v>0</v>
      </c>
      <c r="Y50" s="51">
        <f t="shared" si="7"/>
        <v>-13.894450774243893</v>
      </c>
      <c r="Z50" s="51">
        <f t="shared" si="8"/>
        <v>4.2383948473765747</v>
      </c>
      <c r="AA50" s="52">
        <v>1</v>
      </c>
    </row>
    <row r="51" spans="1:27">
      <c r="A51" s="49">
        <v>2019</v>
      </c>
      <c r="B51" s="49" t="s">
        <v>90</v>
      </c>
      <c r="C51" s="49" t="s">
        <v>91</v>
      </c>
      <c r="D51" s="50">
        <v>8271271000000</v>
      </c>
      <c r="E51" s="50">
        <v>199165000000</v>
      </c>
      <c r="F51" s="50">
        <v>17311597000000</v>
      </c>
      <c r="G51" s="50"/>
      <c r="H51" s="50"/>
      <c r="I51" s="50">
        <v>15637771000000</v>
      </c>
      <c r="J51" s="50">
        <v>1673826000000</v>
      </c>
      <c r="K51" s="51">
        <v>12384618000</v>
      </c>
      <c r="L51" s="50">
        <v>1132243000000</v>
      </c>
      <c r="M51" s="50">
        <v>1081987000000</v>
      </c>
      <c r="N51" s="50">
        <v>743645000000</v>
      </c>
      <c r="O51" s="50">
        <v>49495000000</v>
      </c>
      <c r="P51" s="50">
        <v>0</v>
      </c>
      <c r="Q51" s="52">
        <v>450</v>
      </c>
      <c r="R51" s="49">
        <f t="shared" si="0"/>
        <v>0.52892902703332845</v>
      </c>
      <c r="S51" s="49">
        <f t="shared" si="1"/>
        <v>9.3425308245898915</v>
      </c>
      <c r="T51" s="51">
        <f t="shared" si="2"/>
        <v>2.8590660930935489E-3</v>
      </c>
      <c r="U51" s="51">
        <f t="shared" si="3"/>
        <v>2.9569979197359823E-2</v>
      </c>
      <c r="V51" s="51">
        <f t="shared" si="4"/>
        <v>4.3714114372974705E-2</v>
      </c>
      <c r="W51" s="51">
        <f t="shared" si="5"/>
        <v>0</v>
      </c>
      <c r="X51" s="51">
        <f t="shared" si="6"/>
        <v>0</v>
      </c>
      <c r="Y51" s="51">
        <f t="shared" si="7"/>
        <v>112.59880998080614</v>
      </c>
      <c r="Z51" s="51">
        <f t="shared" si="8"/>
        <v>3.329544468779909</v>
      </c>
      <c r="AA51" s="52">
        <v>1</v>
      </c>
    </row>
    <row r="52" spans="1:27">
      <c r="A52" s="49">
        <v>2020</v>
      </c>
      <c r="B52" s="49" t="s">
        <v>90</v>
      </c>
      <c r="C52" s="49" t="s">
        <v>91</v>
      </c>
      <c r="D52" s="50">
        <v>11101933000000</v>
      </c>
      <c r="E52" s="50">
        <v>194214000000</v>
      </c>
      <c r="F52" s="50">
        <v>16204908000000</v>
      </c>
      <c r="G52" s="50"/>
      <c r="H52" s="50"/>
      <c r="I52" s="50">
        <v>14761678000000</v>
      </c>
      <c r="J52" s="50">
        <v>1443230000000</v>
      </c>
      <c r="K52" s="51">
        <v>12384618000</v>
      </c>
      <c r="L52" s="50">
        <v>978794000000</v>
      </c>
      <c r="M52" s="50">
        <v>952657000000</v>
      </c>
      <c r="N52" s="50">
        <v>662860000000</v>
      </c>
      <c r="O52" s="50">
        <v>-484441000000</v>
      </c>
      <c r="P52" s="50">
        <v>0</v>
      </c>
      <c r="Q52" s="52">
        <v>700</v>
      </c>
      <c r="R52" s="49">
        <f t="shared" si="0"/>
        <v>0.75207798192048358</v>
      </c>
      <c r="S52" s="49">
        <f t="shared" si="1"/>
        <v>10.228222805789791</v>
      </c>
      <c r="T52" s="51">
        <f t="shared" si="2"/>
        <v>-2.9894708442652067E-2</v>
      </c>
      <c r="U52" s="51">
        <f t="shared" si="3"/>
        <v>-0.33566444710822252</v>
      </c>
      <c r="V52" s="51">
        <f t="shared" si="4"/>
        <v>-0.4949366260929266</v>
      </c>
      <c r="W52" s="51">
        <f t="shared" si="5"/>
        <v>0</v>
      </c>
      <c r="X52" s="51">
        <f t="shared" si="6"/>
        <v>0</v>
      </c>
      <c r="Y52" s="51">
        <f t="shared" si="7"/>
        <v>-17.89533214571021</v>
      </c>
      <c r="Z52" s="51">
        <f t="shared" si="8"/>
        <v>6.0068267705078195</v>
      </c>
      <c r="AA52" s="52">
        <v>1</v>
      </c>
    </row>
    <row r="53" spans="1:27">
      <c r="A53" s="49">
        <v>2018</v>
      </c>
      <c r="B53" s="49" t="s">
        <v>92</v>
      </c>
      <c r="C53" s="49" t="s">
        <v>93</v>
      </c>
      <c r="D53" s="50">
        <v>171650004000000</v>
      </c>
      <c r="E53" s="50">
        <v>1902608000000</v>
      </c>
      <c r="F53" s="50">
        <v>186762189000000</v>
      </c>
      <c r="G53" s="50"/>
      <c r="H53" s="50"/>
      <c r="I53" s="50">
        <v>144822368000000</v>
      </c>
      <c r="J53" s="50">
        <v>41939821000000</v>
      </c>
      <c r="K53" s="51">
        <v>17782400000</v>
      </c>
      <c r="L53" s="50">
        <v>20172187000000</v>
      </c>
      <c r="M53" s="50">
        <v>5931103000000</v>
      </c>
      <c r="N53" s="50">
        <v>13129417000000</v>
      </c>
      <c r="O53" s="50">
        <v>4107068000000</v>
      </c>
      <c r="P53" s="50">
        <v>1341456000000</v>
      </c>
      <c r="Q53" s="52">
        <v>7600</v>
      </c>
      <c r="R53" s="49">
        <f t="shared" si="0"/>
        <v>1.185245113517271</v>
      </c>
      <c r="S53" s="49">
        <f t="shared" si="1"/>
        <v>3.4530993348779435</v>
      </c>
      <c r="T53" s="51">
        <f t="shared" si="2"/>
        <v>2.199089666913253E-2</v>
      </c>
      <c r="U53" s="51">
        <f t="shared" si="3"/>
        <v>9.7927647330683654E-2</v>
      </c>
      <c r="V53" s="51">
        <f t="shared" si="4"/>
        <v>0.2036005317618759</v>
      </c>
      <c r="W53" s="51">
        <f t="shared" si="5"/>
        <v>9.925958724415861E-3</v>
      </c>
      <c r="X53" s="51">
        <f t="shared" si="6"/>
        <v>0.32662132694175017</v>
      </c>
      <c r="Y53" s="51">
        <f t="shared" si="7"/>
        <v>32.905771221708527</v>
      </c>
      <c r="Z53" s="51">
        <f t="shared" si="8"/>
        <v>3.2223847593436314</v>
      </c>
      <c r="AA53" s="52">
        <v>1</v>
      </c>
    </row>
    <row r="54" spans="1:27">
      <c r="A54" s="49">
        <v>2019</v>
      </c>
      <c r="B54" s="49" t="s">
        <v>92</v>
      </c>
      <c r="C54" s="49" t="s">
        <v>93</v>
      </c>
      <c r="D54" s="50">
        <v>181728084000000</v>
      </c>
      <c r="E54" s="50">
        <v>1785994000000</v>
      </c>
      <c r="F54" s="50">
        <v>193533970000000</v>
      </c>
      <c r="G54" s="50"/>
      <c r="H54" s="50"/>
      <c r="I54" s="50">
        <v>148116943000000</v>
      </c>
      <c r="J54" s="50">
        <v>45417027000000</v>
      </c>
      <c r="K54" s="51">
        <v>17782400000</v>
      </c>
      <c r="L54" s="50">
        <v>21970144000000</v>
      </c>
      <c r="M54" s="50">
        <v>7390746000000</v>
      </c>
      <c r="N54" s="50">
        <v>15538521000000</v>
      </c>
      <c r="O54" s="50">
        <v>4240671000000</v>
      </c>
      <c r="P54" s="50">
        <v>1444699000000</v>
      </c>
      <c r="Q54" s="52">
        <v>3950</v>
      </c>
      <c r="R54" s="49">
        <f t="shared" si="0"/>
        <v>1.2269229996192941</v>
      </c>
      <c r="S54" s="49">
        <f t="shared" si="1"/>
        <v>3.2612646133794709</v>
      </c>
      <c r="T54" s="51">
        <f t="shared" si="2"/>
        <v>2.1911765670905217E-2</v>
      </c>
      <c r="U54" s="51">
        <f t="shared" si="3"/>
        <v>9.3371831670091485E-2</v>
      </c>
      <c r="V54" s="51">
        <f t="shared" si="4"/>
        <v>0.19301971803188908</v>
      </c>
      <c r="W54" s="51">
        <f t="shared" si="5"/>
        <v>2.0567897599788609E-2</v>
      </c>
      <c r="X54" s="51">
        <f t="shared" si="6"/>
        <v>0.34067698248696965</v>
      </c>
      <c r="Y54" s="51">
        <f t="shared" si="7"/>
        <v>16.56352968669345</v>
      </c>
      <c r="Z54" s="51">
        <f t="shared" si="8"/>
        <v>1.546567105768504</v>
      </c>
      <c r="AA54" s="52">
        <v>1</v>
      </c>
    </row>
    <row r="55" spans="1:27">
      <c r="A55" s="49">
        <v>2020</v>
      </c>
      <c r="B55" s="49" t="s">
        <v>92</v>
      </c>
      <c r="C55" s="49" t="s">
        <v>93</v>
      </c>
      <c r="D55" s="50">
        <v>187946193000000</v>
      </c>
      <c r="E55" s="50">
        <v>2105691000000</v>
      </c>
      <c r="F55" s="50">
        <v>200890068000000</v>
      </c>
      <c r="G55" s="50"/>
      <c r="H55" s="50"/>
      <c r="I55" s="50">
        <v>157314590000000</v>
      </c>
      <c r="J55" s="50">
        <v>43575499000000</v>
      </c>
      <c r="K55" s="51">
        <v>17782400000</v>
      </c>
      <c r="L55" s="50">
        <v>20087555000000</v>
      </c>
      <c r="M55" s="50">
        <v>6363892000000</v>
      </c>
      <c r="N55" s="50">
        <v>15958508000000</v>
      </c>
      <c r="O55" s="50">
        <v>1088942000000</v>
      </c>
      <c r="P55" s="50">
        <v>1916205000000</v>
      </c>
      <c r="Q55" s="52">
        <v>3140</v>
      </c>
      <c r="R55" s="49">
        <f t="shared" si="0"/>
        <v>1.1947155886812533</v>
      </c>
      <c r="S55" s="49">
        <f t="shared" si="1"/>
        <v>3.6101615267790739</v>
      </c>
      <c r="T55" s="51">
        <f t="shared" si="2"/>
        <v>5.4205865468670159E-3</v>
      </c>
      <c r="U55" s="51">
        <f t="shared" si="3"/>
        <v>2.4989776938641597E-2</v>
      </c>
      <c r="V55" s="51">
        <f t="shared" si="4"/>
        <v>5.4209783121937936E-2</v>
      </c>
      <c r="W55" s="51">
        <f t="shared" si="5"/>
        <v>3.4317998100748585E-2</v>
      </c>
      <c r="X55" s="51">
        <f t="shared" si="6"/>
        <v>1.7596942720548936</v>
      </c>
      <c r="Y55" s="51">
        <f t="shared" si="7"/>
        <v>51.276134082439654</v>
      </c>
      <c r="Z55" s="51">
        <f t="shared" si="8"/>
        <v>1.2813791529960448</v>
      </c>
      <c r="AA55" s="52">
        <v>1</v>
      </c>
    </row>
    <row r="56" spans="1:27">
      <c r="A56" s="49">
        <v>2018</v>
      </c>
      <c r="B56" s="49" t="s">
        <v>94</v>
      </c>
      <c r="C56" s="49" t="s">
        <v>95</v>
      </c>
      <c r="D56" s="50">
        <v>8488491000000</v>
      </c>
      <c r="E56" s="50">
        <v>77068000000</v>
      </c>
      <c r="F56" s="50">
        <v>9482130000000</v>
      </c>
      <c r="G56" s="50"/>
      <c r="H56" s="50"/>
      <c r="I56" s="50">
        <v>8788732000000</v>
      </c>
      <c r="J56" s="50">
        <v>693398000000</v>
      </c>
      <c r="K56" s="51">
        <v>125693155976</v>
      </c>
      <c r="L56" s="50">
        <v>571662000000</v>
      </c>
      <c r="M56" s="50">
        <v>436252000000</v>
      </c>
      <c r="N56" s="50">
        <v>296067000000</v>
      </c>
      <c r="O56" s="50">
        <v>-100131000000</v>
      </c>
      <c r="P56" s="50">
        <v>0</v>
      </c>
      <c r="Q56" s="52">
        <v>50</v>
      </c>
      <c r="R56" s="49">
        <f t="shared" si="0"/>
        <v>0.96583796160811364</v>
      </c>
      <c r="S56" s="49">
        <f t="shared" si="1"/>
        <v>12.674873593520605</v>
      </c>
      <c r="T56" s="51">
        <f t="shared" si="2"/>
        <v>-1.0559969120862085E-2</v>
      </c>
      <c r="U56" s="51">
        <f t="shared" si="3"/>
        <v>-0.14440624287926992</v>
      </c>
      <c r="V56" s="51">
        <f t="shared" si="4"/>
        <v>-0.17515769808033418</v>
      </c>
      <c r="W56" s="51">
        <f t="shared" si="5"/>
        <v>0</v>
      </c>
      <c r="X56" s="51">
        <f t="shared" si="6"/>
        <v>0</v>
      </c>
      <c r="Y56" s="51">
        <f t="shared" si="7"/>
        <v>-62.764356680748215</v>
      </c>
      <c r="Z56" s="51">
        <f t="shared" si="8"/>
        <v>9.0635649350012546</v>
      </c>
      <c r="AA56" s="52">
        <v>1</v>
      </c>
    </row>
    <row r="57" spans="1:27">
      <c r="A57" s="49">
        <v>2019</v>
      </c>
      <c r="B57" s="49" t="s">
        <v>94</v>
      </c>
      <c r="C57" s="49" t="s">
        <v>95</v>
      </c>
      <c r="D57" s="50">
        <v>7018761000000</v>
      </c>
      <c r="E57" s="50">
        <v>65551000000</v>
      </c>
      <c r="F57" s="50">
        <v>8097328000000</v>
      </c>
      <c r="G57" s="50"/>
      <c r="H57" s="50"/>
      <c r="I57" s="50">
        <v>7547795000000</v>
      </c>
      <c r="J57" s="50">
        <v>549533000000</v>
      </c>
      <c r="K57" s="51">
        <v>125693155976</v>
      </c>
      <c r="L57" s="50">
        <v>553871000000</v>
      </c>
      <c r="M57" s="50">
        <v>481024000000</v>
      </c>
      <c r="N57" s="50">
        <v>308662000000</v>
      </c>
      <c r="O57" s="50">
        <v>-137559000000</v>
      </c>
      <c r="P57" s="50">
        <v>0</v>
      </c>
      <c r="Q57" s="52">
        <v>50</v>
      </c>
      <c r="R57" s="49">
        <f t="shared" si="0"/>
        <v>0.92990880117968233</v>
      </c>
      <c r="S57" s="49">
        <f t="shared" si="1"/>
        <v>13.734925837028895</v>
      </c>
      <c r="T57" s="51">
        <f t="shared" si="2"/>
        <v>-1.6988196600162424E-2</v>
      </c>
      <c r="U57" s="51">
        <f t="shared" si="3"/>
        <v>-0.25031981700825973</v>
      </c>
      <c r="V57" s="51">
        <f t="shared" si="4"/>
        <v>-0.24835927499363569</v>
      </c>
      <c r="W57" s="51">
        <f t="shared" si="5"/>
        <v>0</v>
      </c>
      <c r="X57" s="51">
        <f t="shared" si="6"/>
        <v>0</v>
      </c>
      <c r="Y57" s="51">
        <f t="shared" si="7"/>
        <v>-45.686998297457812</v>
      </c>
      <c r="Z57" s="51">
        <f t="shared" si="8"/>
        <v>11.436361053476315</v>
      </c>
      <c r="AA57" s="52">
        <v>1</v>
      </c>
    </row>
    <row r="58" spans="1:27">
      <c r="A58" s="49">
        <v>2020</v>
      </c>
      <c r="B58" s="49" t="s">
        <v>94</v>
      </c>
      <c r="C58" s="49" t="s">
        <v>95</v>
      </c>
      <c r="D58" s="50">
        <v>4119081000000</v>
      </c>
      <c r="E58" s="50">
        <v>65323000000</v>
      </c>
      <c r="F58" s="50">
        <v>5337281000000</v>
      </c>
      <c r="G58" s="50"/>
      <c r="H58" s="50"/>
      <c r="I58" s="50">
        <v>3975700000000</v>
      </c>
      <c r="J58" s="50">
        <v>1361581000000</v>
      </c>
      <c r="K58" s="51">
        <v>125693155976</v>
      </c>
      <c r="L58" s="50">
        <v>372209000000</v>
      </c>
      <c r="M58" s="50">
        <v>338465000000</v>
      </c>
      <c r="N58" s="50">
        <v>294640000000</v>
      </c>
      <c r="O58" s="50">
        <v>308158000000</v>
      </c>
      <c r="P58" s="50">
        <v>0</v>
      </c>
      <c r="Q58" s="52">
        <v>98</v>
      </c>
      <c r="R58" s="49">
        <f t="shared" si="0"/>
        <v>1.0360643408707901</v>
      </c>
      <c r="S58" s="49">
        <f t="shared" si="1"/>
        <v>2.9199144230126595</v>
      </c>
      <c r="T58" s="51">
        <f t="shared" si="2"/>
        <v>5.7736888876564675E-2</v>
      </c>
      <c r="U58" s="51">
        <f t="shared" si="3"/>
        <v>0.22632366344712507</v>
      </c>
      <c r="V58" s="51">
        <f t="shared" si="4"/>
        <v>0.82791657375291838</v>
      </c>
      <c r="W58" s="51">
        <f t="shared" si="5"/>
        <v>0</v>
      </c>
      <c r="X58" s="51">
        <f t="shared" si="6"/>
        <v>0</v>
      </c>
      <c r="Y58" s="51">
        <f t="shared" si="7"/>
        <v>39.972771388858959</v>
      </c>
      <c r="Z58" s="51">
        <f t="shared" si="8"/>
        <v>9.046784058860986</v>
      </c>
      <c r="AA58" s="52">
        <v>1</v>
      </c>
    </row>
    <row r="59" spans="1:27">
      <c r="A59" s="49">
        <v>2018</v>
      </c>
      <c r="B59" s="49" t="s">
        <v>96</v>
      </c>
      <c r="C59" s="49" t="s">
        <v>97</v>
      </c>
      <c r="D59" s="50">
        <v>18425155000000</v>
      </c>
      <c r="E59" s="50">
        <v>119656000000</v>
      </c>
      <c r="F59" s="50">
        <v>20486926000000</v>
      </c>
      <c r="G59" s="50"/>
      <c r="H59" s="50"/>
      <c r="I59" s="50">
        <v>15814866000000</v>
      </c>
      <c r="J59" s="50">
        <v>4672060000000</v>
      </c>
      <c r="K59" s="51">
        <v>32000000000</v>
      </c>
      <c r="L59" s="50">
        <v>1353059000000</v>
      </c>
      <c r="M59" s="50">
        <v>1050216000000</v>
      </c>
      <c r="N59" s="50">
        <v>2149585000000</v>
      </c>
      <c r="O59" s="50">
        <v>14568000000</v>
      </c>
      <c r="P59" s="50">
        <v>0</v>
      </c>
      <c r="Q59" s="52">
        <v>182</v>
      </c>
      <c r="R59" s="49">
        <f t="shared" si="0"/>
        <v>1.1650528686110904</v>
      </c>
      <c r="S59" s="49">
        <f t="shared" si="1"/>
        <v>3.3849877784103799</v>
      </c>
      <c r="T59" s="51">
        <f t="shared" si="2"/>
        <v>7.1108764682412584E-4</v>
      </c>
      <c r="U59" s="51">
        <f t="shared" si="3"/>
        <v>3.1181106407023882E-3</v>
      </c>
      <c r="V59" s="51">
        <f t="shared" si="4"/>
        <v>1.0766714533512581E-2</v>
      </c>
      <c r="W59" s="51">
        <f t="shared" si="5"/>
        <v>0</v>
      </c>
      <c r="X59" s="51">
        <f t="shared" si="6"/>
        <v>0</v>
      </c>
      <c r="Y59" s="51">
        <f t="shared" si="7"/>
        <v>399.78034047226799</v>
      </c>
      <c r="Z59" s="51">
        <f t="shared" si="8"/>
        <v>1.2465593335702023</v>
      </c>
      <c r="AA59" s="52">
        <v>1</v>
      </c>
    </row>
    <row r="60" spans="1:27">
      <c r="A60" s="49">
        <v>2019</v>
      </c>
      <c r="B60" s="49" t="s">
        <v>96</v>
      </c>
      <c r="C60" s="49" t="s">
        <v>97</v>
      </c>
      <c r="D60" s="50">
        <v>20919800000000</v>
      </c>
      <c r="E60" s="50">
        <v>138903000000</v>
      </c>
      <c r="F60" s="50">
        <v>23021785000000</v>
      </c>
      <c r="G60" s="50"/>
      <c r="H60" s="50"/>
      <c r="I60" s="50">
        <v>18332221000000</v>
      </c>
      <c r="J60" s="50">
        <v>4689564000000</v>
      </c>
      <c r="K60" s="51">
        <v>32000000000</v>
      </c>
      <c r="L60" s="50">
        <v>1401513000000</v>
      </c>
      <c r="M60" s="50">
        <v>979937000000</v>
      </c>
      <c r="N60" s="50">
        <v>594032000000</v>
      </c>
      <c r="O60" s="50">
        <v>5277000000</v>
      </c>
      <c r="P60" s="50">
        <v>0</v>
      </c>
      <c r="Q60" s="52">
        <v>180</v>
      </c>
      <c r="R60" s="49">
        <f t="shared" si="0"/>
        <v>1.141149236636412</v>
      </c>
      <c r="S60" s="49">
        <f t="shared" si="1"/>
        <v>3.9091525352889951</v>
      </c>
      <c r="T60" s="51">
        <f t="shared" si="2"/>
        <v>2.2921767360784578E-4</v>
      </c>
      <c r="U60" s="51">
        <f t="shared" si="3"/>
        <v>1.1252645235250015E-3</v>
      </c>
      <c r="V60" s="51">
        <f t="shared" si="4"/>
        <v>3.7652165909270907E-3</v>
      </c>
      <c r="W60" s="51">
        <f t="shared" si="5"/>
        <v>0</v>
      </c>
      <c r="X60" s="51">
        <f t="shared" si="6"/>
        <v>0</v>
      </c>
      <c r="Y60" s="51">
        <f t="shared" si="7"/>
        <v>1091.5292779988629</v>
      </c>
      <c r="Z60" s="51">
        <f t="shared" si="8"/>
        <v>1.2282591729209793</v>
      </c>
      <c r="AA60" s="52">
        <v>1</v>
      </c>
    </row>
    <row r="61" spans="1:27">
      <c r="A61" s="49">
        <v>2020</v>
      </c>
      <c r="B61" s="49" t="s">
        <v>96</v>
      </c>
      <c r="C61" s="49" t="s">
        <v>97</v>
      </c>
      <c r="D61" s="50">
        <v>16044957000000</v>
      </c>
      <c r="E61" s="50">
        <v>365906000000</v>
      </c>
      <c r="F61" s="50">
        <v>18297700000000</v>
      </c>
      <c r="G61" s="50"/>
      <c r="H61" s="50"/>
      <c r="I61" s="50">
        <v>14185258000000</v>
      </c>
      <c r="J61" s="50">
        <v>4112442000000</v>
      </c>
      <c r="K61" s="51">
        <v>32000000000</v>
      </c>
      <c r="L61" s="50">
        <v>1233605000000</v>
      </c>
      <c r="M61" s="50">
        <v>971493000000</v>
      </c>
      <c r="N61" s="50">
        <v>663981000000</v>
      </c>
      <c r="O61" s="50">
        <v>-422168000000</v>
      </c>
      <c r="P61" s="50">
        <v>0</v>
      </c>
      <c r="Q61" s="52">
        <v>106</v>
      </c>
      <c r="R61" s="49">
        <f t="shared" si="0"/>
        <v>1.1311008231221455</v>
      </c>
      <c r="S61" s="49">
        <f t="shared" si="1"/>
        <v>3.4493515045318572</v>
      </c>
      <c r="T61" s="51">
        <f t="shared" si="2"/>
        <v>-2.3072189400853659E-2</v>
      </c>
      <c r="U61" s="51">
        <f t="shared" si="3"/>
        <v>-0.1026562806235322</v>
      </c>
      <c r="V61" s="51">
        <f t="shared" si="4"/>
        <v>-0.34222299682637475</v>
      </c>
      <c r="W61" s="51">
        <f t="shared" si="5"/>
        <v>0</v>
      </c>
      <c r="X61" s="51">
        <f t="shared" si="6"/>
        <v>0</v>
      </c>
      <c r="Y61" s="51">
        <f t="shared" si="7"/>
        <v>-8.0347160372174109</v>
      </c>
      <c r="Z61" s="51">
        <f t="shared" si="8"/>
        <v>0.82481406424698511</v>
      </c>
      <c r="AA61" s="52">
        <v>1</v>
      </c>
    </row>
    <row r="62" spans="1:27">
      <c r="A62" s="49">
        <v>2018</v>
      </c>
      <c r="B62" s="49" t="s">
        <v>98</v>
      </c>
      <c r="C62" s="49" t="s">
        <v>99</v>
      </c>
      <c r="D62" s="50">
        <v>6096941183000</v>
      </c>
      <c r="E62" s="50">
        <v>439337143000</v>
      </c>
      <c r="F62" s="50">
        <v>6694023677000</v>
      </c>
      <c r="G62" s="50"/>
      <c r="H62" s="50"/>
      <c r="I62" s="50">
        <v>5493283082000</v>
      </c>
      <c r="J62" s="50">
        <v>1200740595000</v>
      </c>
      <c r="K62" s="51">
        <v>12000000000</v>
      </c>
      <c r="L62" s="50">
        <v>511186044000</v>
      </c>
      <c r="M62" s="50">
        <v>276263254000</v>
      </c>
      <c r="N62" s="50">
        <v>196095958000</v>
      </c>
      <c r="O62" s="50">
        <v>71013866000</v>
      </c>
      <c r="P62" s="50">
        <v>35547692000</v>
      </c>
      <c r="Q62" s="52">
        <v>368</v>
      </c>
      <c r="R62" s="49">
        <f t="shared" si="0"/>
        <v>1.1098902226571983</v>
      </c>
      <c r="S62" s="49">
        <f t="shared" si="1"/>
        <v>4.5749124372696004</v>
      </c>
      <c r="T62" s="51">
        <f t="shared" si="2"/>
        <v>1.0608547179777177E-2</v>
      </c>
      <c r="U62" s="51">
        <f t="shared" si="3"/>
        <v>5.9141721613901126E-2</v>
      </c>
      <c r="V62" s="51">
        <f t="shared" si="4"/>
        <v>0.13891980587795547</v>
      </c>
      <c r="W62" s="51">
        <f t="shared" si="5"/>
        <v>8.0497490942028991E-3</v>
      </c>
      <c r="X62" s="51">
        <f t="shared" si="6"/>
        <v>0.50057395833089835</v>
      </c>
      <c r="Y62" s="51">
        <f t="shared" si="7"/>
        <v>62.185038623302106</v>
      </c>
      <c r="Z62" s="51">
        <f t="shared" si="8"/>
        <v>3.6777302428090222</v>
      </c>
      <c r="AA62" s="52">
        <v>1</v>
      </c>
    </row>
    <row r="63" spans="1:27">
      <c r="A63" s="49">
        <v>2019</v>
      </c>
      <c r="B63" s="49" t="s">
        <v>98</v>
      </c>
      <c r="C63" s="49" t="s">
        <v>99</v>
      </c>
      <c r="D63" s="50">
        <v>7004129740000</v>
      </c>
      <c r="E63" s="50">
        <v>438379326000</v>
      </c>
      <c r="F63" s="50">
        <v>7569580138000</v>
      </c>
      <c r="G63" s="50"/>
      <c r="H63" s="50"/>
      <c r="I63" s="50">
        <v>6340648554000</v>
      </c>
      <c r="J63" s="50">
        <v>1228931584000</v>
      </c>
      <c r="K63" s="51">
        <v>12000000000</v>
      </c>
      <c r="L63" s="50">
        <v>595200789000</v>
      </c>
      <c r="M63" s="50">
        <v>354239522000</v>
      </c>
      <c r="N63" s="50">
        <v>197195767000</v>
      </c>
      <c r="O63" s="50">
        <v>59746814000</v>
      </c>
      <c r="P63" s="50">
        <v>35547692000</v>
      </c>
      <c r="Q63" s="52">
        <v>358</v>
      </c>
      <c r="R63" s="49">
        <f t="shared" si="0"/>
        <v>1.1046393251967013</v>
      </c>
      <c r="S63" s="49">
        <f t="shared" si="1"/>
        <v>5.1594805085585627</v>
      </c>
      <c r="T63" s="51">
        <f t="shared" si="2"/>
        <v>7.8930155848493371E-3</v>
      </c>
      <c r="U63" s="51">
        <f t="shared" si="3"/>
        <v>4.861687564862846E-2</v>
      </c>
      <c r="V63" s="51">
        <f t="shared" si="4"/>
        <v>0.1003809388431439</v>
      </c>
      <c r="W63" s="51">
        <f t="shared" si="5"/>
        <v>8.2746024208566107E-3</v>
      </c>
      <c r="X63" s="51">
        <f t="shared" si="6"/>
        <v>0.59497217709382799</v>
      </c>
      <c r="Y63" s="51">
        <f t="shared" si="7"/>
        <v>71.903415636522482</v>
      </c>
      <c r="Z63" s="51">
        <f t="shared" si="8"/>
        <v>3.4957194167124603</v>
      </c>
      <c r="AA63" s="52">
        <v>1</v>
      </c>
    </row>
    <row r="64" spans="1:27">
      <c r="A64" s="49">
        <v>2020</v>
      </c>
      <c r="B64" s="49" t="s">
        <v>98</v>
      </c>
      <c r="C64" s="49" t="s">
        <v>99</v>
      </c>
      <c r="D64" s="50">
        <v>9332393513000</v>
      </c>
      <c r="E64" s="50">
        <v>433371108000</v>
      </c>
      <c r="F64" s="50">
        <v>10110519691000</v>
      </c>
      <c r="G64" s="50"/>
      <c r="H64" s="50"/>
      <c r="I64" s="50">
        <v>8826257598000</v>
      </c>
      <c r="J64" s="50">
        <v>1284262093000</v>
      </c>
      <c r="K64" s="51">
        <v>12000000000</v>
      </c>
      <c r="L64" s="50">
        <v>630419914000</v>
      </c>
      <c r="M64" s="50">
        <v>401285815000</v>
      </c>
      <c r="N64" s="50">
        <v>209895189000</v>
      </c>
      <c r="O64" s="50">
        <v>66986471000</v>
      </c>
      <c r="P64" s="50">
        <v>0</v>
      </c>
      <c r="Q64" s="52">
        <v>430</v>
      </c>
      <c r="R64" s="49">
        <f t="shared" si="0"/>
        <v>1.0573443398156301</v>
      </c>
      <c r="S64" s="49">
        <f t="shared" si="1"/>
        <v>6.8726295404251259</v>
      </c>
      <c r="T64" s="51">
        <f t="shared" si="2"/>
        <v>6.6254231283114761E-3</v>
      </c>
      <c r="U64" s="51">
        <f t="shared" si="3"/>
        <v>5.2159501837760774E-2</v>
      </c>
      <c r="V64" s="51">
        <f t="shared" si="4"/>
        <v>0.10625690831206833</v>
      </c>
      <c r="W64" s="51">
        <f t="shared" si="5"/>
        <v>0</v>
      </c>
      <c r="X64" s="51">
        <f t="shared" si="6"/>
        <v>0</v>
      </c>
      <c r="Y64" s="51">
        <f t="shared" si="7"/>
        <v>77.030479781506926</v>
      </c>
      <c r="Z64" s="51">
        <f t="shared" si="8"/>
        <v>4.017871451727105</v>
      </c>
      <c r="AA64" s="52">
        <v>1</v>
      </c>
    </row>
    <row r="65" spans="1:27">
      <c r="A65" s="49">
        <v>2018</v>
      </c>
      <c r="B65" s="49" t="s">
        <v>100</v>
      </c>
      <c r="C65" s="49" t="s">
        <v>101</v>
      </c>
      <c r="D65" s="50">
        <v>1132873678000000</v>
      </c>
      <c r="E65" s="50">
        <v>38442696000000</v>
      </c>
      <c r="F65" s="50">
        <v>1202252094000000</v>
      </c>
      <c r="G65" s="50"/>
      <c r="H65" s="50"/>
      <c r="I65" s="50">
        <v>941953100000000</v>
      </c>
      <c r="J65" s="50">
        <v>184960305000000</v>
      </c>
      <c r="K65" s="51">
        <v>32000000000</v>
      </c>
      <c r="L65" s="50">
        <v>91335057000000</v>
      </c>
      <c r="M65" s="50">
        <v>34005292000000</v>
      </c>
      <c r="N65" s="50">
        <v>37566139000000</v>
      </c>
      <c r="O65" s="50">
        <v>25851937000000</v>
      </c>
      <c r="P65" s="50">
        <v>9287857000000</v>
      </c>
      <c r="Q65" s="52">
        <v>7375</v>
      </c>
      <c r="R65" s="49">
        <f t="shared" si="0"/>
        <v>1.2026858640838913</v>
      </c>
      <c r="S65" s="49">
        <f t="shared" si="1"/>
        <v>5.0927311133056357</v>
      </c>
      <c r="T65" s="51">
        <f t="shared" si="2"/>
        <v>2.1502925325742873E-2</v>
      </c>
      <c r="U65" s="51">
        <f t="shared" si="3"/>
        <v>0.13977019014971889</v>
      </c>
      <c r="V65" s="51">
        <f t="shared" si="4"/>
        <v>0.28304506340867558</v>
      </c>
      <c r="W65" s="51">
        <f t="shared" si="5"/>
        <v>3.9355326271186437E-2</v>
      </c>
      <c r="X65" s="51">
        <f t="shared" si="6"/>
        <v>0.35927122211384005</v>
      </c>
      <c r="Y65" s="51">
        <f t="shared" si="7"/>
        <v>9.1289097602241558</v>
      </c>
      <c r="Z65" s="51">
        <f t="shared" si="8"/>
        <v>1.275949453046155</v>
      </c>
      <c r="AA65" s="52">
        <v>1</v>
      </c>
    </row>
    <row r="66" spans="1:27">
      <c r="A66" s="49">
        <v>2019</v>
      </c>
      <c r="B66" s="49" t="s">
        <v>100</v>
      </c>
      <c r="C66" s="49" t="s">
        <v>101</v>
      </c>
      <c r="D66" s="50">
        <v>1244815928000000</v>
      </c>
      <c r="E66" s="50">
        <v>44612199000000</v>
      </c>
      <c r="F66" s="50">
        <v>1318246335000000</v>
      </c>
      <c r="G66" s="50"/>
      <c r="H66" s="50"/>
      <c r="I66" s="50">
        <v>1025749580000000</v>
      </c>
      <c r="J66" s="50">
        <v>209034525000000</v>
      </c>
      <c r="K66" s="51">
        <v>64000000000</v>
      </c>
      <c r="L66" s="50">
        <v>102638740000000</v>
      </c>
      <c r="M66" s="50">
        <v>41391049000000</v>
      </c>
      <c r="N66" s="50">
        <v>40086241000000</v>
      </c>
      <c r="O66" s="50">
        <v>28455592000000</v>
      </c>
      <c r="P66" s="50">
        <v>11256759000000</v>
      </c>
      <c r="Q66" s="52">
        <v>7675</v>
      </c>
      <c r="R66" s="49">
        <f t="shared" si="0"/>
        <v>1.2135670852529132</v>
      </c>
      <c r="S66" s="49">
        <f t="shared" si="1"/>
        <v>4.9070821195685257</v>
      </c>
      <c r="T66" s="51">
        <f t="shared" si="2"/>
        <v>2.1585944329592998E-2</v>
      </c>
      <c r="U66" s="51">
        <f t="shared" si="3"/>
        <v>0.13612867061075198</v>
      </c>
      <c r="V66" s="51">
        <f t="shared" si="4"/>
        <v>0.27724027009684649</v>
      </c>
      <c r="W66" s="51">
        <f t="shared" si="5"/>
        <v>2.291685464169381E-2</v>
      </c>
      <c r="X66" s="51">
        <f t="shared" si="6"/>
        <v>0.39559039924384637</v>
      </c>
      <c r="Y66" s="51">
        <f t="shared" si="7"/>
        <v>17.261984920222361</v>
      </c>
      <c r="Z66" s="51">
        <f t="shared" si="8"/>
        <v>2.3498510592927175</v>
      </c>
      <c r="AA66" s="52">
        <v>1</v>
      </c>
    </row>
    <row r="67" spans="1:27">
      <c r="A67" s="49">
        <v>2020</v>
      </c>
      <c r="B67" s="49" t="s">
        <v>100</v>
      </c>
      <c r="C67" s="49" t="s">
        <v>101</v>
      </c>
      <c r="D67" s="50">
        <v>1343718521000000</v>
      </c>
      <c r="E67" s="50">
        <v>46728153000000</v>
      </c>
      <c r="F67" s="50">
        <v>1429334484000000</v>
      </c>
      <c r="G67" s="50"/>
      <c r="H67" s="50"/>
      <c r="I67" s="50">
        <v>1151267847000000</v>
      </c>
      <c r="J67" s="50">
        <v>193796083000000</v>
      </c>
      <c r="K67" s="51">
        <v>64000000000</v>
      </c>
      <c r="L67" s="50">
        <v>100211477000000</v>
      </c>
      <c r="M67" s="50">
        <v>42189633000000</v>
      </c>
      <c r="N67" s="50">
        <v>40646791000000</v>
      </c>
      <c r="O67" s="50">
        <v>17645624000000</v>
      </c>
      <c r="P67" s="50">
        <v>16489280000000</v>
      </c>
      <c r="Q67" s="52">
        <v>6325</v>
      </c>
      <c r="R67" s="49">
        <f t="shared" si="0"/>
        <v>1.1671641178041168</v>
      </c>
      <c r="S67" s="49">
        <f t="shared" si="1"/>
        <v>5.9406146356425582</v>
      </c>
      <c r="T67" s="51">
        <f t="shared" si="2"/>
        <v>1.2345342673478799E-2</v>
      </c>
      <c r="U67" s="51">
        <f t="shared" si="3"/>
        <v>9.1052531748022997E-2</v>
      </c>
      <c r="V67" s="51">
        <f t="shared" si="4"/>
        <v>0.17608386312877117</v>
      </c>
      <c r="W67" s="51">
        <f t="shared" si="5"/>
        <v>4.0734387351778652E-2</v>
      </c>
      <c r="X67" s="51">
        <f t="shared" si="6"/>
        <v>0.93446851185313706</v>
      </c>
      <c r="Y67" s="51">
        <f t="shared" si="7"/>
        <v>22.940531884845782</v>
      </c>
      <c r="Z67" s="51">
        <f t="shared" si="8"/>
        <v>2.0887935077614546</v>
      </c>
      <c r="AA67" s="52">
        <v>1</v>
      </c>
    </row>
    <row r="68" spans="1:27">
      <c r="A68" s="49">
        <v>2018</v>
      </c>
      <c r="B68" s="49" t="s">
        <v>102</v>
      </c>
      <c r="C68" s="49" t="s">
        <v>103</v>
      </c>
      <c r="D68" s="50">
        <v>6441678685504</v>
      </c>
      <c r="E68" s="50">
        <v>788081883230</v>
      </c>
      <c r="F68" s="50">
        <v>7297273467260</v>
      </c>
      <c r="G68" s="50"/>
      <c r="H68" s="50"/>
      <c r="I68" s="50">
        <v>5802518829966</v>
      </c>
      <c r="J68" s="50">
        <v>1494754637294</v>
      </c>
      <c r="K68" s="51">
        <v>8000000000</v>
      </c>
      <c r="L68" s="50">
        <v>645259846041</v>
      </c>
      <c r="M68" s="50">
        <v>311140279900</v>
      </c>
      <c r="N68" s="50">
        <v>244105811984</v>
      </c>
      <c r="O68" s="50">
        <v>92897864488</v>
      </c>
      <c r="P68" s="50">
        <v>23100000000</v>
      </c>
      <c r="Q68" s="52">
        <v>278</v>
      </c>
      <c r="R68" s="49">
        <f t="shared" si="0"/>
        <v>1.1101521381089159</v>
      </c>
      <c r="S68" s="49">
        <f t="shared" si="1"/>
        <v>3.8819206076995201</v>
      </c>
      <c r="T68" s="51">
        <f t="shared" si="2"/>
        <v>1.2730489669161535E-2</v>
      </c>
      <c r="U68" s="51">
        <f t="shared" si="3"/>
        <v>6.214923986198554E-2</v>
      </c>
      <c r="V68" s="51">
        <f t="shared" si="4"/>
        <v>0.14396969694918416</v>
      </c>
      <c r="W68" s="51">
        <f t="shared" si="5"/>
        <v>1.0386690647482015E-2</v>
      </c>
      <c r="X68" s="51">
        <f t="shared" si="6"/>
        <v>0.24866018317335942</v>
      </c>
      <c r="Y68" s="51">
        <f t="shared" si="7"/>
        <v>23.940270449244647</v>
      </c>
      <c r="Z68" s="51">
        <f t="shared" si="8"/>
        <v>1.4878696105109097</v>
      </c>
      <c r="AA68" s="52">
        <v>1</v>
      </c>
    </row>
    <row r="69" spans="1:27">
      <c r="A69" s="49">
        <v>2019</v>
      </c>
      <c r="B69" s="49" t="s">
        <v>102</v>
      </c>
      <c r="C69" s="49" t="s">
        <v>103</v>
      </c>
      <c r="D69" s="50">
        <v>6738663303391</v>
      </c>
      <c r="E69" s="50">
        <v>790755582369</v>
      </c>
      <c r="F69" s="50">
        <v>7607653715376</v>
      </c>
      <c r="G69" s="50"/>
      <c r="H69" s="50"/>
      <c r="I69" s="50">
        <v>6083998151873</v>
      </c>
      <c r="J69" s="50">
        <v>1523655563503</v>
      </c>
      <c r="K69" s="51">
        <v>8000000000</v>
      </c>
      <c r="L69" s="50">
        <v>653036862635</v>
      </c>
      <c r="M69" s="50">
        <v>345037801425</v>
      </c>
      <c r="N69" s="50">
        <v>253248805324</v>
      </c>
      <c r="O69" s="50">
        <v>51167901115</v>
      </c>
      <c r="P69" s="50">
        <v>25410000000</v>
      </c>
      <c r="Q69" s="52">
        <v>322</v>
      </c>
      <c r="R69" s="49">
        <f t="shared" si="0"/>
        <v>1.1076044297147685</v>
      </c>
      <c r="S69" s="49">
        <f t="shared" si="1"/>
        <v>3.993027228467191</v>
      </c>
      <c r="T69" s="51">
        <f t="shared" si="2"/>
        <v>6.7258451855640332E-3</v>
      </c>
      <c r="U69" s="51">
        <f t="shared" si="3"/>
        <v>3.3582328145976184E-2</v>
      </c>
      <c r="V69" s="51">
        <f t="shared" si="4"/>
        <v>7.8353771498499813E-2</v>
      </c>
      <c r="W69" s="51">
        <f t="shared" si="5"/>
        <v>9.864130434782608E-3</v>
      </c>
      <c r="X69" s="51">
        <f t="shared" si="6"/>
        <v>0.49660039685604757</v>
      </c>
      <c r="Y69" s="51">
        <f t="shared" si="7"/>
        <v>50.344062270805928</v>
      </c>
      <c r="Z69" s="51">
        <f t="shared" si="8"/>
        <v>1.6906708193796636</v>
      </c>
      <c r="AA69" s="52">
        <v>1</v>
      </c>
    </row>
    <row r="70" spans="1:27">
      <c r="A70" s="49">
        <v>2020</v>
      </c>
      <c r="B70" s="49" t="s">
        <v>102</v>
      </c>
      <c r="C70" s="49" t="s">
        <v>103</v>
      </c>
      <c r="D70" s="50">
        <v>6748884951929</v>
      </c>
      <c r="E70" s="50">
        <v>815641804959</v>
      </c>
      <c r="F70" s="50">
        <v>7637524325854</v>
      </c>
      <c r="G70" s="50"/>
      <c r="H70" s="50"/>
      <c r="I70" s="50">
        <v>6128138202911</v>
      </c>
      <c r="J70" s="50">
        <v>1509386122943</v>
      </c>
      <c r="K70" s="51">
        <v>8000000000</v>
      </c>
      <c r="L70" s="50">
        <v>633832905528</v>
      </c>
      <c r="M70" s="50">
        <v>346829023353</v>
      </c>
      <c r="N70" s="50">
        <v>247615102198</v>
      </c>
      <c r="O70" s="50">
        <v>35053333152</v>
      </c>
      <c r="P70" s="50">
        <v>13282500000</v>
      </c>
      <c r="Q70" s="52">
        <v>378</v>
      </c>
      <c r="R70" s="49">
        <f t="shared" si="0"/>
        <v>1.1012945087829664</v>
      </c>
      <c r="S70" s="49">
        <f t="shared" si="1"/>
        <v>4.0600202358839503</v>
      </c>
      <c r="T70" s="51">
        <f t="shared" si="2"/>
        <v>4.5896198370642136E-3</v>
      </c>
      <c r="U70" s="51">
        <f t="shared" si="3"/>
        <v>2.3223569250559316E-2</v>
      </c>
      <c r="V70" s="51">
        <f t="shared" si="4"/>
        <v>5.5303744640394809E-2</v>
      </c>
      <c r="W70" s="51">
        <f t="shared" si="5"/>
        <v>4.3923611111111116E-3</v>
      </c>
      <c r="X70" s="51">
        <f t="shared" si="6"/>
        <v>0.37892259610245238</v>
      </c>
      <c r="Y70" s="51">
        <f t="shared" si="7"/>
        <v>86.268543618582044</v>
      </c>
      <c r="Z70" s="51">
        <f t="shared" si="8"/>
        <v>2.0034634968710372</v>
      </c>
      <c r="AA70" s="52">
        <v>1</v>
      </c>
    </row>
    <row r="71" spans="1:27">
      <c r="A71" s="49">
        <v>2018</v>
      </c>
      <c r="B71" s="49" t="s">
        <v>105</v>
      </c>
      <c r="C71" s="49" t="s">
        <v>106</v>
      </c>
      <c r="D71" s="50">
        <v>239800296000000</v>
      </c>
      <c r="E71" s="50">
        <v>5453282000000</v>
      </c>
      <c r="F71" s="50">
        <v>266781498000000</v>
      </c>
      <c r="G71" s="50"/>
      <c r="H71" s="50"/>
      <c r="I71" s="50">
        <v>227200919000000</v>
      </c>
      <c r="J71" s="50">
        <v>39580579000000</v>
      </c>
      <c r="K71" s="51">
        <v>50886460336</v>
      </c>
      <c r="L71" s="50">
        <v>20293247000000</v>
      </c>
      <c r="M71" s="50">
        <v>8281516000000</v>
      </c>
      <c r="N71" s="50">
        <v>8004128000000</v>
      </c>
      <c r="O71" s="50">
        <v>3482428000000</v>
      </c>
      <c r="P71" s="50">
        <v>595420000000</v>
      </c>
      <c r="Q71" s="52">
        <v>915</v>
      </c>
      <c r="R71" s="49">
        <f t="shared" si="0"/>
        <v>1.0554547800926808</v>
      </c>
      <c r="S71" s="49">
        <f t="shared" si="1"/>
        <v>5.7402121126120971</v>
      </c>
      <c r="T71" s="51">
        <f t="shared" si="2"/>
        <v>1.3053483941378874E-2</v>
      </c>
      <c r="U71" s="51">
        <f t="shared" si="3"/>
        <v>8.7983250573469382E-2</v>
      </c>
      <c r="V71" s="51">
        <f t="shared" si="4"/>
        <v>0.17160526356378553</v>
      </c>
      <c r="W71" s="51">
        <f t="shared" si="5"/>
        <v>1.2787925042151009E-2</v>
      </c>
      <c r="X71" s="51">
        <f t="shared" si="6"/>
        <v>0.17097840931671809</v>
      </c>
      <c r="Y71" s="51">
        <f t="shared" si="7"/>
        <v>13.370301182806937</v>
      </c>
      <c r="Z71" s="51">
        <f t="shared" si="8"/>
        <v>1.1763625592096567</v>
      </c>
      <c r="AA71" s="52">
        <v>1</v>
      </c>
    </row>
    <row r="72" spans="1:27">
      <c r="A72" s="49">
        <v>2019</v>
      </c>
      <c r="B72" s="49" t="s">
        <v>105</v>
      </c>
      <c r="C72" s="49" t="s">
        <v>106</v>
      </c>
      <c r="D72" s="50">
        <v>270925989000000</v>
      </c>
      <c r="E72" s="50">
        <v>6248281000000</v>
      </c>
      <c r="F72" s="50">
        <v>274467227000000</v>
      </c>
      <c r="G72" s="50"/>
      <c r="H72" s="50"/>
      <c r="I72" s="50">
        <v>231173061000000</v>
      </c>
      <c r="J72" s="50">
        <v>43294166000000</v>
      </c>
      <c r="K72" s="51">
        <v>50886460336</v>
      </c>
      <c r="L72" s="50">
        <v>21689486000000</v>
      </c>
      <c r="M72" s="50">
        <v>9121468000000</v>
      </c>
      <c r="N72" s="50">
        <v>8634364000000</v>
      </c>
      <c r="O72" s="50">
        <v>3642935000000</v>
      </c>
      <c r="P72" s="50">
        <v>696485000000</v>
      </c>
      <c r="Q72" s="52">
        <v>965</v>
      </c>
      <c r="R72" s="49">
        <f t="shared" si="0"/>
        <v>1.1719617667735083</v>
      </c>
      <c r="S72" s="49">
        <f t="shared" si="1"/>
        <v>5.3395891954588057</v>
      </c>
      <c r="T72" s="51">
        <f t="shared" si="2"/>
        <v>1.3272750411108281E-2</v>
      </c>
      <c r="U72" s="51">
        <f t="shared" si="3"/>
        <v>8.4143785100283489E-2</v>
      </c>
      <c r="V72" s="51">
        <f t="shared" si="4"/>
        <v>0.16795856757509145</v>
      </c>
      <c r="W72" s="51">
        <f t="shared" si="5"/>
        <v>1.418346077176511E-2</v>
      </c>
      <c r="X72" s="51">
        <f t="shared" si="6"/>
        <v>0.19118787461209164</v>
      </c>
      <c r="Y72" s="51">
        <f t="shared" si="7"/>
        <v>13.479635026219244</v>
      </c>
      <c r="Z72" s="51">
        <f t="shared" si="8"/>
        <v>1.1342275128764463</v>
      </c>
      <c r="AA72" s="52">
        <v>1</v>
      </c>
    </row>
    <row r="73" spans="1:27">
      <c r="A73" s="49">
        <v>2020</v>
      </c>
      <c r="B73" s="49" t="s">
        <v>105</v>
      </c>
      <c r="C73" s="49" t="s">
        <v>106</v>
      </c>
      <c r="D73" s="50">
        <v>261686905000000</v>
      </c>
      <c r="E73" s="50">
        <v>6989721000000</v>
      </c>
      <c r="F73" s="50">
        <v>280943605000000</v>
      </c>
      <c r="G73" s="50"/>
      <c r="H73" s="50"/>
      <c r="I73" s="50">
        <v>239890554000000</v>
      </c>
      <c r="J73" s="50">
        <v>41053051000000</v>
      </c>
      <c r="K73" s="51">
        <v>50886460336</v>
      </c>
      <c r="L73" s="50">
        <v>20703099000000</v>
      </c>
      <c r="M73" s="50">
        <v>8232581000000</v>
      </c>
      <c r="N73" s="50">
        <v>8100784000000</v>
      </c>
      <c r="O73" s="50">
        <v>2011254000000</v>
      </c>
      <c r="P73" s="50">
        <v>1392161000000</v>
      </c>
      <c r="Q73" s="52">
        <v>995</v>
      </c>
      <c r="R73" s="49">
        <f t="shared" si="0"/>
        <v>1.0908595633990656</v>
      </c>
      <c r="S73" s="49">
        <f t="shared" si="1"/>
        <v>5.8434281534885191</v>
      </c>
      <c r="T73" s="51">
        <f t="shared" si="2"/>
        <v>7.1589242972802314E-3</v>
      </c>
      <c r="U73" s="51">
        <f t="shared" si="3"/>
        <v>4.899158408470055E-2</v>
      </c>
      <c r="V73" s="51">
        <f t="shared" si="4"/>
        <v>9.7147485021445337E-2</v>
      </c>
      <c r="W73" s="51">
        <f t="shared" si="5"/>
        <v>2.7495659448133283E-2</v>
      </c>
      <c r="X73" s="51">
        <f t="shared" si="6"/>
        <v>0.69218557178755147</v>
      </c>
      <c r="Y73" s="51">
        <f t="shared" si="7"/>
        <v>25.174357905227289</v>
      </c>
      <c r="Z73" s="51">
        <f t="shared" si="8"/>
        <v>1.2333316720922887</v>
      </c>
      <c r="AA73" s="52">
        <v>1</v>
      </c>
    </row>
    <row r="74" spans="1:27">
      <c r="A74" s="49">
        <v>2018</v>
      </c>
      <c r="B74" s="49" t="s">
        <v>107</v>
      </c>
      <c r="C74" s="49" t="s">
        <v>108</v>
      </c>
      <c r="D74" s="50">
        <v>169633988000000</v>
      </c>
      <c r="E74" s="50">
        <v>2926594000000</v>
      </c>
      <c r="F74" s="50">
        <v>177532858000000</v>
      </c>
      <c r="G74" s="50"/>
      <c r="H74" s="50"/>
      <c r="I74" s="50">
        <v>152442167000000</v>
      </c>
      <c r="J74" s="50">
        <v>25090691000000</v>
      </c>
      <c r="K74" s="51">
        <v>476608857231</v>
      </c>
      <c r="L74" s="50">
        <v>14790035000000</v>
      </c>
      <c r="M74" s="50">
        <v>6690157000000</v>
      </c>
      <c r="N74" s="50">
        <v>7333658000000</v>
      </c>
      <c r="O74" s="50">
        <v>2262245000000</v>
      </c>
      <c r="P74" s="50">
        <v>377734000000</v>
      </c>
      <c r="Q74" s="52">
        <v>206</v>
      </c>
      <c r="R74" s="49">
        <f t="shared" si="0"/>
        <v>1.1127760208236872</v>
      </c>
      <c r="S74" s="49">
        <f t="shared" si="1"/>
        <v>6.0756464220136461</v>
      </c>
      <c r="T74" s="51">
        <f t="shared" si="2"/>
        <v>1.2742683385404633E-2</v>
      </c>
      <c r="U74" s="51">
        <f t="shared" si="3"/>
        <v>9.0162722102791026E-2</v>
      </c>
      <c r="V74" s="51">
        <f t="shared" si="4"/>
        <v>0.15295737974927037</v>
      </c>
      <c r="W74" s="51">
        <f t="shared" si="5"/>
        <v>3.8473061638592872E-3</v>
      </c>
      <c r="X74" s="51">
        <f t="shared" si="6"/>
        <v>0.16697307320825108</v>
      </c>
      <c r="Y74" s="51">
        <f t="shared" si="7"/>
        <v>43.399996282270934</v>
      </c>
      <c r="Z74" s="51">
        <f t="shared" si="8"/>
        <v>3.9130618040605576</v>
      </c>
      <c r="AA74" s="52">
        <v>1</v>
      </c>
    </row>
    <row r="75" spans="1:27">
      <c r="A75" s="49">
        <v>2019</v>
      </c>
      <c r="B75" s="49" t="s">
        <v>107</v>
      </c>
      <c r="C75" s="49" t="s">
        <v>108</v>
      </c>
      <c r="D75" s="50">
        <v>161319040000000</v>
      </c>
      <c r="E75" s="50">
        <v>2927444000000</v>
      </c>
      <c r="F75" s="50">
        <v>169082830000000</v>
      </c>
      <c r="G75" s="50"/>
      <c r="H75" s="50"/>
      <c r="I75" s="50">
        <v>142397914000000</v>
      </c>
      <c r="J75" s="50">
        <v>26684916000000</v>
      </c>
      <c r="K75" s="51">
        <v>476608857231</v>
      </c>
      <c r="L75" s="50">
        <v>15479869000000</v>
      </c>
      <c r="M75" s="50">
        <v>7311894000000</v>
      </c>
      <c r="N75" s="50">
        <v>8178275000000</v>
      </c>
      <c r="O75" s="50">
        <v>1924180000000</v>
      </c>
      <c r="P75" s="50">
        <v>524096000000</v>
      </c>
      <c r="Q75" s="52">
        <v>206</v>
      </c>
      <c r="R75" s="49">
        <f t="shared" si="0"/>
        <v>1.1328750223124757</v>
      </c>
      <c r="S75" s="49">
        <f t="shared" si="1"/>
        <v>5.3362698986948285</v>
      </c>
      <c r="T75" s="51">
        <f t="shared" si="2"/>
        <v>1.1380102876205703E-2</v>
      </c>
      <c r="U75" s="51">
        <f t="shared" si="3"/>
        <v>7.2107403298552641E-2</v>
      </c>
      <c r="V75" s="51">
        <f t="shared" si="4"/>
        <v>0.12430208550214475</v>
      </c>
      <c r="W75" s="51">
        <f t="shared" si="5"/>
        <v>5.3380362139865542E-3</v>
      </c>
      <c r="X75" s="51">
        <f t="shared" si="6"/>
        <v>0.27237368645345028</v>
      </c>
      <c r="Y75" s="51">
        <f t="shared" si="7"/>
        <v>51.025072804823871</v>
      </c>
      <c r="Z75" s="51">
        <f t="shared" si="8"/>
        <v>3.679285503075445</v>
      </c>
      <c r="AA75" s="52">
        <v>1</v>
      </c>
    </row>
    <row r="76" spans="1:27">
      <c r="A76" s="49">
        <v>2020</v>
      </c>
      <c r="B76" s="49" t="s">
        <v>107</v>
      </c>
      <c r="C76" s="49" t="s">
        <v>108</v>
      </c>
      <c r="D76" s="50">
        <v>165206394000000</v>
      </c>
      <c r="E76" s="50">
        <v>3479263000000</v>
      </c>
      <c r="F76" s="50">
        <v>173224412000000</v>
      </c>
      <c r="G76" s="50"/>
      <c r="H76" s="50"/>
      <c r="I76" s="50">
        <v>146000782000000</v>
      </c>
      <c r="J76" s="50">
        <v>27223630000000</v>
      </c>
      <c r="K76" s="51">
        <v>476608857231</v>
      </c>
      <c r="L76" s="50">
        <v>12826683000000</v>
      </c>
      <c r="M76" s="50">
        <v>5566873000000</v>
      </c>
      <c r="N76" s="50">
        <v>7793430000000</v>
      </c>
      <c r="O76" s="50">
        <v>1254392000000</v>
      </c>
      <c r="P76" s="50">
        <v>392907000000</v>
      </c>
      <c r="Q76" s="52">
        <v>346</v>
      </c>
      <c r="R76" s="49">
        <f t="shared" si="0"/>
        <v>1.131544583096822</v>
      </c>
      <c r="S76" s="49">
        <f t="shared" si="1"/>
        <v>5.3630166880757635</v>
      </c>
      <c r="T76" s="51">
        <f t="shared" si="2"/>
        <v>7.2414273803394404E-3</v>
      </c>
      <c r="U76" s="51">
        <f t="shared" si="3"/>
        <v>4.6077323266588623E-2</v>
      </c>
      <c r="V76" s="51">
        <f t="shared" si="4"/>
        <v>9.7795509563930128E-2</v>
      </c>
      <c r="W76" s="51">
        <f t="shared" si="5"/>
        <v>2.3826023099093783E-3</v>
      </c>
      <c r="X76" s="51">
        <f t="shared" si="6"/>
        <v>0.31322505245569165</v>
      </c>
      <c r="Y76" s="51">
        <f t="shared" si="7"/>
        <v>131.46342180269485</v>
      </c>
      <c r="Z76" s="51">
        <f t="shared" si="8"/>
        <v>6.0574825841346653</v>
      </c>
      <c r="AA76" s="52">
        <v>1</v>
      </c>
    </row>
    <row r="77" spans="1:27">
      <c r="A77" s="49">
        <v>2018</v>
      </c>
      <c r="B77" s="49" t="s">
        <v>109</v>
      </c>
      <c r="C77" s="49" t="s">
        <v>110</v>
      </c>
      <c r="D77" s="50">
        <v>141176845000000</v>
      </c>
      <c r="E77" s="50">
        <v>2552305000000</v>
      </c>
      <c r="F77" s="50">
        <v>152892866000000</v>
      </c>
      <c r="G77" s="50"/>
      <c r="H77" s="50"/>
      <c r="I77" s="50">
        <v>130440930000000</v>
      </c>
      <c r="J77" s="50">
        <v>22451936000000</v>
      </c>
      <c r="K77" s="51">
        <v>97338856834</v>
      </c>
      <c r="L77" s="50">
        <v>11080952000000</v>
      </c>
      <c r="M77" s="50">
        <v>5680767000000</v>
      </c>
      <c r="N77" s="50">
        <v>4465833000000</v>
      </c>
      <c r="O77" s="50">
        <v>901252000000</v>
      </c>
      <c r="P77" s="50"/>
      <c r="Q77" s="52">
        <v>625</v>
      </c>
      <c r="R77" s="49">
        <f t="shared" si="0"/>
        <v>1.0823048026413182</v>
      </c>
      <c r="S77" s="49">
        <f t="shared" si="1"/>
        <v>5.8097854011342269</v>
      </c>
      <c r="T77" s="51">
        <f t="shared" si="2"/>
        <v>5.8946635221031173E-3</v>
      </c>
      <c r="U77" s="51">
        <f t="shared" si="3"/>
        <v>4.0141393597416274E-2</v>
      </c>
      <c r="V77" s="51">
        <f t="shared" si="4"/>
        <v>8.1333444996422685E-2</v>
      </c>
      <c r="W77" s="51">
        <f t="shared" si="5"/>
        <v>0</v>
      </c>
      <c r="X77" s="51">
        <f t="shared" si="6"/>
        <v>0</v>
      </c>
      <c r="Y77" s="51">
        <f t="shared" si="7"/>
        <v>67.502524844605063</v>
      </c>
      <c r="Z77" s="51">
        <f t="shared" si="8"/>
        <v>2.7096454186066627</v>
      </c>
      <c r="AA77" s="52">
        <v>1</v>
      </c>
    </row>
    <row r="78" spans="1:27">
      <c r="A78" s="49">
        <v>2019</v>
      </c>
      <c r="B78" s="49" t="s">
        <v>109</v>
      </c>
      <c r="C78" s="49" t="s">
        <v>110</v>
      </c>
      <c r="D78" s="50">
        <v>150355796000000</v>
      </c>
      <c r="E78" s="50">
        <v>2451459000000</v>
      </c>
      <c r="F78" s="50">
        <v>161451259000000</v>
      </c>
      <c r="G78" s="50"/>
      <c r="H78" s="50"/>
      <c r="I78" s="50">
        <v>137413908000000</v>
      </c>
      <c r="J78" s="50">
        <v>24037351000000</v>
      </c>
      <c r="K78" s="51">
        <v>97338856834</v>
      </c>
      <c r="L78" s="50">
        <v>11742063000000</v>
      </c>
      <c r="M78" s="50">
        <v>6021095000000</v>
      </c>
      <c r="N78" s="50">
        <v>4737632000000</v>
      </c>
      <c r="O78" s="50">
        <v>1500420000000</v>
      </c>
      <c r="P78" s="50"/>
      <c r="Q78" s="52">
        <v>1265</v>
      </c>
      <c r="R78" s="49">
        <f t="shared" si="0"/>
        <v>1.0941817912638072</v>
      </c>
      <c r="S78" s="49">
        <f t="shared" si="1"/>
        <v>5.7166826743928647</v>
      </c>
      <c r="T78" s="51">
        <f t="shared" si="2"/>
        <v>9.2933310603666459E-3</v>
      </c>
      <c r="U78" s="51">
        <f t="shared" si="3"/>
        <v>6.2420355720561718E-2</v>
      </c>
      <c r="V78" s="51">
        <f t="shared" si="4"/>
        <v>0.1277816342835156</v>
      </c>
      <c r="W78" s="51">
        <f t="shared" si="5"/>
        <v>0</v>
      </c>
      <c r="X78" s="51">
        <f t="shared" si="6"/>
        <v>0</v>
      </c>
      <c r="Y78" s="51">
        <f t="shared" si="7"/>
        <v>82.066124081930397</v>
      </c>
      <c r="Z78" s="51">
        <f t="shared" si="8"/>
        <v>5.1225966578018518</v>
      </c>
      <c r="AA78" s="52">
        <v>1</v>
      </c>
    </row>
    <row r="79" spans="1:27">
      <c r="A79" s="49">
        <v>2020</v>
      </c>
      <c r="B79" s="49" t="s">
        <v>109</v>
      </c>
      <c r="C79" s="49" t="s">
        <v>110</v>
      </c>
      <c r="D79" s="50">
        <v>186388089000000</v>
      </c>
      <c r="E79" s="50">
        <v>3073596000000</v>
      </c>
      <c r="F79" s="50">
        <v>197726097000000</v>
      </c>
      <c r="G79" s="50"/>
      <c r="H79" s="50"/>
      <c r="I79" s="50">
        <v>162654644000000</v>
      </c>
      <c r="J79" s="50">
        <v>35071453000000</v>
      </c>
      <c r="K79" s="51">
        <v>117338856834</v>
      </c>
      <c r="L79" s="50">
        <v>11923778000000</v>
      </c>
      <c r="M79" s="50">
        <v>5291988000000</v>
      </c>
      <c r="N79" s="50">
        <v>5076563000000</v>
      </c>
      <c r="O79" s="50">
        <v>721587000000</v>
      </c>
      <c r="P79" s="50"/>
      <c r="Q79" s="52">
        <v>3020</v>
      </c>
      <c r="R79" s="49">
        <f t="shared" si="0"/>
        <v>1.1459131102337292</v>
      </c>
      <c r="S79" s="49">
        <f t="shared" si="1"/>
        <v>4.6378073928103296</v>
      </c>
      <c r="T79" s="51">
        <f t="shared" si="2"/>
        <v>3.6494272174906685E-3</v>
      </c>
      <c r="U79" s="51">
        <f t="shared" si="3"/>
        <v>2.0574767746292119E-2</v>
      </c>
      <c r="V79" s="51">
        <f t="shared" si="4"/>
        <v>6.0516641621472654E-2</v>
      </c>
      <c r="W79" s="51">
        <f t="shared" si="5"/>
        <v>0</v>
      </c>
      <c r="X79" s="51">
        <f t="shared" si="6"/>
        <v>0</v>
      </c>
      <c r="Y79" s="51">
        <f t="shared" si="7"/>
        <v>491.08887443742748</v>
      </c>
      <c r="Z79" s="51">
        <f t="shared" si="8"/>
        <v>10.104039534338083</v>
      </c>
      <c r="AA79" s="52">
        <v>1</v>
      </c>
    </row>
    <row r="80" spans="1:27">
      <c r="A80" s="49">
        <v>2018</v>
      </c>
      <c r="B80" s="49" t="s">
        <v>111</v>
      </c>
      <c r="C80" s="49" t="s">
        <v>112</v>
      </c>
      <c r="D80" s="50">
        <v>27617905000000</v>
      </c>
      <c r="E80" s="50">
        <v>1211744000000</v>
      </c>
      <c r="F80" s="50">
        <v>30748742000000</v>
      </c>
      <c r="G80" s="50"/>
      <c r="H80" s="50"/>
      <c r="I80" s="50">
        <v>23532846000000</v>
      </c>
      <c r="J80" s="50">
        <v>4856420000000</v>
      </c>
      <c r="K80" s="51">
        <v>60000000000</v>
      </c>
      <c r="L80" s="50">
        <v>3085519000000</v>
      </c>
      <c r="M80" s="50">
        <v>919577000000</v>
      </c>
      <c r="N80" s="50">
        <v>781734000000</v>
      </c>
      <c r="O80" s="50">
        <v>50472000000</v>
      </c>
      <c r="P80" s="50"/>
      <c r="Q80" s="52">
        <v>550</v>
      </c>
      <c r="R80" s="49">
        <f t="shared" si="0"/>
        <v>1.1735896712195371</v>
      </c>
      <c r="S80" s="49">
        <f t="shared" si="1"/>
        <v>4.8457188628660619</v>
      </c>
      <c r="T80" s="51">
        <f t="shared" si="2"/>
        <v>1.6414330056169451E-3</v>
      </c>
      <c r="U80" s="51">
        <f t="shared" si="3"/>
        <v>1.0392840816898044E-2</v>
      </c>
      <c r="V80" s="51">
        <f t="shared" si="4"/>
        <v>1.6357701897152473E-2</v>
      </c>
      <c r="W80" s="51">
        <f t="shared" si="5"/>
        <v>0</v>
      </c>
      <c r="X80" s="51">
        <f t="shared" si="6"/>
        <v>0</v>
      </c>
      <c r="Y80" s="51">
        <f t="shared" si="7"/>
        <v>653.82786495482651</v>
      </c>
      <c r="Z80" s="51">
        <f t="shared" si="8"/>
        <v>6.795128922127823</v>
      </c>
      <c r="AA80" s="52">
        <v>1</v>
      </c>
    </row>
    <row r="81" spans="1:27">
      <c r="A81" s="49">
        <v>2019</v>
      </c>
      <c r="B81" s="49" t="s">
        <v>111</v>
      </c>
      <c r="C81" s="49" t="s">
        <v>112</v>
      </c>
      <c r="D81" s="50">
        <v>31667485000000</v>
      </c>
      <c r="E81" s="50">
        <v>1399242000000</v>
      </c>
      <c r="F81" s="50">
        <v>36559556000000</v>
      </c>
      <c r="G81" s="50"/>
      <c r="H81" s="50"/>
      <c r="I81" s="50">
        <v>26385919000000</v>
      </c>
      <c r="J81" s="50">
        <v>6074463000000</v>
      </c>
      <c r="K81" s="51">
        <v>60000000000</v>
      </c>
      <c r="L81" s="50">
        <v>3360860000000</v>
      </c>
      <c r="M81" s="50">
        <v>1150357000000</v>
      </c>
      <c r="N81" s="50">
        <v>987162000000</v>
      </c>
      <c r="O81" s="50">
        <v>6752000000</v>
      </c>
      <c r="P81" s="50"/>
      <c r="Q81" s="52">
        <v>585</v>
      </c>
      <c r="R81" s="49">
        <f t="shared" si="0"/>
        <v>1.2001660810070705</v>
      </c>
      <c r="S81" s="49">
        <f t="shared" si="1"/>
        <v>4.3437451178812019</v>
      </c>
      <c r="T81" s="51">
        <f t="shared" si="2"/>
        <v>1.8468495623962173E-4</v>
      </c>
      <c r="U81" s="51">
        <f t="shared" si="3"/>
        <v>1.1115385837398302E-3</v>
      </c>
      <c r="V81" s="51">
        <f t="shared" si="4"/>
        <v>2.0090095987336577E-3</v>
      </c>
      <c r="W81" s="51">
        <f t="shared" si="5"/>
        <v>0</v>
      </c>
      <c r="X81" s="51">
        <f t="shared" si="6"/>
        <v>0</v>
      </c>
      <c r="Y81" s="51">
        <f t="shared" si="7"/>
        <v>5198.4597156398104</v>
      </c>
      <c r="Z81" s="51">
        <f t="shared" si="8"/>
        <v>5.778288549950835</v>
      </c>
      <c r="AA81" s="52">
        <v>1</v>
      </c>
    </row>
    <row r="82" spans="1:27">
      <c r="A82" s="49">
        <v>2020</v>
      </c>
      <c r="B82" s="49" t="s">
        <v>111</v>
      </c>
      <c r="C82" s="49" t="s">
        <v>112</v>
      </c>
      <c r="D82" s="50">
        <v>39397647000000</v>
      </c>
      <c r="E82" s="50">
        <v>1584298000000</v>
      </c>
      <c r="F82" s="50">
        <v>44612045000000</v>
      </c>
      <c r="G82" s="50"/>
      <c r="H82" s="50"/>
      <c r="I82" s="50">
        <v>32557921000000</v>
      </c>
      <c r="J82" s="50">
        <v>6056844000000</v>
      </c>
      <c r="K82" s="51">
        <v>60000000000</v>
      </c>
      <c r="L82" s="50">
        <v>3300261000000</v>
      </c>
      <c r="M82" s="50">
        <v>1112057000000</v>
      </c>
      <c r="N82" s="50">
        <v>1201125000000</v>
      </c>
      <c r="O82" s="50">
        <v>118522000000</v>
      </c>
      <c r="P82" s="50"/>
      <c r="Q82" s="52">
        <v>505</v>
      </c>
      <c r="R82" s="49">
        <f t="shared" si="0"/>
        <v>1.2100787086497322</v>
      </c>
      <c r="S82" s="49">
        <f t="shared" si="1"/>
        <v>5.3753936868771923</v>
      </c>
      <c r="T82" s="51">
        <f t="shared" si="2"/>
        <v>2.6567264513429052E-3</v>
      </c>
      <c r="U82" s="51">
        <f t="shared" si="3"/>
        <v>1.9568276812148372E-2</v>
      </c>
      <c r="V82" s="51">
        <f t="shared" si="4"/>
        <v>3.591291719048887E-2</v>
      </c>
      <c r="W82" s="51">
        <f t="shared" si="5"/>
        <v>0</v>
      </c>
      <c r="X82" s="51">
        <f t="shared" si="6"/>
        <v>0</v>
      </c>
      <c r="Y82" s="51">
        <f t="shared" si="7"/>
        <v>255.64874031825315</v>
      </c>
      <c r="Z82" s="51">
        <f t="shared" si="8"/>
        <v>5.0026053172246137</v>
      </c>
      <c r="AA82" s="52">
        <v>1</v>
      </c>
    </row>
    <row r="83" spans="1:27">
      <c r="A83" s="49">
        <v>2018</v>
      </c>
      <c r="B83" s="49" t="s">
        <v>113</v>
      </c>
      <c r="C83" s="49" t="s">
        <v>114</v>
      </c>
      <c r="D83" s="50">
        <v>3589446529008</v>
      </c>
      <c r="E83" s="50">
        <v>125754140019</v>
      </c>
      <c r="F83" s="50">
        <v>3896760492444</v>
      </c>
      <c r="G83" s="50"/>
      <c r="H83" s="50"/>
      <c r="I83" s="50">
        <v>2766528043722</v>
      </c>
      <c r="J83" s="50">
        <v>1130232448722</v>
      </c>
      <c r="K83" s="51">
        <v>3450000000</v>
      </c>
      <c r="L83" s="50">
        <v>314850371256</v>
      </c>
      <c r="M83" s="50">
        <v>176462730317</v>
      </c>
      <c r="N83" s="50">
        <v>10669420520</v>
      </c>
      <c r="O83" s="50">
        <v>9879658315</v>
      </c>
      <c r="P83" s="50"/>
      <c r="Q83" s="52">
        <v>1750</v>
      </c>
      <c r="R83" s="49">
        <f t="shared" si="0"/>
        <v>1.2974553202717118</v>
      </c>
      <c r="S83" s="49">
        <f t="shared" si="1"/>
        <v>2.4477513867613925</v>
      </c>
      <c r="T83" s="51">
        <f t="shared" si="2"/>
        <v>2.5353516938382836E-3</v>
      </c>
      <c r="U83" s="51">
        <f t="shared" si="3"/>
        <v>8.7412623183587886E-3</v>
      </c>
      <c r="V83" s="51">
        <f t="shared" si="4"/>
        <v>3.1378900001254886E-2</v>
      </c>
      <c r="W83" s="51">
        <f t="shared" si="5"/>
        <v>0</v>
      </c>
      <c r="X83" s="51">
        <f t="shared" si="6"/>
        <v>0</v>
      </c>
      <c r="Y83" s="51">
        <f t="shared" si="7"/>
        <v>611.10413007233637</v>
      </c>
      <c r="Z83" s="51">
        <f t="shared" si="8"/>
        <v>5.3418215047947415</v>
      </c>
      <c r="AA83" s="52">
        <v>1</v>
      </c>
    </row>
    <row r="84" spans="1:27">
      <c r="A84" s="49">
        <v>2019</v>
      </c>
      <c r="B84" s="49" t="s">
        <v>113</v>
      </c>
      <c r="C84" s="49" t="s">
        <v>114</v>
      </c>
      <c r="D84" s="50">
        <v>3628547496443</v>
      </c>
      <c r="E84" s="50">
        <v>123155112941</v>
      </c>
      <c r="F84" s="50">
        <v>4007412556573</v>
      </c>
      <c r="G84" s="50"/>
      <c r="H84" s="50"/>
      <c r="I84" s="50">
        <v>2846135386095</v>
      </c>
      <c r="J84" s="50">
        <v>1161277170478</v>
      </c>
      <c r="K84" s="51">
        <v>3450000000</v>
      </c>
      <c r="L84" s="50">
        <v>287717146129</v>
      </c>
      <c r="M84" s="50">
        <v>145535047285</v>
      </c>
      <c r="N84" s="50">
        <v>1675418516</v>
      </c>
      <c r="O84" s="50">
        <v>30952161285</v>
      </c>
      <c r="P84" s="50"/>
      <c r="Q84" s="52">
        <v>1750</v>
      </c>
      <c r="R84" s="49">
        <f t="shared" si="0"/>
        <v>1.2749033352982893</v>
      </c>
      <c r="S84" s="49">
        <f t="shared" si="1"/>
        <v>2.4508665617903138</v>
      </c>
      <c r="T84" s="51">
        <f t="shared" si="2"/>
        <v>7.7237271800808084E-3</v>
      </c>
      <c r="U84" s="51">
        <f t="shared" si="3"/>
        <v>2.6653551858131855E-2</v>
      </c>
      <c r="V84" s="51">
        <f t="shared" si="4"/>
        <v>0.10757843841229532</v>
      </c>
      <c r="W84" s="51">
        <f t="shared" si="5"/>
        <v>0</v>
      </c>
      <c r="X84" s="51">
        <f t="shared" si="6"/>
        <v>0</v>
      </c>
      <c r="Y84" s="51">
        <f t="shared" si="7"/>
        <v>195.05907663145595</v>
      </c>
      <c r="Z84" s="51">
        <f t="shared" si="8"/>
        <v>5.1990172143958278</v>
      </c>
      <c r="AA84" s="52">
        <v>1</v>
      </c>
    </row>
    <row r="85" spans="1:27">
      <c r="A85" s="49">
        <v>2020</v>
      </c>
      <c r="B85" s="49" t="s">
        <v>113</v>
      </c>
      <c r="C85" s="49" t="s">
        <v>114</v>
      </c>
      <c r="D85" s="50">
        <v>3420216280720</v>
      </c>
      <c r="E85" s="50">
        <v>122716526336</v>
      </c>
      <c r="F85" s="50">
        <v>3721363459751</v>
      </c>
      <c r="G85" s="50"/>
      <c r="H85" s="50"/>
      <c r="I85" s="50">
        <v>2663693880300</v>
      </c>
      <c r="J85" s="50">
        <v>1057669579451</v>
      </c>
      <c r="K85" s="51">
        <v>3450000000</v>
      </c>
      <c r="L85" s="50">
        <v>230453382943</v>
      </c>
      <c r="M85" s="50">
        <v>142465319309</v>
      </c>
      <c r="N85" s="50">
        <v>2848631236</v>
      </c>
      <c r="O85" s="50">
        <v>70581531876</v>
      </c>
      <c r="P85" s="50"/>
      <c r="Q85" s="52">
        <v>1750</v>
      </c>
      <c r="R85" s="49">
        <f t="shared" si="0"/>
        <v>1.2840125158581648</v>
      </c>
      <c r="S85" s="49">
        <f t="shared" si="1"/>
        <v>2.5184556047103408</v>
      </c>
      <c r="T85" s="51">
        <f t="shared" si="2"/>
        <v>1.896657841659E-2</v>
      </c>
      <c r="U85" s="51">
        <f t="shared" si="3"/>
        <v>6.6733064132029257E-2</v>
      </c>
      <c r="V85" s="51">
        <f t="shared" si="4"/>
        <v>0.30627249196622786</v>
      </c>
      <c r="W85" s="51">
        <f t="shared" si="5"/>
        <v>0</v>
      </c>
      <c r="X85" s="51">
        <f t="shared" si="6"/>
        <v>0</v>
      </c>
      <c r="Y85" s="51">
        <f t="shared" si="7"/>
        <v>85.539373254279639</v>
      </c>
      <c r="Z85" s="51">
        <f t="shared" si="8"/>
        <v>5.7083044811914316</v>
      </c>
      <c r="AA85" s="52">
        <v>1</v>
      </c>
    </row>
    <row r="86" spans="1:27">
      <c r="A86" s="49">
        <v>2018</v>
      </c>
      <c r="B86" s="49" t="s">
        <v>115</v>
      </c>
      <c r="C86" s="49" t="s">
        <v>116</v>
      </c>
      <c r="D86" s="50">
        <v>95049657000000</v>
      </c>
      <c r="E86" s="50">
        <v>1786727000000</v>
      </c>
      <c r="F86" s="50">
        <v>101919301000000</v>
      </c>
      <c r="G86" s="50"/>
      <c r="H86" s="50"/>
      <c r="I86" s="50">
        <v>76544999000000</v>
      </c>
      <c r="J86" s="50">
        <v>19364407000000</v>
      </c>
      <c r="K86" s="51">
        <v>15000000000</v>
      </c>
      <c r="L86" s="50">
        <v>14126651000000</v>
      </c>
      <c r="M86" s="50">
        <v>4526243000000</v>
      </c>
      <c r="N86" s="50">
        <v>7286241000000</v>
      </c>
      <c r="O86" s="50">
        <v>2128064000000</v>
      </c>
      <c r="P86" s="50">
        <v>574509000000</v>
      </c>
      <c r="Q86" s="52">
        <v>3440</v>
      </c>
      <c r="R86" s="49">
        <f t="shared" si="0"/>
        <v>1.2417487522600921</v>
      </c>
      <c r="S86" s="49">
        <f t="shared" si="1"/>
        <v>3.9528708005362621</v>
      </c>
      <c r="T86" s="51">
        <f t="shared" si="2"/>
        <v>2.0879892023592275E-2</v>
      </c>
      <c r="U86" s="51">
        <f t="shared" si="3"/>
        <v>0.10989564513904299</v>
      </c>
      <c r="V86" s="51">
        <f t="shared" si="4"/>
        <v>0.15064179047107484</v>
      </c>
      <c r="W86" s="51">
        <f t="shared" si="5"/>
        <v>1.113389534883721E-2</v>
      </c>
      <c r="X86" s="51">
        <f t="shared" si="6"/>
        <v>0.26996791449881208</v>
      </c>
      <c r="Y86" s="51">
        <f t="shared" si="7"/>
        <v>24.247391055908093</v>
      </c>
      <c r="Z86" s="51">
        <f t="shared" si="8"/>
        <v>2.6646826830276806</v>
      </c>
      <c r="AA86" s="52">
        <v>1</v>
      </c>
    </row>
    <row r="87" spans="1:27">
      <c r="A87" s="49">
        <v>2019</v>
      </c>
      <c r="B87" s="49" t="s">
        <v>115</v>
      </c>
      <c r="C87" s="49" t="s">
        <v>116</v>
      </c>
      <c r="D87" s="50">
        <v>174663286000000</v>
      </c>
      <c r="E87" s="50">
        <v>1893746000000</v>
      </c>
      <c r="F87" s="50">
        <v>181631385000000</v>
      </c>
      <c r="G87" s="50"/>
      <c r="H87" s="50"/>
      <c r="I87" s="50">
        <v>142608793000000</v>
      </c>
      <c r="J87" s="50">
        <v>31471928000000</v>
      </c>
      <c r="K87" s="51">
        <v>15000000000</v>
      </c>
      <c r="L87" s="50">
        <v>18680979000000</v>
      </c>
      <c r="M87" s="50">
        <v>7689284000000</v>
      </c>
      <c r="N87" s="50">
        <v>8594419000000</v>
      </c>
      <c r="O87" s="50">
        <v>2992418000000</v>
      </c>
      <c r="P87" s="50">
        <v>0</v>
      </c>
      <c r="Q87" s="52">
        <v>3250</v>
      </c>
      <c r="R87" s="49">
        <f t="shared" si="0"/>
        <v>1.2247722060167776</v>
      </c>
      <c r="S87" s="49">
        <f t="shared" si="1"/>
        <v>4.5313014506133849</v>
      </c>
      <c r="T87" s="51">
        <f t="shared" si="2"/>
        <v>1.6475225358216588E-2</v>
      </c>
      <c r="U87" s="51">
        <f t="shared" si="3"/>
        <v>9.5082131606300066E-2</v>
      </c>
      <c r="V87" s="51">
        <f t="shared" si="4"/>
        <v>0.16018528793378548</v>
      </c>
      <c r="W87" s="51">
        <f t="shared" si="5"/>
        <v>0</v>
      </c>
      <c r="X87" s="51">
        <f t="shared" si="6"/>
        <v>0</v>
      </c>
      <c r="Y87" s="51">
        <f t="shared" si="7"/>
        <v>16.291173225130983</v>
      </c>
      <c r="Z87" s="51">
        <f t="shared" si="8"/>
        <v>1.5489994766129358</v>
      </c>
      <c r="AA87" s="52">
        <v>1</v>
      </c>
    </row>
    <row r="88" spans="1:27">
      <c r="A88" s="49">
        <v>2020</v>
      </c>
      <c r="B88" s="49" t="s">
        <v>115</v>
      </c>
      <c r="C88" s="49" t="s">
        <v>116</v>
      </c>
      <c r="D88" s="50">
        <v>175897784000000</v>
      </c>
      <c r="E88" s="50">
        <v>2357987000000</v>
      </c>
      <c r="F88" s="50">
        <v>183165978000000</v>
      </c>
      <c r="G88" s="50"/>
      <c r="H88" s="50"/>
      <c r="I88" s="50">
        <v>142277859000000</v>
      </c>
      <c r="J88" s="50">
        <v>32964753000000</v>
      </c>
      <c r="K88" s="51">
        <v>15000000000</v>
      </c>
      <c r="L88" s="50">
        <v>16403483000000</v>
      </c>
      <c r="M88" s="50">
        <v>5779055000000</v>
      </c>
      <c r="N88" s="50">
        <v>9690939000000</v>
      </c>
      <c r="O88" s="50">
        <v>2005677000000</v>
      </c>
      <c r="P88" s="50">
        <v>103887000000</v>
      </c>
      <c r="Q88" s="52">
        <v>3110</v>
      </c>
      <c r="R88" s="49">
        <f t="shared" si="0"/>
        <v>1.2362976589351122</v>
      </c>
      <c r="S88" s="49">
        <f t="shared" si="1"/>
        <v>4.3160602174085758</v>
      </c>
      <c r="T88" s="51">
        <f t="shared" si="2"/>
        <v>1.0950052088821867E-2</v>
      </c>
      <c r="U88" s="51">
        <f t="shared" si="3"/>
        <v>6.0843076846351617E-2</v>
      </c>
      <c r="V88" s="51">
        <f t="shared" si="4"/>
        <v>0.12227141028524247</v>
      </c>
      <c r="W88" s="51">
        <f t="shared" si="5"/>
        <v>2.2269453376205788E-3</v>
      </c>
      <c r="X88" s="51">
        <f t="shared" si="6"/>
        <v>5.1796475703715004E-2</v>
      </c>
      <c r="Y88" s="51">
        <f t="shared" si="7"/>
        <v>23.258979387009969</v>
      </c>
      <c r="Z88" s="51">
        <f t="shared" si="8"/>
        <v>1.4151478702115559</v>
      </c>
      <c r="AA88" s="52">
        <v>1</v>
      </c>
    </row>
    <row r="89" spans="1:27">
      <c r="A89" s="49">
        <v>2018</v>
      </c>
      <c r="B89" s="49" t="s">
        <v>117</v>
      </c>
      <c r="C89" s="49" t="s">
        <v>118</v>
      </c>
      <c r="D89" s="50">
        <v>28094350409000</v>
      </c>
      <c r="E89" s="50">
        <v>541283738000</v>
      </c>
      <c r="F89" s="50">
        <v>30172315337000</v>
      </c>
      <c r="G89" s="50"/>
      <c r="H89" s="50"/>
      <c r="I89" s="50">
        <v>25808570240000</v>
      </c>
      <c r="J89" s="50">
        <v>2806025405000</v>
      </c>
      <c r="K89" s="51">
        <v>14000000000</v>
      </c>
      <c r="L89" s="50">
        <v>2280212771000</v>
      </c>
      <c r="M89" s="50">
        <v>1820882197000</v>
      </c>
      <c r="N89" s="50">
        <v>741051703000</v>
      </c>
      <c r="O89" s="50">
        <v>79081921000</v>
      </c>
      <c r="P89" s="50"/>
      <c r="Q89" s="52">
        <v>190</v>
      </c>
      <c r="R89" s="49">
        <f t="shared" si="0"/>
        <v>1.088566710505231</v>
      </c>
      <c r="S89" s="49">
        <f t="shared" si="1"/>
        <v>9.197554018581668</v>
      </c>
      <c r="T89" s="51">
        <f t="shared" si="2"/>
        <v>2.6210093629448002E-3</v>
      </c>
      <c r="U89" s="51">
        <f t="shared" si="3"/>
        <v>2.8182895585722609E-2</v>
      </c>
      <c r="V89" s="51">
        <f t="shared" si="4"/>
        <v>3.4681816541759912E-2</v>
      </c>
      <c r="W89" s="51">
        <f t="shared" si="5"/>
        <v>0</v>
      </c>
      <c r="X89" s="51">
        <f t="shared" si="6"/>
        <v>0</v>
      </c>
      <c r="Y89" s="51">
        <f t="shared" si="7"/>
        <v>33.63600638886858</v>
      </c>
      <c r="Z89" s="51">
        <f t="shared" si="8"/>
        <v>0.94796005597818178</v>
      </c>
      <c r="AA89" s="52">
        <v>1</v>
      </c>
    </row>
    <row r="90" spans="1:27">
      <c r="A90" s="49">
        <v>2019</v>
      </c>
      <c r="B90" s="49" t="s">
        <v>117</v>
      </c>
      <c r="C90" s="49" t="s">
        <v>118</v>
      </c>
      <c r="D90" s="50">
        <v>28304904517000</v>
      </c>
      <c r="E90" s="50">
        <v>521735784000</v>
      </c>
      <c r="F90" s="50">
        <v>30456458802000</v>
      </c>
      <c r="G90" s="50"/>
      <c r="H90" s="50"/>
      <c r="I90" s="50">
        <v>25782313852000</v>
      </c>
      <c r="J90" s="50">
        <v>2986454603000</v>
      </c>
      <c r="K90" s="51">
        <v>14000000000</v>
      </c>
      <c r="L90" s="50">
        <v>2223204722000</v>
      </c>
      <c r="M90" s="50">
        <v>1954056503000</v>
      </c>
      <c r="N90" s="50">
        <v>648356649000</v>
      </c>
      <c r="O90" s="50">
        <v>-13764500000</v>
      </c>
      <c r="P90" s="50"/>
      <c r="Q90" s="52">
        <v>84</v>
      </c>
      <c r="R90" s="49">
        <f t="shared" si="0"/>
        <v>1.0978419035421181</v>
      </c>
      <c r="S90" s="49">
        <f t="shared" si="1"/>
        <v>8.6330841346460616</v>
      </c>
      <c r="T90" s="51">
        <f t="shared" si="2"/>
        <v>-4.5194026296636034E-4</v>
      </c>
      <c r="U90" s="51">
        <f t="shared" si="3"/>
        <v>-4.6089768068709527E-3</v>
      </c>
      <c r="V90" s="51">
        <f t="shared" si="4"/>
        <v>-6.1912876775546896E-3</v>
      </c>
      <c r="W90" s="51">
        <f t="shared" si="5"/>
        <v>0</v>
      </c>
      <c r="X90" s="51">
        <f t="shared" si="6"/>
        <v>0</v>
      </c>
      <c r="Y90" s="51">
        <f t="shared" si="7"/>
        <v>-85.437175342366231</v>
      </c>
      <c r="Z90" s="51">
        <f t="shared" si="8"/>
        <v>0.39377795959753281</v>
      </c>
      <c r="AA90" s="52">
        <v>1</v>
      </c>
    </row>
    <row r="91" spans="1:27">
      <c r="A91" s="49">
        <v>2020</v>
      </c>
      <c r="B91" s="49" t="s">
        <v>117</v>
      </c>
      <c r="C91" s="49" t="s">
        <v>118</v>
      </c>
      <c r="D91" s="50">
        <v>23651943876000</v>
      </c>
      <c r="E91" s="50">
        <v>559673354000</v>
      </c>
      <c r="F91" s="50">
        <v>26221407472000</v>
      </c>
      <c r="G91" s="50"/>
      <c r="H91" s="50"/>
      <c r="I91" s="50">
        <v>22197849857000</v>
      </c>
      <c r="J91" s="50">
        <v>2644375254000</v>
      </c>
      <c r="K91" s="51">
        <v>14000000000</v>
      </c>
      <c r="L91" s="50">
        <v>1790640395000</v>
      </c>
      <c r="M91" s="50">
        <v>1600981946000</v>
      </c>
      <c r="N91" s="50">
        <v>928353052000</v>
      </c>
      <c r="O91" s="50">
        <v>-252193690000</v>
      </c>
      <c r="P91" s="50"/>
      <c r="Q91" s="52">
        <v>114</v>
      </c>
      <c r="R91" s="49">
        <f t="shared" si="0"/>
        <v>1.0655060750643583</v>
      </c>
      <c r="S91" s="49">
        <f t="shared" si="1"/>
        <v>8.3943645378705387</v>
      </c>
      <c r="T91" s="51">
        <f t="shared" si="2"/>
        <v>-9.6178548107800823E-3</v>
      </c>
      <c r="U91" s="51">
        <f t="shared" si="3"/>
        <v>-9.5369857064923208E-2</v>
      </c>
      <c r="V91" s="51">
        <f t="shared" si="4"/>
        <v>-0.14083994234922864</v>
      </c>
      <c r="W91" s="51">
        <f t="shared" si="5"/>
        <v>0</v>
      </c>
      <c r="X91" s="51">
        <f t="shared" si="6"/>
        <v>0</v>
      </c>
      <c r="Y91" s="51">
        <f t="shared" si="7"/>
        <v>-6.3284692015886677</v>
      </c>
      <c r="Z91" s="51">
        <f t="shared" si="8"/>
        <v>0.60354520319527993</v>
      </c>
      <c r="AA91" s="52">
        <v>1</v>
      </c>
    </row>
    <row r="92" spans="1:27">
      <c r="A92" s="49">
        <v>2018</v>
      </c>
      <c r="B92" s="49" t="s">
        <v>119</v>
      </c>
      <c r="C92" s="49" t="s">
        <v>120</v>
      </c>
      <c r="D92" s="50">
        <v>22228828000000</v>
      </c>
      <c r="E92" s="50">
        <v>2053140000000</v>
      </c>
      <c r="F92" s="50">
        <v>26025188000000</v>
      </c>
      <c r="G92" s="50"/>
      <c r="H92" s="50"/>
      <c r="I92" s="50">
        <v>21438077000000</v>
      </c>
      <c r="J92" s="50">
        <v>4587111000000</v>
      </c>
      <c r="K92" s="51">
        <v>52310000000</v>
      </c>
      <c r="L92" s="50">
        <v>2263784000000</v>
      </c>
      <c r="M92" s="50">
        <v>1065854000000</v>
      </c>
      <c r="N92" s="50">
        <v>1197424000000</v>
      </c>
      <c r="O92" s="50">
        <v>53621000000</v>
      </c>
      <c r="P92" s="50"/>
      <c r="Q92" s="52">
        <v>62</v>
      </c>
      <c r="R92" s="49">
        <f t="shared" si="0"/>
        <v>1.0368853512374268</v>
      </c>
      <c r="S92" s="49">
        <f t="shared" si="1"/>
        <v>4.6735465961037352</v>
      </c>
      <c r="T92" s="51">
        <f t="shared" si="2"/>
        <v>2.0603501500162072E-3</v>
      </c>
      <c r="U92" s="51">
        <f t="shared" si="3"/>
        <v>1.1689492580406273E-2</v>
      </c>
      <c r="V92" s="51">
        <f t="shared" si="4"/>
        <v>2.3686447116862741E-2</v>
      </c>
      <c r="W92" s="51">
        <f t="shared" si="5"/>
        <v>0</v>
      </c>
      <c r="X92" s="51">
        <f t="shared" si="6"/>
        <v>0</v>
      </c>
      <c r="Y92" s="51">
        <f t="shared" si="7"/>
        <v>60.484138677010876</v>
      </c>
      <c r="Z92" s="51">
        <f t="shared" si="8"/>
        <v>0.70702889029718263</v>
      </c>
      <c r="AA92" s="52">
        <v>1</v>
      </c>
    </row>
    <row r="93" spans="1:27">
      <c r="A93" s="49">
        <v>2019</v>
      </c>
      <c r="B93" s="49" t="s">
        <v>119</v>
      </c>
      <c r="C93" s="49" t="s">
        <v>120</v>
      </c>
      <c r="D93" s="50">
        <v>20925424000000</v>
      </c>
      <c r="E93" s="50">
        <v>2029527000000</v>
      </c>
      <c r="F93" s="50">
        <v>25532041000000</v>
      </c>
      <c r="G93" s="50"/>
      <c r="H93" s="50"/>
      <c r="I93" s="50">
        <v>20995806000000</v>
      </c>
      <c r="J93" s="50">
        <v>4536235000000</v>
      </c>
      <c r="K93" s="51">
        <v>52310000000</v>
      </c>
      <c r="L93" s="50">
        <v>1976522000000</v>
      </c>
      <c r="M93" s="50">
        <v>1049601000000</v>
      </c>
      <c r="N93" s="50">
        <v>1110037000000</v>
      </c>
      <c r="O93" s="50">
        <v>-58345000000</v>
      </c>
      <c r="P93" s="50"/>
      <c r="Q93" s="52">
        <v>61</v>
      </c>
      <c r="R93" s="49">
        <f t="shared" si="0"/>
        <v>0.99664780670958764</v>
      </c>
      <c r="S93" s="49">
        <f t="shared" si="1"/>
        <v>4.6284652360382568</v>
      </c>
      <c r="T93" s="51">
        <f t="shared" si="2"/>
        <v>-2.2851678798416469E-3</v>
      </c>
      <c r="U93" s="51">
        <f t="shared" si="3"/>
        <v>-1.2861987970199957E-2</v>
      </c>
      <c r="V93" s="51">
        <f t="shared" si="4"/>
        <v>-2.9519023820630381E-2</v>
      </c>
      <c r="W93" s="51">
        <f t="shared" si="5"/>
        <v>0</v>
      </c>
      <c r="X93" s="51">
        <f t="shared" si="6"/>
        <v>0</v>
      </c>
      <c r="Y93" s="51">
        <f t="shared" si="7"/>
        <v>-54.690376210472188</v>
      </c>
      <c r="Z93" s="51">
        <f t="shared" si="8"/>
        <v>0.70342696090480317</v>
      </c>
      <c r="AA93" s="52">
        <v>1</v>
      </c>
    </row>
    <row r="94" spans="1:27">
      <c r="A94" s="49">
        <v>2020</v>
      </c>
      <c r="B94" s="49" t="s">
        <v>119</v>
      </c>
      <c r="C94" s="49" t="s">
        <v>120</v>
      </c>
      <c r="D94" s="50">
        <v>25019864000000</v>
      </c>
      <c r="E94" s="50">
        <v>2065208000000</v>
      </c>
      <c r="F94" s="50">
        <v>30526965000000</v>
      </c>
      <c r="G94" s="50"/>
      <c r="H94" s="50"/>
      <c r="I94" s="50">
        <v>26967430000000</v>
      </c>
      <c r="J94" s="50">
        <v>3559535000000</v>
      </c>
      <c r="K94" s="51">
        <v>52310000000</v>
      </c>
      <c r="L94" s="50">
        <v>1688028000000</v>
      </c>
      <c r="M94" s="50">
        <v>1056241000000</v>
      </c>
      <c r="N94" s="50">
        <v>717238000000</v>
      </c>
      <c r="O94" s="50">
        <v>21371000000</v>
      </c>
      <c r="P94" s="50"/>
      <c r="Q94" s="52">
        <v>69</v>
      </c>
      <c r="R94" s="49">
        <f t="shared" si="0"/>
        <v>0.92778080818231479</v>
      </c>
      <c r="S94" s="49">
        <f t="shared" si="1"/>
        <v>7.5761103627299633</v>
      </c>
      <c r="T94" s="51">
        <f t="shared" si="2"/>
        <v>7.0006959420957835E-4</v>
      </c>
      <c r="U94" s="51">
        <f t="shared" si="3"/>
        <v>6.0038741015329246E-3</v>
      </c>
      <c r="V94" s="51">
        <f t="shared" si="4"/>
        <v>1.2660335018139509E-2</v>
      </c>
      <c r="W94" s="51">
        <f t="shared" si="5"/>
        <v>0</v>
      </c>
      <c r="X94" s="51">
        <f t="shared" si="6"/>
        <v>0</v>
      </c>
      <c r="Y94" s="51">
        <f t="shared" si="7"/>
        <v>168.8919563894998</v>
      </c>
      <c r="Z94" s="51">
        <f t="shared" si="8"/>
        <v>1.014006042924146</v>
      </c>
      <c r="AA94" s="52">
        <v>1</v>
      </c>
    </row>
    <row r="95" spans="1:27">
      <c r="A95" s="49">
        <v>2018</v>
      </c>
      <c r="B95" s="49" t="s">
        <v>121</v>
      </c>
      <c r="C95" s="49" t="s">
        <v>122</v>
      </c>
      <c r="D95" s="50">
        <v>14724304000000</v>
      </c>
      <c r="E95" s="50">
        <v>683878000000</v>
      </c>
      <c r="F95" s="50">
        <v>15992475000000</v>
      </c>
      <c r="G95" s="50"/>
      <c r="H95" s="50"/>
      <c r="I95" s="50">
        <v>13476317000000</v>
      </c>
      <c r="J95" s="50">
        <v>2516158000000</v>
      </c>
      <c r="K95" s="51">
        <v>26000000000</v>
      </c>
      <c r="L95" s="50">
        <v>1240762000000</v>
      </c>
      <c r="M95" s="50">
        <v>653396000000</v>
      </c>
      <c r="N95" s="50">
        <v>470404000000</v>
      </c>
      <c r="O95" s="50">
        <v>89860000000</v>
      </c>
      <c r="P95" s="50"/>
      <c r="Q95" s="52">
        <v>142</v>
      </c>
      <c r="R95" s="49">
        <f t="shared" si="0"/>
        <v>1.0926059397385799</v>
      </c>
      <c r="S95" s="49">
        <f t="shared" si="1"/>
        <v>5.3559104793896095</v>
      </c>
      <c r="T95" s="51">
        <f t="shared" si="2"/>
        <v>5.6188926354426069E-3</v>
      </c>
      <c r="U95" s="51">
        <f t="shared" si="3"/>
        <v>3.5713178584174762E-2</v>
      </c>
      <c r="V95" s="51">
        <f t="shared" si="4"/>
        <v>7.2423236688422113E-2</v>
      </c>
      <c r="W95" s="51">
        <f t="shared" si="5"/>
        <v>0</v>
      </c>
      <c r="X95" s="51">
        <f t="shared" si="6"/>
        <v>0</v>
      </c>
      <c r="Y95" s="51">
        <f t="shared" si="7"/>
        <v>41.086133986200757</v>
      </c>
      <c r="Z95" s="51">
        <f t="shared" si="8"/>
        <v>1.4673164403825196</v>
      </c>
      <c r="AA95" s="52">
        <v>1</v>
      </c>
    </row>
    <row r="96" spans="1:27">
      <c r="A96" s="49">
        <v>2019</v>
      </c>
      <c r="B96" s="49" t="s">
        <v>121</v>
      </c>
      <c r="C96" s="49" t="s">
        <v>122</v>
      </c>
      <c r="D96" s="50">
        <v>17492563000000</v>
      </c>
      <c r="E96" s="50">
        <v>828752000000</v>
      </c>
      <c r="F96" s="50">
        <v>18893684000000</v>
      </c>
      <c r="G96" s="50"/>
      <c r="H96" s="50"/>
      <c r="I96" s="50">
        <v>16098826000000</v>
      </c>
      <c r="J96" s="50">
        <v>2794858000000</v>
      </c>
      <c r="K96" s="51">
        <v>26000000000</v>
      </c>
      <c r="L96" s="50">
        <v>1298866000000</v>
      </c>
      <c r="M96" s="50">
        <v>738975000000</v>
      </c>
      <c r="N96" s="50">
        <v>493623000000</v>
      </c>
      <c r="O96" s="50">
        <v>78967000000</v>
      </c>
      <c r="P96" s="50"/>
      <c r="Q96" s="52">
        <v>129</v>
      </c>
      <c r="R96" s="49">
        <f t="shared" si="0"/>
        <v>1.0865738284269921</v>
      </c>
      <c r="S96" s="49">
        <f t="shared" si="1"/>
        <v>5.7601588345454404</v>
      </c>
      <c r="T96" s="51">
        <f t="shared" si="2"/>
        <v>4.1795448680098596E-3</v>
      </c>
      <c r="U96" s="51">
        <f t="shared" si="3"/>
        <v>2.825438716385591E-2</v>
      </c>
      <c r="V96" s="51">
        <f t="shared" si="4"/>
        <v>6.0796879739711408E-2</v>
      </c>
      <c r="W96" s="51">
        <f t="shared" si="5"/>
        <v>0</v>
      </c>
      <c r="X96" s="51">
        <f t="shared" si="6"/>
        <v>0</v>
      </c>
      <c r="Y96" s="51">
        <f t="shared" si="7"/>
        <v>42.473438271683108</v>
      </c>
      <c r="Z96" s="51">
        <f t="shared" si="8"/>
        <v>1.2000609691082695</v>
      </c>
      <c r="AA96" s="52">
        <v>1</v>
      </c>
    </row>
    <row r="97" spans="1:27">
      <c r="A97" s="49">
        <v>2020</v>
      </c>
      <c r="B97" s="49" t="s">
        <v>121</v>
      </c>
      <c r="C97" s="49" t="s">
        <v>122</v>
      </c>
      <c r="D97" s="50">
        <v>23842335000000</v>
      </c>
      <c r="E97" s="50">
        <v>832249000000</v>
      </c>
      <c r="F97" s="50">
        <v>25235573000000</v>
      </c>
      <c r="G97" s="50"/>
      <c r="H97" s="50"/>
      <c r="I97" s="50">
        <v>19218857000000</v>
      </c>
      <c r="J97" s="50">
        <v>6016716000000</v>
      </c>
      <c r="K97" s="51">
        <v>26000000000</v>
      </c>
      <c r="L97" s="50">
        <v>1282612000000</v>
      </c>
      <c r="M97" s="50">
        <v>720255000000</v>
      </c>
      <c r="N97" s="50">
        <v>514337000000</v>
      </c>
      <c r="O97" s="50">
        <v>49979000000</v>
      </c>
      <c r="P97" s="50"/>
      <c r="Q97" s="52">
        <v>139</v>
      </c>
      <c r="R97" s="49">
        <f t="shared" si="0"/>
        <v>1.2405698736402482</v>
      </c>
      <c r="S97" s="49">
        <f t="shared" si="1"/>
        <v>3.1942436704674111</v>
      </c>
      <c r="T97" s="51">
        <f t="shared" si="2"/>
        <v>1.9804979264786259E-3</v>
      </c>
      <c r="U97" s="51">
        <f t="shared" si="3"/>
        <v>8.30669089250681E-3</v>
      </c>
      <c r="V97" s="51">
        <f t="shared" si="4"/>
        <v>3.8966577577630647E-2</v>
      </c>
      <c r="W97" s="51">
        <f t="shared" si="5"/>
        <v>0</v>
      </c>
      <c r="X97" s="51">
        <f t="shared" si="6"/>
        <v>0</v>
      </c>
      <c r="Y97" s="51">
        <f t="shared" si="7"/>
        <v>72.310370355549324</v>
      </c>
      <c r="Z97" s="51">
        <f t="shared" si="8"/>
        <v>0.60065989486623605</v>
      </c>
      <c r="AA97" s="52">
        <v>1</v>
      </c>
    </row>
    <row r="98" spans="1:27">
      <c r="A98" s="49">
        <v>2018</v>
      </c>
      <c r="B98" s="49" t="s">
        <v>123</v>
      </c>
      <c r="C98" s="49" t="s">
        <v>124</v>
      </c>
      <c r="D98" s="50">
        <v>167124533000000</v>
      </c>
      <c r="E98" s="50">
        <v>2799661000000</v>
      </c>
      <c r="F98" s="50">
        <v>173582894000000</v>
      </c>
      <c r="G98" s="50"/>
      <c r="H98" s="50"/>
      <c r="I98" s="50">
        <v>149154640000000</v>
      </c>
      <c r="J98" s="50">
        <v>24428254000000</v>
      </c>
      <c r="K98" s="51">
        <v>50000000000</v>
      </c>
      <c r="L98" s="50">
        <v>12221471000000</v>
      </c>
      <c r="M98" s="50">
        <v>5843536000000</v>
      </c>
      <c r="N98" s="50">
        <v>3512758000000</v>
      </c>
      <c r="O98" s="50">
        <v>2638064000000</v>
      </c>
      <c r="P98" s="50"/>
      <c r="Q98" s="52">
        <v>855</v>
      </c>
      <c r="R98" s="49">
        <f t="shared" si="0"/>
        <v>1.1204782700692382</v>
      </c>
      <c r="S98" s="49">
        <f t="shared" si="1"/>
        <v>6.105824837092328</v>
      </c>
      <c r="T98" s="51">
        <f t="shared" si="2"/>
        <v>1.5197718733736517E-2</v>
      </c>
      <c r="U98" s="51">
        <f t="shared" si="3"/>
        <v>0.1079923272453283</v>
      </c>
      <c r="V98" s="51">
        <f t="shared" si="4"/>
        <v>0.21585486722506644</v>
      </c>
      <c r="W98" s="51">
        <f t="shared" si="5"/>
        <v>0</v>
      </c>
      <c r="X98" s="51">
        <f t="shared" si="6"/>
        <v>0</v>
      </c>
      <c r="Y98" s="51">
        <f t="shared" si="7"/>
        <v>16.205065532905948</v>
      </c>
      <c r="Z98" s="51">
        <f t="shared" si="8"/>
        <v>1.7500227400615695</v>
      </c>
      <c r="AA98" s="52">
        <v>1</v>
      </c>
    </row>
    <row r="99" spans="1:27">
      <c r="A99" s="49">
        <v>2019</v>
      </c>
      <c r="B99" s="49" t="s">
        <v>123</v>
      </c>
      <c r="C99" s="49" t="s">
        <v>124</v>
      </c>
      <c r="D99" s="50">
        <v>174533222000000</v>
      </c>
      <c r="E99" s="50">
        <v>2784242000000</v>
      </c>
      <c r="F99" s="50">
        <v>180706987000000</v>
      </c>
      <c r="G99" s="50"/>
      <c r="H99" s="50"/>
      <c r="I99" s="50">
        <v>153042184000000</v>
      </c>
      <c r="J99" s="50">
        <v>27664803000000</v>
      </c>
      <c r="K99" s="51">
        <v>50000000000</v>
      </c>
      <c r="L99" s="50">
        <v>13496091000000</v>
      </c>
      <c r="M99" s="50">
        <v>7057159000000</v>
      </c>
      <c r="N99" s="50">
        <v>3768918000000</v>
      </c>
      <c r="O99" s="50">
        <v>2939243000000</v>
      </c>
      <c r="P99" s="50"/>
      <c r="Q99" s="52">
        <v>845</v>
      </c>
      <c r="R99" s="49">
        <f t="shared" si="0"/>
        <v>1.1404255835763557</v>
      </c>
      <c r="S99" s="49">
        <f t="shared" si="1"/>
        <v>5.5320178495397201</v>
      </c>
      <c r="T99" s="51">
        <f t="shared" si="2"/>
        <v>1.6265242693687322E-2</v>
      </c>
      <c r="U99" s="51">
        <f t="shared" si="3"/>
        <v>0.10624485560226112</v>
      </c>
      <c r="V99" s="51">
        <f t="shared" si="4"/>
        <v>0.21778476449217776</v>
      </c>
      <c r="W99" s="51">
        <f t="shared" si="5"/>
        <v>0</v>
      </c>
      <c r="X99" s="51">
        <f t="shared" si="6"/>
        <v>0</v>
      </c>
      <c r="Y99" s="51">
        <f t="shared" si="7"/>
        <v>14.374449475596267</v>
      </c>
      <c r="Z99" s="51">
        <f t="shared" si="8"/>
        <v>1.5272113088967234</v>
      </c>
      <c r="AA99" s="52">
        <v>1</v>
      </c>
    </row>
    <row r="100" spans="1:27">
      <c r="A100" s="49">
        <v>2020</v>
      </c>
      <c r="B100" s="49" t="s">
        <v>123</v>
      </c>
      <c r="C100" s="49" t="s">
        <v>124</v>
      </c>
      <c r="D100" s="50">
        <v>199398374000000</v>
      </c>
      <c r="E100" s="50">
        <v>3001632000000</v>
      </c>
      <c r="F100" s="50">
        <v>206297200000000</v>
      </c>
      <c r="G100" s="50"/>
      <c r="H100" s="50"/>
      <c r="I100" s="50">
        <v>176467884000000</v>
      </c>
      <c r="J100" s="50">
        <v>29829316000000</v>
      </c>
      <c r="K100" s="51">
        <v>50000000000</v>
      </c>
      <c r="L100" s="50">
        <v>12484662000000</v>
      </c>
      <c r="M100" s="50">
        <v>5658106000000</v>
      </c>
      <c r="N100" s="50">
        <v>3839552000000</v>
      </c>
      <c r="O100" s="50">
        <v>2101671000000</v>
      </c>
      <c r="P100" s="50"/>
      <c r="Q100" s="52">
        <v>820</v>
      </c>
      <c r="R100" s="49">
        <f t="shared" si="0"/>
        <v>1.1299414345558765</v>
      </c>
      <c r="S100" s="49">
        <f t="shared" si="1"/>
        <v>5.9159212366787086</v>
      </c>
      <c r="T100" s="51">
        <f t="shared" si="2"/>
        <v>1.0187588585787883E-2</v>
      </c>
      <c r="U100" s="51">
        <f t="shared" si="3"/>
        <v>7.0456560250996031E-2</v>
      </c>
      <c r="V100" s="51">
        <f t="shared" si="4"/>
        <v>0.16834024020834526</v>
      </c>
      <c r="W100" s="51">
        <f t="shared" si="5"/>
        <v>0</v>
      </c>
      <c r="X100" s="51">
        <f t="shared" si="6"/>
        <v>0</v>
      </c>
      <c r="Y100" s="51">
        <f t="shared" si="7"/>
        <v>19.508286501550433</v>
      </c>
      <c r="Z100" s="51">
        <f t="shared" si="8"/>
        <v>1.3744867632901807</v>
      </c>
      <c r="AA100" s="52">
        <v>1</v>
      </c>
    </row>
    <row r="101" spans="1:27">
      <c r="A101" s="49">
        <v>2018</v>
      </c>
      <c r="B101" s="49" t="s">
        <v>125</v>
      </c>
      <c r="C101" s="49" t="s">
        <v>126</v>
      </c>
      <c r="D101" s="50">
        <v>11479310000000</v>
      </c>
      <c r="E101" s="50">
        <v>63494000000</v>
      </c>
      <c r="F101" s="50">
        <v>11793981000000</v>
      </c>
      <c r="G101" s="50"/>
      <c r="H101" s="50"/>
      <c r="I101" s="50">
        <v>10379604000000</v>
      </c>
      <c r="J101" s="50">
        <v>1414377000000</v>
      </c>
      <c r="K101" s="51">
        <v>7950000000</v>
      </c>
      <c r="L101" s="50">
        <v>747203000000</v>
      </c>
      <c r="M101" s="50">
        <v>315463000000</v>
      </c>
      <c r="N101" s="50">
        <v>433657000000</v>
      </c>
      <c r="O101" s="50">
        <v>44748000000</v>
      </c>
      <c r="P101" s="50"/>
      <c r="Q101" s="52">
        <v>1000</v>
      </c>
      <c r="R101" s="49">
        <f t="shared" si="0"/>
        <v>1.1059487433239263</v>
      </c>
      <c r="S101" s="49">
        <f t="shared" si="1"/>
        <v>7.3386402635223851</v>
      </c>
      <c r="T101" s="51">
        <f t="shared" si="2"/>
        <v>3.7941387221159676E-3</v>
      </c>
      <c r="U101" s="51">
        <f t="shared" si="3"/>
        <v>3.1637957913625572E-2</v>
      </c>
      <c r="V101" s="51">
        <f t="shared" si="4"/>
        <v>5.988733985275755E-2</v>
      </c>
      <c r="W101" s="51">
        <f t="shared" si="5"/>
        <v>0</v>
      </c>
      <c r="X101" s="51">
        <f t="shared" si="6"/>
        <v>0</v>
      </c>
      <c r="Y101" s="51">
        <f t="shared" si="7"/>
        <v>177.66157146688121</v>
      </c>
      <c r="Z101" s="51">
        <f t="shared" si="8"/>
        <v>5.6208493209377695</v>
      </c>
      <c r="AA101" s="52">
        <v>1</v>
      </c>
    </row>
    <row r="102" spans="1:27">
      <c r="A102" s="49">
        <v>2019</v>
      </c>
      <c r="B102" s="49" t="s">
        <v>125</v>
      </c>
      <c r="C102" s="49" t="s">
        <v>126</v>
      </c>
      <c r="D102" s="50">
        <v>12779731000000</v>
      </c>
      <c r="E102" s="50">
        <v>60705000000</v>
      </c>
      <c r="F102" s="50">
        <v>13147503000000</v>
      </c>
      <c r="G102" s="50"/>
      <c r="H102" s="50"/>
      <c r="I102" s="50">
        <v>11683086000000</v>
      </c>
      <c r="J102" s="50">
        <v>1464417000000</v>
      </c>
      <c r="K102" s="51">
        <v>7950000000</v>
      </c>
      <c r="L102" s="50">
        <v>821937000000</v>
      </c>
      <c r="M102" s="50">
        <v>385728000000</v>
      </c>
      <c r="N102" s="50">
        <v>466161000000</v>
      </c>
      <c r="O102" s="50">
        <v>45794000000</v>
      </c>
      <c r="P102" s="50"/>
      <c r="Q102" s="52">
        <v>890</v>
      </c>
      <c r="R102" s="49">
        <f t="shared" si="0"/>
        <v>1.0938660384764778</v>
      </c>
      <c r="S102" s="49">
        <f t="shared" si="1"/>
        <v>7.9779775842536651</v>
      </c>
      <c r="T102" s="51">
        <f t="shared" si="2"/>
        <v>3.4830948507864955E-3</v>
      </c>
      <c r="U102" s="51">
        <f t="shared" si="3"/>
        <v>3.1271147494190521E-2</v>
      </c>
      <c r="V102" s="51">
        <f t="shared" si="4"/>
        <v>5.5714732394331924E-2</v>
      </c>
      <c r="W102" s="51">
        <f t="shared" si="5"/>
        <v>0</v>
      </c>
      <c r="X102" s="51">
        <f t="shared" si="6"/>
        <v>0</v>
      </c>
      <c r="Y102" s="51">
        <f t="shared" si="7"/>
        <v>154.50714067345066</v>
      </c>
      <c r="Z102" s="51">
        <f t="shared" si="8"/>
        <v>4.8316155849051192</v>
      </c>
      <c r="AA102" s="52">
        <v>1</v>
      </c>
    </row>
    <row r="103" spans="1:27">
      <c r="A103" s="49">
        <v>2020</v>
      </c>
      <c r="B103" s="49" t="s">
        <v>125</v>
      </c>
      <c r="C103" s="49" t="s">
        <v>126</v>
      </c>
      <c r="D103" s="50">
        <v>13176673000000</v>
      </c>
      <c r="E103" s="50">
        <v>92302000000</v>
      </c>
      <c r="F103" s="50">
        <v>13737934000000</v>
      </c>
      <c r="G103" s="50"/>
      <c r="H103" s="50"/>
      <c r="I103" s="50">
        <v>12218080000000</v>
      </c>
      <c r="J103" s="50">
        <v>1519854000000</v>
      </c>
      <c r="K103" s="51">
        <v>7950000000</v>
      </c>
      <c r="L103" s="50">
        <v>792351000000</v>
      </c>
      <c r="M103" s="50">
        <v>360971000000</v>
      </c>
      <c r="N103" s="50">
        <v>462416000000</v>
      </c>
      <c r="O103" s="50">
        <v>53607000000</v>
      </c>
      <c r="P103" s="50"/>
      <c r="Q103" s="52">
        <v>825</v>
      </c>
      <c r="R103" s="49">
        <f t="shared" si="0"/>
        <v>1.0784569261291463</v>
      </c>
      <c r="S103" s="49">
        <f t="shared" si="1"/>
        <v>8.0389826917585498</v>
      </c>
      <c r="T103" s="51">
        <f t="shared" si="2"/>
        <v>3.9021151215313742E-3</v>
      </c>
      <c r="U103" s="51">
        <f t="shared" si="3"/>
        <v>3.5271151044771402E-2</v>
      </c>
      <c r="V103" s="51">
        <f t="shared" si="4"/>
        <v>6.7655622318896547E-2</v>
      </c>
      <c r="W103" s="51">
        <f t="shared" si="5"/>
        <v>0</v>
      </c>
      <c r="X103" s="51">
        <f t="shared" si="6"/>
        <v>0</v>
      </c>
      <c r="Y103" s="51">
        <f t="shared" si="7"/>
        <v>122.34876042307909</v>
      </c>
      <c r="Z103" s="51">
        <f t="shared" si="8"/>
        <v>4.315381609022972</v>
      </c>
      <c r="AA103" s="52">
        <v>1</v>
      </c>
    </row>
    <row r="104" spans="1:27">
      <c r="A104" s="49">
        <v>2018</v>
      </c>
      <c r="B104" s="49" t="s">
        <v>127</v>
      </c>
      <c r="C104" s="49" t="s">
        <v>128</v>
      </c>
      <c r="D104" s="50">
        <v>192727760000000</v>
      </c>
      <c r="E104" s="50">
        <v>10260918000000</v>
      </c>
      <c r="F104" s="50">
        <v>207204418000000</v>
      </c>
      <c r="G104" s="50"/>
      <c r="H104" s="50"/>
      <c r="I104" s="50">
        <v>166457301000000</v>
      </c>
      <c r="J104" s="50">
        <v>40747117000000</v>
      </c>
      <c r="K104" s="51">
        <v>96000000000</v>
      </c>
      <c r="L104" s="50">
        <v>17212026000000</v>
      </c>
      <c r="M104" s="50">
        <v>8247532000000</v>
      </c>
      <c r="N104" s="50">
        <v>5048285000000</v>
      </c>
      <c r="O104" s="50">
        <v>3187157000000</v>
      </c>
      <c r="P104" s="50"/>
      <c r="Q104" s="52">
        <v>1145</v>
      </c>
      <c r="R104" s="49">
        <f t="shared" si="0"/>
        <v>1.1578210078030762</v>
      </c>
      <c r="S104" s="49">
        <f t="shared" si="1"/>
        <v>4.0851307590669546</v>
      </c>
      <c r="T104" s="51">
        <f t="shared" si="2"/>
        <v>1.5381703878534096E-2</v>
      </c>
      <c r="U104" s="51">
        <f t="shared" si="3"/>
        <v>7.8217975519593197E-2</v>
      </c>
      <c r="V104" s="51">
        <f t="shared" si="4"/>
        <v>0.18517035705151735</v>
      </c>
      <c r="W104" s="51">
        <f t="shared" si="5"/>
        <v>0</v>
      </c>
      <c r="X104" s="51">
        <f t="shared" si="6"/>
        <v>0</v>
      </c>
      <c r="Y104" s="51">
        <f t="shared" si="7"/>
        <v>34.488417106530996</v>
      </c>
      <c r="Z104" s="51">
        <f t="shared" si="8"/>
        <v>2.6976141649481606</v>
      </c>
      <c r="AA104" s="52">
        <v>1</v>
      </c>
    </row>
    <row r="105" spans="1:27">
      <c r="A105" s="49">
        <v>2019</v>
      </c>
      <c r="B105" s="49" t="s">
        <v>127</v>
      </c>
      <c r="C105" s="49" t="s">
        <v>128</v>
      </c>
      <c r="D105" s="50">
        <v>195566210000000</v>
      </c>
      <c r="E105" s="50">
        <v>10312649000000</v>
      </c>
      <c r="F105" s="50">
        <v>211287370000000</v>
      </c>
      <c r="G105" s="50"/>
      <c r="H105" s="50"/>
      <c r="I105" s="50">
        <v>166845656000000</v>
      </c>
      <c r="J105" s="50">
        <v>44441714000000</v>
      </c>
      <c r="K105" s="51">
        <v>96000000000</v>
      </c>
      <c r="L105" s="50">
        <v>17724694000000</v>
      </c>
      <c r="M105" s="50">
        <v>8755818000000</v>
      </c>
      <c r="N105" s="50">
        <v>4865928000000</v>
      </c>
      <c r="O105" s="50">
        <v>3498299000000</v>
      </c>
      <c r="P105" s="50"/>
      <c r="Q105" s="52">
        <v>1335</v>
      </c>
      <c r="R105" s="49">
        <f t="shared" si="0"/>
        <v>1.1721384583126335</v>
      </c>
      <c r="S105" s="49">
        <f t="shared" si="1"/>
        <v>3.7542579028342606</v>
      </c>
      <c r="T105" s="51">
        <f t="shared" si="2"/>
        <v>1.6557066331035309E-2</v>
      </c>
      <c r="U105" s="51">
        <f t="shared" si="3"/>
        <v>7.8716563452075672E-2</v>
      </c>
      <c r="V105" s="51">
        <f t="shared" si="4"/>
        <v>0.19736865414996727</v>
      </c>
      <c r="W105" s="51">
        <f t="shared" si="5"/>
        <v>0</v>
      </c>
      <c r="X105" s="51">
        <f t="shared" si="6"/>
        <v>0</v>
      </c>
      <c r="Y105" s="51">
        <f t="shared" si="7"/>
        <v>36.634947441599472</v>
      </c>
      <c r="Z105" s="51">
        <f t="shared" si="8"/>
        <v>2.8837771648501223</v>
      </c>
      <c r="AA105" s="52">
        <v>1</v>
      </c>
    </row>
    <row r="106" spans="1:27">
      <c r="A106" s="49">
        <v>2020</v>
      </c>
      <c r="B106" s="49" t="s">
        <v>127</v>
      </c>
      <c r="C106" s="49" t="s">
        <v>128</v>
      </c>
      <c r="D106" s="50">
        <v>201949618000000</v>
      </c>
      <c r="E106" s="50">
        <v>10326085000000</v>
      </c>
      <c r="F106" s="50">
        <v>218067091000000</v>
      </c>
      <c r="G106" s="50"/>
      <c r="H106" s="50"/>
      <c r="I106" s="50">
        <v>170606759000000</v>
      </c>
      <c r="J106" s="50">
        <v>47460332000000</v>
      </c>
      <c r="K106" s="51">
        <v>96000000000</v>
      </c>
      <c r="L106" s="50">
        <v>16185399000000</v>
      </c>
      <c r="M106" s="50">
        <v>7378410000000</v>
      </c>
      <c r="N106" s="50">
        <v>5475803000000</v>
      </c>
      <c r="O106" s="50">
        <v>3124205000000</v>
      </c>
      <c r="P106" s="50"/>
      <c r="Q106" s="52">
        <v>1065</v>
      </c>
      <c r="R106" s="49">
        <f t="shared" si="0"/>
        <v>1.1837140520323699</v>
      </c>
      <c r="S106" s="49">
        <f t="shared" si="1"/>
        <v>3.594723252252007</v>
      </c>
      <c r="T106" s="51">
        <f t="shared" si="2"/>
        <v>1.432680642307463E-2</v>
      </c>
      <c r="U106" s="51">
        <f t="shared" si="3"/>
        <v>6.5827710602614414E-2</v>
      </c>
      <c r="V106" s="51">
        <f t="shared" si="4"/>
        <v>0.19302613423370038</v>
      </c>
      <c r="W106" s="51">
        <f t="shared" si="5"/>
        <v>0</v>
      </c>
      <c r="X106" s="51">
        <f t="shared" si="6"/>
        <v>0</v>
      </c>
      <c r="Y106" s="51">
        <f t="shared" si="7"/>
        <v>32.725125271869167</v>
      </c>
      <c r="Z106" s="51">
        <f t="shared" si="8"/>
        <v>2.1542200758309065</v>
      </c>
      <c r="AA106" s="52">
        <v>1</v>
      </c>
    </row>
    <row r="107" spans="1:27">
      <c r="A107" s="49">
        <v>2018</v>
      </c>
      <c r="B107" s="49" t="s">
        <v>129</v>
      </c>
      <c r="C107" s="49" t="s">
        <v>130</v>
      </c>
      <c r="D107" s="50">
        <v>8031035649000</v>
      </c>
      <c r="E107" s="50">
        <v>89050545000</v>
      </c>
      <c r="F107" s="50">
        <v>8771057795000</v>
      </c>
      <c r="G107" s="50"/>
      <c r="H107" s="50"/>
      <c r="I107" s="50">
        <v>854502894000</v>
      </c>
      <c r="J107" s="50">
        <v>1668466115000</v>
      </c>
      <c r="K107" s="51">
        <v>39000000000</v>
      </c>
      <c r="L107" s="50">
        <v>1067058304000</v>
      </c>
      <c r="M107" s="50">
        <v>282674989000</v>
      </c>
      <c r="N107" s="50">
        <v>279508545000</v>
      </c>
      <c r="O107" s="50">
        <v>20788229000</v>
      </c>
      <c r="P107" s="50"/>
      <c r="Q107" s="52">
        <v>50</v>
      </c>
      <c r="R107" s="49">
        <f t="shared" si="0"/>
        <v>9.3984885310405986</v>
      </c>
      <c r="S107" s="49">
        <f t="shared" si="1"/>
        <v>0.51214878523319607</v>
      </c>
      <c r="T107" s="51">
        <f t="shared" si="2"/>
        <v>2.3700937202637599E-3</v>
      </c>
      <c r="U107" s="51">
        <f t="shared" si="3"/>
        <v>1.2459485279987241E-2</v>
      </c>
      <c r="V107" s="51">
        <f t="shared" si="4"/>
        <v>1.9481811745499521E-2</v>
      </c>
      <c r="W107" s="51">
        <f t="shared" si="5"/>
        <v>0</v>
      </c>
      <c r="X107" s="51">
        <f t="shared" si="6"/>
        <v>0</v>
      </c>
      <c r="Y107" s="51">
        <f t="shared" si="7"/>
        <v>93.803084428211747</v>
      </c>
      <c r="Z107" s="51">
        <f t="shared" si="8"/>
        <v>1.1687381496507048</v>
      </c>
      <c r="AA107" s="52">
        <v>1</v>
      </c>
    </row>
    <row r="108" spans="1:27">
      <c r="A108" s="49">
        <v>2019</v>
      </c>
      <c r="B108" s="49" t="s">
        <v>129</v>
      </c>
      <c r="C108" s="49" t="s">
        <v>130</v>
      </c>
      <c r="D108" s="50">
        <v>9987811964000</v>
      </c>
      <c r="E108" s="50">
        <v>98158654000</v>
      </c>
      <c r="F108" s="50">
        <v>11135824845000</v>
      </c>
      <c r="G108" s="50"/>
      <c r="H108" s="50"/>
      <c r="I108" s="50">
        <v>583700944000</v>
      </c>
      <c r="J108" s="50">
        <v>1694565519000</v>
      </c>
      <c r="K108" s="51">
        <v>39000000000</v>
      </c>
      <c r="L108" s="50">
        <v>1262147840000</v>
      </c>
      <c r="M108" s="50">
        <v>218653174000</v>
      </c>
      <c r="N108" s="50">
        <v>208607338000</v>
      </c>
      <c r="O108" s="50">
        <v>13237011000</v>
      </c>
      <c r="P108" s="50"/>
      <c r="Q108" s="52">
        <v>50</v>
      </c>
      <c r="R108" s="49">
        <f t="shared" si="0"/>
        <v>17.111180077173216</v>
      </c>
      <c r="S108" s="49">
        <f t="shared" si="1"/>
        <v>0.34445463303446339</v>
      </c>
      <c r="T108" s="51">
        <f t="shared" si="2"/>
        <v>1.1886870693681424E-3</v>
      </c>
      <c r="U108" s="51">
        <f t="shared" si="3"/>
        <v>7.8114483338545971E-3</v>
      </c>
      <c r="V108" s="51">
        <f t="shared" si="4"/>
        <v>1.0487686608884106E-2</v>
      </c>
      <c r="W108" s="51">
        <f t="shared" si="5"/>
        <v>0</v>
      </c>
      <c r="X108" s="51">
        <f t="shared" si="6"/>
        <v>0</v>
      </c>
      <c r="Y108" s="51">
        <f t="shared" si="7"/>
        <v>147.3142237322308</v>
      </c>
      <c r="Z108" s="51">
        <f t="shared" si="8"/>
        <v>1.1507374475262175</v>
      </c>
      <c r="AA108" s="52">
        <v>1</v>
      </c>
    </row>
    <row r="109" spans="1:27">
      <c r="A109" s="49">
        <v>2020</v>
      </c>
      <c r="B109" s="49" t="s">
        <v>129</v>
      </c>
      <c r="C109" s="49" t="s">
        <v>130</v>
      </c>
      <c r="D109" s="50">
        <v>9947516700000</v>
      </c>
      <c r="E109" s="50">
        <v>198947537000</v>
      </c>
      <c r="F109" s="50">
        <v>11302082193000</v>
      </c>
      <c r="G109" s="50"/>
      <c r="H109" s="50"/>
      <c r="I109" s="50">
        <v>600931510000</v>
      </c>
      <c r="J109" s="50">
        <v>3115653432000</v>
      </c>
      <c r="K109" s="51">
        <v>39000000000</v>
      </c>
      <c r="L109" s="50">
        <v>1399900947000</v>
      </c>
      <c r="M109" s="50">
        <v>218943558000</v>
      </c>
      <c r="N109" s="50">
        <v>215546807000</v>
      </c>
      <c r="O109" s="50">
        <v>128116000</v>
      </c>
      <c r="P109" s="50"/>
      <c r="Q109" s="52">
        <v>83</v>
      </c>
      <c r="R109" s="49">
        <f t="shared" si="0"/>
        <v>16.553494923240088</v>
      </c>
      <c r="S109" s="49">
        <f t="shared" si="1"/>
        <v>0.19287495323709675</v>
      </c>
      <c r="T109" s="51">
        <f t="shared" si="2"/>
        <v>1.1335610360305933E-5</v>
      </c>
      <c r="U109" s="51">
        <f t="shared" si="3"/>
        <v>4.1120106197998982E-5</v>
      </c>
      <c r="V109" s="51">
        <f t="shared" si="4"/>
        <v>9.1517903659222251E-5</v>
      </c>
      <c r="W109" s="51">
        <f t="shared" si="5"/>
        <v>0</v>
      </c>
      <c r="X109" s="51">
        <f t="shared" si="6"/>
        <v>0</v>
      </c>
      <c r="Y109" s="51">
        <f t="shared" si="7"/>
        <v>25266.165037934374</v>
      </c>
      <c r="Z109" s="51">
        <f t="shared" si="8"/>
        <v>1.0389473895760304</v>
      </c>
      <c r="AA109" s="52">
        <v>1</v>
      </c>
    </row>
    <row r="110" spans="1:27">
      <c r="A110" s="49">
        <v>2018</v>
      </c>
      <c r="B110" s="49" t="s">
        <v>131</v>
      </c>
      <c r="C110" s="49" t="s">
        <v>132</v>
      </c>
      <c r="D110" s="50">
        <v>26920081000000</v>
      </c>
      <c r="E110" s="50">
        <v>355058000000</v>
      </c>
      <c r="F110" s="50">
        <v>29631693000000</v>
      </c>
      <c r="G110" s="50"/>
      <c r="H110" s="50"/>
      <c r="I110" s="50">
        <v>23081225000000</v>
      </c>
      <c r="J110" s="50">
        <v>6550468000000</v>
      </c>
      <c r="K110" s="51">
        <v>15000000000</v>
      </c>
      <c r="L110" s="50">
        <v>2214687000000</v>
      </c>
      <c r="M110" s="50">
        <v>924860000000</v>
      </c>
      <c r="N110" s="50">
        <v>817755000000</v>
      </c>
      <c r="O110" s="50">
        <v>537971000000</v>
      </c>
      <c r="P110" s="50">
        <v>98714000000</v>
      </c>
      <c r="Q110" s="52">
        <v>860</v>
      </c>
      <c r="R110" s="49">
        <f t="shared" si="0"/>
        <v>1.166319421954424</v>
      </c>
      <c r="S110" s="49">
        <f t="shared" si="1"/>
        <v>3.5235993825174017</v>
      </c>
      <c r="T110" s="51">
        <f t="shared" si="2"/>
        <v>1.8155256940600727E-2</v>
      </c>
      <c r="U110" s="51">
        <f t="shared" si="3"/>
        <v>8.2127109085946226E-2</v>
      </c>
      <c r="V110" s="51">
        <f t="shared" si="4"/>
        <v>0.2429106234876531</v>
      </c>
      <c r="W110" s="51">
        <f t="shared" si="5"/>
        <v>7.6522480620155042E-3</v>
      </c>
      <c r="X110" s="51">
        <f t="shared" si="6"/>
        <v>0.18349316227082874</v>
      </c>
      <c r="Y110" s="51">
        <f t="shared" si="7"/>
        <v>23.978987714951177</v>
      </c>
      <c r="Z110" s="51">
        <f t="shared" si="8"/>
        <v>1.9693249398363599</v>
      </c>
      <c r="AA110" s="52">
        <v>1</v>
      </c>
    </row>
    <row r="111" spans="1:27">
      <c r="A111" s="49">
        <v>2019</v>
      </c>
      <c r="B111" s="49" t="s">
        <v>131</v>
      </c>
      <c r="C111" s="49" t="s">
        <v>132</v>
      </c>
      <c r="D111" s="50">
        <v>34227611000000</v>
      </c>
      <c r="E111" s="50">
        <v>370993000000</v>
      </c>
      <c r="F111" s="50">
        <v>36936262000000</v>
      </c>
      <c r="G111" s="50"/>
      <c r="H111" s="50"/>
      <c r="I111" s="50">
        <v>30000672000000</v>
      </c>
      <c r="J111" s="50">
        <v>6935590000000</v>
      </c>
      <c r="K111" s="51">
        <v>15000000000</v>
      </c>
      <c r="L111" s="50">
        <v>2438993000000</v>
      </c>
      <c r="M111" s="50">
        <v>1325908000000</v>
      </c>
      <c r="N111" s="50">
        <v>772982000000</v>
      </c>
      <c r="O111" s="50">
        <v>499791000000</v>
      </c>
      <c r="P111" s="50">
        <v>98714000000</v>
      </c>
      <c r="Q111" s="52">
        <v>830</v>
      </c>
      <c r="R111" s="49">
        <f t="shared" si="0"/>
        <v>1.1408948106229087</v>
      </c>
      <c r="S111" s="49">
        <f t="shared" si="1"/>
        <v>4.325612096447454</v>
      </c>
      <c r="T111" s="51">
        <f t="shared" si="2"/>
        <v>1.3531174324028783E-2</v>
      </c>
      <c r="U111" s="51">
        <f t="shared" si="3"/>
        <v>7.2061785659186889E-2</v>
      </c>
      <c r="V111" s="51">
        <f t="shared" si="4"/>
        <v>0.20491694728111151</v>
      </c>
      <c r="W111" s="51">
        <f t="shared" si="5"/>
        <v>7.9288353413654623E-3</v>
      </c>
      <c r="X111" s="51">
        <f t="shared" si="6"/>
        <v>0.197510559413835</v>
      </c>
      <c r="Y111" s="51">
        <f t="shared" si="7"/>
        <v>24.910412552446921</v>
      </c>
      <c r="Z111" s="51">
        <f t="shared" si="8"/>
        <v>1.7950888100363489</v>
      </c>
      <c r="AA111" s="52">
        <v>1</v>
      </c>
    </row>
    <row r="112" spans="1:27">
      <c r="A112" s="49">
        <v>2020</v>
      </c>
      <c r="B112" s="49" t="s">
        <v>131</v>
      </c>
      <c r="C112" s="49" t="s">
        <v>132</v>
      </c>
      <c r="D112" s="50">
        <v>35164985000000</v>
      </c>
      <c r="E112" s="50">
        <v>448354000000</v>
      </c>
      <c r="F112" s="50">
        <v>38053939000000</v>
      </c>
      <c r="G112" s="50"/>
      <c r="H112" s="50"/>
      <c r="I112" s="50">
        <v>30782968000000</v>
      </c>
      <c r="J112" s="50">
        <v>7270971000000</v>
      </c>
      <c r="K112" s="51">
        <v>15000000000</v>
      </c>
      <c r="L112" s="50">
        <v>2425276000000</v>
      </c>
      <c r="M112" s="50">
        <v>1178215000000</v>
      </c>
      <c r="N112" s="50">
        <v>812041000000</v>
      </c>
      <c r="O112" s="50">
        <v>536001000000</v>
      </c>
      <c r="P112" s="50">
        <v>85552000000</v>
      </c>
      <c r="Q112" s="52">
        <v>740</v>
      </c>
      <c r="R112" s="49">
        <f t="shared" si="0"/>
        <v>1.142351998026961</v>
      </c>
      <c r="S112" s="49">
        <f t="shared" si="1"/>
        <v>4.2336804809151349</v>
      </c>
      <c r="T112" s="51">
        <f t="shared" si="2"/>
        <v>1.4085296137148904E-2</v>
      </c>
      <c r="U112" s="51">
        <f t="shared" si="3"/>
        <v>7.371793946090556E-2</v>
      </c>
      <c r="V112" s="51">
        <f t="shared" si="4"/>
        <v>0.22100618651238044</v>
      </c>
      <c r="W112" s="51">
        <f t="shared" si="5"/>
        <v>7.7073873873873874E-3</v>
      </c>
      <c r="X112" s="51">
        <f t="shared" si="6"/>
        <v>0.15961164251559232</v>
      </c>
      <c r="Y112" s="51">
        <f t="shared" si="7"/>
        <v>20.708916587842186</v>
      </c>
      <c r="Z112" s="51">
        <f t="shared" si="8"/>
        <v>1.5266186593234934</v>
      </c>
      <c r="AA112" s="52">
        <v>1</v>
      </c>
    </row>
    <row r="113" spans="1:27">
      <c r="A113" s="49">
        <v>2018</v>
      </c>
      <c r="B113" s="49" t="s">
        <v>202</v>
      </c>
      <c r="C113" s="49" t="s">
        <v>203</v>
      </c>
      <c r="D113" s="50">
        <v>2520428991187</v>
      </c>
      <c r="E113" s="50">
        <v>182238112107</v>
      </c>
      <c r="F113" s="50">
        <v>2896589814278</v>
      </c>
      <c r="G113" s="50"/>
      <c r="H113" s="50"/>
      <c r="I113" s="50">
        <v>1167083160521</v>
      </c>
      <c r="J113" s="50">
        <v>1729506653757</v>
      </c>
      <c r="K113" s="51">
        <v>12902280000</v>
      </c>
      <c r="L113" s="50">
        <v>473564916412</v>
      </c>
      <c r="M113" s="50">
        <v>359305382036</v>
      </c>
      <c r="N113" s="50">
        <v>144391182125</v>
      </c>
      <c r="O113" s="50">
        <v>70399722671</v>
      </c>
      <c r="P113" s="50"/>
      <c r="Q113" s="52">
        <v>540</v>
      </c>
      <c r="R113" s="49">
        <f t="shared" si="0"/>
        <v>2.1595967420709337</v>
      </c>
      <c r="S113" s="49">
        <f t="shared" si="1"/>
        <v>0.67480697919591703</v>
      </c>
      <c r="T113" s="51">
        <f t="shared" si="2"/>
        <v>2.4304346554000343E-2</v>
      </c>
      <c r="U113" s="51">
        <f t="shared" si="3"/>
        <v>4.0705089233436006E-2</v>
      </c>
      <c r="V113" s="51">
        <f t="shared" si="4"/>
        <v>0.14865907551680299</v>
      </c>
      <c r="W113" s="51">
        <f t="shared" si="5"/>
        <v>0</v>
      </c>
      <c r="X113" s="51">
        <f t="shared" si="6"/>
        <v>0</v>
      </c>
      <c r="Y113" s="51">
        <f t="shared" si="7"/>
        <v>98.966742135619739</v>
      </c>
      <c r="Z113" s="51">
        <f t="shared" si="8"/>
        <v>4.0284500697728527</v>
      </c>
      <c r="AA113" s="52">
        <v>1</v>
      </c>
    </row>
    <row r="114" spans="1:27">
      <c r="A114" s="49">
        <v>2019</v>
      </c>
      <c r="B114" s="49" t="s">
        <v>202</v>
      </c>
      <c r="C114" s="49" t="s">
        <v>203</v>
      </c>
      <c r="D114" s="50">
        <v>3328927878165</v>
      </c>
      <c r="E114" s="50">
        <v>179433881039</v>
      </c>
      <c r="F114" s="50">
        <v>3652947899746</v>
      </c>
      <c r="G114" s="50"/>
      <c r="H114" s="50"/>
      <c r="I114" s="50">
        <v>1818115863373</v>
      </c>
      <c r="J114" s="50">
        <v>1834832036373</v>
      </c>
      <c r="K114" s="51">
        <v>12902280000</v>
      </c>
      <c r="L114" s="50">
        <v>1193590630021</v>
      </c>
      <c r="M114" s="50">
        <v>1009410116496</v>
      </c>
      <c r="N114" s="50">
        <v>120227476034</v>
      </c>
      <c r="O114" s="50">
        <v>102897273401</v>
      </c>
      <c r="P114" s="50"/>
      <c r="Q114" s="52">
        <v>690</v>
      </c>
      <c r="R114" s="49">
        <f t="shared" si="0"/>
        <v>1.8309767519376434</v>
      </c>
      <c r="S114" s="49">
        <f t="shared" si="1"/>
        <v>0.9908895350262994</v>
      </c>
      <c r="T114" s="51">
        <f t="shared" si="2"/>
        <v>2.8168283869626158E-2</v>
      </c>
      <c r="U114" s="51">
        <f t="shared" si="3"/>
        <v>5.6079941575688831E-2</v>
      </c>
      <c r="V114" s="51">
        <f t="shared" si="4"/>
        <v>8.620817792377411E-2</v>
      </c>
      <c r="W114" s="51">
        <f t="shared" si="5"/>
        <v>0</v>
      </c>
      <c r="X114" s="51">
        <f t="shared" si="6"/>
        <v>0</v>
      </c>
      <c r="Y114" s="51">
        <f t="shared" si="7"/>
        <v>86.51903889917341</v>
      </c>
      <c r="Z114" s="51">
        <f t="shared" si="8"/>
        <v>4.8519826466503932</v>
      </c>
      <c r="AA114" s="52">
        <v>1</v>
      </c>
    </row>
    <row r="115" spans="1:27">
      <c r="A115" s="49">
        <v>2020</v>
      </c>
      <c r="B115" s="49" t="s">
        <v>202</v>
      </c>
      <c r="C115" s="49" t="s">
        <v>203</v>
      </c>
      <c r="D115" s="50">
        <v>4201191401871</v>
      </c>
      <c r="E115" s="50">
        <v>190479472617</v>
      </c>
      <c r="F115" s="50">
        <v>4881911874208</v>
      </c>
      <c r="G115" s="50"/>
      <c r="H115" s="50"/>
      <c r="I115" s="50">
        <v>2920986089935</v>
      </c>
      <c r="J115" s="50">
        <v>1960925784273</v>
      </c>
      <c r="K115" s="51">
        <v>12902280000</v>
      </c>
      <c r="L115" s="50">
        <v>2275473702348</v>
      </c>
      <c r="M115" s="50">
        <v>2062436886511</v>
      </c>
      <c r="N115" s="50">
        <v>153728295937</v>
      </c>
      <c r="O115" s="50">
        <v>124726300324</v>
      </c>
      <c r="P115" s="50"/>
      <c r="Q115" s="52">
        <v>785</v>
      </c>
      <c r="R115" s="49">
        <f t="shared" si="0"/>
        <v>1.4382784691605595</v>
      </c>
      <c r="S115" s="49">
        <f t="shared" si="1"/>
        <v>1.4895954315873998</v>
      </c>
      <c r="T115" s="51">
        <f t="shared" si="2"/>
        <v>2.5548658709500884E-2</v>
      </c>
      <c r="U115" s="51">
        <f t="shared" si="3"/>
        <v>6.360582400635903E-2</v>
      </c>
      <c r="V115" s="51">
        <f t="shared" si="4"/>
        <v>5.4813334118209447E-2</v>
      </c>
      <c r="W115" s="51">
        <f t="shared" si="5"/>
        <v>0</v>
      </c>
      <c r="X115" s="51">
        <f t="shared" si="6"/>
        <v>0</v>
      </c>
      <c r="Y115" s="51">
        <f t="shared" si="7"/>
        <v>81.204122736663109</v>
      </c>
      <c r="Z115" s="51">
        <f t="shared" si="8"/>
        <v>5.1650551393789721</v>
      </c>
      <c r="AA115" s="52">
        <v>1</v>
      </c>
    </row>
    <row r="116" spans="1:27">
      <c r="A116" s="49">
        <v>2018</v>
      </c>
      <c r="B116" s="49" t="s">
        <v>206</v>
      </c>
      <c r="C116" s="49" t="s">
        <v>207</v>
      </c>
      <c r="D116" s="50">
        <v>73149118953</v>
      </c>
      <c r="E116" s="50">
        <v>265730271470</v>
      </c>
      <c r="F116" s="50">
        <v>431672804838</v>
      </c>
      <c r="G116" s="50"/>
      <c r="H116" s="50">
        <v>54497512512</v>
      </c>
      <c r="I116" s="50">
        <v>63912279502</v>
      </c>
      <c r="J116" s="50">
        <v>367760525336</v>
      </c>
      <c r="K116" s="51">
        <v>850000000</v>
      </c>
      <c r="L116" s="50">
        <v>87440977373</v>
      </c>
      <c r="M116" s="50">
        <v>27307815715</v>
      </c>
      <c r="N116" s="50">
        <v>56739467276</v>
      </c>
      <c r="O116" s="50">
        <v>7498492703</v>
      </c>
      <c r="P116" s="50"/>
      <c r="Q116" s="52">
        <v>1310</v>
      </c>
      <c r="R116" s="49">
        <f t="shared" si="0"/>
        <v>1.1445237053500956</v>
      </c>
      <c r="S116" s="49">
        <f t="shared" si="1"/>
        <v>0.17378776431648643</v>
      </c>
      <c r="T116" s="51">
        <f t="shared" si="2"/>
        <v>1.7370778559501952E-2</v>
      </c>
      <c r="U116" s="51">
        <f t="shared" si="3"/>
        <v>2.038960732979455E-2</v>
      </c>
      <c r="V116" s="51">
        <f t="shared" si="4"/>
        <v>8.5754904945920502E-2</v>
      </c>
      <c r="W116" s="51">
        <f t="shared" si="5"/>
        <v>0</v>
      </c>
      <c r="X116" s="51">
        <f t="shared" si="6"/>
        <v>0</v>
      </c>
      <c r="Y116" s="51">
        <f t="shared" si="7"/>
        <v>148.49651044596075</v>
      </c>
      <c r="Z116" s="51">
        <f t="shared" si="8"/>
        <v>3.0277855378378744</v>
      </c>
      <c r="AA116" s="52">
        <v>1</v>
      </c>
    </row>
    <row r="117" spans="1:27">
      <c r="A117" s="49">
        <v>2019</v>
      </c>
      <c r="B117" s="49" t="s">
        <v>206</v>
      </c>
      <c r="C117" s="49" t="s">
        <v>207</v>
      </c>
      <c r="D117" s="50">
        <v>85188330002</v>
      </c>
      <c r="E117" s="50">
        <v>259633756608</v>
      </c>
      <c r="F117" s="50">
        <v>439070378556</v>
      </c>
      <c r="G117" s="50"/>
      <c r="H117" s="50">
        <v>54263912675</v>
      </c>
      <c r="I117" s="50">
        <v>66308261273</v>
      </c>
      <c r="J117" s="50">
        <v>372762117283</v>
      </c>
      <c r="K117" s="51">
        <v>850000000</v>
      </c>
      <c r="L117" s="50">
        <v>85726802073</v>
      </c>
      <c r="M117" s="50">
        <v>26800834114</v>
      </c>
      <c r="N117" s="50">
        <v>62778284141</v>
      </c>
      <c r="O117" s="50">
        <v>628762882</v>
      </c>
      <c r="P117" s="50"/>
      <c r="Q117" s="52">
        <v>450</v>
      </c>
      <c r="R117" s="49">
        <f t="shared" si="0"/>
        <v>1.2847317719773743</v>
      </c>
      <c r="S117" s="49">
        <f t="shared" si="1"/>
        <v>0.17788358365466345</v>
      </c>
      <c r="T117" s="51">
        <f t="shared" si="2"/>
        <v>1.4320321130927903E-3</v>
      </c>
      <c r="U117" s="51">
        <f t="shared" si="3"/>
        <v>1.6867671172782961E-3</v>
      </c>
      <c r="V117" s="51">
        <f t="shared" si="4"/>
        <v>7.334495942874223E-3</v>
      </c>
      <c r="W117" s="51">
        <f t="shared" si="5"/>
        <v>0</v>
      </c>
      <c r="X117" s="51">
        <f t="shared" si="6"/>
        <v>0</v>
      </c>
      <c r="Y117" s="51">
        <f t="shared" si="7"/>
        <v>608.33743681453507</v>
      </c>
      <c r="Z117" s="51">
        <f t="shared" si="8"/>
        <v>1.0261235846281209</v>
      </c>
      <c r="AA117" s="52">
        <v>1</v>
      </c>
    </row>
    <row r="118" spans="1:27">
      <c r="A118" s="49">
        <v>2020</v>
      </c>
      <c r="B118" s="49" t="s">
        <v>206</v>
      </c>
      <c r="C118" s="49" t="s">
        <v>207</v>
      </c>
      <c r="D118" s="50">
        <v>93732057163</v>
      </c>
      <c r="E118" s="50">
        <v>241844455384</v>
      </c>
      <c r="F118" s="50">
        <v>394280340197</v>
      </c>
      <c r="G118" s="50"/>
      <c r="H118" s="50">
        <v>41284563811</v>
      </c>
      <c r="I118" s="50">
        <v>51589144973</v>
      </c>
      <c r="J118" s="50">
        <v>342691195224</v>
      </c>
      <c r="K118" s="51">
        <v>850000000</v>
      </c>
      <c r="L118" s="50">
        <v>32934176030</v>
      </c>
      <c r="M118" s="50">
        <v>12471168816</v>
      </c>
      <c r="N118" s="50">
        <v>41357026843</v>
      </c>
      <c r="O118" s="50">
        <v>-11209268817</v>
      </c>
      <c r="P118" s="50"/>
      <c r="Q118" s="52">
        <v>256</v>
      </c>
      <c r="R118" s="49">
        <f t="shared" si="0"/>
        <v>1.816894953619723</v>
      </c>
      <c r="S118" s="49">
        <f t="shared" si="1"/>
        <v>0.15054120354413766</v>
      </c>
      <c r="T118" s="51">
        <f t="shared" si="2"/>
        <v>-2.842969246551667E-2</v>
      </c>
      <c r="U118" s="51">
        <f t="shared" si="3"/>
        <v>-3.2709532585665252E-2</v>
      </c>
      <c r="V118" s="51">
        <f t="shared" si="4"/>
        <v>-0.34035370451622621</v>
      </c>
      <c r="W118" s="51">
        <f t="shared" si="5"/>
        <v>0</v>
      </c>
      <c r="X118" s="51">
        <f t="shared" si="6"/>
        <v>0</v>
      </c>
      <c r="Y118" s="51">
        <f t="shared" si="7"/>
        <v>-19.412506163648015</v>
      </c>
      <c r="Z118" s="51">
        <f t="shared" si="8"/>
        <v>0.63497400292927231</v>
      </c>
      <c r="AA118" s="52">
        <v>1</v>
      </c>
    </row>
    <row r="119" spans="1:27">
      <c r="A119" s="49">
        <v>2018</v>
      </c>
      <c r="B119" s="49" t="s">
        <v>208</v>
      </c>
      <c r="C119" s="49" t="s">
        <v>209</v>
      </c>
      <c r="D119" s="50">
        <v>397576606710</v>
      </c>
      <c r="E119" s="50">
        <v>668004938529</v>
      </c>
      <c r="F119" s="50">
        <v>1229926003723</v>
      </c>
      <c r="G119" s="50"/>
      <c r="H119" s="50">
        <v>140926455842</v>
      </c>
      <c r="I119" s="50">
        <v>416632326814</v>
      </c>
      <c r="J119" s="50">
        <v>813293676909</v>
      </c>
      <c r="K119" s="51">
        <v>10000000000</v>
      </c>
      <c r="L119" s="50">
        <v>1035508850963</v>
      </c>
      <c r="M119" s="50">
        <v>694804974807</v>
      </c>
      <c r="N119" s="50">
        <v>239999883906</v>
      </c>
      <c r="O119" s="50">
        <v>80315046464</v>
      </c>
      <c r="P119" s="50">
        <v>3457187223</v>
      </c>
      <c r="Q119" s="52">
        <v>77</v>
      </c>
      <c r="R119" s="49">
        <f t="shared" si="0"/>
        <v>0.95426250226495946</v>
      </c>
      <c r="S119" s="49">
        <f t="shared" si="1"/>
        <v>0.51227783842787367</v>
      </c>
      <c r="T119" s="51">
        <f t="shared" si="2"/>
        <v>6.5300714206290009E-2</v>
      </c>
      <c r="U119" s="51">
        <f t="shared" si="3"/>
        <v>9.8752822927684586E-2</v>
      </c>
      <c r="V119" s="51">
        <f t="shared" si="4"/>
        <v>7.7560946378496726E-2</v>
      </c>
      <c r="W119" s="51">
        <f t="shared" si="5"/>
        <v>4.489853536363636E-3</v>
      </c>
      <c r="X119" s="51">
        <f t="shared" si="6"/>
        <v>4.3045324322256745E-2</v>
      </c>
      <c r="Y119" s="51">
        <f t="shared" si="7"/>
        <v>9.5872446558957147</v>
      </c>
      <c r="Z119" s="51">
        <f t="shared" si="8"/>
        <v>0.94676747386805993</v>
      </c>
      <c r="AA119" s="52">
        <v>1</v>
      </c>
    </row>
    <row r="120" spans="1:27">
      <c r="A120" s="49">
        <v>2019</v>
      </c>
      <c r="B120" s="49" t="s">
        <v>208</v>
      </c>
      <c r="C120" s="49" t="s">
        <v>209</v>
      </c>
      <c r="D120" s="50">
        <v>415197995568</v>
      </c>
      <c r="E120" s="50">
        <v>623057370408</v>
      </c>
      <c r="F120" s="50">
        <v>1215041391937</v>
      </c>
      <c r="G120" s="50"/>
      <c r="H120" s="50">
        <v>108411097142</v>
      </c>
      <c r="I120" s="50">
        <v>390067438922</v>
      </c>
      <c r="J120" s="50">
        <v>824973953015</v>
      </c>
      <c r="K120" s="51">
        <v>10000000000</v>
      </c>
      <c r="L120" s="50">
        <v>980145831991</v>
      </c>
      <c r="M120" s="50">
        <v>682255151407</v>
      </c>
      <c r="N120" s="50">
        <v>254608244796</v>
      </c>
      <c r="O120" s="50">
        <v>20100336037</v>
      </c>
      <c r="P120" s="50">
        <v>12151609257</v>
      </c>
      <c r="Q120" s="52">
        <v>128</v>
      </c>
      <c r="R120" s="49">
        <f t="shared" si="0"/>
        <v>1.0644261841374185</v>
      </c>
      <c r="S120" s="49">
        <f t="shared" si="1"/>
        <v>0.4728239449214558</v>
      </c>
      <c r="T120" s="51">
        <f t="shared" si="2"/>
        <v>1.6542922875208685E-2</v>
      </c>
      <c r="U120" s="51">
        <f t="shared" si="3"/>
        <v>2.4364812929596247E-2</v>
      </c>
      <c r="V120" s="51">
        <f t="shared" si="4"/>
        <v>2.0507495294011073E-2</v>
      </c>
      <c r="W120" s="51">
        <f t="shared" si="5"/>
        <v>9.49344473203125E-3</v>
      </c>
      <c r="X120" s="51">
        <f t="shared" si="6"/>
        <v>0.60454756749497818</v>
      </c>
      <c r="Y120" s="51">
        <f t="shared" si="7"/>
        <v>63.68052741226915</v>
      </c>
      <c r="Z120" s="51">
        <f t="shared" si="8"/>
        <v>1.5515641376579636</v>
      </c>
      <c r="AA120" s="52">
        <v>1</v>
      </c>
    </row>
    <row r="121" spans="1:27">
      <c r="A121" s="49">
        <v>2020</v>
      </c>
      <c r="B121" s="49" t="s">
        <v>208</v>
      </c>
      <c r="C121" s="49" t="s">
        <v>209</v>
      </c>
      <c r="D121" s="50">
        <v>264413829825</v>
      </c>
      <c r="E121" s="50">
        <v>580933225999</v>
      </c>
      <c r="F121" s="50">
        <v>1043313799003</v>
      </c>
      <c r="G121" s="50"/>
      <c r="H121" s="50">
        <v>163009184592</v>
      </c>
      <c r="I121" s="50">
        <v>466243114050</v>
      </c>
      <c r="J121" s="50">
        <v>577070684953</v>
      </c>
      <c r="K121" s="51">
        <v>10000000000</v>
      </c>
      <c r="L121" s="50">
        <v>284181538459</v>
      </c>
      <c r="M121" s="50">
        <v>237921357900</v>
      </c>
      <c r="N121" s="50">
        <v>235610486134</v>
      </c>
      <c r="O121" s="50">
        <v>-256092630622</v>
      </c>
      <c r="P121" s="50">
        <v>28040000</v>
      </c>
      <c r="Q121" s="52">
        <v>55</v>
      </c>
      <c r="R121" s="49">
        <f t="shared" si="0"/>
        <v>0.56711578542829522</v>
      </c>
      <c r="S121" s="49">
        <f t="shared" si="1"/>
        <v>0.80794801435455621</v>
      </c>
      <c r="T121" s="51">
        <f t="shared" si="2"/>
        <v>-0.24546079124681799</v>
      </c>
      <c r="U121" s="51">
        <f t="shared" si="3"/>
        <v>-0.44378035013658279</v>
      </c>
      <c r="V121" s="51">
        <f t="shared" si="4"/>
        <v>-0.90115857634765917</v>
      </c>
      <c r="W121" s="51">
        <f t="shared" si="5"/>
        <v>5.098181818181818E-5</v>
      </c>
      <c r="X121" s="51">
        <f t="shared" si="6"/>
        <v>-1.094916317267553E-4</v>
      </c>
      <c r="Y121" s="51">
        <f t="shared" si="7"/>
        <v>-2.1476603940697365</v>
      </c>
      <c r="Z121" s="51">
        <f t="shared" si="8"/>
        <v>0.95308948165473906</v>
      </c>
      <c r="AA121" s="52">
        <v>1</v>
      </c>
    </row>
    <row r="122" spans="1:27">
      <c r="A122" s="49">
        <v>2018</v>
      </c>
      <c r="B122" s="49" t="s">
        <v>211</v>
      </c>
      <c r="C122" s="49" t="s">
        <v>212</v>
      </c>
      <c r="D122" s="50">
        <v>587179039123</v>
      </c>
      <c r="E122" s="50">
        <v>313507248253</v>
      </c>
      <c r="F122" s="50">
        <v>986798686383</v>
      </c>
      <c r="G122" s="50"/>
      <c r="H122" s="50">
        <v>106701019905</v>
      </c>
      <c r="I122" s="50">
        <v>560755293708</v>
      </c>
      <c r="J122" s="50">
        <v>426043392675</v>
      </c>
      <c r="K122" s="51">
        <v>4000000000</v>
      </c>
      <c r="L122" s="50">
        <v>1176679314139</v>
      </c>
      <c r="M122" s="50">
        <v>947170542507</v>
      </c>
      <c r="N122" s="50">
        <v>159317990074</v>
      </c>
      <c r="O122" s="50">
        <v>21618512703</v>
      </c>
      <c r="P122" s="50">
        <v>8000000000</v>
      </c>
      <c r="Q122" s="52">
        <v>316</v>
      </c>
      <c r="R122" s="49">
        <f t="shared" si="0"/>
        <v>1.0471217047997403</v>
      </c>
      <c r="S122" s="49">
        <f t="shared" si="1"/>
        <v>1.3161929121519382</v>
      </c>
      <c r="T122" s="51">
        <f t="shared" si="2"/>
        <v>2.1907723430642411E-2</v>
      </c>
      <c r="U122" s="51">
        <f t="shared" si="3"/>
        <v>5.0742513731438892E-2</v>
      </c>
      <c r="V122" s="51">
        <f t="shared" si="4"/>
        <v>1.8372476207605216E-2</v>
      </c>
      <c r="W122" s="51">
        <f t="shared" si="5"/>
        <v>6.3291139240506328E-3</v>
      </c>
      <c r="X122" s="51">
        <f t="shared" si="6"/>
        <v>0.37005320902070382</v>
      </c>
      <c r="Y122" s="51">
        <f t="shared" si="7"/>
        <v>58.468407025271205</v>
      </c>
      <c r="Z122" s="51">
        <f t="shared" si="8"/>
        <v>2.9668339463351825</v>
      </c>
      <c r="AA122" s="52">
        <v>1</v>
      </c>
    </row>
    <row r="123" spans="1:27">
      <c r="A123" s="49">
        <v>2019</v>
      </c>
      <c r="B123" s="49" t="s">
        <v>211</v>
      </c>
      <c r="C123" s="49" t="s">
        <v>212</v>
      </c>
      <c r="D123" s="50">
        <v>553095462520</v>
      </c>
      <c r="E123" s="50">
        <v>297319143583</v>
      </c>
      <c r="F123" s="50">
        <v>962025149261</v>
      </c>
      <c r="G123" s="50"/>
      <c r="H123" s="50">
        <v>106816001403</v>
      </c>
      <c r="I123" s="50">
        <v>553754286838</v>
      </c>
      <c r="J123" s="50">
        <v>408270862423</v>
      </c>
      <c r="K123" s="51">
        <v>4000000000</v>
      </c>
      <c r="L123" s="50">
        <v>1187269670295</v>
      </c>
      <c r="M123" s="50">
        <v>891846999972</v>
      </c>
      <c r="N123" s="50">
        <v>211484755362</v>
      </c>
      <c r="O123" s="50">
        <v>32133014664</v>
      </c>
      <c r="P123" s="50">
        <v>8000000000</v>
      </c>
      <c r="Q123" s="52">
        <v>338</v>
      </c>
      <c r="R123" s="49">
        <f t="shared" si="0"/>
        <v>0.99881025874894447</v>
      </c>
      <c r="S123" s="49">
        <f t="shared" si="1"/>
        <v>1.3563404538633668</v>
      </c>
      <c r="T123" s="51">
        <f t="shared" si="2"/>
        <v>3.3401428942563149E-2</v>
      </c>
      <c r="U123" s="51">
        <f t="shared" si="3"/>
        <v>7.8705138234204247E-2</v>
      </c>
      <c r="V123" s="51">
        <f t="shared" si="4"/>
        <v>2.7064630275627215E-2</v>
      </c>
      <c r="W123" s="51">
        <f t="shared" si="5"/>
        <v>5.9171597633136093E-3</v>
      </c>
      <c r="X123" s="51">
        <f t="shared" si="6"/>
        <v>0.24896512461256068</v>
      </c>
      <c r="Y123" s="51">
        <f t="shared" si="7"/>
        <v>42.075106059522753</v>
      </c>
      <c r="Z123" s="51">
        <f t="shared" si="8"/>
        <v>3.3115270386335434</v>
      </c>
      <c r="AA123" s="52">
        <v>1</v>
      </c>
    </row>
    <row r="124" spans="1:27">
      <c r="A124" s="49">
        <v>2020</v>
      </c>
      <c r="B124" s="49" t="s">
        <v>211</v>
      </c>
      <c r="C124" s="49" t="s">
        <v>212</v>
      </c>
      <c r="D124" s="50">
        <v>505972668218</v>
      </c>
      <c r="E124" s="50">
        <v>385727013711</v>
      </c>
      <c r="F124" s="50">
        <v>972015359252</v>
      </c>
      <c r="G124" s="50"/>
      <c r="H124" s="50">
        <v>151749817514</v>
      </c>
      <c r="I124" s="50">
        <v>601172001077</v>
      </c>
      <c r="J124" s="50">
        <v>370843358175</v>
      </c>
      <c r="K124" s="51">
        <v>4000000000</v>
      </c>
      <c r="L124" s="50">
        <v>984347363283</v>
      </c>
      <c r="M124" s="50">
        <v>745766889459</v>
      </c>
      <c r="N124" s="50">
        <v>189978072198</v>
      </c>
      <c r="O124" s="50">
        <v>1599783419</v>
      </c>
      <c r="P124" s="50">
        <v>8000000000</v>
      </c>
      <c r="Q124" s="52">
        <v>346</v>
      </c>
      <c r="R124" s="49">
        <f t="shared" si="0"/>
        <v>0.84164376802570584</v>
      </c>
      <c r="S124" s="49">
        <f t="shared" si="1"/>
        <v>1.6210941569386514</v>
      </c>
      <c r="T124" s="51">
        <f t="shared" si="2"/>
        <v>1.6458417079243373E-3</v>
      </c>
      <c r="U124" s="51">
        <f t="shared" si="3"/>
        <v>4.313906083886411E-3</v>
      </c>
      <c r="V124" s="51">
        <f t="shared" si="4"/>
        <v>1.6252224353650877E-3</v>
      </c>
      <c r="W124" s="51">
        <f t="shared" si="5"/>
        <v>5.7803468208092483E-3</v>
      </c>
      <c r="X124" s="51">
        <f t="shared" si="6"/>
        <v>5.0006769072532808</v>
      </c>
      <c r="Y124" s="51">
        <f t="shared" si="7"/>
        <v>865.11710495481759</v>
      </c>
      <c r="Z124" s="51">
        <f t="shared" si="8"/>
        <v>3.7320339423387869</v>
      </c>
      <c r="AA124" s="52">
        <v>1</v>
      </c>
    </row>
    <row r="125" spans="1:27">
      <c r="A125" s="49">
        <v>2018</v>
      </c>
      <c r="B125" s="49" t="s">
        <v>213</v>
      </c>
      <c r="C125" s="49" t="s">
        <v>214</v>
      </c>
      <c r="D125" s="50">
        <v>179359221655</v>
      </c>
      <c r="E125" s="50">
        <v>604523211</v>
      </c>
      <c r="F125" s="50">
        <v>1262027127785</v>
      </c>
      <c r="G125" s="50"/>
      <c r="H125" s="50"/>
      <c r="I125" s="50">
        <v>12074906518</v>
      </c>
      <c r="J125" s="50">
        <v>1249952221267</v>
      </c>
      <c r="K125" s="51">
        <v>34386750000</v>
      </c>
      <c r="L125" s="50">
        <v>3309695977</v>
      </c>
      <c r="M125" s="50">
        <v>4326032844</v>
      </c>
      <c r="N125" s="50">
        <v>38942653627</v>
      </c>
      <c r="O125" s="50">
        <v>36602219324</v>
      </c>
      <c r="Q125" s="52">
        <v>102</v>
      </c>
      <c r="R125" s="49">
        <f t="shared" si="0"/>
        <v>14.853880764015038</v>
      </c>
      <c r="S125" s="49">
        <f t="shared" si="1"/>
        <v>9.6602944597037541E-3</v>
      </c>
      <c r="T125" s="51">
        <f t="shared" si="2"/>
        <v>2.9002719924286432E-2</v>
      </c>
      <c r="U125" s="51">
        <f t="shared" si="3"/>
        <v>2.9282894738887358E-2</v>
      </c>
      <c r="V125" s="51">
        <f t="shared" si="4"/>
        <v>11.059088078892753</v>
      </c>
      <c r="W125" s="51">
        <f t="shared" si="5"/>
        <v>0</v>
      </c>
      <c r="X125" s="51">
        <f t="shared" si="6"/>
        <v>0</v>
      </c>
      <c r="Y125" s="51">
        <f t="shared" si="7"/>
        <v>95.826115595678459</v>
      </c>
      <c r="Z125" s="51">
        <f t="shared" si="8"/>
        <v>2.8060660562247048</v>
      </c>
      <c r="AA125" s="52">
        <v>1</v>
      </c>
    </row>
    <row r="126" spans="1:27">
      <c r="A126" s="49">
        <v>2019</v>
      </c>
      <c r="B126" s="49" t="s">
        <v>213</v>
      </c>
      <c r="C126" s="49" t="s">
        <v>214</v>
      </c>
      <c r="D126" s="50">
        <v>167434324974</v>
      </c>
      <c r="E126" s="50">
        <v>544048165</v>
      </c>
      <c r="F126" s="50">
        <v>1093765589044</v>
      </c>
      <c r="G126" s="50"/>
      <c r="H126" s="50"/>
      <c r="I126" s="50">
        <v>12322265710</v>
      </c>
      <c r="J126" s="50">
        <v>1081443323334</v>
      </c>
      <c r="K126" s="51">
        <v>34386750000</v>
      </c>
      <c r="L126" s="50">
        <v>2864926016</v>
      </c>
      <c r="M126" s="50">
        <v>6271926871</v>
      </c>
      <c r="N126" s="50">
        <v>38109266181</v>
      </c>
      <c r="O126" s="50">
        <v>-40516442135</v>
      </c>
      <c r="Q126" s="52">
        <v>80</v>
      </c>
      <c r="R126" s="49">
        <f t="shared" si="0"/>
        <v>13.587949563376199</v>
      </c>
      <c r="S126" s="49">
        <f t="shared" si="1"/>
        <v>1.1394277854535619E-2</v>
      </c>
      <c r="T126" s="51">
        <f t="shared" si="2"/>
        <v>-3.7043076268666653E-2</v>
      </c>
      <c r="U126" s="51">
        <f t="shared" si="3"/>
        <v>-3.7465155372258599E-2</v>
      </c>
      <c r="V126" s="51">
        <f t="shared" si="4"/>
        <v>-14.142229819801392</v>
      </c>
      <c r="W126" s="51">
        <f t="shared" si="5"/>
        <v>0</v>
      </c>
      <c r="X126" s="51">
        <f t="shared" si="6"/>
        <v>0</v>
      </c>
      <c r="Y126" s="51">
        <f t="shared" si="7"/>
        <v>-67.896879761404549</v>
      </c>
      <c r="Z126" s="51">
        <f t="shared" si="8"/>
        <v>2.5437671495525813</v>
      </c>
      <c r="AA126" s="52">
        <v>1</v>
      </c>
    </row>
    <row r="127" spans="1:27">
      <c r="A127" s="49">
        <v>2020</v>
      </c>
      <c r="B127" s="49" t="s">
        <v>213</v>
      </c>
      <c r="C127" s="49" t="s">
        <v>214</v>
      </c>
      <c r="D127" s="50">
        <v>80574942090</v>
      </c>
      <c r="E127" s="50">
        <v>488353479</v>
      </c>
      <c r="F127" s="50">
        <v>1098807182384</v>
      </c>
      <c r="G127" s="50"/>
      <c r="H127" s="50"/>
      <c r="I127" s="50">
        <v>4057590748</v>
      </c>
      <c r="J127" s="50">
        <v>1094749591636</v>
      </c>
      <c r="K127" s="51">
        <v>34386750000</v>
      </c>
      <c r="L127" s="50">
        <v>60000000</v>
      </c>
      <c r="M127" s="50">
        <v>0</v>
      </c>
      <c r="N127" s="50">
        <v>10339109764</v>
      </c>
      <c r="O127" s="50">
        <v>15645276591</v>
      </c>
      <c r="Q127" s="52">
        <v>88</v>
      </c>
      <c r="R127" s="49">
        <f t="shared" si="0"/>
        <v>19.857828720088555</v>
      </c>
      <c r="S127" s="49">
        <f t="shared" si="1"/>
        <v>3.7064099215020608E-3</v>
      </c>
      <c r="T127" s="51">
        <f t="shared" si="2"/>
        <v>1.4238418570449831E-2</v>
      </c>
      <c r="U127" s="51">
        <f t="shared" si="3"/>
        <v>1.4291191986305846E-2</v>
      </c>
      <c r="V127" s="51">
        <f t="shared" si="4"/>
        <v>260.75460985000001</v>
      </c>
      <c r="W127" s="51">
        <f t="shared" si="5"/>
        <v>0</v>
      </c>
      <c r="X127" s="51">
        <f t="shared" si="6"/>
        <v>0</v>
      </c>
      <c r="Y127" s="51">
        <f t="shared" si="7"/>
        <v>193.41518076712921</v>
      </c>
      <c r="Z127" s="51">
        <f t="shared" si="8"/>
        <v>2.7641334814090937</v>
      </c>
      <c r="AA127" s="52">
        <v>1</v>
      </c>
    </row>
    <row r="128" spans="1:27">
      <c r="A128" s="49">
        <v>2018</v>
      </c>
      <c r="B128" s="49" t="s">
        <v>215</v>
      </c>
      <c r="C128" s="49" t="s">
        <v>216</v>
      </c>
      <c r="D128" s="50">
        <v>92949676000000</v>
      </c>
      <c r="E128" s="50">
        <v>2642568000000</v>
      </c>
      <c r="F128" s="50">
        <v>100663451000000</v>
      </c>
      <c r="G128" s="50"/>
      <c r="H128" s="50"/>
      <c r="I128" s="50">
        <v>75550211000000</v>
      </c>
      <c r="J128" s="50">
        <v>25113240000000</v>
      </c>
      <c r="K128" s="51">
        <v>21513629568</v>
      </c>
      <c r="L128" s="50">
        <v>37377268000000</v>
      </c>
      <c r="M128" s="50">
        <v>35730089000000</v>
      </c>
      <c r="N128" s="50">
        <v>4099487000000</v>
      </c>
      <c r="O128" s="50">
        <v>1537695000000</v>
      </c>
      <c r="P128" s="50">
        <v>556368000000</v>
      </c>
      <c r="Q128" s="52">
        <v>8650</v>
      </c>
      <c r="R128" s="49">
        <f t="shared" si="0"/>
        <v>1.2303033276770068</v>
      </c>
      <c r="S128" s="49">
        <f t="shared" si="1"/>
        <v>3.0083816743677838</v>
      </c>
      <c r="T128" s="51">
        <f t="shared" si="2"/>
        <v>1.5275603853478061E-2</v>
      </c>
      <c r="U128" s="51">
        <f t="shared" si="3"/>
        <v>6.1230450551183362E-2</v>
      </c>
      <c r="V128" s="51">
        <f t="shared" si="4"/>
        <v>4.1139844677786509E-2</v>
      </c>
      <c r="W128" s="51">
        <f t="shared" si="5"/>
        <v>2.9897326156285335E-3</v>
      </c>
      <c r="X128" s="51">
        <f t="shared" si="6"/>
        <v>0.36181947655419311</v>
      </c>
      <c r="Y128" s="51">
        <f t="shared" si="7"/>
        <v>121.02068080028874</v>
      </c>
      <c r="Z128" s="51">
        <f t="shared" si="8"/>
        <v>7.4101508114126249</v>
      </c>
      <c r="AA128" s="52">
        <v>1</v>
      </c>
    </row>
    <row r="129" spans="1:27">
      <c r="A129" s="49">
        <v>2019</v>
      </c>
      <c r="B129" s="49" t="s">
        <v>215</v>
      </c>
      <c r="C129" s="49" t="s">
        <v>216</v>
      </c>
      <c r="D129" s="50">
        <v>89775505000000</v>
      </c>
      <c r="E129" s="50">
        <v>2558102000000</v>
      </c>
      <c r="F129" s="50">
        <v>99624857000000</v>
      </c>
      <c r="G129" s="50"/>
      <c r="H129" s="50"/>
      <c r="I129" s="50">
        <v>77460250000000</v>
      </c>
      <c r="J129" s="50">
        <v>22164607000000</v>
      </c>
      <c r="K129" s="51">
        <v>21513629568</v>
      </c>
      <c r="L129" s="50">
        <v>41919335000000</v>
      </c>
      <c r="M129" s="50">
        <v>36737570000000</v>
      </c>
      <c r="N129" s="50">
        <v>4397470000000</v>
      </c>
      <c r="O129" s="50">
        <v>5070554000000</v>
      </c>
      <c r="P129" s="50">
        <v>190000000000</v>
      </c>
      <c r="Q129" s="52">
        <v>15225</v>
      </c>
      <c r="R129" s="49">
        <f t="shared" si="0"/>
        <v>1.1589880616187012</v>
      </c>
      <c r="S129" s="49">
        <f t="shared" si="1"/>
        <v>3.4947720931844177</v>
      </c>
      <c r="T129" s="51">
        <f t="shared" si="2"/>
        <v>5.0896474561564486E-2</v>
      </c>
      <c r="U129" s="51">
        <f t="shared" si="3"/>
        <v>0.22876805350079069</v>
      </c>
      <c r="V129" s="51">
        <f t="shared" si="4"/>
        <v>0.12095979098905076</v>
      </c>
      <c r="W129" s="51">
        <f t="shared" si="5"/>
        <v>5.8007294905748489E-4</v>
      </c>
      <c r="X129" s="51">
        <f t="shared" si="6"/>
        <v>3.7471250675961638E-2</v>
      </c>
      <c r="Y129" s="51">
        <f t="shared" si="7"/>
        <v>64.597479914975764</v>
      </c>
      <c r="Z129" s="51">
        <f t="shared" si="8"/>
        <v>14.777839741205426</v>
      </c>
      <c r="AA129" s="52">
        <v>1</v>
      </c>
    </row>
    <row r="130" spans="1:27">
      <c r="A130" s="49">
        <v>2020</v>
      </c>
      <c r="B130" s="49" t="s">
        <v>215</v>
      </c>
      <c r="C130" s="49" t="s">
        <v>216</v>
      </c>
      <c r="D130" s="50">
        <v>95051283000000</v>
      </c>
      <c r="E130" s="50">
        <v>3234752000000</v>
      </c>
      <c r="F130" s="50">
        <v>108456227000000</v>
      </c>
      <c r="G130" s="50"/>
      <c r="H130" s="50"/>
      <c r="I130" s="50">
        <v>85533983000000</v>
      </c>
      <c r="J130" s="50">
        <v>22922244000000</v>
      </c>
      <c r="K130" s="51">
        <v>21513629568</v>
      </c>
      <c r="L130" s="50">
        <v>38259352000000</v>
      </c>
      <c r="M130" s="50">
        <v>37609184000000</v>
      </c>
      <c r="N130" s="50">
        <v>4221478000000</v>
      </c>
      <c r="O130" s="50">
        <v>559820000000</v>
      </c>
      <c r="P130" s="50">
        <v>0</v>
      </c>
      <c r="Q130" s="52">
        <v>11400</v>
      </c>
      <c r="R130" s="49">
        <f t="shared" si="0"/>
        <v>1.11126922500499</v>
      </c>
      <c r="S130" s="49">
        <f t="shared" si="1"/>
        <v>3.7314838372717785</v>
      </c>
      <c r="T130" s="51">
        <f t="shared" si="2"/>
        <v>5.1617137667899883E-3</v>
      </c>
      <c r="U130" s="51">
        <f t="shared" si="3"/>
        <v>2.4422565260190057E-2</v>
      </c>
      <c r="V130" s="51">
        <f t="shared" si="4"/>
        <v>1.4632239458734167E-2</v>
      </c>
      <c r="W130" s="51">
        <f t="shared" si="5"/>
        <v>0</v>
      </c>
      <c r="X130" s="51">
        <f t="shared" si="6"/>
        <v>0</v>
      </c>
      <c r="Y130" s="51">
        <f t="shared" si="7"/>
        <v>438.09684733521487</v>
      </c>
      <c r="Z130" s="51">
        <f t="shared" si="8"/>
        <v>10.699448844327806</v>
      </c>
      <c r="AA130" s="52">
        <v>1</v>
      </c>
    </row>
    <row r="131" spans="1:27">
      <c r="A131" s="49">
        <v>2018</v>
      </c>
      <c r="B131" s="49" t="s">
        <v>217</v>
      </c>
      <c r="C131" s="49" t="s">
        <v>218</v>
      </c>
      <c r="D131" s="50">
        <v>28940213807000</v>
      </c>
      <c r="E131" s="50">
        <v>544030482000</v>
      </c>
      <c r="F131" s="50">
        <v>30815122948000</v>
      </c>
      <c r="G131" s="50"/>
      <c r="H131" s="50"/>
      <c r="I131" s="50">
        <v>25993108259000</v>
      </c>
      <c r="J131" s="50">
        <v>3287794997000</v>
      </c>
      <c r="K131" s="51">
        <v>1500000000000</v>
      </c>
      <c r="L131" s="50">
        <v>1112846234000</v>
      </c>
      <c r="M131" s="50">
        <v>662534518000</v>
      </c>
      <c r="N131" s="50">
        <v>48435751000</v>
      </c>
      <c r="O131" s="50">
        <v>80821884000</v>
      </c>
      <c r="P131" s="50">
        <v>403934000</v>
      </c>
      <c r="Q131" s="52">
        <v>104</v>
      </c>
      <c r="R131" s="49">
        <f t="shared" si="0"/>
        <v>1.1133802667474206</v>
      </c>
      <c r="S131" s="49">
        <f t="shared" si="1"/>
        <v>7.9059394769801097</v>
      </c>
      <c r="T131" s="51">
        <f t="shared" si="2"/>
        <v>2.622799335780213E-3</v>
      </c>
      <c r="U131" s="51">
        <f t="shared" si="3"/>
        <v>2.4582397647586664E-2</v>
      </c>
      <c r="V131" s="51">
        <f t="shared" si="4"/>
        <v>7.2626281628769926E-2</v>
      </c>
      <c r="W131" s="51">
        <f t="shared" si="5"/>
        <v>2.589320512820513E-6</v>
      </c>
      <c r="X131" s="51">
        <f t="shared" si="6"/>
        <v>4.9978295482446316E-3</v>
      </c>
      <c r="Y131" s="51">
        <f t="shared" si="7"/>
        <v>1930.1702989254741</v>
      </c>
      <c r="Z131" s="51">
        <f t="shared" si="8"/>
        <v>47.448213815747224</v>
      </c>
      <c r="AA131" s="52">
        <v>1</v>
      </c>
    </row>
    <row r="132" spans="1:27">
      <c r="A132" s="49">
        <v>2019</v>
      </c>
      <c r="B132" s="49" t="s">
        <v>217</v>
      </c>
      <c r="C132" s="49" t="s">
        <v>218</v>
      </c>
      <c r="D132" s="50">
        <v>29212618048000</v>
      </c>
      <c r="E132" s="50">
        <v>529228073000</v>
      </c>
      <c r="F132" s="50">
        <v>31243747963000</v>
      </c>
      <c r="G132" s="50"/>
      <c r="H132" s="50"/>
      <c r="I132" s="50">
        <v>26052543404000</v>
      </c>
      <c r="J132" s="50">
        <v>3503719943000</v>
      </c>
      <c r="K132" s="51">
        <v>1500000000000</v>
      </c>
      <c r="L132" s="50">
        <v>1081783774000</v>
      </c>
      <c r="M132" s="50">
        <v>835314940000</v>
      </c>
      <c r="N132" s="50">
        <v>52908931000</v>
      </c>
      <c r="O132" s="50">
        <v>47666013000</v>
      </c>
      <c r="P132" s="50">
        <v>3386773000</v>
      </c>
      <c r="Q132" s="52">
        <v>112</v>
      </c>
      <c r="R132" s="49">
        <f t="shared" si="0"/>
        <v>1.1212962049423096</v>
      </c>
      <c r="S132" s="49">
        <f t="shared" si="1"/>
        <v>7.4356808842698072</v>
      </c>
      <c r="T132" s="51">
        <f t="shared" si="2"/>
        <v>1.525617638973655E-3</v>
      </c>
      <c r="U132" s="51">
        <f t="shared" si="3"/>
        <v>1.3604401543345612E-2</v>
      </c>
      <c r="V132" s="51">
        <f t="shared" si="4"/>
        <v>4.4062421849562702E-2</v>
      </c>
      <c r="W132" s="51">
        <f t="shared" si="5"/>
        <v>2.0159363095238095E-5</v>
      </c>
      <c r="X132" s="51">
        <f t="shared" si="6"/>
        <v>7.1052156176771061E-2</v>
      </c>
      <c r="Y132" s="51">
        <f t="shared" si="7"/>
        <v>3524.523857281707</v>
      </c>
      <c r="Z132" s="51">
        <f t="shared" si="8"/>
        <v>47.949037803561687</v>
      </c>
      <c r="AA132" s="52">
        <v>1</v>
      </c>
    </row>
    <row r="133" spans="1:27">
      <c r="A133" s="49">
        <v>2020</v>
      </c>
      <c r="B133" s="49" t="s">
        <v>217</v>
      </c>
      <c r="C133" s="49" t="s">
        <v>218</v>
      </c>
      <c r="D133" s="50">
        <v>24559677724000</v>
      </c>
      <c r="E133" s="50">
        <v>572564466000</v>
      </c>
      <c r="F133" s="50">
        <v>26961960681000</v>
      </c>
      <c r="G133" s="50"/>
      <c r="H133" s="50"/>
      <c r="I133" s="50">
        <v>22447783800000</v>
      </c>
      <c r="J133" s="50">
        <v>3134994520000</v>
      </c>
      <c r="K133" s="51">
        <v>1500000000000</v>
      </c>
      <c r="L133" s="50">
        <v>864181616000</v>
      </c>
      <c r="M133" s="50">
        <v>596052897000</v>
      </c>
      <c r="N133" s="50">
        <v>99591995000</v>
      </c>
      <c r="O133" s="50">
        <v>-238080320000</v>
      </c>
      <c r="P133" s="50">
        <v>2649293000</v>
      </c>
      <c r="Q133" s="52">
        <v>80</v>
      </c>
      <c r="R133" s="49">
        <f t="shared" si="0"/>
        <v>1.0940802861795202</v>
      </c>
      <c r="S133" s="49">
        <f t="shared" si="1"/>
        <v>7.1603901240631194</v>
      </c>
      <c r="T133" s="51">
        <f t="shared" si="2"/>
        <v>-8.8302302201551074E-3</v>
      </c>
      <c r="U133" s="51">
        <f t="shared" si="3"/>
        <v>-7.5942818553953961E-2</v>
      </c>
      <c r="V133" s="51">
        <f t="shared" si="4"/>
        <v>-0.27549801522276307</v>
      </c>
      <c r="W133" s="51">
        <f t="shared" si="5"/>
        <v>2.2077441666666665E-5</v>
      </c>
      <c r="X133" s="51">
        <f t="shared" si="6"/>
        <v>-1.1127727818914222E-2</v>
      </c>
      <c r="Y133" s="51">
        <f t="shared" si="7"/>
        <v>-504.03158060271426</v>
      </c>
      <c r="Z133" s="51">
        <f t="shared" si="8"/>
        <v>38.277578871174548</v>
      </c>
      <c r="AA133" s="52">
        <v>1</v>
      </c>
    </row>
    <row r="134" spans="1:27">
      <c r="A134" s="49">
        <v>2018</v>
      </c>
      <c r="B134" s="49" t="s">
        <v>219</v>
      </c>
      <c r="C134" s="49" t="s">
        <v>220</v>
      </c>
      <c r="D134" s="50">
        <v>29757520000000</v>
      </c>
      <c r="E134" s="50">
        <v>245488000000</v>
      </c>
      <c r="F134" s="50">
        <v>31496441000000</v>
      </c>
      <c r="G134" s="50"/>
      <c r="H134" s="50"/>
      <c r="I134" s="50">
        <v>24468242000000</v>
      </c>
      <c r="J134" s="50">
        <v>7028199000000</v>
      </c>
      <c r="K134" s="51">
        <v>4000000000</v>
      </c>
      <c r="L134" s="50">
        <v>10138755000000</v>
      </c>
      <c r="M134" s="50"/>
      <c r="N134" s="50">
        <v>2166259000000</v>
      </c>
      <c r="O134" s="50">
        <v>1987284000000</v>
      </c>
      <c r="P134" s="50">
        <v>704500000000</v>
      </c>
      <c r="Q134" s="52">
        <v>9100</v>
      </c>
      <c r="R134" s="49">
        <f t="shared" si="0"/>
        <v>1.2161691060600104</v>
      </c>
      <c r="S134" s="49">
        <f t="shared" si="1"/>
        <v>3.4814384168689587</v>
      </c>
      <c r="T134" s="51">
        <f t="shared" si="2"/>
        <v>6.3095509743465936E-2</v>
      </c>
      <c r="U134" s="51">
        <f t="shared" si="3"/>
        <v>0.28275864129629796</v>
      </c>
      <c r="V134" s="51">
        <f t="shared" si="4"/>
        <v>0.19600868153930143</v>
      </c>
      <c r="W134" s="51">
        <f t="shared" si="5"/>
        <v>1.9354395604395603E-2</v>
      </c>
      <c r="X134" s="51">
        <f t="shared" si="6"/>
        <v>0.35450393602524854</v>
      </c>
      <c r="Y134" s="51">
        <f t="shared" si="7"/>
        <v>18.316456027422351</v>
      </c>
      <c r="Z134" s="51">
        <f t="shared" si="8"/>
        <v>5.1791362196773312</v>
      </c>
      <c r="AA134" s="52">
        <v>1</v>
      </c>
    </row>
    <row r="135" spans="1:27">
      <c r="A135" s="49">
        <v>2019</v>
      </c>
      <c r="B135" s="49" t="s">
        <v>219</v>
      </c>
      <c r="C135" s="49" t="s">
        <v>220</v>
      </c>
      <c r="D135" s="50">
        <v>33504454000000</v>
      </c>
      <c r="E135" s="50">
        <v>266149000000</v>
      </c>
      <c r="F135" s="50">
        <v>35116853000000</v>
      </c>
      <c r="G135" s="50"/>
      <c r="H135" s="50"/>
      <c r="I135" s="50">
        <v>27038058000000</v>
      </c>
      <c r="J135" s="50">
        <v>8078795000000</v>
      </c>
      <c r="K135" s="51">
        <v>4000000000</v>
      </c>
      <c r="L135" s="50">
        <v>11337726000000</v>
      </c>
      <c r="M135" s="50"/>
      <c r="N135" s="50">
        <v>2354551000000</v>
      </c>
      <c r="O135" s="50">
        <v>1958596000000</v>
      </c>
      <c r="P135" s="50">
        <v>908000000000</v>
      </c>
      <c r="Q135" s="52">
        <v>10400</v>
      </c>
      <c r="R135" s="49">
        <f t="shared" si="0"/>
        <v>1.2391590401943808</v>
      </c>
      <c r="S135" s="49">
        <f t="shared" si="1"/>
        <v>3.3467934264949166</v>
      </c>
      <c r="T135" s="51">
        <f t="shared" si="2"/>
        <v>5.5773676530752915E-2</v>
      </c>
      <c r="U135" s="51">
        <f t="shared" si="3"/>
        <v>0.24243665051533056</v>
      </c>
      <c r="V135" s="51">
        <f t="shared" si="4"/>
        <v>0.17275033811894908</v>
      </c>
      <c r="W135" s="51">
        <f t="shared" si="5"/>
        <v>2.1826923076923077E-2</v>
      </c>
      <c r="X135" s="51">
        <f t="shared" si="6"/>
        <v>0.46359739323474569</v>
      </c>
      <c r="Y135" s="51">
        <f t="shared" si="7"/>
        <v>21.239704359653548</v>
      </c>
      <c r="Z135" s="51">
        <f t="shared" si="8"/>
        <v>5.1492827828902703</v>
      </c>
      <c r="AA135" s="52">
        <v>1</v>
      </c>
    </row>
    <row r="136" spans="1:27">
      <c r="A136" s="49">
        <v>2020</v>
      </c>
      <c r="B136" s="49" t="s">
        <v>219</v>
      </c>
      <c r="C136" s="49" t="s">
        <v>220</v>
      </c>
      <c r="D136" s="50">
        <v>27479153000000</v>
      </c>
      <c r="E136" s="50">
        <v>244529000000</v>
      </c>
      <c r="F136" s="50">
        <v>29230513000000</v>
      </c>
      <c r="G136" s="50"/>
      <c r="H136" s="50"/>
      <c r="I136" s="50">
        <v>21305238000000</v>
      </c>
      <c r="J136" s="50">
        <v>7925275000000</v>
      </c>
      <c r="K136" s="51">
        <v>4000000000</v>
      </c>
      <c r="L136" s="50">
        <v>9434745000000</v>
      </c>
      <c r="M136" s="50"/>
      <c r="N136" s="50">
        <v>1976168000000</v>
      </c>
      <c r="O136" s="50">
        <v>1015111000000</v>
      </c>
      <c r="P136" s="50">
        <v>1054500000000</v>
      </c>
      <c r="Q136" s="52">
        <v>8975</v>
      </c>
      <c r="R136" s="49">
        <f t="shared" si="0"/>
        <v>1.2897839019681452</v>
      </c>
      <c r="S136" s="49">
        <f t="shared" si="1"/>
        <v>2.6882648236181077</v>
      </c>
      <c r="T136" s="51">
        <f t="shared" si="2"/>
        <v>3.4727785995408295E-2</v>
      </c>
      <c r="U136" s="51">
        <f t="shared" si="3"/>
        <v>0.12808527148900195</v>
      </c>
      <c r="V136" s="51">
        <f t="shared" si="4"/>
        <v>0.10759283902214634</v>
      </c>
      <c r="W136" s="51">
        <f t="shared" si="5"/>
        <v>2.9373259052924792E-2</v>
      </c>
      <c r="X136" s="51">
        <f t="shared" si="6"/>
        <v>1.0388026531088719</v>
      </c>
      <c r="Y136" s="51">
        <f t="shared" si="7"/>
        <v>35.365590561032242</v>
      </c>
      <c r="Z136" s="51">
        <f t="shared" si="8"/>
        <v>4.5298112683787002</v>
      </c>
      <c r="AA136" s="52">
        <v>1</v>
      </c>
    </row>
    <row r="137" spans="1:27">
      <c r="A137" s="49">
        <v>2018</v>
      </c>
      <c r="B137" s="49" t="s">
        <v>223</v>
      </c>
      <c r="C137" s="49" t="s">
        <v>224</v>
      </c>
      <c r="D137" s="50">
        <v>4863569000000</v>
      </c>
      <c r="E137" s="50">
        <v>102764000000</v>
      </c>
      <c r="F137" s="50">
        <v>5019046000000</v>
      </c>
      <c r="G137" s="50"/>
      <c r="H137" s="50"/>
      <c r="I137" s="50">
        <v>3841990000000</v>
      </c>
      <c r="J137" s="50">
        <v>1177056000000</v>
      </c>
      <c r="K137" s="51">
        <v>4800000000</v>
      </c>
      <c r="L137" s="50">
        <v>739882000000</v>
      </c>
      <c r="M137" s="50">
        <v>662970000000</v>
      </c>
      <c r="N137" s="50">
        <v>192894000000</v>
      </c>
      <c r="O137" s="50">
        <v>57571000000</v>
      </c>
      <c r="P137" s="50">
        <v>26315000000</v>
      </c>
      <c r="Q137" s="52">
        <v>472</v>
      </c>
      <c r="R137" s="49">
        <f t="shared" si="0"/>
        <v>1.2658984016095824</v>
      </c>
      <c r="S137" s="49">
        <f t="shared" si="1"/>
        <v>3.2640673001114644</v>
      </c>
      <c r="T137" s="51">
        <f t="shared" si="2"/>
        <v>1.1470506546463212E-2</v>
      </c>
      <c r="U137" s="51">
        <f t="shared" si="3"/>
        <v>4.891101188048827E-2</v>
      </c>
      <c r="V137" s="51">
        <f t="shared" si="4"/>
        <v>7.7811056357635411E-2</v>
      </c>
      <c r="W137" s="51">
        <f t="shared" si="5"/>
        <v>1.1615024717514124E-2</v>
      </c>
      <c r="X137" s="51">
        <f t="shared" si="6"/>
        <v>0.45708776988414307</v>
      </c>
      <c r="Y137" s="51">
        <f t="shared" si="7"/>
        <v>39.353146549478033</v>
      </c>
      <c r="Z137" s="51">
        <f t="shared" si="8"/>
        <v>1.9248022184161162</v>
      </c>
      <c r="AA137" s="52">
        <v>1</v>
      </c>
    </row>
    <row r="138" spans="1:27">
      <c r="A138" s="49">
        <v>2019</v>
      </c>
      <c r="B138" s="49" t="s">
        <v>223</v>
      </c>
      <c r="C138" s="49" t="s">
        <v>224</v>
      </c>
      <c r="D138" s="50">
        <v>4899380000000</v>
      </c>
      <c r="E138" s="50">
        <v>100426000000</v>
      </c>
      <c r="F138" s="50">
        <v>5051402000000</v>
      </c>
      <c r="G138" s="50"/>
      <c r="H138" s="50"/>
      <c r="I138" s="50">
        <v>3843919000000</v>
      </c>
      <c r="J138" s="50">
        <v>1207483000000</v>
      </c>
      <c r="K138" s="51">
        <v>4800000000</v>
      </c>
      <c r="L138" s="50">
        <v>839267000000</v>
      </c>
      <c r="M138" s="50">
        <v>760878000000</v>
      </c>
      <c r="N138" s="50">
        <v>218494000000</v>
      </c>
      <c r="O138" s="50">
        <v>59269000000</v>
      </c>
      <c r="P138" s="50">
        <v>23025000000</v>
      </c>
      <c r="Q138" s="52">
        <v>404</v>
      </c>
      <c r="R138" s="49">
        <f t="shared" si="0"/>
        <v>1.2745794071102956</v>
      </c>
      <c r="S138" s="49">
        <f t="shared" si="1"/>
        <v>3.1834145905159743</v>
      </c>
      <c r="T138" s="51">
        <f t="shared" si="2"/>
        <v>1.1733178234478269E-2</v>
      </c>
      <c r="U138" s="51">
        <f t="shared" si="3"/>
        <v>4.9084749019240849E-2</v>
      </c>
      <c r="V138" s="51">
        <f t="shared" si="4"/>
        <v>7.0619957653523843E-2</v>
      </c>
      <c r="W138" s="51">
        <f t="shared" si="5"/>
        <v>1.187345297029703E-2</v>
      </c>
      <c r="X138" s="51">
        <f t="shared" si="6"/>
        <v>0.38848301810389918</v>
      </c>
      <c r="Y138" s="51">
        <f t="shared" si="7"/>
        <v>32.718621876529049</v>
      </c>
      <c r="Z138" s="51">
        <f t="shared" si="8"/>
        <v>1.6059853430648714</v>
      </c>
      <c r="AA138" s="52">
        <v>1</v>
      </c>
    </row>
    <row r="139" spans="1:27">
      <c r="A139" s="49">
        <v>2020</v>
      </c>
      <c r="B139" s="49" t="s">
        <v>223</v>
      </c>
      <c r="C139" s="49" t="s">
        <v>224</v>
      </c>
      <c r="D139" s="50">
        <v>3978718000000</v>
      </c>
      <c r="E139" s="50">
        <v>88359000000</v>
      </c>
      <c r="F139" s="50">
        <v>4115895000000</v>
      </c>
      <c r="G139" s="50"/>
      <c r="H139" s="50"/>
      <c r="I139" s="50">
        <v>2907239000000</v>
      </c>
      <c r="J139" s="50">
        <v>1208656000000</v>
      </c>
      <c r="K139" s="51">
        <v>4800000000</v>
      </c>
      <c r="L139" s="50">
        <v>680194000000</v>
      </c>
      <c r="M139" s="50">
        <v>652982000000</v>
      </c>
      <c r="N139" s="50">
        <v>211172000000</v>
      </c>
      <c r="O139" s="50">
        <v>20053000000</v>
      </c>
      <c r="P139" s="50"/>
      <c r="Q139" s="52">
        <v>368</v>
      </c>
      <c r="R139" s="49">
        <f t="shared" si="0"/>
        <v>1.3685555263946307</v>
      </c>
      <c r="S139" s="49">
        <f t="shared" si="1"/>
        <v>2.4053485855363315</v>
      </c>
      <c r="T139" s="51">
        <f t="shared" si="2"/>
        <v>4.8720873588854914E-3</v>
      </c>
      <c r="U139" s="51">
        <f t="shared" si="3"/>
        <v>1.6591155796190148E-2</v>
      </c>
      <c r="V139" s="51">
        <f t="shared" si="4"/>
        <v>2.9481295042296757E-2</v>
      </c>
      <c r="W139" s="51">
        <f t="shared" si="5"/>
        <v>0</v>
      </c>
      <c r="X139" s="51">
        <f t="shared" si="6"/>
        <v>0</v>
      </c>
      <c r="Y139" s="51">
        <f t="shared" si="7"/>
        <v>88.086570587941949</v>
      </c>
      <c r="Z139" s="51">
        <f t="shared" si="8"/>
        <v>1.4614580161766457</v>
      </c>
      <c r="AA139" s="52">
        <v>1</v>
      </c>
    </row>
    <row r="140" spans="1:27">
      <c r="A140" s="49">
        <v>2018</v>
      </c>
      <c r="B140" s="49" t="s">
        <v>225</v>
      </c>
      <c r="C140" s="49" t="s">
        <v>226</v>
      </c>
      <c r="D140" s="50">
        <v>18234081000000</v>
      </c>
      <c r="E140" s="50">
        <v>530145000000</v>
      </c>
      <c r="F140" s="50">
        <v>19117376000000</v>
      </c>
      <c r="G140" s="50"/>
      <c r="H140" s="50"/>
      <c r="I140" s="50">
        <v>12913580000000</v>
      </c>
      <c r="J140" s="50">
        <v>6203796000000</v>
      </c>
      <c r="K140" s="51">
        <v>20000000000</v>
      </c>
      <c r="L140" s="50">
        <v>5017721000000</v>
      </c>
      <c r="M140" s="50">
        <v>3177622000000</v>
      </c>
      <c r="N140" s="50">
        <v>1558181000000</v>
      </c>
      <c r="O140" s="50">
        <v>1467794000000</v>
      </c>
      <c r="P140" s="50">
        <v>239430000000</v>
      </c>
      <c r="Q140" s="52">
        <v>665</v>
      </c>
      <c r="R140" s="49">
        <f t="shared" si="0"/>
        <v>1.4120082115106734</v>
      </c>
      <c r="S140" s="49">
        <f t="shared" si="1"/>
        <v>2.0815610313427455</v>
      </c>
      <c r="T140" s="51">
        <f t="shared" si="2"/>
        <v>7.6778005517075143E-2</v>
      </c>
      <c r="U140" s="51">
        <f t="shared" si="3"/>
        <v>0.23659610986563712</v>
      </c>
      <c r="V140" s="51">
        <f t="shared" si="4"/>
        <v>0.29252204337387433</v>
      </c>
      <c r="W140" s="51">
        <f t="shared" si="5"/>
        <v>1.8002255639097745E-2</v>
      </c>
      <c r="X140" s="51">
        <f t="shared" si="6"/>
        <v>0.16312234550624952</v>
      </c>
      <c r="Y140" s="51">
        <f t="shared" si="7"/>
        <v>9.0612170372681717</v>
      </c>
      <c r="Z140" s="51">
        <f t="shared" si="8"/>
        <v>2.1438487016658834</v>
      </c>
      <c r="AA140" s="52">
        <v>1</v>
      </c>
    </row>
    <row r="141" spans="1:27">
      <c r="A141" s="49">
        <v>2019</v>
      </c>
      <c r="B141" s="49" t="s">
        <v>225</v>
      </c>
      <c r="C141" s="49" t="s">
        <v>226</v>
      </c>
      <c r="D141" s="50">
        <v>18211551000000</v>
      </c>
      <c r="E141" s="50">
        <v>541056000000</v>
      </c>
      <c r="F141" s="50">
        <v>19089633000000</v>
      </c>
      <c r="G141" s="50"/>
      <c r="H141" s="50"/>
      <c r="I141" s="50">
        <v>13009453000000</v>
      </c>
      <c r="J141" s="50">
        <v>6080180000000</v>
      </c>
      <c r="K141" s="51">
        <v>20000000000</v>
      </c>
      <c r="L141" s="50">
        <v>5240729000000</v>
      </c>
      <c r="M141" s="50">
        <v>4148476000000</v>
      </c>
      <c r="N141" s="50">
        <v>1536451000000</v>
      </c>
      <c r="O141" s="50">
        <v>711682000000</v>
      </c>
      <c r="P141" s="50">
        <v>733255000000</v>
      </c>
      <c r="Q141" s="52">
        <v>560</v>
      </c>
      <c r="R141" s="49">
        <f t="shared" si="0"/>
        <v>1.3998706171581541</v>
      </c>
      <c r="S141" s="49">
        <f t="shared" si="1"/>
        <v>2.1396493195925119</v>
      </c>
      <c r="T141" s="51">
        <f t="shared" si="2"/>
        <v>3.7281072925812668E-2</v>
      </c>
      <c r="U141" s="51">
        <f t="shared" si="3"/>
        <v>0.11704949524520655</v>
      </c>
      <c r="V141" s="51">
        <f t="shared" si="4"/>
        <v>0.13579828302512875</v>
      </c>
      <c r="W141" s="51">
        <f t="shared" si="5"/>
        <v>6.5469196428571436E-2</v>
      </c>
      <c r="X141" s="51">
        <f t="shared" si="6"/>
        <v>1.0303126958388718</v>
      </c>
      <c r="Y141" s="51">
        <f t="shared" si="7"/>
        <v>15.737365845981772</v>
      </c>
      <c r="Z141" s="51">
        <f t="shared" si="8"/>
        <v>1.8420507287613195</v>
      </c>
      <c r="AA141" s="52">
        <v>1</v>
      </c>
    </row>
    <row r="142" spans="1:27">
      <c r="A142" s="49">
        <v>2020</v>
      </c>
      <c r="B142" s="49" t="s">
        <v>225</v>
      </c>
      <c r="C142" s="49" t="s">
        <v>226</v>
      </c>
      <c r="D142" s="50">
        <v>14248625000000</v>
      </c>
      <c r="E142" s="50">
        <v>606304000000</v>
      </c>
      <c r="F142" s="50">
        <v>15200531000000</v>
      </c>
      <c r="G142" s="50"/>
      <c r="H142" s="50"/>
      <c r="I142" s="50">
        <v>8594377000000</v>
      </c>
      <c r="J142" s="50">
        <v>6606154000000</v>
      </c>
      <c r="K142" s="51">
        <v>20000000000</v>
      </c>
      <c r="L142" s="50">
        <v>4569778000000</v>
      </c>
      <c r="M142" s="50">
        <v>3699782000000</v>
      </c>
      <c r="N142" s="50">
        <v>1771154000000</v>
      </c>
      <c r="O142" s="50">
        <v>701592000000</v>
      </c>
      <c r="P142" s="50">
        <v>179573000000</v>
      </c>
      <c r="Q142" s="52">
        <v>560</v>
      </c>
      <c r="R142" s="49">
        <f t="shared" si="0"/>
        <v>1.6579008577352379</v>
      </c>
      <c r="S142" s="49">
        <f t="shared" si="1"/>
        <v>1.3009652817660624</v>
      </c>
      <c r="T142" s="51">
        <f t="shared" si="2"/>
        <v>4.6155756006155312E-2</v>
      </c>
      <c r="U142" s="51">
        <f t="shared" si="3"/>
        <v>0.10620279212382878</v>
      </c>
      <c r="V142" s="51">
        <f t="shared" si="4"/>
        <v>0.15352868345026827</v>
      </c>
      <c r="W142" s="51">
        <f t="shared" si="5"/>
        <v>1.603330357142857E-2</v>
      </c>
      <c r="X142" s="51">
        <f t="shared" si="6"/>
        <v>0.25595075200401374</v>
      </c>
      <c r="Y142" s="51">
        <f t="shared" si="7"/>
        <v>15.963693998791321</v>
      </c>
      <c r="Z142" s="51">
        <f t="shared" si="8"/>
        <v>1.6953888752820476</v>
      </c>
      <c r="AA142" s="52">
        <v>1</v>
      </c>
    </row>
    <row r="143" spans="1:27">
      <c r="A143" s="49">
        <v>2018</v>
      </c>
      <c r="B143" s="49" t="s">
        <v>227</v>
      </c>
      <c r="C143" s="49" t="s">
        <v>228</v>
      </c>
      <c r="D143" s="50">
        <v>10822261402000</v>
      </c>
      <c r="E143" s="50">
        <v>174129915000</v>
      </c>
      <c r="F143" s="50">
        <v>11077046941000</v>
      </c>
      <c r="G143" s="50"/>
      <c r="H143" s="50"/>
      <c r="I143" s="50">
        <v>6729921689000</v>
      </c>
      <c r="J143" s="50">
        <v>4347125252000</v>
      </c>
      <c r="K143" s="51">
        <v>10412000000</v>
      </c>
      <c r="L143" s="50">
        <v>1933912294000</v>
      </c>
      <c r="M143" s="50">
        <v>1521606045000</v>
      </c>
      <c r="N143" s="50">
        <v>934534244000</v>
      </c>
      <c r="O143" s="50">
        <v>305137586000</v>
      </c>
      <c r="P143" s="50"/>
      <c r="Q143" s="52">
        <v>314</v>
      </c>
      <c r="R143" s="49">
        <f t="shared" si="0"/>
        <v>1.6080813272595571</v>
      </c>
      <c r="S143" s="49">
        <f t="shared" si="1"/>
        <v>1.5481315349503069</v>
      </c>
      <c r="T143" s="51">
        <f t="shared" si="2"/>
        <v>2.7546835147062503E-2</v>
      </c>
      <c r="U143" s="51">
        <f t="shared" si="3"/>
        <v>7.0192959326307439E-2</v>
      </c>
      <c r="V143" s="51">
        <f t="shared" si="4"/>
        <v>0.15778253592300706</v>
      </c>
      <c r="W143" s="51">
        <f t="shared" si="5"/>
        <v>0</v>
      </c>
      <c r="X143" s="51">
        <f t="shared" si="6"/>
        <v>0</v>
      </c>
      <c r="Y143" s="51">
        <f t="shared" si="7"/>
        <v>10.714406058124876</v>
      </c>
      <c r="Z143" s="51">
        <f t="shared" si="8"/>
        <v>0.7520758686435014</v>
      </c>
      <c r="AA143" s="52">
        <v>1</v>
      </c>
    </row>
    <row r="144" spans="1:27">
      <c r="A144" s="49">
        <v>2019</v>
      </c>
      <c r="B144" s="49" t="s">
        <v>227</v>
      </c>
      <c r="C144" s="49" t="s">
        <v>228</v>
      </c>
      <c r="D144" s="50">
        <v>11824160110000</v>
      </c>
      <c r="E144" s="50">
        <v>191064922000</v>
      </c>
      <c r="F144" s="50">
        <v>12117478069000</v>
      </c>
      <c r="G144" s="50"/>
      <c r="H144" s="50"/>
      <c r="I144" s="50">
        <v>7411795923000</v>
      </c>
      <c r="J144" s="50">
        <v>4705682146000</v>
      </c>
      <c r="K144" s="51">
        <v>10412000000</v>
      </c>
      <c r="L144" s="50">
        <v>2164662845000</v>
      </c>
      <c r="M144" s="50">
        <v>1677996298000</v>
      </c>
      <c r="N144" s="50">
        <v>1030421065000</v>
      </c>
      <c r="O144" s="50">
        <v>361596020000</v>
      </c>
      <c r="P144" s="50"/>
      <c r="Q144" s="52">
        <v>290</v>
      </c>
      <c r="R144" s="49">
        <f t="shared" si="0"/>
        <v>1.5953164702373579</v>
      </c>
      <c r="S144" s="49">
        <f t="shared" si="1"/>
        <v>1.5750736435312136</v>
      </c>
      <c r="T144" s="51">
        <f t="shared" si="2"/>
        <v>2.9840864406024122E-2</v>
      </c>
      <c r="U144" s="51">
        <f t="shared" si="3"/>
        <v>7.6842423432141441E-2</v>
      </c>
      <c r="V144" s="51">
        <f t="shared" si="4"/>
        <v>0.16704496075923547</v>
      </c>
      <c r="W144" s="51">
        <f t="shared" si="5"/>
        <v>0</v>
      </c>
      <c r="X144" s="51">
        <f t="shared" si="6"/>
        <v>0</v>
      </c>
      <c r="Y144" s="51">
        <f t="shared" si="7"/>
        <v>8.3504237684916998</v>
      </c>
      <c r="Z144" s="51">
        <f t="shared" si="8"/>
        <v>0.64166679905625734</v>
      </c>
      <c r="AA144" s="52">
        <v>1</v>
      </c>
    </row>
    <row r="145" spans="1:27">
      <c r="A145" s="49">
        <v>2020</v>
      </c>
      <c r="B145" s="49" t="s">
        <v>227</v>
      </c>
      <c r="C145" s="49" t="s">
        <v>228</v>
      </c>
      <c r="D145" s="50">
        <v>10644136835000</v>
      </c>
      <c r="E145" s="50">
        <v>173369724000</v>
      </c>
      <c r="F145" s="50">
        <v>10917456216000</v>
      </c>
      <c r="G145" s="50"/>
      <c r="H145" s="50"/>
      <c r="I145" s="50">
        <v>6172266324000</v>
      </c>
      <c r="J145" s="50">
        <v>4745189892000</v>
      </c>
      <c r="K145" s="51">
        <v>10412000000</v>
      </c>
      <c r="L145" s="50">
        <v>1847954148000</v>
      </c>
      <c r="M145" s="50">
        <v>1787420988000</v>
      </c>
      <c r="N145" s="50">
        <v>1210135188000</v>
      </c>
      <c r="O145" s="50">
        <v>46566702000</v>
      </c>
      <c r="P145" s="50"/>
      <c r="Q145" s="52">
        <v>234</v>
      </c>
      <c r="R145" s="49">
        <f t="shared" si="0"/>
        <v>1.7245102975566289</v>
      </c>
      <c r="S145" s="49">
        <f t="shared" si="1"/>
        <v>1.3007416909502258</v>
      </c>
      <c r="T145" s="51">
        <f t="shared" si="2"/>
        <v>4.2653436000736605E-3</v>
      </c>
      <c r="U145" s="51">
        <f t="shared" si="3"/>
        <v>9.8134538469171976E-3</v>
      </c>
      <c r="V145" s="51">
        <f t="shared" si="4"/>
        <v>2.5199057049331074E-2</v>
      </c>
      <c r="W145" s="51">
        <f t="shared" si="5"/>
        <v>0</v>
      </c>
      <c r="X145" s="51">
        <f t="shared" si="6"/>
        <v>0</v>
      </c>
      <c r="Y145" s="51">
        <f t="shared" si="7"/>
        <v>52.320819284131403</v>
      </c>
      <c r="Z145" s="51">
        <f t="shared" si="8"/>
        <v>0.51344794527771875</v>
      </c>
      <c r="AA145" s="52">
        <v>1</v>
      </c>
    </row>
    <row r="146" spans="1:27">
      <c r="A146" s="49">
        <v>2018</v>
      </c>
      <c r="B146" s="49" t="s">
        <v>229</v>
      </c>
      <c r="C146" s="49" t="s">
        <v>230</v>
      </c>
      <c r="D146" s="50">
        <v>3354231000000</v>
      </c>
      <c r="E146" s="50">
        <v>170262000000</v>
      </c>
      <c r="F146" s="50">
        <v>3621664000000</v>
      </c>
      <c r="G146" s="50"/>
      <c r="H146" s="50"/>
      <c r="I146" s="50">
        <v>1560997000000</v>
      </c>
      <c r="J146" s="50">
        <v>2060667000000</v>
      </c>
      <c r="K146" s="51">
        <v>8000000000</v>
      </c>
      <c r="L146" s="50">
        <v>1476141000000</v>
      </c>
      <c r="M146" s="50">
        <v>1030537000000</v>
      </c>
      <c r="N146" s="50">
        <v>265282000000</v>
      </c>
      <c r="O146" s="50">
        <v>333346000000</v>
      </c>
      <c r="P146" s="50">
        <v>198750000000</v>
      </c>
      <c r="Q146" s="52">
        <v>885</v>
      </c>
      <c r="R146" s="49">
        <f t="shared" si="0"/>
        <v>2.1487747894454632</v>
      </c>
      <c r="S146" s="49">
        <f t="shared" si="1"/>
        <v>0.75752025921703992</v>
      </c>
      <c r="T146" s="51">
        <f t="shared" si="2"/>
        <v>9.2042221476094963E-2</v>
      </c>
      <c r="U146" s="51">
        <f t="shared" si="3"/>
        <v>0.16176606894757861</v>
      </c>
      <c r="V146" s="51">
        <f t="shared" si="4"/>
        <v>0.22582260095749659</v>
      </c>
      <c r="W146" s="51">
        <f t="shared" si="5"/>
        <v>2.8072033898305086E-2</v>
      </c>
      <c r="X146" s="51">
        <f t="shared" si="6"/>
        <v>0.59622734336095229</v>
      </c>
      <c r="Y146" s="51">
        <f t="shared" si="7"/>
        <v>21.239192910669395</v>
      </c>
      <c r="Z146" s="51">
        <f t="shared" si="8"/>
        <v>3.4357807447782687</v>
      </c>
      <c r="AA146" s="52">
        <v>1</v>
      </c>
    </row>
    <row r="147" spans="1:27">
      <c r="A147" s="49">
        <v>2019</v>
      </c>
      <c r="B147" s="49" t="s">
        <v>229</v>
      </c>
      <c r="C147" s="49" t="s">
        <v>230</v>
      </c>
      <c r="D147" s="50">
        <v>4466492000000</v>
      </c>
      <c r="E147" s="50">
        <v>167840000000</v>
      </c>
      <c r="F147" s="50">
        <v>4726154000000</v>
      </c>
      <c r="G147" s="50"/>
      <c r="H147" s="50"/>
      <c r="I147" s="50">
        <v>2448259000000</v>
      </c>
      <c r="J147" s="50">
        <v>2277895000000</v>
      </c>
      <c r="K147" s="51">
        <v>8000000000</v>
      </c>
      <c r="L147" s="50">
        <v>1745719000000</v>
      </c>
      <c r="M147" s="50">
        <v>1231859000000</v>
      </c>
      <c r="N147" s="50">
        <v>308465000000</v>
      </c>
      <c r="O147" s="50">
        <v>377084000000</v>
      </c>
      <c r="P147" s="50">
        <v>132500000000</v>
      </c>
      <c r="Q147" s="52">
        <v>1300</v>
      </c>
      <c r="R147" s="49">
        <f t="shared" si="0"/>
        <v>1.82435436773642</v>
      </c>
      <c r="S147" s="49">
        <f t="shared" si="1"/>
        <v>1.0747901022654687</v>
      </c>
      <c r="T147" s="51">
        <f t="shared" si="2"/>
        <v>7.9786651048611615E-2</v>
      </c>
      <c r="U147" s="51">
        <f t="shared" si="3"/>
        <v>0.16554055388856817</v>
      </c>
      <c r="V147" s="51">
        <f t="shared" si="4"/>
        <v>0.21600498132861015</v>
      </c>
      <c r="W147" s="51">
        <f t="shared" si="5"/>
        <v>1.2740384615384615E-2</v>
      </c>
      <c r="X147" s="51">
        <f t="shared" si="6"/>
        <v>0.35138059424425327</v>
      </c>
      <c r="Y147" s="51">
        <f t="shared" si="7"/>
        <v>27.580061736907425</v>
      </c>
      <c r="Z147" s="51">
        <f t="shared" si="8"/>
        <v>4.5656186962085608</v>
      </c>
      <c r="AA147" s="52">
        <v>1</v>
      </c>
    </row>
    <row r="148" spans="1:27">
      <c r="A148" s="49">
        <v>2020</v>
      </c>
      <c r="B148" s="49" t="s">
        <v>229</v>
      </c>
      <c r="C148" s="49" t="s">
        <v>230</v>
      </c>
      <c r="D148" s="50">
        <v>3942336000000</v>
      </c>
      <c r="E148" s="50">
        <v>177857000000</v>
      </c>
      <c r="F148" s="50">
        <v>4210393000000</v>
      </c>
      <c r="G148" s="50"/>
      <c r="H148" s="50"/>
      <c r="I148" s="50">
        <v>1875421000000</v>
      </c>
      <c r="J148" s="50">
        <v>2334972000000</v>
      </c>
      <c r="K148" s="51">
        <v>8000000000</v>
      </c>
      <c r="L148" s="50">
        <v>1561215000000</v>
      </c>
      <c r="M148" s="50">
        <v>1327729000000</v>
      </c>
      <c r="N148" s="50">
        <v>282333000000</v>
      </c>
      <c r="O148" s="50">
        <v>174397000000</v>
      </c>
      <c r="P148" s="50">
        <v>79500000000</v>
      </c>
      <c r="Q148" s="52">
        <v>990</v>
      </c>
      <c r="R148" s="49">
        <f t="shared" si="0"/>
        <v>2.1021072068618194</v>
      </c>
      <c r="S148" s="49">
        <f t="shared" si="1"/>
        <v>0.80318778983216932</v>
      </c>
      <c r="T148" s="51">
        <f t="shared" si="2"/>
        <v>4.1420598979715194E-2</v>
      </c>
      <c r="U148" s="51">
        <f t="shared" si="3"/>
        <v>7.4689118327757251E-2</v>
      </c>
      <c r="V148" s="51">
        <f t="shared" si="4"/>
        <v>0.11170594697078878</v>
      </c>
      <c r="W148" s="51">
        <f t="shared" si="5"/>
        <v>1.0037878787878788E-2</v>
      </c>
      <c r="X148" s="51">
        <f t="shared" si="6"/>
        <v>0.45585646542085012</v>
      </c>
      <c r="Y148" s="51">
        <f t="shared" si="7"/>
        <v>45.413625234379033</v>
      </c>
      <c r="Z148" s="51">
        <f t="shared" si="8"/>
        <v>3.3919036288229578</v>
      </c>
      <c r="AA148" s="52">
        <v>1</v>
      </c>
    </row>
    <row r="149" spans="1:27">
      <c r="A149" s="49">
        <v>2018</v>
      </c>
      <c r="B149" s="49" t="s">
        <v>231</v>
      </c>
      <c r="C149" s="49" t="s">
        <v>232</v>
      </c>
      <c r="D149" s="50">
        <v>34715467684</v>
      </c>
      <c r="E149" s="50">
        <v>94780784029</v>
      </c>
      <c r="F149" s="50">
        <v>204476568540</v>
      </c>
      <c r="G149" s="50"/>
      <c r="H149" s="50">
        <v>69191522441</v>
      </c>
      <c r="I149" s="50">
        <v>187920313606</v>
      </c>
      <c r="J149" s="50">
        <v>16556254934</v>
      </c>
      <c r="K149" s="51">
        <v>4000000000</v>
      </c>
      <c r="L149" s="50">
        <v>257437549951</v>
      </c>
      <c r="M149" s="50">
        <v>246559849692</v>
      </c>
      <c r="N149" s="50">
        <v>24116093083</v>
      </c>
      <c r="O149" s="50">
        <v>-36887821525</v>
      </c>
      <c r="P149" s="50"/>
      <c r="Q149" s="52">
        <v>50</v>
      </c>
      <c r="R149" s="49">
        <f t="shared" si="0"/>
        <v>0.18473504549798489</v>
      </c>
      <c r="S149" s="49">
        <f t="shared" si="1"/>
        <v>11.350411935255115</v>
      </c>
      <c r="T149" s="51">
        <f t="shared" si="2"/>
        <v>-0.18040121559348229</v>
      </c>
      <c r="U149" s="51">
        <f t="shared" si="3"/>
        <v>-2.2280293262002751</v>
      </c>
      <c r="V149" s="51">
        <f t="shared" si="4"/>
        <v>-0.14328842677387635</v>
      </c>
      <c r="W149" s="51">
        <f t="shared" si="5"/>
        <v>0</v>
      </c>
      <c r="X149" s="51">
        <f t="shared" si="6"/>
        <v>0</v>
      </c>
      <c r="Y149" s="51">
        <f t="shared" si="7"/>
        <v>-5.4218436256652867</v>
      </c>
      <c r="Z149" s="51">
        <f t="shared" si="8"/>
        <v>12.080026600054286</v>
      </c>
      <c r="AA149" s="52">
        <v>1</v>
      </c>
    </row>
    <row r="150" spans="1:27">
      <c r="A150" s="49">
        <v>2019</v>
      </c>
      <c r="B150" s="49" t="s">
        <v>231</v>
      </c>
      <c r="C150" s="49" t="s">
        <v>232</v>
      </c>
      <c r="D150" s="50">
        <v>4047266662</v>
      </c>
      <c r="E150" s="50">
        <v>84360578661</v>
      </c>
      <c r="F150" s="50">
        <v>88838496383</v>
      </c>
      <c r="G150" s="50"/>
      <c r="H150" s="50">
        <v>19273152626</v>
      </c>
      <c r="I150" s="50">
        <v>193930594350</v>
      </c>
      <c r="J150" s="50">
        <v>-105092097967</v>
      </c>
      <c r="K150" s="51">
        <v>4000000000</v>
      </c>
      <c r="L150" s="50">
        <v>42286984239</v>
      </c>
      <c r="M150" s="50">
        <v>54315208841</v>
      </c>
      <c r="N150" s="50">
        <v>90466357206</v>
      </c>
      <c r="O150" s="50">
        <v>-121648352901</v>
      </c>
      <c r="P150" s="50"/>
      <c r="Q150" s="52">
        <v>50</v>
      </c>
      <c r="R150" s="49">
        <f t="shared" si="0"/>
        <v>2.0869665642831048E-2</v>
      </c>
      <c r="S150" s="49">
        <f t="shared" si="1"/>
        <v>-1.8453394508395502</v>
      </c>
      <c r="T150" s="51">
        <f t="shared" si="2"/>
        <v>-1.3693202592775811</v>
      </c>
      <c r="U150" s="51">
        <f t="shared" si="3"/>
        <v>1.157540436001181</v>
      </c>
      <c r="V150" s="51">
        <f t="shared" si="4"/>
        <v>-2.8767327604508486</v>
      </c>
      <c r="W150" s="51">
        <f t="shared" si="5"/>
        <v>0</v>
      </c>
      <c r="X150" s="51">
        <f t="shared" si="6"/>
        <v>0</v>
      </c>
      <c r="Y150" s="51">
        <f t="shared" si="7"/>
        <v>-1.6440830905681414</v>
      </c>
      <c r="Z150" s="51">
        <f t="shared" si="8"/>
        <v>-1.9030926574784153</v>
      </c>
      <c r="AA150" s="52">
        <v>1</v>
      </c>
    </row>
    <row r="151" spans="1:27">
      <c r="A151" s="49">
        <v>2020</v>
      </c>
      <c r="B151" s="49" t="s">
        <v>231</v>
      </c>
      <c r="C151" s="49" t="s">
        <v>232</v>
      </c>
      <c r="D151" s="50">
        <v>641399081</v>
      </c>
      <c r="E151" s="50">
        <v>29349403</v>
      </c>
      <c r="F151" s="50">
        <v>6805984418</v>
      </c>
      <c r="G151" s="50"/>
      <c r="H151" s="50"/>
      <c r="I151" s="50">
        <v>55861608352</v>
      </c>
      <c r="J151" s="50">
        <v>-49055623934</v>
      </c>
      <c r="K151" s="51">
        <v>4000000000</v>
      </c>
      <c r="L151" s="50">
        <v>0</v>
      </c>
      <c r="M151" s="50">
        <v>0</v>
      </c>
      <c r="N151" s="50">
        <v>5224403772</v>
      </c>
      <c r="O151" s="50">
        <v>56505757661</v>
      </c>
      <c r="P151" s="50"/>
      <c r="Q151" s="52">
        <v>50</v>
      </c>
      <c r="R151" s="49">
        <f t="shared" si="0"/>
        <v>1.1481930075452906E-2</v>
      </c>
      <c r="S151" s="49">
        <f t="shared" si="1"/>
        <v>-1.1387401458221558</v>
      </c>
      <c r="T151" s="51">
        <f t="shared" si="2"/>
        <v>8.3023636538980981</v>
      </c>
      <c r="U151" s="51">
        <f t="shared" si="3"/>
        <v>-1.151871144010389</v>
      </c>
      <c r="V151" s="51" t="e">
        <f t="shared" si="4"/>
        <v>#DIV/0!</v>
      </c>
      <c r="W151" s="51">
        <f t="shared" si="5"/>
        <v>0</v>
      </c>
      <c r="X151" s="51">
        <f t="shared" si="6"/>
        <v>0</v>
      </c>
      <c r="Y151" s="51">
        <f t="shared" si="7"/>
        <v>3.5394623181566334</v>
      </c>
      <c r="Z151" s="51">
        <f t="shared" si="8"/>
        <v>-4.077004509596744</v>
      </c>
      <c r="AA151" s="52">
        <v>1</v>
      </c>
    </row>
    <row r="152" spans="1:27">
      <c r="A152" s="49">
        <v>2018</v>
      </c>
      <c r="B152" s="49" t="s">
        <v>233</v>
      </c>
      <c r="C152" s="49" t="s">
        <v>234</v>
      </c>
      <c r="D152" s="50">
        <v>1459281338000</v>
      </c>
      <c r="E152" s="50">
        <v>27406475000</v>
      </c>
      <c r="F152" s="50">
        <v>1565490561000</v>
      </c>
      <c r="G152" s="50"/>
      <c r="H152" s="50"/>
      <c r="I152" s="50">
        <v>1294360807000</v>
      </c>
      <c r="J152" s="50">
        <v>271129754000</v>
      </c>
      <c r="K152" s="51">
        <v>10000000000</v>
      </c>
      <c r="L152" s="50">
        <v>226985260000</v>
      </c>
      <c r="M152" s="50">
        <v>115408446000</v>
      </c>
      <c r="N152" s="50">
        <v>34041471000</v>
      </c>
      <c r="O152" s="50">
        <v>-192758906000</v>
      </c>
      <c r="P152" s="50"/>
      <c r="Q152" s="52">
        <v>116</v>
      </c>
      <c r="R152" s="49">
        <f t="shared" si="0"/>
        <v>1.1274146513924845</v>
      </c>
      <c r="S152" s="49">
        <f t="shared" si="1"/>
        <v>4.773953385433308</v>
      </c>
      <c r="T152" s="51">
        <f t="shared" si="2"/>
        <v>-0.12313003399833339</v>
      </c>
      <c r="U152" s="51">
        <f t="shared" si="3"/>
        <v>-0.71094707665319534</v>
      </c>
      <c r="V152" s="51">
        <f t="shared" si="4"/>
        <v>-0.84921331896176866</v>
      </c>
      <c r="W152" s="51">
        <f t="shared" si="5"/>
        <v>0</v>
      </c>
      <c r="X152" s="51">
        <f t="shared" si="6"/>
        <v>0</v>
      </c>
      <c r="Y152" s="51">
        <f t="shared" si="7"/>
        <v>-6.0178801803326278</v>
      </c>
      <c r="Z152" s="51">
        <f t="shared" si="8"/>
        <v>4.2783943218566858</v>
      </c>
      <c r="AA152" s="52">
        <v>1</v>
      </c>
    </row>
    <row r="153" spans="1:27">
      <c r="A153" s="49">
        <v>2019</v>
      </c>
      <c r="B153" s="49" t="s">
        <v>233</v>
      </c>
      <c r="C153" s="49" t="s">
        <v>234</v>
      </c>
      <c r="D153" s="50">
        <v>2577118587000</v>
      </c>
      <c r="E153" s="50">
        <v>42435986000</v>
      </c>
      <c r="F153" s="50">
        <v>2652723126000</v>
      </c>
      <c r="G153" s="50"/>
      <c r="H153" s="50"/>
      <c r="I153" s="50">
        <v>1984129298000</v>
      </c>
      <c r="J153" s="50">
        <v>668593828000</v>
      </c>
      <c r="K153" s="51">
        <v>10000000000</v>
      </c>
      <c r="L153" s="50">
        <v>333007101000</v>
      </c>
      <c r="M153" s="50">
        <v>150176071000</v>
      </c>
      <c r="N153" s="50">
        <v>58425329000</v>
      </c>
      <c r="O153" s="50">
        <v>1771684000</v>
      </c>
      <c r="P153" s="50"/>
      <c r="Q153" s="52">
        <v>140</v>
      </c>
      <c r="R153" s="49">
        <f t="shared" si="0"/>
        <v>1.2988662531205666</v>
      </c>
      <c r="S153" s="49">
        <f t="shared" si="1"/>
        <v>2.9676153367063387</v>
      </c>
      <c r="T153" s="51">
        <f t="shared" si="2"/>
        <v>6.6787369651784756E-4</v>
      </c>
      <c r="U153" s="51">
        <f t="shared" si="3"/>
        <v>2.6498659212869672E-3</v>
      </c>
      <c r="V153" s="51">
        <f t="shared" si="4"/>
        <v>5.3202589214456425E-3</v>
      </c>
      <c r="W153" s="51">
        <f t="shared" si="5"/>
        <v>0</v>
      </c>
      <c r="X153" s="51">
        <f t="shared" si="6"/>
        <v>0</v>
      </c>
      <c r="Y153" s="51">
        <f t="shared" si="7"/>
        <v>790.20863765773129</v>
      </c>
      <c r="Z153" s="51">
        <f t="shared" si="8"/>
        <v>2.0939469396358232</v>
      </c>
      <c r="AA153" s="52">
        <v>1</v>
      </c>
    </row>
    <row r="154" spans="1:27">
      <c r="A154" s="49">
        <v>2020</v>
      </c>
      <c r="B154" s="49" t="s">
        <v>233</v>
      </c>
      <c r="C154" s="49" t="s">
        <v>234</v>
      </c>
      <c r="D154" s="50">
        <v>2555218949000</v>
      </c>
      <c r="E154" s="50">
        <v>39531943000</v>
      </c>
      <c r="F154" s="50">
        <v>2679921626000</v>
      </c>
      <c r="G154" s="50"/>
      <c r="H154" s="50"/>
      <c r="I154" s="50">
        <v>2048024392000</v>
      </c>
      <c r="J154" s="50">
        <v>631897234000</v>
      </c>
      <c r="K154" s="51">
        <v>10000000000</v>
      </c>
      <c r="L154" s="50">
        <v>309734085000</v>
      </c>
      <c r="M154" s="50">
        <v>108927875000</v>
      </c>
      <c r="N154" s="50">
        <v>52825951000</v>
      </c>
      <c r="O154" s="50">
        <v>2995118000</v>
      </c>
      <c r="P154" s="50"/>
      <c r="Q154" s="52">
        <v>104</v>
      </c>
      <c r="R154" s="49">
        <f t="shared" si="0"/>
        <v>1.247650642727306</v>
      </c>
      <c r="S154" s="49">
        <f t="shared" si="1"/>
        <v>3.2410719367067209</v>
      </c>
      <c r="T154" s="51">
        <f t="shared" si="2"/>
        <v>1.117614026821544E-3</v>
      </c>
      <c r="U154" s="51">
        <f t="shared" si="3"/>
        <v>4.7398814852226429E-3</v>
      </c>
      <c r="V154" s="51">
        <f t="shared" si="4"/>
        <v>9.6699657707998137E-3</v>
      </c>
      <c r="W154" s="51">
        <f t="shared" si="5"/>
        <v>0</v>
      </c>
      <c r="X154" s="51">
        <f t="shared" si="6"/>
        <v>0</v>
      </c>
      <c r="Y154" s="51">
        <f t="shared" si="7"/>
        <v>347.23172843273619</v>
      </c>
      <c r="Z154" s="51">
        <f t="shared" si="8"/>
        <v>1.6458372406801831</v>
      </c>
      <c r="AA154" s="52">
        <v>1</v>
      </c>
    </row>
    <row r="155" spans="1:27">
      <c r="D155" s="50"/>
      <c r="E155" s="50"/>
      <c r="F155" s="50"/>
      <c r="G155" s="50"/>
      <c r="H155" s="50"/>
      <c r="I155" s="50"/>
      <c r="J155" s="50"/>
      <c r="K155" s="51"/>
      <c r="L155" s="50"/>
      <c r="M155" s="50"/>
      <c r="N155" s="50"/>
      <c r="O155" s="50"/>
      <c r="P155" s="50"/>
      <c r="Q155" s="52"/>
      <c r="W155" s="53"/>
      <c r="X155" s="53"/>
      <c r="Y155" s="51"/>
      <c r="Z155" s="51"/>
      <c r="AA155" s="52"/>
    </row>
    <row r="156" spans="1:27">
      <c r="D156" s="50"/>
      <c r="E156" s="50"/>
      <c r="F156" s="50"/>
      <c r="G156" s="50"/>
      <c r="H156" s="50"/>
      <c r="I156" s="50"/>
      <c r="J156" s="50"/>
      <c r="K156" s="51"/>
      <c r="L156" s="50"/>
      <c r="M156" s="50"/>
      <c r="N156" s="50"/>
      <c r="O156" s="50"/>
      <c r="P156" s="50"/>
      <c r="Q156" s="52"/>
      <c r="W156" s="53"/>
      <c r="X156" s="53"/>
      <c r="Y156" s="51"/>
      <c r="Z156" s="51"/>
      <c r="AA156" s="52"/>
    </row>
    <row r="157" spans="1:27">
      <c r="D157" s="50"/>
      <c r="E157" s="50"/>
      <c r="F157" s="50"/>
      <c r="G157" s="50"/>
      <c r="H157" s="50"/>
      <c r="I157" s="50"/>
      <c r="J157" s="50"/>
      <c r="K157" s="51"/>
      <c r="L157" s="50"/>
      <c r="M157" s="50"/>
      <c r="N157" s="50"/>
      <c r="O157" s="50"/>
      <c r="P157" s="50"/>
      <c r="Q157" s="52"/>
      <c r="W157" s="53"/>
      <c r="X157" s="53"/>
      <c r="Y157" s="51"/>
      <c r="Z157" s="51"/>
      <c r="AA157" s="52"/>
    </row>
    <row r="158" spans="1:27">
      <c r="D158" s="50"/>
      <c r="E158" s="50"/>
      <c r="F158" s="50"/>
      <c r="G158" s="50"/>
      <c r="H158" s="50"/>
      <c r="I158" s="50"/>
      <c r="J158" s="50"/>
      <c r="K158" s="51"/>
      <c r="L158" s="50"/>
      <c r="M158" s="50"/>
      <c r="N158" s="50"/>
      <c r="O158" s="50"/>
      <c r="P158" s="50"/>
      <c r="Q158" s="52"/>
      <c r="W158" s="53"/>
      <c r="X158" s="53"/>
      <c r="Y158" s="51"/>
      <c r="Z158" s="51"/>
      <c r="AA158" s="52"/>
    </row>
    <row r="159" spans="1:27">
      <c r="D159" s="50"/>
      <c r="E159" s="50"/>
      <c r="F159" s="50"/>
      <c r="G159" s="50"/>
      <c r="H159" s="50"/>
      <c r="I159" s="50"/>
      <c r="J159" s="50"/>
      <c r="K159" s="51"/>
      <c r="L159" s="50"/>
      <c r="M159" s="50"/>
      <c r="N159" s="50"/>
      <c r="O159" s="50"/>
      <c r="P159" s="50"/>
      <c r="Q159" s="52"/>
      <c r="W159" s="53"/>
      <c r="X159" s="53"/>
      <c r="Y159" s="51"/>
      <c r="Z159" s="51"/>
      <c r="AA159" s="52"/>
    </row>
    <row r="160" spans="1:27">
      <c r="D160" s="50"/>
      <c r="E160" s="50"/>
      <c r="F160" s="50"/>
      <c r="G160" s="50"/>
      <c r="H160" s="50"/>
      <c r="I160" s="50"/>
      <c r="J160" s="50"/>
      <c r="K160" s="51"/>
      <c r="L160" s="50"/>
      <c r="M160" s="50"/>
      <c r="N160" s="50"/>
      <c r="O160" s="50"/>
      <c r="P160" s="50"/>
      <c r="Q160" s="52"/>
      <c r="W160" s="53"/>
      <c r="X160" s="53"/>
      <c r="Y160" s="51"/>
      <c r="Z160" s="51"/>
      <c r="AA160" s="52"/>
    </row>
    <row r="161" spans="4:27">
      <c r="D161" s="50"/>
      <c r="E161" s="50"/>
      <c r="F161" s="50"/>
      <c r="G161" s="50"/>
      <c r="H161" s="50"/>
      <c r="I161" s="50"/>
      <c r="J161" s="50"/>
      <c r="K161" s="51"/>
      <c r="L161" s="50"/>
      <c r="M161" s="50"/>
      <c r="N161" s="50"/>
      <c r="O161" s="50"/>
      <c r="P161" s="50"/>
      <c r="Q161" s="52"/>
      <c r="W161" s="53"/>
      <c r="X161" s="53"/>
      <c r="Y161" s="51"/>
      <c r="Z161" s="51"/>
      <c r="AA161" s="52"/>
    </row>
    <row r="162" spans="4:27">
      <c r="D162" s="50"/>
      <c r="E162" s="50"/>
      <c r="F162" s="50"/>
      <c r="G162" s="50"/>
      <c r="H162" s="50"/>
      <c r="I162" s="50"/>
      <c r="J162" s="50"/>
      <c r="K162" s="51"/>
      <c r="L162" s="50"/>
      <c r="M162" s="50"/>
      <c r="N162" s="50"/>
      <c r="O162" s="50"/>
      <c r="P162" s="50"/>
      <c r="Q162" s="52"/>
      <c r="W162" s="53"/>
      <c r="X162" s="53"/>
      <c r="Y162" s="51"/>
      <c r="Z162" s="51"/>
      <c r="AA162" s="52"/>
    </row>
    <row r="163" spans="4:27">
      <c r="D163" s="50"/>
      <c r="E163" s="50"/>
      <c r="F163" s="50"/>
      <c r="G163" s="50"/>
      <c r="H163" s="50"/>
      <c r="I163" s="50"/>
      <c r="J163" s="50"/>
      <c r="K163" s="51"/>
      <c r="L163" s="50"/>
      <c r="M163" s="50"/>
      <c r="N163" s="50"/>
      <c r="O163" s="50"/>
      <c r="P163" s="50"/>
      <c r="Q163" s="52"/>
      <c r="W163" s="53"/>
      <c r="X163" s="53"/>
      <c r="Y163" s="51"/>
      <c r="Z163" s="51"/>
      <c r="AA163" s="52"/>
    </row>
    <row r="164" spans="4:27">
      <c r="D164" s="50"/>
      <c r="E164" s="50"/>
      <c r="F164" s="50"/>
      <c r="G164" s="50"/>
      <c r="H164" s="50"/>
      <c r="I164" s="50"/>
      <c r="J164" s="50"/>
      <c r="K164" s="51"/>
      <c r="L164" s="50"/>
      <c r="M164" s="50"/>
      <c r="N164" s="50"/>
      <c r="O164" s="50"/>
      <c r="P164" s="50"/>
      <c r="Q164" s="52"/>
      <c r="W164" s="53"/>
      <c r="X164" s="53"/>
      <c r="Y164" s="51"/>
      <c r="Z164" s="51"/>
      <c r="AA164" s="52"/>
    </row>
    <row r="165" spans="4:27">
      <c r="D165" s="50"/>
      <c r="E165" s="50"/>
      <c r="F165" s="50"/>
      <c r="G165" s="50"/>
      <c r="H165" s="50"/>
      <c r="I165" s="50"/>
      <c r="J165" s="50"/>
      <c r="K165" s="51"/>
      <c r="L165" s="50"/>
      <c r="M165" s="50"/>
      <c r="N165" s="50"/>
      <c r="O165" s="50"/>
      <c r="P165" s="50"/>
      <c r="Q165" s="52"/>
      <c r="W165" s="53"/>
      <c r="X165" s="53"/>
      <c r="Y165" s="51"/>
      <c r="Z165" s="51"/>
      <c r="AA165" s="52"/>
    </row>
    <row r="166" spans="4:27">
      <c r="D166" s="50"/>
      <c r="E166" s="50"/>
      <c r="F166" s="50"/>
      <c r="G166" s="50"/>
      <c r="H166" s="50"/>
      <c r="I166" s="50"/>
      <c r="J166" s="50"/>
      <c r="K166" s="51"/>
      <c r="L166" s="50"/>
      <c r="M166" s="50"/>
      <c r="N166" s="50"/>
      <c r="O166" s="50"/>
      <c r="P166" s="50"/>
      <c r="Q166" s="52"/>
      <c r="W166" s="53"/>
      <c r="X166" s="53"/>
      <c r="Y166" s="51"/>
      <c r="Z166" s="51"/>
      <c r="AA166" s="52"/>
    </row>
    <row r="167" spans="4:27">
      <c r="D167" s="50"/>
      <c r="E167" s="50"/>
      <c r="F167" s="50"/>
      <c r="G167" s="50"/>
      <c r="H167" s="50"/>
      <c r="I167" s="50"/>
      <c r="J167" s="50"/>
      <c r="K167" s="51"/>
      <c r="L167" s="50"/>
      <c r="M167" s="50"/>
      <c r="N167" s="50"/>
      <c r="O167" s="50"/>
      <c r="P167" s="50"/>
      <c r="Q167" s="52"/>
      <c r="W167" s="53"/>
      <c r="X167" s="53"/>
      <c r="Y167" s="51"/>
      <c r="Z167" s="51"/>
      <c r="AA167" s="52"/>
    </row>
    <row r="168" spans="4:27">
      <c r="D168" s="50"/>
      <c r="E168" s="50"/>
      <c r="F168" s="50"/>
      <c r="G168" s="50"/>
      <c r="H168" s="50"/>
      <c r="I168" s="50"/>
      <c r="J168" s="50"/>
      <c r="K168" s="51"/>
      <c r="L168" s="50"/>
      <c r="M168" s="50"/>
      <c r="N168" s="50"/>
      <c r="O168" s="50"/>
      <c r="P168" s="50"/>
      <c r="Q168" s="52"/>
      <c r="W168" s="53"/>
      <c r="X168" s="53"/>
      <c r="Y168" s="51"/>
      <c r="Z168" s="51"/>
      <c r="AA168" s="52"/>
    </row>
    <row r="169" spans="4:27">
      <c r="D169" s="50"/>
      <c r="E169" s="50"/>
      <c r="F169" s="50"/>
      <c r="G169" s="50"/>
      <c r="H169" s="50"/>
      <c r="I169" s="50"/>
      <c r="J169" s="50"/>
      <c r="K169" s="51"/>
      <c r="L169" s="50"/>
      <c r="M169" s="50"/>
      <c r="N169" s="50"/>
      <c r="O169" s="50"/>
      <c r="P169" s="50"/>
      <c r="Q169" s="52"/>
      <c r="W169" s="53"/>
      <c r="X169" s="53"/>
      <c r="Y169" s="51"/>
      <c r="Z169" s="51"/>
      <c r="AA169" s="52"/>
    </row>
    <row r="170" spans="4:27">
      <c r="D170" s="50"/>
      <c r="E170" s="50"/>
      <c r="F170" s="50"/>
      <c r="G170" s="50"/>
      <c r="H170" s="50"/>
      <c r="I170" s="50"/>
      <c r="J170" s="50"/>
      <c r="K170" s="51"/>
      <c r="L170" s="50"/>
      <c r="M170" s="50"/>
      <c r="N170" s="50"/>
      <c r="O170" s="50"/>
      <c r="P170" s="50"/>
      <c r="Q170" s="52"/>
      <c r="W170" s="53"/>
      <c r="X170" s="53"/>
      <c r="Y170" s="51"/>
      <c r="Z170" s="51"/>
      <c r="AA170" s="52"/>
    </row>
    <row r="171" spans="4:27">
      <c r="D171" s="50"/>
      <c r="E171" s="50"/>
      <c r="F171" s="50"/>
      <c r="G171" s="50"/>
      <c r="H171" s="50"/>
      <c r="I171" s="50"/>
      <c r="J171" s="50"/>
      <c r="K171" s="51"/>
      <c r="L171" s="50"/>
      <c r="M171" s="50"/>
      <c r="N171" s="50"/>
      <c r="O171" s="50"/>
      <c r="P171" s="50"/>
      <c r="Q171" s="52"/>
      <c r="W171" s="53"/>
      <c r="X171" s="53"/>
      <c r="Y171" s="51"/>
      <c r="Z171" s="51"/>
      <c r="AA171" s="52"/>
    </row>
    <row r="172" spans="4:27">
      <c r="D172" s="50"/>
      <c r="E172" s="50"/>
      <c r="F172" s="50"/>
      <c r="G172" s="50"/>
      <c r="H172" s="50"/>
      <c r="I172" s="50"/>
      <c r="J172" s="50"/>
      <c r="K172" s="51"/>
      <c r="L172" s="50"/>
      <c r="M172" s="50"/>
      <c r="N172" s="50"/>
      <c r="O172" s="50"/>
      <c r="P172" s="50"/>
      <c r="Q172" s="52"/>
      <c r="W172" s="53"/>
      <c r="X172" s="53"/>
      <c r="Y172" s="51"/>
      <c r="Z172" s="51"/>
      <c r="AA172" s="52"/>
    </row>
    <row r="173" spans="4:27">
      <c r="D173" s="50"/>
      <c r="E173" s="50"/>
      <c r="F173" s="50"/>
      <c r="G173" s="50"/>
      <c r="H173" s="50"/>
      <c r="I173" s="50"/>
      <c r="J173" s="50"/>
      <c r="K173" s="51"/>
      <c r="L173" s="50"/>
      <c r="M173" s="50"/>
      <c r="N173" s="50"/>
      <c r="O173" s="50"/>
      <c r="P173" s="50"/>
      <c r="Q173" s="52"/>
      <c r="W173" s="53"/>
      <c r="X173" s="53"/>
      <c r="Y173" s="51"/>
      <c r="Z173" s="51"/>
      <c r="AA173" s="52"/>
    </row>
    <row r="174" spans="4:27">
      <c r="D174" s="50"/>
      <c r="E174" s="50"/>
      <c r="F174" s="50"/>
      <c r="G174" s="50"/>
      <c r="H174" s="50"/>
      <c r="I174" s="50"/>
      <c r="J174" s="50"/>
      <c r="K174" s="51"/>
      <c r="L174" s="50"/>
      <c r="M174" s="50"/>
      <c r="N174" s="50"/>
      <c r="O174" s="50"/>
      <c r="P174" s="50"/>
      <c r="Q174" s="52"/>
      <c r="W174" s="53"/>
      <c r="X174" s="53"/>
      <c r="Y174" s="51"/>
      <c r="Z174" s="51"/>
      <c r="AA174" s="52"/>
    </row>
    <row r="175" spans="4:27">
      <c r="D175" s="50"/>
      <c r="E175" s="50"/>
      <c r="F175" s="50"/>
      <c r="G175" s="50"/>
      <c r="H175" s="50"/>
      <c r="I175" s="50"/>
      <c r="J175" s="50"/>
      <c r="K175" s="51"/>
      <c r="L175" s="50"/>
      <c r="M175" s="50"/>
      <c r="N175" s="50"/>
      <c r="O175" s="50"/>
      <c r="P175" s="50"/>
      <c r="Q175" s="52"/>
      <c r="W175" s="53"/>
      <c r="X175" s="53"/>
      <c r="Y175" s="51"/>
      <c r="Z175" s="51"/>
      <c r="AA175" s="52"/>
    </row>
    <row r="176" spans="4:27">
      <c r="D176" s="50"/>
      <c r="E176" s="50"/>
      <c r="F176" s="50"/>
      <c r="G176" s="50"/>
      <c r="H176" s="50"/>
      <c r="I176" s="50"/>
      <c r="J176" s="50"/>
      <c r="K176" s="51"/>
      <c r="L176" s="50"/>
      <c r="M176" s="50"/>
      <c r="N176" s="50"/>
      <c r="O176" s="50"/>
      <c r="P176" s="50"/>
      <c r="Q176" s="52"/>
      <c r="W176" s="53"/>
      <c r="X176" s="53"/>
      <c r="Y176" s="51"/>
      <c r="Z176" s="51"/>
      <c r="AA176" s="52"/>
    </row>
    <row r="177" spans="4:27">
      <c r="D177" s="50"/>
      <c r="E177" s="50"/>
      <c r="F177" s="50"/>
      <c r="G177" s="50"/>
      <c r="H177" s="50"/>
      <c r="I177" s="50"/>
      <c r="J177" s="50"/>
      <c r="K177" s="51"/>
      <c r="L177" s="50"/>
      <c r="M177" s="50"/>
      <c r="N177" s="50"/>
      <c r="O177" s="50"/>
      <c r="P177" s="50"/>
      <c r="Q177" s="52"/>
      <c r="W177" s="53"/>
      <c r="X177" s="53"/>
      <c r="Y177" s="51"/>
      <c r="Z177" s="51"/>
      <c r="AA177" s="52"/>
    </row>
    <row r="178" spans="4:27">
      <c r="D178" s="50"/>
      <c r="E178" s="50"/>
      <c r="F178" s="50"/>
      <c r="G178" s="50"/>
      <c r="H178" s="50"/>
      <c r="I178" s="50"/>
      <c r="J178" s="50"/>
      <c r="K178" s="51"/>
      <c r="L178" s="50"/>
      <c r="M178" s="50"/>
      <c r="N178" s="50"/>
      <c r="O178" s="50"/>
      <c r="P178" s="50"/>
      <c r="Q178" s="52"/>
      <c r="W178" s="53"/>
      <c r="X178" s="53"/>
      <c r="Y178" s="51"/>
      <c r="Z178" s="51"/>
      <c r="AA178" s="52"/>
    </row>
    <row r="179" spans="4:27">
      <c r="D179" s="50"/>
      <c r="E179" s="50"/>
      <c r="F179" s="50"/>
      <c r="G179" s="50"/>
      <c r="H179" s="50"/>
      <c r="I179" s="50"/>
      <c r="J179" s="50"/>
      <c r="K179" s="51"/>
      <c r="L179" s="50"/>
      <c r="M179" s="50"/>
      <c r="N179" s="50"/>
      <c r="O179" s="50"/>
      <c r="P179" s="50"/>
      <c r="Q179" s="52"/>
      <c r="W179" s="53"/>
      <c r="X179" s="53"/>
      <c r="Y179" s="51"/>
      <c r="Z179" s="51"/>
      <c r="AA179" s="52"/>
    </row>
    <row r="180" spans="4:27">
      <c r="D180" s="50"/>
      <c r="E180" s="50"/>
      <c r="F180" s="50"/>
      <c r="G180" s="50"/>
      <c r="H180" s="50"/>
      <c r="I180" s="50"/>
      <c r="J180" s="50"/>
      <c r="K180" s="51"/>
      <c r="L180" s="50"/>
      <c r="M180" s="50"/>
      <c r="N180" s="50"/>
      <c r="O180" s="50"/>
      <c r="P180" s="50"/>
      <c r="Q180" s="52"/>
      <c r="W180" s="53"/>
      <c r="X180" s="53"/>
      <c r="Y180" s="51"/>
      <c r="Z180" s="51"/>
      <c r="AA180" s="52"/>
    </row>
    <row r="181" spans="4:27">
      <c r="D181" s="50"/>
      <c r="E181" s="50"/>
      <c r="F181" s="50"/>
      <c r="G181" s="50"/>
      <c r="H181" s="50"/>
      <c r="I181" s="50"/>
      <c r="J181" s="50"/>
      <c r="K181" s="51"/>
      <c r="L181" s="50"/>
      <c r="M181" s="50"/>
      <c r="N181" s="50"/>
      <c r="O181" s="50"/>
      <c r="P181" s="50"/>
      <c r="Q181" s="52"/>
      <c r="W181" s="53"/>
      <c r="X181" s="53"/>
      <c r="Y181" s="51"/>
      <c r="Z181" s="51"/>
      <c r="AA181" s="52"/>
    </row>
    <row r="182" spans="4:27">
      <c r="D182" s="50"/>
      <c r="E182" s="50"/>
      <c r="F182" s="50"/>
      <c r="G182" s="50"/>
      <c r="H182" s="50"/>
      <c r="I182" s="50"/>
      <c r="J182" s="50"/>
      <c r="K182" s="51"/>
      <c r="L182" s="50"/>
      <c r="M182" s="50"/>
      <c r="N182" s="50"/>
      <c r="O182" s="50"/>
      <c r="P182" s="50"/>
      <c r="Q182" s="52"/>
      <c r="W182" s="53"/>
      <c r="X182" s="53"/>
      <c r="Y182" s="51"/>
      <c r="Z182" s="51"/>
      <c r="AA182" s="52"/>
    </row>
    <row r="183" spans="4:27">
      <c r="D183" s="50"/>
      <c r="E183" s="50"/>
      <c r="F183" s="50"/>
      <c r="G183" s="50"/>
      <c r="H183" s="50"/>
      <c r="I183" s="50"/>
      <c r="J183" s="50"/>
      <c r="K183" s="51"/>
      <c r="L183" s="50"/>
      <c r="M183" s="50"/>
      <c r="N183" s="50"/>
      <c r="O183" s="50"/>
      <c r="P183" s="50"/>
      <c r="Q183" s="52"/>
      <c r="W183" s="53"/>
      <c r="X183" s="53"/>
      <c r="Y183" s="51"/>
      <c r="Z183" s="51"/>
      <c r="AA183" s="52"/>
    </row>
    <row r="184" spans="4:27">
      <c r="D184" s="50"/>
      <c r="E184" s="50"/>
      <c r="F184" s="50"/>
      <c r="G184" s="50"/>
      <c r="H184" s="50"/>
      <c r="I184" s="50"/>
      <c r="J184" s="50"/>
      <c r="K184" s="51"/>
      <c r="L184" s="50"/>
      <c r="M184" s="50"/>
      <c r="N184" s="50"/>
      <c r="O184" s="50"/>
      <c r="P184" s="50"/>
      <c r="Q184" s="52"/>
      <c r="W184" s="53"/>
      <c r="X184" s="53"/>
      <c r="Y184" s="51"/>
      <c r="Z184" s="51"/>
      <c r="AA184" s="52"/>
    </row>
    <row r="185" spans="4:27">
      <c r="D185" s="50"/>
      <c r="E185" s="50"/>
      <c r="F185" s="50"/>
      <c r="G185" s="50"/>
      <c r="H185" s="50"/>
      <c r="I185" s="50"/>
      <c r="J185" s="50"/>
      <c r="K185" s="51"/>
      <c r="L185" s="50"/>
      <c r="M185" s="50"/>
      <c r="N185" s="50"/>
      <c r="O185" s="50"/>
      <c r="P185" s="50"/>
      <c r="Q185" s="52"/>
      <c r="W185" s="53"/>
      <c r="X185" s="53"/>
      <c r="Y185" s="51"/>
      <c r="Z185" s="51"/>
      <c r="AA185" s="52"/>
    </row>
    <row r="186" spans="4:27">
      <c r="D186" s="50"/>
      <c r="E186" s="50"/>
      <c r="F186" s="50"/>
      <c r="G186" s="50"/>
      <c r="H186" s="50"/>
      <c r="I186" s="50"/>
      <c r="J186" s="50"/>
      <c r="K186" s="51"/>
      <c r="L186" s="50"/>
      <c r="M186" s="50"/>
      <c r="N186" s="50"/>
      <c r="O186" s="50"/>
      <c r="P186" s="50"/>
      <c r="Q186" s="52"/>
      <c r="W186" s="53"/>
      <c r="X186" s="53"/>
      <c r="Y186" s="51"/>
      <c r="Z186" s="51"/>
      <c r="AA186" s="52"/>
    </row>
    <row r="187" spans="4:27">
      <c r="D187" s="50"/>
      <c r="E187" s="50"/>
      <c r="F187" s="50"/>
      <c r="G187" s="50"/>
      <c r="H187" s="50"/>
      <c r="I187" s="50"/>
      <c r="J187" s="50"/>
      <c r="K187" s="51"/>
      <c r="L187" s="50"/>
      <c r="M187" s="50"/>
      <c r="N187" s="50"/>
      <c r="O187" s="50"/>
      <c r="P187" s="50"/>
      <c r="Q187" s="52"/>
      <c r="W187" s="53"/>
      <c r="X187" s="53"/>
      <c r="Y187" s="51"/>
      <c r="Z187" s="51"/>
      <c r="AA187" s="52"/>
    </row>
    <row r="188" spans="4:27">
      <c r="D188" s="50"/>
      <c r="E188" s="50"/>
      <c r="F188" s="50"/>
      <c r="G188" s="50"/>
      <c r="H188" s="50"/>
      <c r="I188" s="50"/>
      <c r="J188" s="50"/>
      <c r="K188" s="51"/>
      <c r="L188" s="50"/>
      <c r="M188" s="50"/>
      <c r="N188" s="50"/>
      <c r="O188" s="50"/>
      <c r="P188" s="50"/>
      <c r="Q188" s="52"/>
      <c r="W188" s="53"/>
      <c r="X188" s="53"/>
      <c r="Y188" s="51"/>
      <c r="Z188" s="51"/>
      <c r="AA188" s="52"/>
    </row>
    <row r="189" spans="4:27">
      <c r="D189" s="50"/>
      <c r="E189" s="50"/>
      <c r="F189" s="50"/>
      <c r="G189" s="50"/>
      <c r="H189" s="50"/>
      <c r="I189" s="50"/>
      <c r="J189" s="50"/>
      <c r="K189" s="51"/>
      <c r="L189" s="50"/>
      <c r="M189" s="50"/>
      <c r="N189" s="50"/>
      <c r="O189" s="50"/>
      <c r="P189" s="50"/>
      <c r="Q189" s="52"/>
      <c r="W189" s="53"/>
      <c r="X189" s="53"/>
      <c r="Y189" s="51"/>
      <c r="Z189" s="51"/>
      <c r="AA189" s="52"/>
    </row>
    <row r="190" spans="4:27">
      <c r="D190" s="50"/>
      <c r="E190" s="50"/>
      <c r="F190" s="50"/>
      <c r="G190" s="50"/>
      <c r="H190" s="50"/>
      <c r="I190" s="50"/>
      <c r="J190" s="50"/>
      <c r="K190" s="51"/>
      <c r="L190" s="50"/>
      <c r="M190" s="50"/>
      <c r="N190" s="50"/>
      <c r="O190" s="50"/>
      <c r="P190" s="50"/>
      <c r="Q190" s="52"/>
      <c r="W190" s="53"/>
      <c r="X190" s="53"/>
      <c r="Y190" s="51"/>
      <c r="Z190" s="51"/>
      <c r="AA190" s="52"/>
    </row>
    <row r="191" spans="4:27">
      <c r="D191" s="50"/>
      <c r="E191" s="50"/>
      <c r="F191" s="50"/>
      <c r="G191" s="50"/>
      <c r="H191" s="50"/>
      <c r="I191" s="50"/>
      <c r="J191" s="50"/>
      <c r="K191" s="51"/>
      <c r="L191" s="50"/>
      <c r="M191" s="50"/>
      <c r="N191" s="50"/>
      <c r="O191" s="50"/>
      <c r="P191" s="50"/>
      <c r="Q191" s="52"/>
      <c r="W191" s="53"/>
      <c r="X191" s="53"/>
      <c r="Y191" s="51"/>
      <c r="Z191" s="51"/>
      <c r="AA191" s="52"/>
    </row>
    <row r="192" spans="4:27">
      <c r="D192" s="50"/>
      <c r="E192" s="50"/>
      <c r="F192" s="50"/>
      <c r="G192" s="50"/>
      <c r="H192" s="50"/>
      <c r="I192" s="50"/>
      <c r="J192" s="50"/>
      <c r="K192" s="51"/>
      <c r="L192" s="50"/>
      <c r="M192" s="50"/>
      <c r="N192" s="50"/>
      <c r="O192" s="50"/>
      <c r="P192" s="50"/>
      <c r="Q192" s="52"/>
      <c r="W192" s="53"/>
      <c r="X192" s="53"/>
      <c r="Y192" s="51"/>
      <c r="Z192" s="51"/>
      <c r="AA192" s="52"/>
    </row>
    <row r="193" spans="4:27">
      <c r="D193" s="50"/>
      <c r="E193" s="50"/>
      <c r="F193" s="50"/>
      <c r="G193" s="50"/>
      <c r="H193" s="50"/>
      <c r="I193" s="50"/>
      <c r="J193" s="50"/>
      <c r="K193" s="51"/>
      <c r="L193" s="50"/>
      <c r="M193" s="50"/>
      <c r="N193" s="50"/>
      <c r="O193" s="50"/>
      <c r="P193" s="50"/>
      <c r="Q193" s="52"/>
      <c r="W193" s="53"/>
      <c r="X193" s="53"/>
      <c r="Y193" s="51"/>
      <c r="Z193" s="51"/>
      <c r="AA193" s="52"/>
    </row>
    <row r="194" spans="4:27">
      <c r="D194" s="50"/>
      <c r="E194" s="50"/>
      <c r="F194" s="50"/>
      <c r="G194" s="50"/>
      <c r="H194" s="50"/>
      <c r="I194" s="50"/>
      <c r="J194" s="50"/>
      <c r="K194" s="51"/>
      <c r="L194" s="50"/>
      <c r="M194" s="50"/>
      <c r="N194" s="50"/>
      <c r="O194" s="50"/>
      <c r="P194" s="50"/>
      <c r="Q194" s="52"/>
      <c r="W194" s="53"/>
      <c r="X194" s="53"/>
      <c r="Y194" s="51"/>
      <c r="Z194" s="51"/>
      <c r="AA194" s="52"/>
    </row>
    <row r="195" spans="4:27">
      <c r="D195" s="50"/>
      <c r="E195" s="50"/>
      <c r="F195" s="50"/>
      <c r="G195" s="50"/>
      <c r="H195" s="50"/>
      <c r="I195" s="50"/>
      <c r="J195" s="50"/>
      <c r="K195" s="51"/>
      <c r="L195" s="50"/>
      <c r="M195" s="50"/>
      <c r="N195" s="50"/>
      <c r="O195" s="50"/>
      <c r="P195" s="50"/>
      <c r="Q195" s="52"/>
      <c r="W195" s="53"/>
      <c r="X195" s="53"/>
      <c r="Y195" s="51"/>
      <c r="Z195" s="51"/>
      <c r="AA195" s="52"/>
    </row>
    <row r="196" spans="4:27">
      <c r="D196" s="50"/>
      <c r="E196" s="50"/>
      <c r="F196" s="50"/>
      <c r="G196" s="50"/>
      <c r="H196" s="50"/>
      <c r="I196" s="50"/>
      <c r="J196" s="50"/>
      <c r="K196" s="51"/>
      <c r="L196" s="50"/>
      <c r="M196" s="50"/>
      <c r="N196" s="50"/>
      <c r="O196" s="50"/>
      <c r="P196" s="50"/>
      <c r="Q196" s="52"/>
      <c r="W196" s="53"/>
      <c r="X196" s="53"/>
      <c r="Y196" s="51"/>
      <c r="Z196" s="51"/>
      <c r="AA196" s="52"/>
    </row>
    <row r="197" spans="4:27">
      <c r="D197" s="50"/>
      <c r="E197" s="50"/>
      <c r="F197" s="50"/>
      <c r="G197" s="50"/>
      <c r="H197" s="50"/>
      <c r="I197" s="50"/>
      <c r="J197" s="50"/>
      <c r="K197" s="51"/>
      <c r="L197" s="50"/>
      <c r="M197" s="50"/>
      <c r="N197" s="50"/>
      <c r="O197" s="50"/>
      <c r="P197" s="50"/>
      <c r="Q197" s="52"/>
      <c r="W197" s="53"/>
      <c r="X197" s="53"/>
      <c r="Y197" s="51"/>
      <c r="Z197" s="51"/>
      <c r="AA197" s="52"/>
    </row>
    <row r="198" spans="4:27">
      <c r="D198" s="50"/>
      <c r="E198" s="50"/>
      <c r="F198" s="50"/>
      <c r="G198" s="50"/>
      <c r="H198" s="50"/>
      <c r="I198" s="50"/>
      <c r="J198" s="50"/>
      <c r="K198" s="51"/>
      <c r="L198" s="50"/>
      <c r="M198" s="50"/>
      <c r="N198" s="50"/>
      <c r="O198" s="50"/>
      <c r="P198" s="50"/>
      <c r="Q198" s="52"/>
      <c r="W198" s="53"/>
      <c r="X198" s="53"/>
      <c r="Y198" s="51"/>
      <c r="Z198" s="51"/>
      <c r="AA198" s="52"/>
    </row>
    <row r="199" spans="4:27">
      <c r="D199" s="50"/>
      <c r="E199" s="50"/>
      <c r="F199" s="50"/>
      <c r="G199" s="50"/>
      <c r="H199" s="50"/>
      <c r="I199" s="50"/>
      <c r="J199" s="50"/>
      <c r="K199" s="51"/>
      <c r="L199" s="50"/>
      <c r="M199" s="50"/>
      <c r="N199" s="50"/>
      <c r="O199" s="50"/>
      <c r="P199" s="50"/>
      <c r="Q199" s="52"/>
      <c r="W199" s="53"/>
      <c r="X199" s="53"/>
      <c r="Y199" s="51"/>
      <c r="Z199" s="51"/>
      <c r="AA199" s="52"/>
    </row>
    <row r="200" spans="4:27">
      <c r="D200" s="50"/>
      <c r="E200" s="50"/>
      <c r="F200" s="50"/>
      <c r="G200" s="50"/>
      <c r="H200" s="50"/>
      <c r="I200" s="50"/>
      <c r="J200" s="50"/>
      <c r="K200" s="51"/>
      <c r="L200" s="50"/>
      <c r="M200" s="50"/>
      <c r="N200" s="50"/>
      <c r="O200" s="50"/>
      <c r="P200" s="50"/>
      <c r="Q200" s="52"/>
      <c r="W200" s="53"/>
      <c r="X200" s="53"/>
      <c r="Y200" s="51"/>
      <c r="Z200" s="51"/>
      <c r="AA200" s="52"/>
    </row>
    <row r="201" spans="4:27">
      <c r="D201" s="50"/>
      <c r="E201" s="50"/>
      <c r="F201" s="50"/>
      <c r="G201" s="50"/>
      <c r="H201" s="50"/>
      <c r="I201" s="50"/>
      <c r="J201" s="50"/>
      <c r="K201" s="51"/>
      <c r="L201" s="50"/>
      <c r="M201" s="50"/>
      <c r="N201" s="50"/>
      <c r="O201" s="50"/>
      <c r="P201" s="50"/>
      <c r="Q201" s="52"/>
      <c r="W201" s="53"/>
      <c r="X201" s="53"/>
      <c r="Y201" s="51"/>
      <c r="Z201" s="51"/>
      <c r="AA201" s="52"/>
    </row>
    <row r="202" spans="4:27">
      <c r="D202" s="50"/>
      <c r="E202" s="50"/>
      <c r="F202" s="50"/>
      <c r="G202" s="50"/>
      <c r="H202" s="50"/>
      <c r="I202" s="50"/>
      <c r="J202" s="50"/>
      <c r="K202" s="51"/>
      <c r="L202" s="50"/>
      <c r="M202" s="50"/>
      <c r="N202" s="50"/>
      <c r="O202" s="50"/>
      <c r="P202" s="50"/>
      <c r="Q202" s="52"/>
      <c r="W202" s="53"/>
      <c r="X202" s="53"/>
      <c r="Y202" s="51"/>
      <c r="Z202" s="51"/>
      <c r="AA202" s="52"/>
    </row>
    <row r="203" spans="4:27">
      <c r="D203" s="50"/>
      <c r="E203" s="50"/>
      <c r="F203" s="50"/>
      <c r="G203" s="50"/>
      <c r="H203" s="50"/>
      <c r="I203" s="50"/>
      <c r="J203" s="50"/>
      <c r="K203" s="51"/>
      <c r="L203" s="50"/>
      <c r="M203" s="50"/>
      <c r="N203" s="50"/>
      <c r="O203" s="50"/>
      <c r="P203" s="50"/>
      <c r="Q203" s="52"/>
      <c r="W203" s="53"/>
      <c r="X203" s="53"/>
      <c r="Y203" s="51"/>
      <c r="Z203" s="51"/>
      <c r="AA203" s="52"/>
    </row>
    <row r="204" spans="4:27">
      <c r="D204" s="50"/>
      <c r="E204" s="50"/>
      <c r="F204" s="50"/>
      <c r="G204" s="50"/>
      <c r="H204" s="50"/>
      <c r="I204" s="50"/>
      <c r="J204" s="50"/>
      <c r="K204" s="51"/>
      <c r="L204" s="50"/>
      <c r="M204" s="50"/>
      <c r="N204" s="50"/>
      <c r="O204" s="50"/>
      <c r="P204" s="50"/>
      <c r="Q204" s="52"/>
      <c r="W204" s="53"/>
      <c r="X204" s="53"/>
      <c r="Y204" s="51"/>
      <c r="Z204" s="51"/>
      <c r="AA204" s="52"/>
    </row>
    <row r="205" spans="4:27">
      <c r="D205" s="50"/>
      <c r="E205" s="50"/>
      <c r="F205" s="50"/>
      <c r="G205" s="50"/>
      <c r="H205" s="50"/>
      <c r="I205" s="50"/>
      <c r="J205" s="50"/>
      <c r="K205" s="51"/>
      <c r="L205" s="50"/>
      <c r="M205" s="50"/>
      <c r="N205" s="50"/>
      <c r="O205" s="50"/>
      <c r="P205" s="50"/>
      <c r="Q205" s="52"/>
      <c r="W205" s="53"/>
      <c r="X205" s="53"/>
      <c r="Y205" s="51"/>
      <c r="Z205" s="51"/>
      <c r="AA205" s="52"/>
    </row>
    <row r="206" spans="4:27">
      <c r="D206" s="50"/>
      <c r="E206" s="50"/>
      <c r="F206" s="50"/>
      <c r="G206" s="50"/>
      <c r="H206" s="50"/>
      <c r="I206" s="50"/>
      <c r="J206" s="50"/>
      <c r="K206" s="51"/>
      <c r="L206" s="50"/>
      <c r="M206" s="50"/>
      <c r="N206" s="50"/>
      <c r="O206" s="50"/>
      <c r="P206" s="50"/>
      <c r="Q206" s="52"/>
      <c r="W206" s="53"/>
      <c r="X206" s="53"/>
      <c r="Y206" s="51"/>
      <c r="Z206" s="51"/>
      <c r="AA206" s="52"/>
    </row>
    <row r="207" spans="4:27">
      <c r="D207" s="50"/>
      <c r="E207" s="50"/>
      <c r="F207" s="50"/>
      <c r="G207" s="50"/>
      <c r="H207" s="50"/>
      <c r="I207" s="50"/>
      <c r="J207" s="50"/>
      <c r="K207" s="51"/>
      <c r="L207" s="50"/>
      <c r="M207" s="50"/>
      <c r="N207" s="50"/>
      <c r="O207" s="50"/>
      <c r="P207" s="50"/>
      <c r="Q207" s="52"/>
      <c r="W207" s="53"/>
      <c r="X207" s="53"/>
      <c r="Y207" s="51"/>
      <c r="Z207" s="51"/>
      <c r="AA207" s="52"/>
    </row>
    <row r="208" spans="4:27">
      <c r="D208" s="50"/>
      <c r="E208" s="50"/>
      <c r="F208" s="50"/>
      <c r="G208" s="50"/>
      <c r="H208" s="50"/>
      <c r="I208" s="50"/>
      <c r="J208" s="50"/>
      <c r="K208" s="51"/>
      <c r="L208" s="50"/>
      <c r="M208" s="50"/>
      <c r="N208" s="50"/>
      <c r="O208" s="50"/>
      <c r="P208" s="50"/>
      <c r="Q208" s="52"/>
      <c r="W208" s="53"/>
      <c r="X208" s="53"/>
      <c r="Y208" s="51"/>
      <c r="Z208" s="51"/>
      <c r="AA208" s="52"/>
    </row>
    <row r="209" spans="4:27">
      <c r="D209" s="50"/>
      <c r="E209" s="50"/>
      <c r="F209" s="50"/>
      <c r="G209" s="50"/>
      <c r="H209" s="50"/>
      <c r="I209" s="50"/>
      <c r="J209" s="50"/>
      <c r="K209" s="51"/>
      <c r="L209" s="50"/>
      <c r="M209" s="50"/>
      <c r="N209" s="50"/>
      <c r="O209" s="50"/>
      <c r="P209" s="50"/>
      <c r="Q209" s="52"/>
      <c r="W209" s="53"/>
      <c r="X209" s="53"/>
      <c r="Y209" s="51"/>
      <c r="Z209" s="51"/>
      <c r="AA209" s="52"/>
    </row>
    <row r="210" spans="4:27">
      <c r="D210" s="50"/>
      <c r="E210" s="50"/>
      <c r="F210" s="50"/>
      <c r="G210" s="50"/>
      <c r="H210" s="50"/>
      <c r="I210" s="50"/>
      <c r="J210" s="50"/>
      <c r="K210" s="51"/>
      <c r="L210" s="50"/>
      <c r="M210" s="50"/>
      <c r="N210" s="50"/>
      <c r="O210" s="50"/>
      <c r="P210" s="50"/>
      <c r="Q210" s="52"/>
      <c r="W210" s="53"/>
      <c r="X210" s="53"/>
      <c r="Y210" s="51"/>
      <c r="Z210" s="51"/>
      <c r="AA210" s="52"/>
    </row>
    <row r="211" spans="4:27">
      <c r="D211" s="50"/>
      <c r="E211" s="50"/>
      <c r="F211" s="50"/>
      <c r="G211" s="50"/>
      <c r="H211" s="50"/>
      <c r="I211" s="50"/>
      <c r="J211" s="50"/>
      <c r="K211" s="51"/>
      <c r="L211" s="50"/>
      <c r="M211" s="50"/>
      <c r="N211" s="50"/>
      <c r="O211" s="50"/>
      <c r="P211" s="50"/>
      <c r="Q211" s="52"/>
      <c r="W211" s="53"/>
      <c r="X211" s="53"/>
      <c r="Y211" s="51"/>
      <c r="Z211" s="51"/>
      <c r="AA211" s="52"/>
    </row>
    <row r="212" spans="4:27">
      <c r="D212" s="50"/>
      <c r="E212" s="50"/>
      <c r="F212" s="50"/>
      <c r="G212" s="50"/>
      <c r="H212" s="50"/>
      <c r="I212" s="50"/>
      <c r="J212" s="50"/>
      <c r="K212" s="51"/>
      <c r="L212" s="50"/>
      <c r="M212" s="50"/>
      <c r="N212" s="50"/>
      <c r="O212" s="50"/>
      <c r="P212" s="50"/>
      <c r="Q212" s="52"/>
      <c r="W212" s="53"/>
      <c r="X212" s="53"/>
      <c r="Y212" s="51"/>
      <c r="Z212" s="51"/>
      <c r="AA212" s="52"/>
    </row>
    <row r="213" spans="4:27">
      <c r="D213" s="50"/>
      <c r="E213" s="50"/>
      <c r="F213" s="50"/>
      <c r="G213" s="50"/>
      <c r="H213" s="50"/>
      <c r="I213" s="50"/>
      <c r="J213" s="50"/>
      <c r="K213" s="51"/>
      <c r="L213" s="50"/>
      <c r="M213" s="50"/>
      <c r="N213" s="50"/>
      <c r="O213" s="50"/>
      <c r="P213" s="50"/>
      <c r="Q213" s="52"/>
      <c r="W213" s="53"/>
      <c r="X213" s="53"/>
      <c r="Y213" s="51"/>
      <c r="Z213" s="51"/>
      <c r="AA213" s="52"/>
    </row>
    <row r="214" spans="4:27">
      <c r="D214" s="50"/>
      <c r="E214" s="50"/>
      <c r="F214" s="50"/>
      <c r="G214" s="50"/>
      <c r="H214" s="50"/>
      <c r="I214" s="50"/>
      <c r="J214" s="50"/>
      <c r="K214" s="51"/>
      <c r="L214" s="50"/>
      <c r="M214" s="50"/>
      <c r="N214" s="50"/>
      <c r="O214" s="50"/>
      <c r="P214" s="50"/>
      <c r="Q214" s="52"/>
      <c r="W214" s="53"/>
      <c r="X214" s="53"/>
      <c r="Y214" s="51"/>
      <c r="Z214" s="51"/>
      <c r="AA214" s="52"/>
    </row>
    <row r="215" spans="4:27">
      <c r="D215" s="50"/>
      <c r="E215" s="50"/>
      <c r="F215" s="50"/>
      <c r="G215" s="50"/>
      <c r="H215" s="50"/>
      <c r="I215" s="50"/>
      <c r="J215" s="50"/>
      <c r="K215" s="51"/>
      <c r="L215" s="50"/>
      <c r="M215" s="50"/>
      <c r="N215" s="50"/>
      <c r="O215" s="50"/>
      <c r="P215" s="50"/>
      <c r="Q215" s="52"/>
      <c r="W215" s="53"/>
      <c r="X215" s="53"/>
      <c r="Y215" s="51"/>
      <c r="Z215" s="51"/>
      <c r="AA215" s="52"/>
    </row>
    <row r="216" spans="4:27">
      <c r="D216" s="50"/>
      <c r="E216" s="50"/>
      <c r="F216" s="50"/>
      <c r="G216" s="50"/>
      <c r="H216" s="50"/>
      <c r="I216" s="50"/>
      <c r="J216" s="50"/>
      <c r="K216" s="51"/>
      <c r="L216" s="50"/>
      <c r="M216" s="50"/>
      <c r="N216" s="50"/>
      <c r="O216" s="50"/>
      <c r="P216" s="50"/>
      <c r="Q216" s="52"/>
      <c r="W216" s="53"/>
      <c r="X216" s="53"/>
      <c r="Y216" s="51"/>
      <c r="Z216" s="51"/>
      <c r="AA216" s="52"/>
    </row>
    <row r="217" spans="4:27">
      <c r="D217" s="50"/>
      <c r="E217" s="50"/>
      <c r="F217" s="50"/>
      <c r="G217" s="50"/>
      <c r="H217" s="50"/>
      <c r="I217" s="50"/>
      <c r="J217" s="50"/>
      <c r="K217" s="51"/>
      <c r="L217" s="50"/>
      <c r="M217" s="50"/>
      <c r="N217" s="50"/>
      <c r="O217" s="50"/>
      <c r="P217" s="50"/>
      <c r="Q217" s="52"/>
      <c r="W217" s="53"/>
      <c r="X217" s="53"/>
      <c r="Y217" s="51"/>
      <c r="Z217" s="51"/>
      <c r="AA217" s="52"/>
    </row>
    <row r="218" spans="4:27">
      <c r="D218" s="50"/>
      <c r="E218" s="50"/>
      <c r="F218" s="50"/>
      <c r="G218" s="50"/>
      <c r="H218" s="50"/>
      <c r="I218" s="50"/>
      <c r="J218" s="50"/>
      <c r="K218" s="51"/>
      <c r="L218" s="50"/>
      <c r="M218" s="50"/>
      <c r="N218" s="50"/>
      <c r="O218" s="50"/>
      <c r="P218" s="50"/>
      <c r="Q218" s="52"/>
      <c r="W218" s="53"/>
      <c r="X218" s="53"/>
      <c r="Y218" s="51"/>
      <c r="Z218" s="51"/>
      <c r="AA218" s="52"/>
    </row>
    <row r="219" spans="4:27">
      <c r="D219" s="50"/>
      <c r="E219" s="50"/>
      <c r="F219" s="50"/>
      <c r="G219" s="50"/>
      <c r="H219" s="50"/>
      <c r="I219" s="50"/>
      <c r="J219" s="50"/>
      <c r="K219" s="51"/>
      <c r="L219" s="50"/>
      <c r="M219" s="50"/>
      <c r="N219" s="50"/>
      <c r="O219" s="50"/>
      <c r="P219" s="50"/>
      <c r="Q219" s="52"/>
      <c r="W219" s="53"/>
      <c r="X219" s="53"/>
      <c r="Y219" s="51"/>
      <c r="Z219" s="51"/>
      <c r="AA219" s="52"/>
    </row>
    <row r="220" spans="4:27">
      <c r="D220" s="50"/>
      <c r="E220" s="50"/>
      <c r="F220" s="50"/>
      <c r="G220" s="50"/>
      <c r="H220" s="50"/>
      <c r="I220" s="50"/>
      <c r="J220" s="50"/>
      <c r="K220" s="51"/>
      <c r="L220" s="50"/>
      <c r="M220" s="50"/>
      <c r="N220" s="50"/>
      <c r="O220" s="50"/>
      <c r="P220" s="50"/>
      <c r="Q220" s="52"/>
      <c r="W220" s="53"/>
      <c r="X220" s="53"/>
      <c r="Y220" s="51"/>
      <c r="Z220" s="51"/>
      <c r="AA220" s="52"/>
    </row>
    <row r="221" spans="4:27">
      <c r="D221" s="50"/>
      <c r="E221" s="50"/>
      <c r="F221" s="50"/>
      <c r="G221" s="50"/>
      <c r="H221" s="50"/>
      <c r="I221" s="50"/>
      <c r="J221" s="50"/>
      <c r="K221" s="51"/>
      <c r="L221" s="50"/>
      <c r="M221" s="50"/>
      <c r="N221" s="50"/>
      <c r="O221" s="50"/>
      <c r="P221" s="50"/>
      <c r="Q221" s="52"/>
      <c r="W221" s="53"/>
      <c r="X221" s="53"/>
      <c r="Y221" s="51"/>
      <c r="Z221" s="51"/>
      <c r="AA221" s="52"/>
    </row>
    <row r="222" spans="4:27">
      <c r="D222" s="50"/>
      <c r="E222" s="50"/>
      <c r="F222" s="50"/>
      <c r="G222" s="50"/>
      <c r="H222" s="50"/>
      <c r="I222" s="50"/>
      <c r="J222" s="50"/>
      <c r="K222" s="51"/>
      <c r="L222" s="50"/>
      <c r="M222" s="50"/>
      <c r="N222" s="50"/>
      <c r="O222" s="50"/>
      <c r="P222" s="50"/>
      <c r="Q222" s="52"/>
      <c r="W222" s="53"/>
      <c r="X222" s="53"/>
      <c r="Y222" s="51"/>
      <c r="Z222" s="51"/>
      <c r="AA222" s="52"/>
    </row>
    <row r="223" spans="4:27">
      <c r="D223" s="50"/>
      <c r="E223" s="50"/>
      <c r="F223" s="50"/>
      <c r="G223" s="50"/>
      <c r="H223" s="50"/>
      <c r="I223" s="50"/>
      <c r="J223" s="50"/>
      <c r="K223" s="51"/>
      <c r="L223" s="50"/>
      <c r="M223" s="50"/>
      <c r="N223" s="50"/>
      <c r="O223" s="50"/>
      <c r="P223" s="50"/>
      <c r="Q223" s="52"/>
      <c r="W223" s="53"/>
      <c r="X223" s="53"/>
      <c r="Y223" s="51"/>
      <c r="Z223" s="51"/>
      <c r="AA223" s="52"/>
    </row>
    <row r="224" spans="4:27">
      <c r="D224" s="50"/>
      <c r="E224" s="50"/>
      <c r="F224" s="50"/>
      <c r="G224" s="50"/>
      <c r="H224" s="50"/>
      <c r="I224" s="50"/>
      <c r="J224" s="50"/>
      <c r="K224" s="51"/>
      <c r="L224" s="50"/>
      <c r="M224" s="50"/>
      <c r="N224" s="50"/>
      <c r="O224" s="50"/>
      <c r="P224" s="50"/>
      <c r="Q224" s="52"/>
      <c r="W224" s="53"/>
      <c r="X224" s="53"/>
      <c r="Y224" s="51"/>
      <c r="Z224" s="51"/>
      <c r="AA224" s="52"/>
    </row>
    <row r="225" spans="4:27">
      <c r="D225" s="50"/>
      <c r="E225" s="50"/>
      <c r="F225" s="50"/>
      <c r="G225" s="50"/>
      <c r="H225" s="50"/>
      <c r="I225" s="50"/>
      <c r="J225" s="50"/>
      <c r="K225" s="51"/>
      <c r="L225" s="50"/>
      <c r="M225" s="50"/>
      <c r="N225" s="50"/>
      <c r="O225" s="50"/>
      <c r="P225" s="50"/>
      <c r="Q225" s="52"/>
      <c r="W225" s="53"/>
      <c r="X225" s="53"/>
      <c r="Y225" s="51"/>
      <c r="Z225" s="51"/>
      <c r="AA225" s="52"/>
    </row>
    <row r="226" spans="4:27">
      <c r="D226" s="50"/>
      <c r="E226" s="50"/>
      <c r="F226" s="50"/>
      <c r="G226" s="50"/>
      <c r="H226" s="50"/>
      <c r="I226" s="50"/>
      <c r="J226" s="50"/>
      <c r="K226" s="51"/>
      <c r="L226" s="50"/>
      <c r="M226" s="50"/>
      <c r="N226" s="50"/>
      <c r="O226" s="50"/>
      <c r="P226" s="50"/>
      <c r="Q226" s="52"/>
      <c r="W226" s="53"/>
      <c r="X226" s="53"/>
      <c r="Y226" s="51"/>
      <c r="Z226" s="51"/>
      <c r="AA226" s="52"/>
    </row>
    <row r="227" spans="4:27">
      <c r="D227" s="50"/>
      <c r="E227" s="50"/>
      <c r="F227" s="50"/>
      <c r="G227" s="50"/>
      <c r="H227" s="50"/>
      <c r="I227" s="50"/>
      <c r="J227" s="50"/>
      <c r="K227" s="51"/>
      <c r="L227" s="50"/>
      <c r="M227" s="50"/>
      <c r="N227" s="50"/>
      <c r="O227" s="50"/>
      <c r="P227" s="50"/>
      <c r="Q227" s="52"/>
      <c r="W227" s="53"/>
      <c r="X227" s="53"/>
      <c r="Y227" s="51"/>
      <c r="Z227" s="51"/>
      <c r="AA227" s="52"/>
    </row>
    <row r="228" spans="4:27">
      <c r="D228" s="50"/>
      <c r="E228" s="50"/>
      <c r="F228" s="50"/>
      <c r="G228" s="50"/>
      <c r="H228" s="50"/>
      <c r="I228" s="50"/>
      <c r="J228" s="50"/>
      <c r="K228" s="51"/>
      <c r="L228" s="50"/>
      <c r="M228" s="50"/>
      <c r="N228" s="50"/>
      <c r="O228" s="50"/>
      <c r="P228" s="50"/>
      <c r="Q228" s="52"/>
      <c r="W228" s="53"/>
      <c r="X228" s="53"/>
      <c r="Y228" s="51"/>
      <c r="Z228" s="51"/>
      <c r="AA228" s="52"/>
    </row>
    <row r="229" spans="4:27">
      <c r="D229" s="50"/>
      <c r="E229" s="50"/>
      <c r="F229" s="50"/>
      <c r="G229" s="50"/>
      <c r="H229" s="50"/>
      <c r="I229" s="50"/>
      <c r="J229" s="50"/>
      <c r="K229" s="51"/>
      <c r="L229" s="50"/>
      <c r="M229" s="50"/>
      <c r="N229" s="50"/>
      <c r="O229" s="50"/>
      <c r="P229" s="50"/>
      <c r="Q229" s="52"/>
      <c r="W229" s="53"/>
      <c r="X229" s="53"/>
      <c r="Y229" s="51"/>
      <c r="Z229" s="51"/>
      <c r="AA229" s="52"/>
    </row>
    <row r="230" spans="4:27">
      <c r="D230" s="50"/>
      <c r="E230" s="50"/>
      <c r="F230" s="50"/>
      <c r="G230" s="50"/>
      <c r="H230" s="50"/>
      <c r="I230" s="50"/>
      <c r="J230" s="50"/>
      <c r="K230" s="51"/>
      <c r="L230" s="50"/>
      <c r="M230" s="50"/>
      <c r="N230" s="50"/>
      <c r="O230" s="50"/>
      <c r="P230" s="50"/>
      <c r="Q230" s="52"/>
      <c r="W230" s="53"/>
      <c r="X230" s="53"/>
      <c r="Y230" s="51"/>
      <c r="Z230" s="51"/>
      <c r="AA230" s="52"/>
    </row>
    <row r="231" spans="4:27">
      <c r="D231" s="50"/>
      <c r="E231" s="50"/>
      <c r="F231" s="50"/>
      <c r="G231" s="50"/>
      <c r="H231" s="50"/>
      <c r="I231" s="50"/>
      <c r="J231" s="50"/>
      <c r="K231" s="51"/>
      <c r="L231" s="50"/>
      <c r="M231" s="50"/>
      <c r="N231" s="50"/>
      <c r="O231" s="50"/>
      <c r="P231" s="50"/>
      <c r="Q231" s="52"/>
      <c r="W231" s="53"/>
      <c r="X231" s="53"/>
      <c r="Y231" s="51"/>
      <c r="Z231" s="51"/>
      <c r="AA231" s="52"/>
    </row>
    <row r="232" spans="4:27">
      <c r="D232" s="50"/>
      <c r="E232" s="50"/>
      <c r="F232" s="50"/>
      <c r="G232" s="50"/>
      <c r="H232" s="50"/>
      <c r="I232" s="50"/>
      <c r="J232" s="50"/>
      <c r="K232" s="51"/>
      <c r="L232" s="50"/>
      <c r="M232" s="50"/>
      <c r="N232" s="50"/>
      <c r="O232" s="50"/>
      <c r="P232" s="50"/>
      <c r="Q232" s="52"/>
      <c r="W232" s="53"/>
      <c r="X232" s="53"/>
      <c r="Y232" s="51"/>
      <c r="Z232" s="51"/>
      <c r="AA232" s="52"/>
    </row>
    <row r="233" spans="4:27">
      <c r="D233" s="50"/>
      <c r="E233" s="50"/>
      <c r="F233" s="50"/>
      <c r="G233" s="50"/>
      <c r="H233" s="50"/>
      <c r="I233" s="50"/>
      <c r="J233" s="50"/>
      <c r="K233" s="51"/>
      <c r="L233" s="50"/>
      <c r="M233" s="50"/>
      <c r="N233" s="50"/>
      <c r="O233" s="50"/>
      <c r="P233" s="50"/>
      <c r="Q233" s="52"/>
      <c r="W233" s="53"/>
      <c r="X233" s="53"/>
      <c r="Y233" s="51"/>
      <c r="Z233" s="51"/>
      <c r="AA233" s="52"/>
    </row>
    <row r="234" spans="4:27">
      <c r="D234" s="50"/>
      <c r="E234" s="50"/>
      <c r="F234" s="50"/>
      <c r="G234" s="50"/>
      <c r="H234" s="50"/>
      <c r="I234" s="50"/>
      <c r="J234" s="50"/>
      <c r="K234" s="51"/>
      <c r="L234" s="50"/>
      <c r="M234" s="50"/>
      <c r="N234" s="50"/>
      <c r="O234" s="50"/>
      <c r="P234" s="50"/>
      <c r="Q234" s="52"/>
      <c r="W234" s="53"/>
      <c r="X234" s="53"/>
      <c r="Y234" s="51"/>
      <c r="Z234" s="51"/>
      <c r="AA234" s="52"/>
    </row>
    <row r="235" spans="4:27">
      <c r="D235" s="50"/>
      <c r="E235" s="50"/>
      <c r="F235" s="50"/>
      <c r="G235" s="50"/>
      <c r="H235" s="50"/>
      <c r="I235" s="50"/>
      <c r="J235" s="50"/>
      <c r="K235" s="51"/>
      <c r="L235" s="50"/>
      <c r="M235" s="50"/>
      <c r="N235" s="50"/>
      <c r="O235" s="50"/>
      <c r="P235" s="50"/>
      <c r="Q235" s="52"/>
      <c r="W235" s="53"/>
      <c r="X235" s="53"/>
      <c r="Y235" s="51"/>
      <c r="Z235" s="51"/>
      <c r="AA235" s="52"/>
    </row>
    <row r="236" spans="4:27">
      <c r="D236" s="50"/>
      <c r="E236" s="50"/>
      <c r="F236" s="50"/>
      <c r="G236" s="50"/>
      <c r="H236" s="50"/>
      <c r="I236" s="50"/>
      <c r="J236" s="50"/>
      <c r="K236" s="51"/>
      <c r="L236" s="50"/>
      <c r="M236" s="50"/>
      <c r="N236" s="50"/>
      <c r="O236" s="50"/>
      <c r="P236" s="50"/>
      <c r="Q236" s="52"/>
      <c r="W236" s="53"/>
      <c r="X236" s="53"/>
      <c r="Y236" s="51"/>
      <c r="Z236" s="51"/>
      <c r="AA236" s="52"/>
    </row>
    <row r="237" spans="4:27">
      <c r="D237" s="50"/>
      <c r="E237" s="50"/>
      <c r="F237" s="50"/>
      <c r="G237" s="50"/>
      <c r="H237" s="50"/>
      <c r="I237" s="50"/>
      <c r="J237" s="50"/>
      <c r="K237" s="51"/>
      <c r="L237" s="50"/>
      <c r="M237" s="50"/>
      <c r="N237" s="50"/>
      <c r="O237" s="50"/>
      <c r="P237" s="50"/>
      <c r="Q237" s="52"/>
      <c r="W237" s="53"/>
      <c r="X237" s="53"/>
      <c r="Y237" s="51"/>
      <c r="Z237" s="51"/>
      <c r="AA237" s="52"/>
    </row>
    <row r="238" spans="4:27">
      <c r="D238" s="50"/>
      <c r="E238" s="50"/>
      <c r="F238" s="50"/>
      <c r="G238" s="50"/>
      <c r="H238" s="50"/>
      <c r="I238" s="50"/>
      <c r="J238" s="50"/>
      <c r="K238" s="51"/>
      <c r="L238" s="50"/>
      <c r="M238" s="50"/>
      <c r="N238" s="50"/>
      <c r="O238" s="50"/>
      <c r="P238" s="50"/>
      <c r="Q238" s="52"/>
      <c r="W238" s="53"/>
      <c r="X238" s="53"/>
      <c r="Y238" s="51"/>
      <c r="Z238" s="51"/>
      <c r="AA238" s="52"/>
    </row>
    <row r="239" spans="4:27">
      <c r="D239" s="50"/>
      <c r="E239" s="50"/>
      <c r="F239" s="50"/>
      <c r="G239" s="50"/>
      <c r="H239" s="50"/>
      <c r="I239" s="50"/>
      <c r="J239" s="50"/>
      <c r="K239" s="51"/>
      <c r="L239" s="50"/>
      <c r="M239" s="50"/>
      <c r="N239" s="50"/>
      <c r="O239" s="50"/>
      <c r="P239" s="50"/>
      <c r="Q239" s="52"/>
      <c r="W239" s="53"/>
      <c r="X239" s="53"/>
      <c r="Y239" s="51"/>
      <c r="Z239" s="51"/>
      <c r="AA239" s="52"/>
    </row>
    <row r="240" spans="4:27">
      <c r="D240" s="50"/>
      <c r="E240" s="50"/>
      <c r="F240" s="50"/>
      <c r="G240" s="50"/>
      <c r="H240" s="50"/>
      <c r="I240" s="50"/>
      <c r="J240" s="50"/>
      <c r="K240" s="51"/>
      <c r="L240" s="50"/>
      <c r="M240" s="50"/>
      <c r="N240" s="50"/>
      <c r="O240" s="50"/>
      <c r="P240" s="50"/>
      <c r="Q240" s="52"/>
      <c r="W240" s="53"/>
      <c r="X240" s="53"/>
      <c r="Y240" s="51"/>
      <c r="Z240" s="51"/>
      <c r="AA240" s="52"/>
    </row>
    <row r="241" spans="4:27">
      <c r="D241" s="50"/>
      <c r="E241" s="50"/>
      <c r="F241" s="50"/>
      <c r="G241" s="50"/>
      <c r="H241" s="50"/>
      <c r="I241" s="50"/>
      <c r="J241" s="50"/>
      <c r="K241" s="51"/>
      <c r="L241" s="50"/>
      <c r="M241" s="50"/>
      <c r="N241" s="50"/>
      <c r="O241" s="50"/>
      <c r="P241" s="50"/>
      <c r="Q241" s="52"/>
      <c r="W241" s="53"/>
      <c r="X241" s="53"/>
      <c r="Y241" s="51"/>
      <c r="Z241" s="51"/>
      <c r="AA241" s="52"/>
    </row>
    <row r="242" spans="4:27">
      <c r="D242" s="50"/>
      <c r="E242" s="50"/>
      <c r="F242" s="50"/>
      <c r="G242" s="50"/>
      <c r="H242" s="50"/>
      <c r="I242" s="50"/>
      <c r="J242" s="50"/>
      <c r="K242" s="51"/>
      <c r="L242" s="50"/>
      <c r="M242" s="50"/>
      <c r="N242" s="50"/>
      <c r="O242" s="50"/>
      <c r="P242" s="50"/>
      <c r="Q242" s="52"/>
      <c r="W242" s="53"/>
      <c r="X242" s="53"/>
      <c r="Y242" s="51"/>
      <c r="Z242" s="51"/>
      <c r="AA242" s="52"/>
    </row>
    <row r="243" spans="4:27">
      <c r="D243" s="50"/>
      <c r="E243" s="50"/>
      <c r="F243" s="50"/>
      <c r="G243" s="50"/>
      <c r="H243" s="50"/>
      <c r="I243" s="50"/>
      <c r="J243" s="50"/>
      <c r="K243" s="51"/>
      <c r="L243" s="50"/>
      <c r="M243" s="50"/>
      <c r="N243" s="50"/>
      <c r="O243" s="50"/>
      <c r="P243" s="50"/>
      <c r="Q243" s="52"/>
      <c r="W243" s="53"/>
      <c r="X243" s="53"/>
      <c r="Y243" s="51"/>
      <c r="Z243" s="51"/>
      <c r="AA243" s="52"/>
    </row>
    <row r="244" spans="4:27">
      <c r="D244" s="50"/>
      <c r="E244" s="50"/>
      <c r="F244" s="50"/>
      <c r="G244" s="50"/>
      <c r="H244" s="50"/>
      <c r="I244" s="50"/>
      <c r="J244" s="50"/>
      <c r="K244" s="51"/>
      <c r="L244" s="50"/>
      <c r="M244" s="50"/>
      <c r="N244" s="50"/>
      <c r="O244" s="50"/>
      <c r="P244" s="50"/>
      <c r="Q244" s="52"/>
      <c r="W244" s="53"/>
      <c r="X244" s="53"/>
      <c r="Y244" s="51"/>
      <c r="Z244" s="51"/>
      <c r="AA244" s="52"/>
    </row>
    <row r="245" spans="4:27">
      <c r="D245" s="50"/>
      <c r="E245" s="50"/>
      <c r="F245" s="50"/>
      <c r="G245" s="50"/>
      <c r="H245" s="50"/>
      <c r="I245" s="50"/>
      <c r="J245" s="50"/>
      <c r="K245" s="51"/>
      <c r="L245" s="50"/>
      <c r="M245" s="50"/>
      <c r="N245" s="50"/>
      <c r="O245" s="50"/>
      <c r="P245" s="50"/>
      <c r="Q245" s="52"/>
      <c r="W245" s="53"/>
      <c r="X245" s="53"/>
      <c r="Y245" s="51"/>
      <c r="Z245" s="51"/>
      <c r="AA245" s="52"/>
    </row>
    <row r="246" spans="4:27">
      <c r="D246" s="50"/>
      <c r="E246" s="50"/>
      <c r="F246" s="50"/>
      <c r="G246" s="50"/>
      <c r="H246" s="50"/>
      <c r="I246" s="50"/>
      <c r="J246" s="50"/>
      <c r="K246" s="51"/>
      <c r="L246" s="50"/>
      <c r="M246" s="50"/>
      <c r="N246" s="50"/>
      <c r="O246" s="50"/>
      <c r="P246" s="50"/>
      <c r="Q246" s="52"/>
      <c r="W246" s="53"/>
      <c r="X246" s="53"/>
      <c r="Y246" s="51"/>
      <c r="Z246" s="51"/>
      <c r="AA246" s="52"/>
    </row>
    <row r="247" spans="4:27">
      <c r="D247" s="50"/>
      <c r="E247" s="50"/>
      <c r="F247" s="50"/>
      <c r="G247" s="50"/>
      <c r="H247" s="50"/>
      <c r="I247" s="50"/>
      <c r="J247" s="50"/>
      <c r="K247" s="51"/>
      <c r="L247" s="50"/>
      <c r="M247" s="50"/>
      <c r="N247" s="50"/>
      <c r="O247" s="50"/>
      <c r="P247" s="50"/>
      <c r="Q247" s="52"/>
      <c r="W247" s="53"/>
      <c r="X247" s="53"/>
      <c r="Y247" s="51"/>
      <c r="Z247" s="51"/>
      <c r="AA247" s="52"/>
    </row>
    <row r="248" spans="4:27">
      <c r="D248" s="50"/>
      <c r="E248" s="50"/>
      <c r="F248" s="50"/>
      <c r="G248" s="50"/>
      <c r="H248" s="50"/>
      <c r="I248" s="50"/>
      <c r="J248" s="50"/>
      <c r="K248" s="51"/>
      <c r="L248" s="50"/>
      <c r="M248" s="50"/>
      <c r="N248" s="50"/>
      <c r="O248" s="50"/>
      <c r="P248" s="50"/>
      <c r="Q248" s="52"/>
      <c r="W248" s="53"/>
      <c r="X248" s="53"/>
      <c r="Y248" s="51"/>
      <c r="Z248" s="51"/>
      <c r="AA248" s="52"/>
    </row>
    <row r="249" spans="4:27">
      <c r="D249" s="50"/>
      <c r="E249" s="50"/>
      <c r="F249" s="50"/>
      <c r="G249" s="50"/>
      <c r="H249" s="50"/>
      <c r="I249" s="50"/>
      <c r="J249" s="50"/>
      <c r="K249" s="51"/>
      <c r="L249" s="50"/>
      <c r="M249" s="50"/>
      <c r="N249" s="50"/>
      <c r="O249" s="50"/>
      <c r="P249" s="50"/>
      <c r="Q249" s="52"/>
      <c r="W249" s="53"/>
      <c r="X249" s="53"/>
      <c r="Y249" s="51"/>
      <c r="Z249" s="51"/>
      <c r="AA249" s="52"/>
    </row>
    <row r="250" spans="4:27">
      <c r="D250" s="50"/>
      <c r="E250" s="50"/>
      <c r="F250" s="50"/>
      <c r="G250" s="50"/>
      <c r="H250" s="50"/>
      <c r="I250" s="50"/>
      <c r="J250" s="50"/>
      <c r="K250" s="51"/>
      <c r="L250" s="50"/>
      <c r="M250" s="50"/>
      <c r="N250" s="50"/>
      <c r="O250" s="50"/>
      <c r="P250" s="50"/>
      <c r="Q250" s="52"/>
      <c r="W250" s="53"/>
      <c r="X250" s="53"/>
      <c r="Y250" s="51"/>
      <c r="Z250" s="51"/>
      <c r="AA250" s="52"/>
    </row>
    <row r="251" spans="4:27">
      <c r="D251" s="50"/>
      <c r="E251" s="50"/>
      <c r="F251" s="50"/>
      <c r="G251" s="50"/>
      <c r="H251" s="50"/>
      <c r="I251" s="50"/>
      <c r="J251" s="50"/>
      <c r="K251" s="51"/>
      <c r="L251" s="50"/>
      <c r="M251" s="50"/>
      <c r="N251" s="50"/>
      <c r="O251" s="50"/>
      <c r="P251" s="50"/>
      <c r="Q251" s="52"/>
      <c r="W251" s="53"/>
      <c r="X251" s="53"/>
      <c r="Y251" s="51"/>
      <c r="Z251" s="51"/>
      <c r="AA251" s="52"/>
    </row>
    <row r="252" spans="4:27">
      <c r="D252" s="50"/>
      <c r="E252" s="50"/>
      <c r="F252" s="50"/>
      <c r="G252" s="50"/>
      <c r="H252" s="50"/>
      <c r="I252" s="50"/>
      <c r="J252" s="50"/>
      <c r="K252" s="51"/>
      <c r="L252" s="50"/>
      <c r="M252" s="50"/>
      <c r="N252" s="50"/>
      <c r="O252" s="50"/>
      <c r="P252" s="50"/>
      <c r="Q252" s="52"/>
      <c r="W252" s="53"/>
      <c r="X252" s="53"/>
      <c r="Y252" s="51"/>
      <c r="Z252" s="51"/>
      <c r="AA252" s="52"/>
    </row>
    <row r="253" spans="4:27">
      <c r="D253" s="50"/>
      <c r="E253" s="50"/>
      <c r="F253" s="50"/>
      <c r="G253" s="50"/>
      <c r="H253" s="50"/>
      <c r="I253" s="50"/>
      <c r="J253" s="50"/>
      <c r="K253" s="51"/>
      <c r="L253" s="50"/>
      <c r="M253" s="50"/>
      <c r="N253" s="50"/>
      <c r="O253" s="50"/>
      <c r="P253" s="50"/>
      <c r="Q253" s="52"/>
      <c r="W253" s="53"/>
      <c r="X253" s="53"/>
      <c r="Y253" s="51"/>
      <c r="Z253" s="51"/>
      <c r="AA253" s="52"/>
    </row>
    <row r="254" spans="4:27">
      <c r="D254" s="50"/>
      <c r="E254" s="50"/>
      <c r="F254" s="50"/>
      <c r="G254" s="50"/>
      <c r="H254" s="50"/>
      <c r="I254" s="50"/>
      <c r="J254" s="50"/>
      <c r="K254" s="51"/>
      <c r="L254" s="50"/>
      <c r="M254" s="50"/>
      <c r="N254" s="50"/>
      <c r="O254" s="50"/>
      <c r="P254" s="50"/>
      <c r="Q254" s="52"/>
      <c r="W254" s="53"/>
      <c r="X254" s="53"/>
      <c r="Y254" s="51"/>
      <c r="Z254" s="51"/>
      <c r="AA254" s="52"/>
    </row>
    <row r="255" spans="4:27">
      <c r="D255" s="50"/>
      <c r="E255" s="50"/>
      <c r="F255" s="50"/>
      <c r="G255" s="50"/>
      <c r="H255" s="50"/>
      <c r="I255" s="50"/>
      <c r="J255" s="50"/>
      <c r="K255" s="51"/>
      <c r="L255" s="50"/>
      <c r="M255" s="50"/>
      <c r="N255" s="50"/>
      <c r="O255" s="50"/>
      <c r="P255" s="50"/>
      <c r="Q255" s="52"/>
      <c r="W255" s="53"/>
      <c r="X255" s="53"/>
      <c r="Y255" s="51"/>
      <c r="Z255" s="51"/>
      <c r="AA255" s="52"/>
    </row>
    <row r="256" spans="4:27">
      <c r="D256" s="50"/>
      <c r="E256" s="50"/>
      <c r="F256" s="50"/>
      <c r="G256" s="50"/>
      <c r="H256" s="50"/>
      <c r="I256" s="50"/>
      <c r="J256" s="50"/>
      <c r="K256" s="51"/>
      <c r="L256" s="50"/>
      <c r="M256" s="50"/>
      <c r="N256" s="50"/>
      <c r="O256" s="50"/>
      <c r="P256" s="50"/>
      <c r="Q256" s="52"/>
      <c r="W256" s="53"/>
      <c r="X256" s="53"/>
      <c r="Y256" s="51"/>
      <c r="Z256" s="51"/>
      <c r="AA256" s="52"/>
    </row>
    <row r="257" spans="4:27">
      <c r="D257" s="50"/>
      <c r="E257" s="50"/>
      <c r="F257" s="50"/>
      <c r="G257" s="50"/>
      <c r="H257" s="50"/>
      <c r="I257" s="50"/>
      <c r="J257" s="50"/>
      <c r="K257" s="51"/>
      <c r="L257" s="50"/>
      <c r="M257" s="50"/>
      <c r="N257" s="50"/>
      <c r="O257" s="50"/>
      <c r="P257" s="50"/>
      <c r="Q257" s="52"/>
      <c r="W257" s="53"/>
      <c r="X257" s="53"/>
      <c r="Y257" s="51"/>
      <c r="Z257" s="51"/>
      <c r="AA257" s="52"/>
    </row>
    <row r="258" spans="4:27">
      <c r="D258" s="50"/>
      <c r="E258" s="50"/>
      <c r="F258" s="50"/>
      <c r="G258" s="50"/>
      <c r="H258" s="50"/>
      <c r="I258" s="50"/>
      <c r="J258" s="50"/>
      <c r="K258" s="51"/>
      <c r="L258" s="50"/>
      <c r="M258" s="50"/>
      <c r="N258" s="50"/>
      <c r="O258" s="50"/>
      <c r="P258" s="50"/>
      <c r="Q258" s="52"/>
      <c r="W258" s="53"/>
      <c r="X258" s="53"/>
      <c r="Y258" s="51"/>
      <c r="Z258" s="51"/>
      <c r="AA258" s="52"/>
    </row>
    <row r="259" spans="4:27">
      <c r="D259" s="50"/>
      <c r="E259" s="50"/>
      <c r="F259" s="50"/>
      <c r="G259" s="50"/>
      <c r="H259" s="50"/>
      <c r="I259" s="50"/>
      <c r="J259" s="50"/>
      <c r="K259" s="51"/>
      <c r="L259" s="50"/>
      <c r="M259" s="50"/>
      <c r="N259" s="50"/>
      <c r="O259" s="50"/>
      <c r="P259" s="50"/>
      <c r="Q259" s="52"/>
      <c r="W259" s="53"/>
      <c r="X259" s="53"/>
      <c r="Y259" s="51"/>
      <c r="Z259" s="51"/>
      <c r="AA259" s="52"/>
    </row>
    <row r="260" spans="4:27">
      <c r="D260" s="50"/>
      <c r="E260" s="50"/>
      <c r="F260" s="50"/>
      <c r="G260" s="50"/>
      <c r="H260" s="50"/>
      <c r="I260" s="50"/>
      <c r="J260" s="50"/>
      <c r="K260" s="51"/>
      <c r="L260" s="50"/>
      <c r="M260" s="50"/>
      <c r="N260" s="50"/>
      <c r="O260" s="50"/>
      <c r="P260" s="50"/>
      <c r="Q260" s="52"/>
      <c r="W260" s="53"/>
      <c r="X260" s="53"/>
      <c r="Y260" s="51"/>
      <c r="Z260" s="51"/>
      <c r="AA260" s="52"/>
    </row>
    <row r="261" spans="4:27">
      <c r="D261" s="50"/>
      <c r="E261" s="50"/>
      <c r="F261" s="50"/>
      <c r="G261" s="50"/>
      <c r="H261" s="50"/>
      <c r="I261" s="50"/>
      <c r="J261" s="50"/>
      <c r="K261" s="51"/>
      <c r="L261" s="50"/>
      <c r="M261" s="50"/>
      <c r="N261" s="50"/>
      <c r="O261" s="50"/>
      <c r="P261" s="50"/>
      <c r="Q261" s="52"/>
      <c r="W261" s="53"/>
      <c r="X261" s="53"/>
      <c r="Y261" s="51"/>
      <c r="Z261" s="51"/>
      <c r="AA261" s="52"/>
    </row>
    <row r="262" spans="4:27">
      <c r="D262" s="50"/>
      <c r="E262" s="50"/>
      <c r="F262" s="50"/>
      <c r="G262" s="50"/>
      <c r="H262" s="50"/>
      <c r="I262" s="50"/>
      <c r="J262" s="50"/>
      <c r="K262" s="51"/>
      <c r="L262" s="50"/>
      <c r="M262" s="50"/>
      <c r="N262" s="50"/>
      <c r="O262" s="50"/>
      <c r="P262" s="50"/>
      <c r="Q262" s="52"/>
      <c r="W262" s="53"/>
      <c r="X262" s="53"/>
      <c r="Y262" s="51"/>
      <c r="Z262" s="51"/>
      <c r="AA262" s="52"/>
    </row>
    <row r="263" spans="4:27">
      <c r="D263" s="50"/>
      <c r="E263" s="50"/>
      <c r="F263" s="50"/>
      <c r="G263" s="50"/>
      <c r="H263" s="50"/>
      <c r="I263" s="50"/>
      <c r="J263" s="50"/>
      <c r="K263" s="51"/>
      <c r="L263" s="50"/>
      <c r="M263" s="50"/>
      <c r="N263" s="50"/>
      <c r="O263" s="50"/>
      <c r="P263" s="50"/>
      <c r="Q263" s="52"/>
      <c r="W263" s="53"/>
      <c r="X263" s="53"/>
      <c r="Y263" s="51"/>
      <c r="Z263" s="51"/>
      <c r="AA263" s="52"/>
    </row>
    <row r="264" spans="4:27">
      <c r="D264" s="50"/>
      <c r="E264" s="50"/>
      <c r="F264" s="50"/>
      <c r="G264" s="50"/>
      <c r="H264" s="50"/>
      <c r="I264" s="50"/>
      <c r="J264" s="50"/>
      <c r="K264" s="51"/>
      <c r="L264" s="50"/>
      <c r="M264" s="50"/>
      <c r="N264" s="50"/>
      <c r="O264" s="50"/>
      <c r="P264" s="50"/>
      <c r="Q264" s="52"/>
      <c r="W264" s="53"/>
      <c r="X264" s="53"/>
      <c r="Y264" s="51"/>
      <c r="Z264" s="51"/>
      <c r="AA264" s="52"/>
    </row>
    <row r="265" spans="4:27">
      <c r="D265" s="50"/>
      <c r="E265" s="50"/>
      <c r="F265" s="50"/>
      <c r="G265" s="50"/>
      <c r="H265" s="50"/>
      <c r="I265" s="50"/>
      <c r="J265" s="50"/>
      <c r="K265" s="51"/>
      <c r="L265" s="50"/>
      <c r="M265" s="50"/>
      <c r="N265" s="50"/>
      <c r="O265" s="50"/>
      <c r="P265" s="50"/>
      <c r="Q265" s="52"/>
      <c r="W265" s="53"/>
      <c r="X265" s="53"/>
      <c r="Y265" s="51"/>
      <c r="Z265" s="51"/>
      <c r="AA265" s="52"/>
    </row>
    <row r="266" spans="4:27">
      <c r="D266" s="50"/>
      <c r="E266" s="50"/>
      <c r="F266" s="50"/>
      <c r="G266" s="50"/>
      <c r="H266" s="50"/>
      <c r="I266" s="50"/>
      <c r="J266" s="50"/>
      <c r="K266" s="51"/>
      <c r="L266" s="50"/>
      <c r="M266" s="50"/>
      <c r="N266" s="50"/>
      <c r="O266" s="50"/>
      <c r="P266" s="50"/>
      <c r="Q266" s="52"/>
      <c r="W266" s="53"/>
      <c r="X266" s="53"/>
      <c r="Y266" s="51"/>
      <c r="Z266" s="51"/>
      <c r="AA266" s="52"/>
    </row>
    <row r="267" spans="4:27">
      <c r="D267" s="50"/>
      <c r="E267" s="50"/>
      <c r="F267" s="50"/>
      <c r="G267" s="50"/>
      <c r="H267" s="50"/>
      <c r="I267" s="50"/>
      <c r="J267" s="50"/>
      <c r="K267" s="51"/>
      <c r="L267" s="50"/>
      <c r="M267" s="50"/>
      <c r="N267" s="50"/>
      <c r="O267" s="50"/>
      <c r="P267" s="50"/>
      <c r="Q267" s="52"/>
      <c r="W267" s="53"/>
      <c r="X267" s="53"/>
      <c r="Y267" s="51"/>
      <c r="Z267" s="51"/>
      <c r="AA267" s="52"/>
    </row>
    <row r="268" spans="4:27">
      <c r="D268" s="50"/>
      <c r="E268" s="50"/>
      <c r="F268" s="50"/>
      <c r="G268" s="50"/>
      <c r="H268" s="50"/>
      <c r="I268" s="50"/>
      <c r="J268" s="50"/>
      <c r="K268" s="51"/>
      <c r="L268" s="50"/>
      <c r="M268" s="50"/>
      <c r="N268" s="50"/>
      <c r="O268" s="50"/>
      <c r="P268" s="50"/>
      <c r="Q268" s="52"/>
      <c r="W268" s="53"/>
      <c r="X268" s="53"/>
      <c r="Y268" s="51"/>
      <c r="Z268" s="51"/>
      <c r="AA268" s="52"/>
    </row>
    <row r="269" spans="4:27">
      <c r="D269" s="50"/>
      <c r="E269" s="50"/>
      <c r="F269" s="50"/>
      <c r="G269" s="50"/>
      <c r="H269" s="50"/>
      <c r="I269" s="50"/>
      <c r="J269" s="50"/>
      <c r="K269" s="51"/>
      <c r="L269" s="50"/>
      <c r="M269" s="50"/>
      <c r="N269" s="50"/>
      <c r="O269" s="50"/>
      <c r="P269" s="50"/>
      <c r="Q269" s="52"/>
      <c r="W269" s="53"/>
      <c r="X269" s="53"/>
      <c r="Y269" s="51"/>
      <c r="Z269" s="51"/>
      <c r="AA269" s="52"/>
    </row>
    <row r="270" spans="4:27">
      <c r="D270" s="50"/>
      <c r="E270" s="50"/>
      <c r="F270" s="50"/>
      <c r="G270" s="50"/>
      <c r="H270" s="50"/>
      <c r="I270" s="50"/>
      <c r="J270" s="50"/>
      <c r="K270" s="51"/>
      <c r="L270" s="50"/>
      <c r="M270" s="50"/>
      <c r="N270" s="50"/>
      <c r="O270" s="50"/>
      <c r="P270" s="50"/>
      <c r="Q270" s="52"/>
      <c r="W270" s="53"/>
      <c r="X270" s="53"/>
      <c r="Y270" s="51"/>
      <c r="Z270" s="51"/>
      <c r="AA270" s="52"/>
    </row>
    <row r="271" spans="4:27">
      <c r="D271" s="50"/>
      <c r="E271" s="50"/>
      <c r="F271" s="50"/>
      <c r="G271" s="50"/>
      <c r="H271" s="50"/>
      <c r="I271" s="50"/>
      <c r="J271" s="50"/>
      <c r="K271" s="51"/>
      <c r="L271" s="50"/>
      <c r="M271" s="50"/>
      <c r="N271" s="50"/>
      <c r="O271" s="50"/>
      <c r="P271" s="50"/>
      <c r="Q271" s="52"/>
      <c r="W271" s="53"/>
      <c r="X271" s="53"/>
      <c r="Y271" s="51"/>
      <c r="Z271" s="51"/>
      <c r="AA271" s="52"/>
    </row>
    <row r="272" spans="4:27">
      <c r="D272" s="50"/>
      <c r="E272" s="50"/>
      <c r="F272" s="50"/>
      <c r="G272" s="50"/>
      <c r="H272" s="50"/>
      <c r="I272" s="50"/>
      <c r="J272" s="50"/>
      <c r="K272" s="51"/>
      <c r="L272" s="50"/>
      <c r="M272" s="50"/>
      <c r="N272" s="50"/>
      <c r="O272" s="50"/>
      <c r="P272" s="50"/>
      <c r="Q272" s="52"/>
      <c r="W272" s="53"/>
      <c r="X272" s="53"/>
      <c r="Y272" s="51"/>
      <c r="Z272" s="51"/>
      <c r="AA272" s="52"/>
    </row>
    <row r="273" spans="4:27">
      <c r="D273" s="50"/>
      <c r="E273" s="50"/>
      <c r="F273" s="50"/>
      <c r="G273" s="50"/>
      <c r="H273" s="50"/>
      <c r="I273" s="50"/>
      <c r="J273" s="50"/>
      <c r="K273" s="51"/>
      <c r="L273" s="50"/>
      <c r="M273" s="50"/>
      <c r="N273" s="50"/>
      <c r="O273" s="50"/>
      <c r="P273" s="50"/>
      <c r="Q273" s="52"/>
      <c r="W273" s="53"/>
      <c r="X273" s="53"/>
      <c r="Y273" s="51"/>
      <c r="Z273" s="51"/>
      <c r="AA273" s="52"/>
    </row>
    <row r="274" spans="4:27">
      <c r="D274" s="50"/>
      <c r="E274" s="50"/>
      <c r="F274" s="50"/>
      <c r="G274" s="50"/>
      <c r="H274" s="50"/>
      <c r="I274" s="50"/>
      <c r="J274" s="50"/>
      <c r="K274" s="51"/>
      <c r="L274" s="50"/>
      <c r="M274" s="50"/>
      <c r="N274" s="50"/>
      <c r="O274" s="50"/>
      <c r="P274" s="50"/>
      <c r="Q274" s="52"/>
      <c r="W274" s="53"/>
      <c r="X274" s="53"/>
      <c r="Y274" s="51"/>
      <c r="Z274" s="51"/>
      <c r="AA274" s="52"/>
    </row>
    <row r="275" spans="4:27">
      <c r="D275" s="50"/>
      <c r="E275" s="50"/>
      <c r="F275" s="50"/>
      <c r="G275" s="50"/>
      <c r="H275" s="50"/>
      <c r="I275" s="50"/>
      <c r="J275" s="50"/>
      <c r="K275" s="51"/>
      <c r="L275" s="50"/>
      <c r="M275" s="50"/>
      <c r="N275" s="50"/>
      <c r="O275" s="50"/>
      <c r="P275" s="50"/>
      <c r="Q275" s="52"/>
      <c r="W275" s="53"/>
      <c r="X275" s="53"/>
      <c r="Y275" s="51"/>
      <c r="Z275" s="51"/>
      <c r="AA275" s="52"/>
    </row>
    <row r="276" spans="4:27">
      <c r="D276" s="50"/>
      <c r="E276" s="50"/>
      <c r="F276" s="50"/>
      <c r="G276" s="50"/>
      <c r="H276" s="50"/>
      <c r="I276" s="50"/>
      <c r="J276" s="50"/>
      <c r="K276" s="51"/>
      <c r="L276" s="50"/>
      <c r="M276" s="50"/>
      <c r="N276" s="50"/>
      <c r="O276" s="50"/>
      <c r="P276" s="50"/>
      <c r="Q276" s="52"/>
      <c r="W276" s="53"/>
      <c r="X276" s="53"/>
      <c r="Y276" s="51"/>
      <c r="Z276" s="51"/>
      <c r="AA276" s="52"/>
    </row>
    <row r="277" spans="4:27">
      <c r="D277" s="50"/>
      <c r="E277" s="50"/>
      <c r="F277" s="50"/>
      <c r="G277" s="50"/>
      <c r="H277" s="50"/>
      <c r="I277" s="50"/>
      <c r="J277" s="50"/>
      <c r="K277" s="51"/>
      <c r="L277" s="50"/>
      <c r="M277" s="50"/>
      <c r="N277" s="50"/>
      <c r="O277" s="50"/>
      <c r="P277" s="50"/>
      <c r="Q277" s="52"/>
      <c r="W277" s="53"/>
      <c r="X277" s="53"/>
      <c r="Y277" s="51"/>
      <c r="Z277" s="51"/>
      <c r="AA277" s="52"/>
    </row>
    <row r="278" spans="4:27">
      <c r="D278" s="50"/>
      <c r="E278" s="50"/>
      <c r="F278" s="50"/>
      <c r="G278" s="50"/>
      <c r="H278" s="50"/>
      <c r="I278" s="50"/>
      <c r="J278" s="50"/>
      <c r="K278" s="51"/>
      <c r="L278" s="50"/>
      <c r="M278" s="50"/>
      <c r="N278" s="50"/>
      <c r="O278" s="50"/>
      <c r="P278" s="50"/>
      <c r="Q278" s="52"/>
      <c r="W278" s="53"/>
      <c r="X278" s="53"/>
      <c r="Y278" s="51"/>
      <c r="Z278" s="51"/>
      <c r="AA278" s="52"/>
    </row>
    <row r="279" spans="4:27">
      <c r="D279" s="50"/>
      <c r="E279" s="50"/>
      <c r="F279" s="50"/>
      <c r="G279" s="50"/>
      <c r="H279" s="50"/>
      <c r="I279" s="50"/>
      <c r="J279" s="50"/>
      <c r="K279" s="51"/>
      <c r="L279" s="50"/>
      <c r="M279" s="50"/>
      <c r="N279" s="50"/>
      <c r="O279" s="50"/>
      <c r="P279" s="50"/>
      <c r="Q279" s="52"/>
      <c r="W279" s="53"/>
      <c r="X279" s="53"/>
      <c r="Y279" s="51"/>
      <c r="Z279" s="51"/>
      <c r="AA279" s="52"/>
    </row>
    <row r="280" spans="4:27">
      <c r="D280" s="50"/>
      <c r="E280" s="50"/>
      <c r="F280" s="50"/>
      <c r="G280" s="50"/>
      <c r="H280" s="50"/>
      <c r="I280" s="50"/>
      <c r="J280" s="50"/>
      <c r="K280" s="51"/>
      <c r="L280" s="50"/>
      <c r="M280" s="50"/>
      <c r="N280" s="50"/>
      <c r="O280" s="50"/>
      <c r="P280" s="50"/>
      <c r="Q280" s="52"/>
      <c r="W280" s="53"/>
      <c r="X280" s="53"/>
      <c r="Y280" s="51"/>
      <c r="Z280" s="51"/>
      <c r="AA280" s="52"/>
    </row>
    <row r="281" spans="4:27">
      <c r="D281" s="50"/>
      <c r="E281" s="50"/>
      <c r="F281" s="50"/>
      <c r="G281" s="50"/>
      <c r="H281" s="50"/>
      <c r="I281" s="50"/>
      <c r="J281" s="50"/>
      <c r="K281" s="51"/>
      <c r="L281" s="50"/>
      <c r="M281" s="50"/>
      <c r="N281" s="50"/>
      <c r="O281" s="50"/>
      <c r="P281" s="50"/>
      <c r="Q281" s="52"/>
      <c r="W281" s="53"/>
      <c r="X281" s="53"/>
      <c r="Y281" s="51"/>
      <c r="Z281" s="51"/>
      <c r="AA281" s="52"/>
    </row>
    <row r="282" spans="4:27">
      <c r="D282" s="50"/>
      <c r="E282" s="50"/>
      <c r="F282" s="50"/>
      <c r="G282" s="50"/>
      <c r="H282" s="50"/>
      <c r="I282" s="50"/>
      <c r="J282" s="50"/>
      <c r="K282" s="51"/>
      <c r="L282" s="50"/>
      <c r="M282" s="50"/>
      <c r="N282" s="50"/>
      <c r="O282" s="50"/>
      <c r="P282" s="50"/>
      <c r="Q282" s="52"/>
      <c r="W282" s="53"/>
      <c r="X282" s="53"/>
      <c r="Y282" s="51"/>
      <c r="Z282" s="51"/>
      <c r="AA282" s="52"/>
    </row>
    <row r="283" spans="4:27">
      <c r="D283" s="50"/>
      <c r="E283" s="50"/>
      <c r="F283" s="50"/>
      <c r="G283" s="50"/>
      <c r="H283" s="50"/>
      <c r="I283" s="50"/>
      <c r="J283" s="50"/>
      <c r="K283" s="51"/>
      <c r="L283" s="50"/>
      <c r="M283" s="50"/>
      <c r="N283" s="50"/>
      <c r="O283" s="50"/>
      <c r="P283" s="50"/>
      <c r="Q283" s="52"/>
      <c r="W283" s="53"/>
      <c r="X283" s="53"/>
      <c r="Y283" s="51"/>
      <c r="Z283" s="51"/>
      <c r="AA283" s="52"/>
    </row>
    <row r="284" spans="4:27">
      <c r="D284" s="50"/>
      <c r="E284" s="50"/>
      <c r="F284" s="50"/>
      <c r="G284" s="50"/>
      <c r="H284" s="50"/>
      <c r="I284" s="50"/>
      <c r="J284" s="50"/>
      <c r="K284" s="51"/>
      <c r="L284" s="50"/>
      <c r="M284" s="50"/>
      <c r="N284" s="50"/>
      <c r="O284" s="50"/>
      <c r="P284" s="50"/>
      <c r="Q284" s="52"/>
      <c r="W284" s="53"/>
      <c r="X284" s="53"/>
      <c r="Y284" s="51"/>
      <c r="Z284" s="51"/>
      <c r="AA284" s="52"/>
    </row>
    <row r="285" spans="4:27">
      <c r="D285" s="50"/>
      <c r="E285" s="50"/>
      <c r="F285" s="50"/>
      <c r="G285" s="50"/>
      <c r="H285" s="50"/>
      <c r="I285" s="50"/>
      <c r="J285" s="50"/>
      <c r="K285" s="51"/>
      <c r="L285" s="50"/>
      <c r="M285" s="50"/>
      <c r="N285" s="50"/>
      <c r="O285" s="50"/>
      <c r="P285" s="50"/>
      <c r="Q285" s="52"/>
      <c r="W285" s="53"/>
      <c r="X285" s="53"/>
      <c r="Y285" s="51"/>
      <c r="Z285" s="51"/>
      <c r="AA285" s="52"/>
    </row>
    <row r="286" spans="4:27">
      <c r="D286" s="50"/>
      <c r="E286" s="50"/>
      <c r="F286" s="50"/>
      <c r="G286" s="50"/>
      <c r="H286" s="50"/>
      <c r="I286" s="50"/>
      <c r="J286" s="50"/>
      <c r="K286" s="51"/>
      <c r="L286" s="50"/>
      <c r="M286" s="50"/>
      <c r="N286" s="50"/>
      <c r="O286" s="50"/>
      <c r="P286" s="50"/>
      <c r="Q286" s="52"/>
      <c r="W286" s="53"/>
      <c r="X286" s="53"/>
      <c r="Y286" s="51"/>
      <c r="Z286" s="51"/>
      <c r="AA286" s="52"/>
    </row>
    <row r="287" spans="4:27">
      <c r="D287" s="50"/>
      <c r="E287" s="50"/>
      <c r="F287" s="50"/>
      <c r="G287" s="50"/>
      <c r="H287" s="50"/>
      <c r="I287" s="50"/>
      <c r="J287" s="50"/>
      <c r="K287" s="51"/>
      <c r="L287" s="50"/>
      <c r="M287" s="50"/>
      <c r="N287" s="50"/>
      <c r="O287" s="50"/>
      <c r="P287" s="50"/>
      <c r="Q287" s="52"/>
      <c r="W287" s="53"/>
      <c r="X287" s="53"/>
      <c r="Y287" s="51"/>
      <c r="Z287" s="51"/>
      <c r="AA287" s="52"/>
    </row>
    <row r="288" spans="4:27">
      <c r="D288" s="50"/>
      <c r="E288" s="50"/>
      <c r="F288" s="50"/>
      <c r="G288" s="50"/>
      <c r="H288" s="50"/>
      <c r="I288" s="50"/>
      <c r="J288" s="50"/>
      <c r="K288" s="51"/>
      <c r="L288" s="50"/>
      <c r="M288" s="50"/>
      <c r="N288" s="50"/>
      <c r="O288" s="50"/>
      <c r="P288" s="50"/>
      <c r="Q288" s="52"/>
      <c r="W288" s="53"/>
      <c r="X288" s="53"/>
      <c r="Y288" s="51"/>
      <c r="Z288" s="51"/>
      <c r="AA288" s="52"/>
    </row>
    <row r="289" spans="4:27">
      <c r="D289" s="50"/>
      <c r="E289" s="50"/>
      <c r="F289" s="50"/>
      <c r="G289" s="50"/>
      <c r="H289" s="50"/>
      <c r="I289" s="50"/>
      <c r="J289" s="50"/>
      <c r="K289" s="51"/>
      <c r="L289" s="50"/>
      <c r="M289" s="50"/>
      <c r="N289" s="50"/>
      <c r="O289" s="50"/>
      <c r="P289" s="50"/>
      <c r="Q289" s="52"/>
      <c r="W289" s="53"/>
      <c r="X289" s="53"/>
      <c r="Y289" s="51"/>
      <c r="Z289" s="51"/>
      <c r="AA289" s="52"/>
    </row>
    <row r="290" spans="4:27">
      <c r="D290" s="50"/>
      <c r="E290" s="50"/>
      <c r="F290" s="50"/>
      <c r="G290" s="50"/>
      <c r="H290" s="50"/>
      <c r="I290" s="50"/>
      <c r="J290" s="50"/>
      <c r="K290" s="51"/>
      <c r="L290" s="50"/>
      <c r="M290" s="50"/>
      <c r="N290" s="50"/>
      <c r="O290" s="50"/>
      <c r="P290" s="50"/>
      <c r="Q290" s="52"/>
      <c r="W290" s="53"/>
      <c r="X290" s="53"/>
      <c r="Y290" s="51"/>
      <c r="Z290" s="51"/>
      <c r="AA290" s="52"/>
    </row>
    <row r="291" spans="4:27">
      <c r="D291" s="50"/>
      <c r="E291" s="50"/>
      <c r="F291" s="50"/>
      <c r="G291" s="50"/>
      <c r="H291" s="50"/>
      <c r="I291" s="50"/>
      <c r="J291" s="50"/>
      <c r="K291" s="51"/>
      <c r="L291" s="50"/>
      <c r="M291" s="50"/>
      <c r="N291" s="50"/>
      <c r="O291" s="50"/>
      <c r="P291" s="50"/>
      <c r="Q291" s="52"/>
      <c r="W291" s="53"/>
      <c r="X291" s="53"/>
      <c r="Y291" s="51"/>
      <c r="Z291" s="51"/>
      <c r="AA291" s="52"/>
    </row>
    <row r="292" spans="4:27">
      <c r="D292" s="50"/>
      <c r="E292" s="50"/>
      <c r="F292" s="50"/>
      <c r="G292" s="50"/>
      <c r="H292" s="50"/>
      <c r="I292" s="50"/>
      <c r="J292" s="50"/>
      <c r="K292" s="51"/>
      <c r="L292" s="50"/>
      <c r="M292" s="50"/>
      <c r="N292" s="50"/>
      <c r="O292" s="50"/>
      <c r="P292" s="50"/>
      <c r="Q292" s="52"/>
      <c r="W292" s="53"/>
      <c r="X292" s="53"/>
      <c r="Y292" s="51"/>
      <c r="Z292" s="51"/>
      <c r="AA292" s="52"/>
    </row>
    <row r="293" spans="4:27">
      <c r="D293" s="50"/>
      <c r="E293" s="50"/>
      <c r="F293" s="50"/>
      <c r="G293" s="50"/>
      <c r="H293" s="50"/>
      <c r="I293" s="50"/>
      <c r="J293" s="50"/>
      <c r="K293" s="51"/>
      <c r="L293" s="50"/>
      <c r="M293" s="50"/>
      <c r="N293" s="50"/>
      <c r="O293" s="50"/>
      <c r="P293" s="50"/>
      <c r="Q293" s="52"/>
      <c r="W293" s="53"/>
      <c r="X293" s="53"/>
      <c r="Y293" s="51"/>
      <c r="Z293" s="51"/>
      <c r="AA293" s="52"/>
    </row>
    <row r="294" spans="4:27">
      <c r="D294" s="50"/>
      <c r="E294" s="50"/>
      <c r="F294" s="50"/>
      <c r="G294" s="50"/>
      <c r="H294" s="50"/>
      <c r="I294" s="50"/>
      <c r="J294" s="50"/>
      <c r="K294" s="51"/>
      <c r="L294" s="50"/>
      <c r="M294" s="50"/>
      <c r="N294" s="50"/>
      <c r="O294" s="50"/>
      <c r="P294" s="50"/>
      <c r="Q294" s="52"/>
      <c r="W294" s="53"/>
      <c r="X294" s="53"/>
      <c r="Y294" s="51"/>
      <c r="Z294" s="51"/>
      <c r="AA294" s="52"/>
    </row>
    <row r="295" spans="4:27">
      <c r="D295" s="50"/>
      <c r="E295" s="50"/>
      <c r="F295" s="50"/>
      <c r="G295" s="50"/>
      <c r="H295" s="50"/>
      <c r="I295" s="50"/>
      <c r="J295" s="50"/>
      <c r="K295" s="51"/>
      <c r="L295" s="50"/>
      <c r="M295" s="50"/>
      <c r="N295" s="50"/>
      <c r="O295" s="50"/>
      <c r="P295" s="50"/>
      <c r="Q295" s="52"/>
      <c r="W295" s="53"/>
      <c r="X295" s="53"/>
      <c r="Y295" s="51"/>
      <c r="Z295" s="51"/>
      <c r="AA295" s="52"/>
    </row>
    <row r="296" spans="4:27">
      <c r="D296" s="50"/>
      <c r="E296" s="50"/>
      <c r="F296" s="50"/>
      <c r="G296" s="50"/>
      <c r="H296" s="50"/>
      <c r="I296" s="50"/>
      <c r="J296" s="50"/>
      <c r="K296" s="51"/>
      <c r="L296" s="50"/>
      <c r="M296" s="50"/>
      <c r="N296" s="50"/>
      <c r="O296" s="50"/>
      <c r="P296" s="50"/>
      <c r="Q296" s="52"/>
      <c r="W296" s="53"/>
      <c r="X296" s="53"/>
      <c r="Y296" s="51"/>
      <c r="Z296" s="51"/>
      <c r="AA296" s="52"/>
    </row>
    <row r="297" spans="4:27">
      <c r="D297" s="50"/>
      <c r="E297" s="50"/>
      <c r="F297" s="50"/>
      <c r="G297" s="50"/>
      <c r="H297" s="50"/>
      <c r="I297" s="50"/>
      <c r="J297" s="50"/>
      <c r="K297" s="51"/>
      <c r="L297" s="50"/>
      <c r="M297" s="50"/>
      <c r="N297" s="50"/>
      <c r="O297" s="50"/>
      <c r="P297" s="50"/>
      <c r="Q297" s="52"/>
      <c r="W297" s="53"/>
      <c r="X297" s="53"/>
      <c r="Y297" s="51"/>
      <c r="Z297" s="51"/>
      <c r="AA297" s="52"/>
    </row>
    <row r="298" spans="4:27">
      <c r="D298" s="50"/>
      <c r="E298" s="50"/>
      <c r="F298" s="50"/>
      <c r="G298" s="50"/>
      <c r="H298" s="50"/>
      <c r="I298" s="50"/>
      <c r="J298" s="50"/>
      <c r="K298" s="51"/>
      <c r="L298" s="50"/>
      <c r="M298" s="50"/>
      <c r="N298" s="50"/>
      <c r="O298" s="50"/>
      <c r="P298" s="50"/>
      <c r="Q298" s="52"/>
      <c r="W298" s="53"/>
      <c r="X298" s="53"/>
      <c r="Y298" s="51"/>
      <c r="Z298" s="51"/>
      <c r="AA298" s="52"/>
    </row>
    <row r="299" spans="4:27">
      <c r="D299" s="50"/>
      <c r="E299" s="50"/>
      <c r="F299" s="50"/>
      <c r="G299" s="50"/>
      <c r="H299" s="50"/>
      <c r="I299" s="50"/>
      <c r="J299" s="50"/>
      <c r="K299" s="51"/>
      <c r="L299" s="50"/>
      <c r="M299" s="50"/>
      <c r="N299" s="50"/>
      <c r="O299" s="50"/>
      <c r="P299" s="50"/>
      <c r="Q299" s="52"/>
      <c r="W299" s="53"/>
      <c r="X299" s="53"/>
      <c r="Y299" s="51"/>
      <c r="Z299" s="51"/>
      <c r="AA299" s="52"/>
    </row>
    <row r="300" spans="4:27">
      <c r="D300" s="50"/>
      <c r="E300" s="50"/>
      <c r="F300" s="50"/>
      <c r="G300" s="50"/>
      <c r="H300" s="50"/>
      <c r="I300" s="50"/>
      <c r="J300" s="50"/>
      <c r="K300" s="51"/>
      <c r="L300" s="50"/>
      <c r="M300" s="50"/>
      <c r="N300" s="50"/>
      <c r="O300" s="50"/>
      <c r="P300" s="50"/>
      <c r="Q300" s="52"/>
      <c r="W300" s="53"/>
      <c r="X300" s="53"/>
      <c r="Y300" s="51"/>
      <c r="Z300" s="51"/>
      <c r="AA300" s="52"/>
    </row>
    <row r="301" spans="4:27">
      <c r="D301" s="50"/>
      <c r="E301" s="50"/>
      <c r="F301" s="50"/>
      <c r="G301" s="50"/>
      <c r="H301" s="50"/>
      <c r="I301" s="50"/>
      <c r="J301" s="50"/>
      <c r="K301" s="51"/>
      <c r="L301" s="50"/>
      <c r="M301" s="50"/>
      <c r="N301" s="50"/>
      <c r="O301" s="50"/>
      <c r="P301" s="50"/>
      <c r="Q301" s="52"/>
      <c r="W301" s="53"/>
      <c r="X301" s="53"/>
      <c r="Y301" s="51"/>
      <c r="Z301" s="51"/>
      <c r="AA301" s="52"/>
    </row>
    <row r="302" spans="4:27">
      <c r="D302" s="50"/>
      <c r="E302" s="50"/>
      <c r="F302" s="50"/>
      <c r="G302" s="50"/>
      <c r="H302" s="50"/>
      <c r="I302" s="50"/>
      <c r="J302" s="50"/>
      <c r="K302" s="51"/>
      <c r="L302" s="50"/>
      <c r="M302" s="50"/>
      <c r="N302" s="50"/>
      <c r="O302" s="50"/>
      <c r="P302" s="50"/>
      <c r="Q302" s="52"/>
      <c r="W302" s="53"/>
      <c r="X302" s="53"/>
      <c r="Y302" s="51"/>
      <c r="Z302" s="51"/>
      <c r="AA302" s="52"/>
    </row>
    <row r="303" spans="4:27">
      <c r="D303" s="50"/>
      <c r="E303" s="50"/>
      <c r="F303" s="50"/>
      <c r="G303" s="50"/>
      <c r="H303" s="50"/>
      <c r="I303" s="50"/>
      <c r="J303" s="50"/>
      <c r="K303" s="51"/>
      <c r="L303" s="50"/>
      <c r="M303" s="50"/>
      <c r="N303" s="50"/>
      <c r="O303" s="50"/>
      <c r="P303" s="50"/>
      <c r="Q303" s="52"/>
      <c r="W303" s="53"/>
      <c r="X303" s="53"/>
      <c r="Y303" s="51"/>
      <c r="Z303" s="51"/>
      <c r="AA303" s="52"/>
    </row>
    <row r="304" spans="4:27">
      <c r="D304" s="50"/>
      <c r="E304" s="50"/>
      <c r="F304" s="50"/>
      <c r="G304" s="50"/>
      <c r="H304" s="50"/>
      <c r="I304" s="50"/>
      <c r="J304" s="50"/>
      <c r="K304" s="51"/>
      <c r="L304" s="50"/>
      <c r="M304" s="50"/>
      <c r="N304" s="50"/>
      <c r="O304" s="50"/>
      <c r="P304" s="50"/>
      <c r="Q304" s="52"/>
      <c r="W304" s="53"/>
      <c r="X304" s="53"/>
      <c r="Y304" s="51"/>
      <c r="Z304" s="51"/>
      <c r="AA304" s="52"/>
    </row>
    <row r="305" spans="4:27">
      <c r="D305" s="50"/>
      <c r="E305" s="50"/>
      <c r="F305" s="50"/>
      <c r="G305" s="50"/>
      <c r="H305" s="50"/>
      <c r="I305" s="50"/>
      <c r="J305" s="50"/>
      <c r="K305" s="51"/>
      <c r="L305" s="50"/>
      <c r="M305" s="50"/>
      <c r="N305" s="50"/>
      <c r="O305" s="50"/>
      <c r="P305" s="50"/>
      <c r="Q305" s="52"/>
      <c r="W305" s="53"/>
      <c r="X305" s="53"/>
      <c r="Y305" s="51"/>
      <c r="Z305" s="51"/>
      <c r="AA305" s="52"/>
    </row>
    <row r="306" spans="4:27">
      <c r="D306" s="50"/>
      <c r="E306" s="50"/>
      <c r="F306" s="50"/>
      <c r="G306" s="50"/>
      <c r="H306" s="50"/>
      <c r="I306" s="50"/>
      <c r="J306" s="50"/>
      <c r="K306" s="51"/>
      <c r="L306" s="50"/>
      <c r="M306" s="50"/>
      <c r="N306" s="50"/>
      <c r="O306" s="50"/>
      <c r="P306" s="50"/>
      <c r="Q306" s="52"/>
      <c r="W306" s="53"/>
      <c r="X306" s="53"/>
      <c r="Y306" s="51"/>
      <c r="Z306" s="51"/>
      <c r="AA306" s="52"/>
    </row>
    <row r="307" spans="4:27">
      <c r="D307" s="50"/>
      <c r="E307" s="50"/>
      <c r="F307" s="50"/>
      <c r="G307" s="50"/>
      <c r="H307" s="50"/>
      <c r="I307" s="50"/>
      <c r="J307" s="50"/>
      <c r="K307" s="51"/>
      <c r="L307" s="50"/>
      <c r="M307" s="50"/>
      <c r="N307" s="50"/>
      <c r="O307" s="50"/>
      <c r="P307" s="50"/>
      <c r="Q307" s="52"/>
      <c r="W307" s="53"/>
      <c r="X307" s="53"/>
      <c r="Y307" s="51"/>
      <c r="Z307" s="51"/>
      <c r="AA307" s="52"/>
    </row>
    <row r="308" spans="4:27">
      <c r="D308" s="50"/>
      <c r="E308" s="50"/>
      <c r="F308" s="50"/>
      <c r="G308" s="50"/>
      <c r="H308" s="50"/>
      <c r="I308" s="50"/>
      <c r="J308" s="50"/>
      <c r="K308" s="51"/>
      <c r="L308" s="50"/>
      <c r="M308" s="50"/>
      <c r="N308" s="50"/>
      <c r="O308" s="50"/>
      <c r="P308" s="50"/>
      <c r="Q308" s="52"/>
      <c r="W308" s="53"/>
      <c r="X308" s="53"/>
      <c r="Y308" s="51"/>
      <c r="Z308" s="51"/>
      <c r="AA308" s="52"/>
    </row>
    <row r="309" spans="4:27">
      <c r="D309" s="50"/>
      <c r="E309" s="50"/>
      <c r="F309" s="50"/>
      <c r="G309" s="50"/>
      <c r="H309" s="50"/>
      <c r="I309" s="50"/>
      <c r="J309" s="50"/>
      <c r="K309" s="51"/>
      <c r="L309" s="50"/>
      <c r="M309" s="50"/>
      <c r="N309" s="50"/>
      <c r="O309" s="50"/>
      <c r="P309" s="50"/>
      <c r="Q309" s="52"/>
      <c r="W309" s="53"/>
      <c r="X309" s="53"/>
      <c r="Y309" s="51"/>
      <c r="Z309" s="51"/>
      <c r="AA309" s="52"/>
    </row>
    <row r="310" spans="4:27">
      <c r="D310" s="50"/>
      <c r="E310" s="50"/>
      <c r="F310" s="50"/>
      <c r="G310" s="50"/>
      <c r="H310" s="50"/>
      <c r="I310" s="50"/>
      <c r="J310" s="50"/>
      <c r="K310" s="51"/>
      <c r="L310" s="50"/>
      <c r="M310" s="50"/>
      <c r="N310" s="50"/>
      <c r="O310" s="50"/>
      <c r="P310" s="50"/>
      <c r="Q310" s="52"/>
      <c r="W310" s="53"/>
      <c r="X310" s="53"/>
      <c r="Y310" s="51"/>
      <c r="Z310" s="51"/>
      <c r="AA310" s="52"/>
    </row>
    <row r="311" spans="4:27">
      <c r="D311" s="50"/>
      <c r="E311" s="50"/>
      <c r="F311" s="50"/>
      <c r="G311" s="50"/>
      <c r="H311" s="50"/>
      <c r="I311" s="50"/>
      <c r="J311" s="50"/>
      <c r="K311" s="51"/>
      <c r="L311" s="50"/>
      <c r="M311" s="50"/>
      <c r="N311" s="50"/>
      <c r="O311" s="50"/>
      <c r="P311" s="50"/>
      <c r="Q311" s="52"/>
      <c r="W311" s="53"/>
      <c r="X311" s="53"/>
      <c r="Y311" s="51"/>
      <c r="Z311" s="51"/>
      <c r="AA311" s="52"/>
    </row>
    <row r="312" spans="4:27">
      <c r="D312" s="50"/>
      <c r="E312" s="50"/>
      <c r="F312" s="50"/>
      <c r="G312" s="50"/>
      <c r="H312" s="50"/>
      <c r="I312" s="50"/>
      <c r="J312" s="50"/>
      <c r="K312" s="51"/>
      <c r="L312" s="50"/>
      <c r="M312" s="50"/>
      <c r="N312" s="50"/>
      <c r="O312" s="50"/>
      <c r="P312" s="50"/>
      <c r="Q312" s="52"/>
      <c r="W312" s="53"/>
      <c r="X312" s="53"/>
      <c r="Y312" s="51"/>
      <c r="Z312" s="51"/>
      <c r="AA312" s="52"/>
    </row>
    <row r="313" spans="4:27">
      <c r="D313" s="50"/>
      <c r="E313" s="50"/>
      <c r="F313" s="50"/>
      <c r="G313" s="50"/>
      <c r="H313" s="50"/>
      <c r="I313" s="50"/>
      <c r="J313" s="50"/>
      <c r="K313" s="51"/>
      <c r="L313" s="50"/>
      <c r="M313" s="50"/>
      <c r="N313" s="50"/>
      <c r="O313" s="50"/>
      <c r="P313" s="50"/>
      <c r="Q313" s="52"/>
      <c r="W313" s="53"/>
      <c r="X313" s="53"/>
      <c r="Y313" s="51"/>
      <c r="Z313" s="51"/>
      <c r="AA313" s="52"/>
    </row>
    <row r="314" spans="4:27">
      <c r="D314" s="50"/>
      <c r="E314" s="50"/>
      <c r="F314" s="50"/>
      <c r="G314" s="50"/>
      <c r="H314" s="50"/>
      <c r="I314" s="50"/>
      <c r="J314" s="50"/>
      <c r="K314" s="51"/>
      <c r="L314" s="50"/>
      <c r="M314" s="50"/>
      <c r="N314" s="50"/>
      <c r="O314" s="50"/>
      <c r="P314" s="50"/>
      <c r="Q314" s="52"/>
      <c r="W314" s="53"/>
      <c r="X314" s="53"/>
      <c r="Y314" s="51"/>
      <c r="Z314" s="51"/>
      <c r="AA314" s="52"/>
    </row>
    <row r="315" spans="4:27">
      <c r="D315" s="50"/>
      <c r="E315" s="50"/>
      <c r="F315" s="50"/>
      <c r="G315" s="50"/>
      <c r="H315" s="50"/>
      <c r="I315" s="50"/>
      <c r="J315" s="50"/>
      <c r="K315" s="51"/>
      <c r="L315" s="50"/>
      <c r="M315" s="50"/>
      <c r="N315" s="50"/>
      <c r="O315" s="50"/>
      <c r="P315" s="50"/>
      <c r="Q315" s="52"/>
      <c r="W315" s="53"/>
      <c r="X315" s="53"/>
      <c r="Y315" s="51"/>
      <c r="Z315" s="51"/>
      <c r="AA315" s="52"/>
    </row>
    <row r="316" spans="4:27">
      <c r="D316" s="50"/>
      <c r="E316" s="50"/>
      <c r="F316" s="50"/>
      <c r="G316" s="50"/>
      <c r="H316" s="50"/>
      <c r="I316" s="50"/>
      <c r="J316" s="50"/>
      <c r="K316" s="51"/>
      <c r="L316" s="50"/>
      <c r="M316" s="50"/>
      <c r="N316" s="50"/>
      <c r="O316" s="50"/>
      <c r="P316" s="50"/>
      <c r="Q316" s="52"/>
      <c r="W316" s="53"/>
      <c r="X316" s="53"/>
      <c r="Y316" s="51"/>
      <c r="Z316" s="51"/>
      <c r="AA316" s="52"/>
    </row>
    <row r="317" spans="4:27">
      <c r="D317" s="50"/>
      <c r="E317" s="50"/>
      <c r="F317" s="50"/>
      <c r="G317" s="50"/>
      <c r="H317" s="50"/>
      <c r="I317" s="50"/>
      <c r="J317" s="50"/>
      <c r="K317" s="51"/>
      <c r="L317" s="50"/>
      <c r="M317" s="50"/>
      <c r="N317" s="50"/>
      <c r="O317" s="50"/>
      <c r="P317" s="50"/>
      <c r="Q317" s="52"/>
      <c r="W317" s="53"/>
      <c r="X317" s="53"/>
      <c r="Y317" s="51"/>
      <c r="Z317" s="51"/>
      <c r="AA317" s="52"/>
    </row>
    <row r="318" spans="4:27">
      <c r="D318" s="50"/>
      <c r="E318" s="50"/>
      <c r="F318" s="50"/>
      <c r="G318" s="50"/>
      <c r="H318" s="50"/>
      <c r="I318" s="50"/>
      <c r="J318" s="50"/>
      <c r="K318" s="51"/>
      <c r="L318" s="50"/>
      <c r="M318" s="50"/>
      <c r="N318" s="50"/>
      <c r="O318" s="50"/>
      <c r="P318" s="50"/>
      <c r="Q318" s="52"/>
      <c r="W318" s="53"/>
      <c r="X318" s="53"/>
      <c r="Y318" s="51"/>
      <c r="Z318" s="51"/>
      <c r="AA318" s="52"/>
    </row>
    <row r="319" spans="4:27">
      <c r="D319" s="50"/>
      <c r="E319" s="50"/>
      <c r="F319" s="50"/>
      <c r="G319" s="50"/>
      <c r="H319" s="50"/>
      <c r="I319" s="50"/>
      <c r="J319" s="50"/>
      <c r="K319" s="51"/>
      <c r="L319" s="50"/>
      <c r="M319" s="50"/>
      <c r="N319" s="50"/>
      <c r="O319" s="50"/>
      <c r="P319" s="50"/>
      <c r="Q319" s="52"/>
      <c r="W319" s="53"/>
      <c r="X319" s="53"/>
      <c r="Y319" s="51"/>
      <c r="Z319" s="51"/>
      <c r="AA319" s="52"/>
    </row>
    <row r="320" spans="4:27">
      <c r="D320" s="50"/>
      <c r="E320" s="50"/>
      <c r="F320" s="50"/>
      <c r="G320" s="50"/>
      <c r="H320" s="50"/>
      <c r="I320" s="50"/>
      <c r="J320" s="50"/>
      <c r="K320" s="51"/>
      <c r="L320" s="50"/>
      <c r="M320" s="50"/>
      <c r="N320" s="50"/>
      <c r="O320" s="50"/>
      <c r="P320" s="50"/>
      <c r="Q320" s="52"/>
      <c r="W320" s="53"/>
      <c r="X320" s="53"/>
      <c r="Y320" s="51"/>
      <c r="Z320" s="51"/>
      <c r="AA320" s="52"/>
    </row>
    <row r="321" spans="4:27">
      <c r="D321" s="50"/>
      <c r="E321" s="50"/>
      <c r="F321" s="50"/>
      <c r="G321" s="50"/>
      <c r="H321" s="50"/>
      <c r="I321" s="50"/>
      <c r="J321" s="50"/>
      <c r="K321" s="51"/>
      <c r="L321" s="50"/>
      <c r="M321" s="50"/>
      <c r="N321" s="50"/>
      <c r="O321" s="50"/>
      <c r="P321" s="50"/>
      <c r="Q321" s="52"/>
      <c r="W321" s="53"/>
      <c r="X321" s="53"/>
      <c r="Y321" s="51"/>
      <c r="Z321" s="51"/>
      <c r="AA321" s="52"/>
    </row>
    <row r="322" spans="4:27">
      <c r="D322" s="50"/>
      <c r="E322" s="50"/>
      <c r="F322" s="50"/>
      <c r="G322" s="50"/>
      <c r="H322" s="50"/>
      <c r="I322" s="50"/>
      <c r="J322" s="50"/>
      <c r="K322" s="51"/>
      <c r="L322" s="50"/>
      <c r="M322" s="50"/>
      <c r="N322" s="50"/>
      <c r="O322" s="50"/>
      <c r="P322" s="50"/>
      <c r="Q322" s="52"/>
      <c r="W322" s="53"/>
      <c r="X322" s="53"/>
      <c r="Y322" s="51"/>
      <c r="Z322" s="51"/>
      <c r="AA322" s="52"/>
    </row>
    <row r="323" spans="4:27">
      <c r="D323" s="50"/>
      <c r="E323" s="50"/>
      <c r="F323" s="50"/>
      <c r="G323" s="50"/>
      <c r="H323" s="50"/>
      <c r="I323" s="50"/>
      <c r="J323" s="50"/>
      <c r="K323" s="51"/>
      <c r="L323" s="50"/>
      <c r="M323" s="50"/>
      <c r="N323" s="50"/>
      <c r="O323" s="50"/>
      <c r="P323" s="50"/>
      <c r="Q323" s="52"/>
      <c r="W323" s="53"/>
      <c r="X323" s="53"/>
      <c r="Y323" s="51"/>
      <c r="Z323" s="51"/>
      <c r="AA323" s="52"/>
    </row>
    <row r="324" spans="4:27">
      <c r="D324" s="50"/>
      <c r="E324" s="50"/>
      <c r="F324" s="50"/>
      <c r="G324" s="50"/>
      <c r="H324" s="50"/>
      <c r="I324" s="50"/>
      <c r="J324" s="50"/>
      <c r="K324" s="51"/>
      <c r="L324" s="50"/>
      <c r="M324" s="50"/>
      <c r="N324" s="50"/>
      <c r="O324" s="50"/>
      <c r="P324" s="50"/>
      <c r="Q324" s="52"/>
      <c r="W324" s="53"/>
      <c r="X324" s="53"/>
      <c r="Y324" s="51"/>
      <c r="Z324" s="51"/>
      <c r="AA324" s="52"/>
    </row>
    <row r="325" spans="4:27">
      <c r="D325" s="50"/>
      <c r="E325" s="50"/>
      <c r="F325" s="50"/>
      <c r="G325" s="50"/>
      <c r="H325" s="50"/>
      <c r="I325" s="50"/>
      <c r="J325" s="50"/>
      <c r="K325" s="51"/>
      <c r="L325" s="50"/>
      <c r="M325" s="50"/>
      <c r="N325" s="50"/>
      <c r="O325" s="50"/>
      <c r="P325" s="50"/>
      <c r="Q325" s="52"/>
      <c r="W325" s="53"/>
      <c r="X325" s="53"/>
      <c r="Y325" s="51"/>
      <c r="Z325" s="51"/>
      <c r="AA325" s="52"/>
    </row>
    <row r="326" spans="4:27">
      <c r="D326" s="50"/>
      <c r="E326" s="50"/>
      <c r="F326" s="50"/>
      <c r="G326" s="50"/>
      <c r="H326" s="50"/>
      <c r="I326" s="50"/>
      <c r="J326" s="50"/>
      <c r="K326" s="51"/>
      <c r="L326" s="50"/>
      <c r="M326" s="50"/>
      <c r="N326" s="50"/>
      <c r="O326" s="50"/>
      <c r="P326" s="50"/>
      <c r="Q326" s="52"/>
      <c r="W326" s="53"/>
      <c r="X326" s="53"/>
      <c r="Y326" s="51"/>
      <c r="Z326" s="51"/>
      <c r="AA326" s="52"/>
    </row>
    <row r="327" spans="4:27">
      <c r="D327" s="50"/>
      <c r="E327" s="50"/>
      <c r="F327" s="50"/>
      <c r="G327" s="50"/>
      <c r="H327" s="50"/>
      <c r="I327" s="50"/>
      <c r="J327" s="50"/>
      <c r="K327" s="51"/>
      <c r="L327" s="50"/>
      <c r="M327" s="50"/>
      <c r="N327" s="50"/>
      <c r="O327" s="50"/>
      <c r="P327" s="50"/>
      <c r="Q327" s="52"/>
      <c r="W327" s="53"/>
      <c r="X327" s="53"/>
      <c r="Y327" s="51"/>
      <c r="Z327" s="51"/>
      <c r="AA327" s="52"/>
    </row>
    <row r="328" spans="4:27">
      <c r="D328" s="50"/>
      <c r="E328" s="50"/>
      <c r="F328" s="50"/>
      <c r="G328" s="50"/>
      <c r="H328" s="50"/>
      <c r="I328" s="50"/>
      <c r="J328" s="50"/>
      <c r="K328" s="51"/>
      <c r="L328" s="50"/>
      <c r="M328" s="50"/>
      <c r="N328" s="50"/>
      <c r="O328" s="50"/>
      <c r="P328" s="50"/>
      <c r="Q328" s="52"/>
      <c r="W328" s="53"/>
      <c r="X328" s="53"/>
      <c r="Y328" s="51"/>
      <c r="Z328" s="51"/>
      <c r="AA328" s="52"/>
    </row>
    <row r="329" spans="4:27">
      <c r="D329" s="50"/>
      <c r="E329" s="50"/>
      <c r="F329" s="50"/>
      <c r="G329" s="50"/>
      <c r="H329" s="50"/>
      <c r="I329" s="50"/>
      <c r="J329" s="50"/>
      <c r="K329" s="51"/>
      <c r="L329" s="50"/>
      <c r="M329" s="50"/>
      <c r="N329" s="50"/>
      <c r="O329" s="50"/>
      <c r="P329" s="50"/>
      <c r="Q329" s="52"/>
      <c r="W329" s="53"/>
      <c r="X329" s="53"/>
      <c r="Y329" s="51"/>
      <c r="Z329" s="51"/>
      <c r="AA329" s="52"/>
    </row>
    <row r="330" spans="4:27">
      <c r="D330" s="50"/>
      <c r="E330" s="50"/>
      <c r="F330" s="50"/>
      <c r="G330" s="50"/>
      <c r="H330" s="50"/>
      <c r="I330" s="50"/>
      <c r="J330" s="50"/>
      <c r="K330" s="51"/>
      <c r="L330" s="50"/>
      <c r="M330" s="50"/>
      <c r="N330" s="50"/>
      <c r="O330" s="50"/>
      <c r="P330" s="50"/>
      <c r="Q330" s="52"/>
      <c r="W330" s="53"/>
      <c r="X330" s="53"/>
      <c r="Y330" s="51"/>
      <c r="Z330" s="51"/>
      <c r="AA330" s="52"/>
    </row>
    <row r="331" spans="4:27">
      <c r="D331" s="50"/>
      <c r="E331" s="50"/>
      <c r="F331" s="50"/>
      <c r="G331" s="50"/>
      <c r="H331" s="50"/>
      <c r="I331" s="50"/>
      <c r="J331" s="50"/>
      <c r="K331" s="51"/>
      <c r="L331" s="50"/>
      <c r="M331" s="50"/>
      <c r="N331" s="50"/>
      <c r="O331" s="50"/>
      <c r="P331" s="50"/>
      <c r="Q331" s="52"/>
      <c r="W331" s="53"/>
      <c r="X331" s="53"/>
      <c r="Y331" s="51"/>
      <c r="Z331" s="51"/>
      <c r="AA331" s="52"/>
    </row>
    <row r="332" spans="4:27">
      <c r="D332" s="50"/>
      <c r="E332" s="50"/>
      <c r="F332" s="50"/>
      <c r="G332" s="50"/>
      <c r="H332" s="50"/>
      <c r="I332" s="50"/>
      <c r="J332" s="50"/>
      <c r="K332" s="51"/>
      <c r="L332" s="50"/>
      <c r="M332" s="50"/>
      <c r="N332" s="50"/>
      <c r="O332" s="50"/>
      <c r="P332" s="50"/>
      <c r="Q332" s="52"/>
      <c r="W332" s="53"/>
      <c r="X332" s="53"/>
      <c r="Y332" s="51"/>
      <c r="Z332" s="51"/>
      <c r="AA332" s="52"/>
    </row>
    <row r="333" spans="4:27">
      <c r="D333" s="50"/>
      <c r="E333" s="50"/>
      <c r="F333" s="50"/>
      <c r="G333" s="50"/>
      <c r="H333" s="50"/>
      <c r="I333" s="50"/>
      <c r="J333" s="50"/>
      <c r="K333" s="51"/>
      <c r="L333" s="50"/>
      <c r="M333" s="50"/>
      <c r="N333" s="50"/>
      <c r="O333" s="50"/>
      <c r="P333" s="50"/>
      <c r="Q333" s="52"/>
      <c r="W333" s="53"/>
      <c r="X333" s="53"/>
      <c r="Y333" s="51"/>
      <c r="Z333" s="51"/>
      <c r="AA333" s="52"/>
    </row>
    <row r="334" spans="4:27">
      <c r="D334" s="50"/>
      <c r="E334" s="50"/>
      <c r="F334" s="50"/>
      <c r="G334" s="50"/>
      <c r="H334" s="50"/>
      <c r="I334" s="50"/>
      <c r="J334" s="50"/>
      <c r="K334" s="51"/>
      <c r="L334" s="50"/>
      <c r="M334" s="50"/>
      <c r="N334" s="50"/>
      <c r="O334" s="50"/>
      <c r="P334" s="50"/>
      <c r="Q334" s="52"/>
      <c r="W334" s="53"/>
      <c r="X334" s="53"/>
      <c r="Y334" s="51"/>
      <c r="Z334" s="51"/>
      <c r="AA334" s="52"/>
    </row>
    <row r="335" spans="4:27">
      <c r="D335" s="50"/>
      <c r="E335" s="50"/>
      <c r="F335" s="50"/>
      <c r="G335" s="50"/>
      <c r="H335" s="50"/>
      <c r="I335" s="50"/>
      <c r="J335" s="50"/>
      <c r="K335" s="51"/>
      <c r="L335" s="50"/>
      <c r="M335" s="50"/>
      <c r="N335" s="50"/>
      <c r="O335" s="50"/>
      <c r="P335" s="50"/>
      <c r="Q335" s="52"/>
      <c r="W335" s="53"/>
      <c r="X335" s="53"/>
      <c r="Y335" s="51"/>
      <c r="Z335" s="51"/>
      <c r="AA335" s="52"/>
    </row>
    <row r="336" spans="4:27">
      <c r="D336" s="50"/>
      <c r="E336" s="50"/>
      <c r="F336" s="50"/>
      <c r="G336" s="50"/>
      <c r="H336" s="50"/>
      <c r="I336" s="50"/>
      <c r="J336" s="50"/>
      <c r="K336" s="51"/>
      <c r="L336" s="50"/>
      <c r="M336" s="50"/>
      <c r="N336" s="50"/>
      <c r="O336" s="50"/>
      <c r="P336" s="50"/>
      <c r="Q336" s="52"/>
      <c r="W336" s="53"/>
      <c r="X336" s="53"/>
      <c r="Y336" s="51"/>
      <c r="Z336" s="51"/>
      <c r="AA336" s="52"/>
    </row>
    <row r="337" spans="4:27">
      <c r="D337" s="50"/>
      <c r="E337" s="50"/>
      <c r="F337" s="50"/>
      <c r="G337" s="50"/>
      <c r="H337" s="50"/>
      <c r="I337" s="50"/>
      <c r="J337" s="50"/>
      <c r="K337" s="51"/>
      <c r="L337" s="50"/>
      <c r="M337" s="50"/>
      <c r="N337" s="50"/>
      <c r="O337" s="50"/>
      <c r="P337" s="50"/>
      <c r="Q337" s="52"/>
      <c r="W337" s="53"/>
      <c r="X337" s="53"/>
      <c r="Y337" s="51"/>
      <c r="Z337" s="51"/>
      <c r="AA337" s="52"/>
    </row>
    <row r="338" spans="4:27">
      <c r="D338" s="50"/>
      <c r="E338" s="50"/>
      <c r="F338" s="50"/>
      <c r="G338" s="50"/>
      <c r="H338" s="50"/>
      <c r="I338" s="50"/>
      <c r="J338" s="50"/>
      <c r="K338" s="51"/>
      <c r="L338" s="50"/>
      <c r="M338" s="50"/>
      <c r="N338" s="50"/>
      <c r="O338" s="50"/>
      <c r="P338" s="50"/>
      <c r="Q338" s="52"/>
      <c r="W338" s="53"/>
      <c r="X338" s="53"/>
      <c r="Y338" s="51"/>
      <c r="Z338" s="51"/>
      <c r="AA338" s="52"/>
    </row>
    <row r="339" spans="4:27">
      <c r="D339" s="50"/>
      <c r="E339" s="50"/>
      <c r="F339" s="50"/>
      <c r="G339" s="50"/>
      <c r="H339" s="50"/>
      <c r="I339" s="50"/>
      <c r="J339" s="50"/>
      <c r="K339" s="51"/>
      <c r="L339" s="50"/>
      <c r="M339" s="50"/>
      <c r="N339" s="50"/>
      <c r="O339" s="50"/>
      <c r="P339" s="50"/>
      <c r="Q339" s="52"/>
      <c r="W339" s="53"/>
      <c r="X339" s="53"/>
      <c r="Y339" s="51"/>
      <c r="Z339" s="51"/>
      <c r="AA339" s="52"/>
    </row>
    <row r="340" spans="4:27">
      <c r="D340" s="50"/>
      <c r="E340" s="50"/>
      <c r="F340" s="50"/>
      <c r="G340" s="50"/>
      <c r="H340" s="50"/>
      <c r="I340" s="50"/>
      <c r="J340" s="50"/>
      <c r="K340" s="51"/>
      <c r="L340" s="50"/>
      <c r="M340" s="50"/>
      <c r="N340" s="50"/>
      <c r="O340" s="50"/>
      <c r="P340" s="50"/>
      <c r="Q340" s="52"/>
      <c r="W340" s="53"/>
      <c r="X340" s="53"/>
      <c r="Y340" s="51"/>
      <c r="Z340" s="51"/>
      <c r="AA340" s="52"/>
    </row>
    <row r="341" spans="4:27">
      <c r="D341" s="50"/>
      <c r="E341" s="50"/>
      <c r="F341" s="50"/>
      <c r="G341" s="50"/>
      <c r="H341" s="50"/>
      <c r="I341" s="50"/>
      <c r="J341" s="50"/>
      <c r="K341" s="51"/>
      <c r="L341" s="50"/>
      <c r="M341" s="50"/>
      <c r="N341" s="50"/>
      <c r="O341" s="50"/>
      <c r="P341" s="50"/>
      <c r="Q341" s="52"/>
      <c r="W341" s="53"/>
      <c r="X341" s="53"/>
      <c r="Y341" s="51"/>
      <c r="Z341" s="51"/>
      <c r="AA341" s="52"/>
    </row>
    <row r="342" spans="4:27">
      <c r="D342" s="50"/>
      <c r="E342" s="50"/>
      <c r="F342" s="50"/>
      <c r="G342" s="50"/>
      <c r="H342" s="50"/>
      <c r="I342" s="50"/>
      <c r="J342" s="50"/>
      <c r="K342" s="51"/>
      <c r="L342" s="50"/>
      <c r="M342" s="50"/>
      <c r="N342" s="50"/>
      <c r="O342" s="50"/>
      <c r="P342" s="50"/>
      <c r="Q342" s="52"/>
      <c r="W342" s="53"/>
      <c r="X342" s="53"/>
      <c r="Y342" s="51"/>
      <c r="Z342" s="51"/>
      <c r="AA342" s="52"/>
    </row>
    <row r="343" spans="4:27">
      <c r="D343" s="50"/>
      <c r="E343" s="50"/>
      <c r="F343" s="50"/>
      <c r="G343" s="50"/>
      <c r="H343" s="50"/>
      <c r="I343" s="50"/>
      <c r="J343" s="50"/>
      <c r="K343" s="51"/>
      <c r="L343" s="50"/>
      <c r="M343" s="50"/>
      <c r="N343" s="50"/>
      <c r="O343" s="50"/>
      <c r="P343" s="50"/>
      <c r="Q343" s="52"/>
      <c r="W343" s="53"/>
      <c r="X343" s="53"/>
      <c r="Y343" s="51"/>
      <c r="Z343" s="51"/>
      <c r="AA343" s="52"/>
    </row>
    <row r="344" spans="4:27">
      <c r="D344" s="50"/>
      <c r="E344" s="50"/>
      <c r="F344" s="50"/>
      <c r="G344" s="50"/>
      <c r="H344" s="50"/>
      <c r="I344" s="50"/>
      <c r="J344" s="50"/>
      <c r="K344" s="51"/>
      <c r="L344" s="50"/>
      <c r="M344" s="50"/>
      <c r="N344" s="50"/>
      <c r="O344" s="50"/>
      <c r="P344" s="50"/>
      <c r="Q344" s="52"/>
      <c r="W344" s="53"/>
      <c r="X344" s="53"/>
      <c r="Y344" s="51"/>
      <c r="Z344" s="51"/>
      <c r="AA344" s="52"/>
    </row>
    <row r="345" spans="4:27">
      <c r="D345" s="50"/>
      <c r="E345" s="50"/>
      <c r="F345" s="50"/>
      <c r="G345" s="50"/>
      <c r="H345" s="50"/>
      <c r="I345" s="50"/>
      <c r="J345" s="50"/>
      <c r="K345" s="51"/>
      <c r="L345" s="50"/>
      <c r="M345" s="50"/>
      <c r="N345" s="50"/>
      <c r="O345" s="50"/>
      <c r="P345" s="50"/>
      <c r="Q345" s="52"/>
      <c r="W345" s="53"/>
      <c r="X345" s="53"/>
      <c r="Y345" s="51"/>
      <c r="Z345" s="51"/>
      <c r="AA345" s="52"/>
    </row>
    <row r="346" spans="4:27">
      <c r="D346" s="50"/>
      <c r="E346" s="50"/>
      <c r="F346" s="50"/>
      <c r="G346" s="50"/>
      <c r="H346" s="50"/>
      <c r="I346" s="50"/>
      <c r="J346" s="50"/>
      <c r="K346" s="51"/>
      <c r="L346" s="50"/>
      <c r="M346" s="50"/>
      <c r="N346" s="50"/>
      <c r="O346" s="50"/>
      <c r="P346" s="50"/>
      <c r="Q346" s="52"/>
      <c r="W346" s="53"/>
      <c r="X346" s="53"/>
      <c r="Y346" s="51"/>
      <c r="Z346" s="51"/>
      <c r="AA346" s="52"/>
    </row>
    <row r="347" spans="4:27">
      <c r="D347" s="50"/>
      <c r="E347" s="50"/>
      <c r="F347" s="50"/>
      <c r="G347" s="50"/>
      <c r="H347" s="50"/>
      <c r="I347" s="50"/>
      <c r="J347" s="50"/>
      <c r="K347" s="51"/>
      <c r="L347" s="50"/>
      <c r="M347" s="50"/>
      <c r="N347" s="50"/>
      <c r="O347" s="50"/>
      <c r="P347" s="50"/>
      <c r="Q347" s="52"/>
      <c r="W347" s="53"/>
      <c r="X347" s="53"/>
      <c r="Y347" s="51"/>
      <c r="Z347" s="51"/>
      <c r="AA347" s="52"/>
    </row>
    <row r="348" spans="4:27">
      <c r="D348" s="50"/>
      <c r="E348" s="50"/>
      <c r="F348" s="50"/>
      <c r="G348" s="50"/>
      <c r="H348" s="50"/>
      <c r="I348" s="50"/>
      <c r="J348" s="50"/>
      <c r="K348" s="51"/>
      <c r="L348" s="50"/>
      <c r="M348" s="50"/>
      <c r="N348" s="50"/>
      <c r="O348" s="50"/>
      <c r="P348" s="50"/>
      <c r="Q348" s="52"/>
      <c r="W348" s="53"/>
      <c r="X348" s="53"/>
      <c r="Y348" s="51"/>
      <c r="Z348" s="51"/>
      <c r="AA348" s="52"/>
    </row>
    <row r="349" spans="4:27">
      <c r="D349" s="50"/>
      <c r="E349" s="50"/>
      <c r="F349" s="50"/>
      <c r="G349" s="50"/>
      <c r="H349" s="50"/>
      <c r="I349" s="50"/>
      <c r="J349" s="50"/>
      <c r="K349" s="51"/>
      <c r="L349" s="50"/>
      <c r="M349" s="50"/>
      <c r="N349" s="50"/>
      <c r="O349" s="50"/>
      <c r="P349" s="50"/>
      <c r="Q349" s="52"/>
      <c r="W349" s="53"/>
      <c r="X349" s="53"/>
      <c r="Y349" s="51"/>
      <c r="Z349" s="51"/>
      <c r="AA349" s="52"/>
    </row>
    <row r="350" spans="4:27">
      <c r="D350" s="50"/>
      <c r="E350" s="50"/>
      <c r="F350" s="50"/>
      <c r="G350" s="50"/>
      <c r="H350" s="50"/>
      <c r="I350" s="50"/>
      <c r="J350" s="50"/>
      <c r="K350" s="51"/>
      <c r="L350" s="50"/>
      <c r="M350" s="50"/>
      <c r="N350" s="50"/>
      <c r="O350" s="50"/>
      <c r="P350" s="50"/>
      <c r="Q350" s="52"/>
      <c r="W350" s="53"/>
      <c r="X350" s="53"/>
      <c r="Y350" s="51"/>
      <c r="Z350" s="51"/>
      <c r="AA350" s="52"/>
    </row>
    <row r="351" spans="4:27">
      <c r="D351" s="50"/>
      <c r="E351" s="50"/>
      <c r="F351" s="50"/>
      <c r="G351" s="50"/>
      <c r="H351" s="50"/>
      <c r="I351" s="50"/>
      <c r="J351" s="50"/>
      <c r="K351" s="51"/>
      <c r="L351" s="50"/>
      <c r="M351" s="50"/>
      <c r="N351" s="50"/>
      <c r="O351" s="50"/>
      <c r="P351" s="50"/>
      <c r="Q351" s="52"/>
      <c r="W351" s="53"/>
      <c r="X351" s="53"/>
      <c r="Y351" s="51"/>
      <c r="Z351" s="51"/>
      <c r="AA351" s="52"/>
    </row>
    <row r="352" spans="4:27">
      <c r="D352" s="50"/>
      <c r="E352" s="50"/>
      <c r="F352" s="50"/>
      <c r="G352" s="50"/>
      <c r="H352" s="50"/>
      <c r="I352" s="50"/>
      <c r="J352" s="50"/>
      <c r="K352" s="51"/>
      <c r="L352" s="50"/>
      <c r="M352" s="50"/>
      <c r="N352" s="50"/>
      <c r="O352" s="50"/>
      <c r="P352" s="50"/>
      <c r="Q352" s="52"/>
      <c r="W352" s="53"/>
      <c r="X352" s="53"/>
      <c r="Y352" s="51"/>
      <c r="Z352" s="51"/>
      <c r="AA352" s="52"/>
    </row>
    <row r="353" spans="4:27">
      <c r="D353" s="50"/>
      <c r="E353" s="50"/>
      <c r="F353" s="50"/>
      <c r="G353" s="50"/>
      <c r="H353" s="50"/>
      <c r="I353" s="50"/>
      <c r="J353" s="50"/>
      <c r="K353" s="51"/>
      <c r="L353" s="50"/>
      <c r="M353" s="50"/>
      <c r="N353" s="50"/>
      <c r="O353" s="50"/>
      <c r="P353" s="50"/>
      <c r="Q353" s="52"/>
      <c r="W353" s="53"/>
      <c r="X353" s="53"/>
      <c r="Y353" s="51"/>
      <c r="Z353" s="51"/>
      <c r="AA353" s="52"/>
    </row>
    <row r="354" spans="4:27">
      <c r="D354" s="50"/>
      <c r="E354" s="50"/>
      <c r="F354" s="50"/>
      <c r="G354" s="50"/>
      <c r="H354" s="50"/>
      <c r="I354" s="50"/>
      <c r="J354" s="50"/>
      <c r="K354" s="51"/>
      <c r="L354" s="50"/>
      <c r="M354" s="50"/>
      <c r="N354" s="50"/>
      <c r="O354" s="50"/>
      <c r="P354" s="50"/>
      <c r="Q354" s="52"/>
      <c r="W354" s="53"/>
      <c r="X354" s="53"/>
      <c r="Y354" s="51"/>
      <c r="Z354" s="51"/>
      <c r="AA354" s="52"/>
    </row>
    <row r="355" spans="4:27">
      <c r="D355" s="50"/>
      <c r="E355" s="50"/>
      <c r="F355" s="50"/>
      <c r="G355" s="50"/>
      <c r="H355" s="50"/>
      <c r="I355" s="50"/>
      <c r="J355" s="50"/>
      <c r="K355" s="51"/>
      <c r="L355" s="50"/>
      <c r="M355" s="50"/>
      <c r="N355" s="50"/>
      <c r="O355" s="50"/>
      <c r="P355" s="50"/>
      <c r="Q355" s="52"/>
      <c r="W355" s="53"/>
      <c r="X355" s="53"/>
      <c r="Y355" s="51"/>
      <c r="Z355" s="51"/>
      <c r="AA355" s="52"/>
    </row>
    <row r="356" spans="4:27">
      <c r="D356" s="50"/>
      <c r="E356" s="50"/>
      <c r="F356" s="50"/>
      <c r="G356" s="50"/>
      <c r="H356" s="50"/>
      <c r="I356" s="50"/>
      <c r="J356" s="50"/>
      <c r="K356" s="51"/>
      <c r="L356" s="50"/>
      <c r="M356" s="50"/>
      <c r="N356" s="50"/>
      <c r="O356" s="50"/>
      <c r="P356" s="50"/>
      <c r="Q356" s="52"/>
      <c r="W356" s="53"/>
      <c r="X356" s="53"/>
      <c r="Y356" s="51"/>
      <c r="Z356" s="51"/>
      <c r="AA356" s="52"/>
    </row>
    <row r="357" spans="4:27">
      <c r="D357" s="50"/>
      <c r="E357" s="50"/>
      <c r="F357" s="50"/>
      <c r="G357" s="50"/>
      <c r="H357" s="50"/>
      <c r="I357" s="50"/>
      <c r="J357" s="50"/>
      <c r="K357" s="51"/>
      <c r="L357" s="50"/>
      <c r="M357" s="50"/>
      <c r="N357" s="50"/>
      <c r="O357" s="50"/>
      <c r="P357" s="50"/>
      <c r="Q357" s="52"/>
      <c r="W357" s="53"/>
      <c r="X357" s="53"/>
      <c r="Y357" s="51"/>
      <c r="Z357" s="51"/>
      <c r="AA357" s="52"/>
    </row>
    <row r="358" spans="4:27">
      <c r="D358" s="50"/>
      <c r="E358" s="50"/>
      <c r="F358" s="50"/>
      <c r="G358" s="50"/>
      <c r="H358" s="50"/>
      <c r="I358" s="50"/>
      <c r="J358" s="50"/>
      <c r="K358" s="51"/>
      <c r="L358" s="50"/>
      <c r="M358" s="50"/>
      <c r="N358" s="50"/>
      <c r="O358" s="50"/>
      <c r="P358" s="50"/>
      <c r="Q358" s="52"/>
      <c r="W358" s="53"/>
      <c r="X358" s="53"/>
      <c r="Y358" s="51"/>
      <c r="Z358" s="51"/>
      <c r="AA358" s="52"/>
    </row>
    <row r="359" spans="4:27">
      <c r="D359" s="50"/>
      <c r="E359" s="50"/>
      <c r="F359" s="50"/>
      <c r="G359" s="50"/>
      <c r="H359" s="50"/>
      <c r="I359" s="50"/>
      <c r="J359" s="50"/>
      <c r="K359" s="51"/>
      <c r="L359" s="50"/>
      <c r="M359" s="50"/>
      <c r="N359" s="50"/>
      <c r="O359" s="50"/>
      <c r="P359" s="50"/>
      <c r="Q359" s="52"/>
      <c r="W359" s="53"/>
      <c r="X359" s="53"/>
      <c r="Y359" s="51"/>
      <c r="Z359" s="51"/>
      <c r="AA359" s="52"/>
    </row>
    <row r="360" spans="4:27">
      <c r="D360" s="50"/>
      <c r="E360" s="50"/>
      <c r="F360" s="50"/>
      <c r="G360" s="50"/>
      <c r="H360" s="50"/>
      <c r="I360" s="50"/>
      <c r="J360" s="50"/>
      <c r="K360" s="51"/>
      <c r="L360" s="50"/>
      <c r="M360" s="50"/>
      <c r="N360" s="50"/>
      <c r="O360" s="50"/>
      <c r="P360" s="50"/>
      <c r="Q360" s="52"/>
      <c r="W360" s="53"/>
      <c r="X360" s="53"/>
      <c r="Y360" s="51"/>
      <c r="Z360" s="51"/>
      <c r="AA360" s="52"/>
    </row>
    <row r="361" spans="4:27">
      <c r="D361" s="50"/>
      <c r="E361" s="50"/>
      <c r="F361" s="50"/>
      <c r="G361" s="50"/>
      <c r="H361" s="50"/>
      <c r="I361" s="50"/>
      <c r="J361" s="50"/>
      <c r="K361" s="51"/>
      <c r="L361" s="50"/>
      <c r="M361" s="50"/>
      <c r="N361" s="50"/>
      <c r="O361" s="50"/>
      <c r="P361" s="50"/>
      <c r="Q361" s="52"/>
      <c r="W361" s="53"/>
      <c r="X361" s="53"/>
      <c r="Y361" s="51"/>
      <c r="Z361" s="51"/>
      <c r="AA361" s="52"/>
    </row>
    <row r="362" spans="4:27">
      <c r="D362" s="50"/>
      <c r="E362" s="50"/>
      <c r="F362" s="50"/>
      <c r="G362" s="50"/>
      <c r="H362" s="50"/>
      <c r="I362" s="50"/>
      <c r="J362" s="50"/>
      <c r="K362" s="51"/>
      <c r="L362" s="50"/>
      <c r="M362" s="50"/>
      <c r="N362" s="50"/>
      <c r="O362" s="50"/>
      <c r="P362" s="50"/>
      <c r="Q362" s="52"/>
      <c r="W362" s="53"/>
      <c r="X362" s="53"/>
      <c r="Y362" s="51"/>
      <c r="Z362" s="51"/>
      <c r="AA362" s="52"/>
    </row>
    <row r="363" spans="4:27">
      <c r="D363" s="50"/>
      <c r="E363" s="50"/>
      <c r="F363" s="50"/>
      <c r="G363" s="50"/>
      <c r="H363" s="50"/>
      <c r="I363" s="50"/>
      <c r="J363" s="50"/>
      <c r="K363" s="51"/>
      <c r="L363" s="50"/>
      <c r="M363" s="50"/>
      <c r="N363" s="50"/>
      <c r="O363" s="50"/>
      <c r="P363" s="50"/>
      <c r="Q363" s="52"/>
      <c r="W363" s="53"/>
      <c r="X363" s="53"/>
      <c r="Y363" s="51"/>
      <c r="Z363" s="51"/>
      <c r="AA363" s="52"/>
    </row>
    <row r="364" spans="4:27">
      <c r="D364" s="50"/>
      <c r="E364" s="50"/>
      <c r="F364" s="50"/>
      <c r="G364" s="50"/>
      <c r="H364" s="50"/>
      <c r="I364" s="50"/>
      <c r="J364" s="50"/>
      <c r="K364" s="51"/>
      <c r="L364" s="50"/>
      <c r="M364" s="50"/>
      <c r="N364" s="50"/>
      <c r="O364" s="50"/>
      <c r="P364" s="50"/>
      <c r="Q364" s="52"/>
      <c r="W364" s="53"/>
      <c r="X364" s="53"/>
      <c r="Y364" s="51"/>
      <c r="Z364" s="51"/>
      <c r="AA364" s="52"/>
    </row>
    <row r="365" spans="4:27">
      <c r="D365" s="50"/>
      <c r="E365" s="50"/>
      <c r="F365" s="50"/>
      <c r="G365" s="50"/>
      <c r="H365" s="50"/>
      <c r="I365" s="50"/>
      <c r="J365" s="50"/>
      <c r="K365" s="51"/>
      <c r="L365" s="50"/>
      <c r="M365" s="50"/>
      <c r="N365" s="50"/>
      <c r="O365" s="50"/>
      <c r="P365" s="50"/>
      <c r="Q365" s="52"/>
      <c r="W365" s="53"/>
      <c r="X365" s="53"/>
      <c r="Y365" s="51"/>
      <c r="Z365" s="51"/>
      <c r="AA365" s="52"/>
    </row>
    <row r="366" spans="4:27">
      <c r="D366" s="50"/>
      <c r="E366" s="50"/>
      <c r="F366" s="50"/>
      <c r="G366" s="50"/>
      <c r="H366" s="50"/>
      <c r="I366" s="50"/>
      <c r="J366" s="50"/>
      <c r="K366" s="51"/>
      <c r="L366" s="50"/>
      <c r="M366" s="50"/>
      <c r="N366" s="50"/>
      <c r="O366" s="50"/>
      <c r="P366" s="50"/>
      <c r="Q366" s="52"/>
      <c r="W366" s="53"/>
      <c r="X366" s="53"/>
      <c r="Y366" s="51"/>
      <c r="Z366" s="51"/>
      <c r="AA366" s="52"/>
    </row>
    <row r="367" spans="4:27">
      <c r="D367" s="50"/>
      <c r="E367" s="50"/>
      <c r="F367" s="50"/>
      <c r="G367" s="50"/>
      <c r="H367" s="50"/>
      <c r="I367" s="50"/>
      <c r="J367" s="50"/>
      <c r="K367" s="51"/>
      <c r="L367" s="50"/>
      <c r="M367" s="50"/>
      <c r="N367" s="50"/>
      <c r="O367" s="50"/>
      <c r="P367" s="50"/>
      <c r="Q367" s="52"/>
      <c r="W367" s="53"/>
      <c r="X367" s="53"/>
      <c r="Y367" s="51"/>
      <c r="Z367" s="51"/>
      <c r="AA367" s="52"/>
    </row>
    <row r="368" spans="4:27">
      <c r="D368" s="50"/>
      <c r="E368" s="50"/>
      <c r="F368" s="50"/>
      <c r="G368" s="50"/>
      <c r="H368" s="50"/>
      <c r="I368" s="50"/>
      <c r="J368" s="50"/>
      <c r="K368" s="51"/>
      <c r="L368" s="50"/>
      <c r="M368" s="50"/>
      <c r="N368" s="50"/>
      <c r="O368" s="50"/>
      <c r="P368" s="50"/>
      <c r="Q368" s="52"/>
      <c r="W368" s="53"/>
      <c r="X368" s="53"/>
      <c r="Y368" s="51"/>
      <c r="Z368" s="51"/>
      <c r="AA368" s="52"/>
    </row>
    <row r="369" spans="4:27">
      <c r="D369" s="50"/>
      <c r="E369" s="50"/>
      <c r="F369" s="50"/>
      <c r="G369" s="50"/>
      <c r="H369" s="50"/>
      <c r="I369" s="50"/>
      <c r="J369" s="50"/>
      <c r="K369" s="51"/>
      <c r="L369" s="50"/>
      <c r="M369" s="50"/>
      <c r="N369" s="50"/>
      <c r="O369" s="50"/>
      <c r="P369" s="50"/>
      <c r="Q369" s="52"/>
      <c r="W369" s="53"/>
      <c r="X369" s="53"/>
      <c r="Y369" s="51"/>
      <c r="Z369" s="51"/>
      <c r="AA369" s="52"/>
    </row>
    <row r="370" spans="4:27">
      <c r="D370" s="50"/>
      <c r="E370" s="50"/>
      <c r="F370" s="50"/>
      <c r="G370" s="50"/>
      <c r="H370" s="50"/>
      <c r="I370" s="50"/>
      <c r="J370" s="50"/>
      <c r="K370" s="51"/>
      <c r="L370" s="50"/>
      <c r="M370" s="50"/>
      <c r="N370" s="50"/>
      <c r="O370" s="50"/>
      <c r="P370" s="50"/>
      <c r="Q370" s="52"/>
      <c r="W370" s="53"/>
      <c r="X370" s="53"/>
      <c r="Y370" s="51"/>
      <c r="Z370" s="51"/>
      <c r="AA370" s="52"/>
    </row>
    <row r="371" spans="4:27">
      <c r="D371" s="50"/>
      <c r="E371" s="50"/>
      <c r="F371" s="50"/>
      <c r="G371" s="50"/>
      <c r="H371" s="50"/>
      <c r="I371" s="50"/>
      <c r="J371" s="50"/>
      <c r="K371" s="51"/>
      <c r="L371" s="50"/>
      <c r="M371" s="50"/>
      <c r="N371" s="50"/>
      <c r="O371" s="50"/>
      <c r="P371" s="50"/>
      <c r="Q371" s="52"/>
      <c r="W371" s="53"/>
      <c r="X371" s="53"/>
      <c r="Y371" s="51"/>
      <c r="Z371" s="51"/>
      <c r="AA371" s="52"/>
    </row>
    <row r="372" spans="4:27">
      <c r="D372" s="50"/>
      <c r="E372" s="50"/>
      <c r="F372" s="50"/>
      <c r="G372" s="50"/>
      <c r="H372" s="50"/>
      <c r="I372" s="50"/>
      <c r="J372" s="50"/>
      <c r="K372" s="51"/>
      <c r="L372" s="50"/>
      <c r="M372" s="50"/>
      <c r="N372" s="50"/>
      <c r="O372" s="50"/>
      <c r="P372" s="50"/>
      <c r="Q372" s="52"/>
      <c r="W372" s="53"/>
      <c r="X372" s="53"/>
      <c r="Y372" s="51"/>
      <c r="Z372" s="51"/>
      <c r="AA372" s="52"/>
    </row>
    <row r="373" spans="4:27">
      <c r="D373" s="50"/>
      <c r="E373" s="50"/>
      <c r="F373" s="50"/>
      <c r="G373" s="50"/>
      <c r="H373" s="50"/>
      <c r="I373" s="50"/>
      <c r="J373" s="50"/>
      <c r="K373" s="51"/>
      <c r="L373" s="50"/>
      <c r="M373" s="50"/>
      <c r="N373" s="50"/>
      <c r="O373" s="50"/>
      <c r="P373" s="50"/>
      <c r="Q373" s="52"/>
      <c r="W373" s="53"/>
      <c r="X373" s="53"/>
      <c r="Y373" s="51"/>
      <c r="Z373" s="51"/>
      <c r="AA373" s="52"/>
    </row>
    <row r="374" spans="4:27">
      <c r="D374" s="50"/>
      <c r="E374" s="50"/>
      <c r="F374" s="50"/>
      <c r="G374" s="50"/>
      <c r="H374" s="50"/>
      <c r="I374" s="50"/>
      <c r="J374" s="50"/>
      <c r="K374" s="51"/>
      <c r="L374" s="50"/>
      <c r="M374" s="50"/>
      <c r="N374" s="50"/>
      <c r="O374" s="50"/>
      <c r="P374" s="50"/>
      <c r="Q374" s="52"/>
      <c r="W374" s="53"/>
      <c r="X374" s="53"/>
      <c r="Y374" s="51"/>
      <c r="Z374" s="51"/>
      <c r="AA374" s="52"/>
    </row>
    <row r="375" spans="4:27">
      <c r="D375" s="50"/>
      <c r="E375" s="50"/>
      <c r="F375" s="50"/>
      <c r="G375" s="50"/>
      <c r="H375" s="50"/>
      <c r="I375" s="50"/>
      <c r="J375" s="50"/>
      <c r="K375" s="51"/>
      <c r="L375" s="50"/>
      <c r="M375" s="50"/>
      <c r="N375" s="50"/>
      <c r="O375" s="50"/>
      <c r="P375" s="50"/>
      <c r="Q375" s="52"/>
      <c r="W375" s="53"/>
      <c r="X375" s="53"/>
      <c r="Y375" s="51"/>
      <c r="Z375" s="51"/>
      <c r="AA375" s="52"/>
    </row>
    <row r="376" spans="4:27">
      <c r="D376" s="50"/>
      <c r="E376" s="50"/>
      <c r="F376" s="50"/>
      <c r="G376" s="50"/>
      <c r="H376" s="50"/>
      <c r="I376" s="50"/>
      <c r="J376" s="50"/>
      <c r="K376" s="51"/>
      <c r="L376" s="50"/>
      <c r="M376" s="50"/>
      <c r="N376" s="50"/>
      <c r="O376" s="50"/>
      <c r="P376" s="50"/>
      <c r="Q376" s="52"/>
      <c r="W376" s="53"/>
      <c r="X376" s="53"/>
      <c r="Y376" s="51"/>
      <c r="Z376" s="51"/>
      <c r="AA376" s="52"/>
    </row>
    <row r="377" spans="4:27">
      <c r="D377" s="50"/>
      <c r="E377" s="50"/>
      <c r="F377" s="50"/>
      <c r="G377" s="50"/>
      <c r="H377" s="50"/>
      <c r="I377" s="50"/>
      <c r="J377" s="50"/>
      <c r="K377" s="51"/>
      <c r="L377" s="50"/>
      <c r="M377" s="50"/>
      <c r="N377" s="50"/>
      <c r="O377" s="50"/>
      <c r="P377" s="50"/>
      <c r="Q377" s="52"/>
      <c r="W377" s="53"/>
      <c r="X377" s="53"/>
      <c r="Y377" s="51"/>
      <c r="Z377" s="51"/>
      <c r="AA377" s="52"/>
    </row>
    <row r="378" spans="4:27">
      <c r="D378" s="50"/>
      <c r="E378" s="50"/>
      <c r="F378" s="50"/>
      <c r="G378" s="50"/>
      <c r="H378" s="50"/>
      <c r="I378" s="50"/>
      <c r="J378" s="50"/>
      <c r="K378" s="51"/>
      <c r="L378" s="50"/>
      <c r="M378" s="50"/>
      <c r="N378" s="50"/>
      <c r="O378" s="50"/>
      <c r="P378" s="50"/>
      <c r="Q378" s="52"/>
      <c r="W378" s="53"/>
      <c r="X378" s="53"/>
      <c r="Y378" s="51"/>
      <c r="Z378" s="51"/>
      <c r="AA378" s="52"/>
    </row>
    <row r="379" spans="4:27">
      <c r="D379" s="50"/>
      <c r="E379" s="50"/>
      <c r="F379" s="50"/>
      <c r="G379" s="50"/>
      <c r="H379" s="50"/>
      <c r="I379" s="50"/>
      <c r="J379" s="50"/>
      <c r="K379" s="51"/>
      <c r="L379" s="50"/>
      <c r="M379" s="50"/>
      <c r="N379" s="50"/>
      <c r="O379" s="50"/>
      <c r="P379" s="50"/>
      <c r="Q379" s="52"/>
      <c r="W379" s="53"/>
      <c r="X379" s="53"/>
      <c r="Y379" s="51"/>
      <c r="Z379" s="51"/>
      <c r="AA379" s="52"/>
    </row>
    <row r="380" spans="4:27">
      <c r="D380" s="50"/>
      <c r="E380" s="50"/>
      <c r="F380" s="50"/>
      <c r="G380" s="50"/>
      <c r="H380" s="50"/>
      <c r="I380" s="50"/>
      <c r="J380" s="50"/>
      <c r="K380" s="51"/>
      <c r="L380" s="50"/>
      <c r="M380" s="50"/>
      <c r="N380" s="50"/>
      <c r="O380" s="50"/>
      <c r="P380" s="50"/>
      <c r="Q380" s="52"/>
      <c r="W380" s="53"/>
      <c r="X380" s="53"/>
      <c r="Y380" s="51"/>
      <c r="Z380" s="51"/>
      <c r="AA380" s="52"/>
    </row>
    <row r="381" spans="4:27">
      <c r="D381" s="50"/>
      <c r="E381" s="50"/>
      <c r="F381" s="50"/>
      <c r="G381" s="50"/>
      <c r="H381" s="50"/>
      <c r="I381" s="50"/>
      <c r="J381" s="50"/>
      <c r="K381" s="51"/>
      <c r="L381" s="50"/>
      <c r="M381" s="50"/>
      <c r="N381" s="50"/>
      <c r="O381" s="50"/>
      <c r="P381" s="50"/>
      <c r="Q381" s="52"/>
      <c r="W381" s="53"/>
      <c r="X381" s="53"/>
      <c r="Y381" s="51"/>
      <c r="Z381" s="51"/>
      <c r="AA381" s="52"/>
    </row>
    <row r="382" spans="4:27">
      <c r="D382" s="50"/>
      <c r="E382" s="50"/>
      <c r="F382" s="50"/>
      <c r="G382" s="50"/>
      <c r="H382" s="50"/>
      <c r="I382" s="50"/>
      <c r="J382" s="50"/>
      <c r="K382" s="51"/>
      <c r="L382" s="50"/>
      <c r="M382" s="50"/>
      <c r="N382" s="50"/>
      <c r="O382" s="50"/>
      <c r="P382" s="50"/>
      <c r="Q382" s="52"/>
      <c r="W382" s="53"/>
      <c r="X382" s="53"/>
      <c r="Y382" s="51"/>
      <c r="Z382" s="51"/>
      <c r="AA382" s="52"/>
    </row>
    <row r="383" spans="4:27">
      <c r="D383" s="50"/>
      <c r="E383" s="50"/>
      <c r="F383" s="50"/>
      <c r="G383" s="50"/>
      <c r="H383" s="50"/>
      <c r="I383" s="50"/>
      <c r="J383" s="50"/>
      <c r="K383" s="51"/>
      <c r="L383" s="50"/>
      <c r="M383" s="50"/>
      <c r="N383" s="50"/>
      <c r="O383" s="50"/>
      <c r="P383" s="50"/>
      <c r="Q383" s="52"/>
      <c r="W383" s="53"/>
      <c r="X383" s="53"/>
      <c r="Y383" s="51"/>
      <c r="Z383" s="51"/>
      <c r="AA383" s="52"/>
    </row>
    <row r="384" spans="4:27">
      <c r="D384" s="50"/>
      <c r="E384" s="50"/>
      <c r="F384" s="50"/>
      <c r="G384" s="50"/>
      <c r="H384" s="50"/>
      <c r="I384" s="50"/>
      <c r="J384" s="50"/>
      <c r="K384" s="51"/>
      <c r="L384" s="50"/>
      <c r="M384" s="50"/>
      <c r="N384" s="50"/>
      <c r="O384" s="50"/>
      <c r="P384" s="50"/>
      <c r="Q384" s="52"/>
      <c r="W384" s="53"/>
      <c r="X384" s="53"/>
      <c r="Y384" s="51"/>
      <c r="Z384" s="51"/>
      <c r="AA384" s="52"/>
    </row>
    <row r="385" spans="4:27">
      <c r="D385" s="50"/>
      <c r="E385" s="50"/>
      <c r="F385" s="50"/>
      <c r="G385" s="50"/>
      <c r="H385" s="50"/>
      <c r="I385" s="50"/>
      <c r="J385" s="50"/>
      <c r="K385" s="51"/>
      <c r="L385" s="50"/>
      <c r="M385" s="50"/>
      <c r="N385" s="50"/>
      <c r="O385" s="50"/>
      <c r="P385" s="50"/>
      <c r="Q385" s="52"/>
      <c r="W385" s="53"/>
      <c r="X385" s="53"/>
      <c r="Y385" s="51"/>
      <c r="Z385" s="51"/>
      <c r="AA385" s="52"/>
    </row>
    <row r="386" spans="4:27">
      <c r="D386" s="50"/>
      <c r="E386" s="50"/>
      <c r="F386" s="50"/>
      <c r="G386" s="50"/>
      <c r="H386" s="50"/>
      <c r="I386" s="50"/>
      <c r="J386" s="50"/>
      <c r="K386" s="51"/>
      <c r="L386" s="50"/>
      <c r="M386" s="50"/>
      <c r="N386" s="50"/>
      <c r="O386" s="50"/>
      <c r="P386" s="50"/>
      <c r="Q386" s="52"/>
      <c r="W386" s="53"/>
      <c r="X386" s="53"/>
      <c r="Y386" s="51"/>
      <c r="Z386" s="51"/>
      <c r="AA386" s="52"/>
    </row>
    <row r="387" spans="4:27">
      <c r="D387" s="50"/>
      <c r="E387" s="50"/>
      <c r="F387" s="50"/>
      <c r="G387" s="50"/>
      <c r="H387" s="50"/>
      <c r="I387" s="50"/>
      <c r="J387" s="50"/>
      <c r="K387" s="51"/>
      <c r="L387" s="50"/>
      <c r="M387" s="50"/>
      <c r="N387" s="50"/>
      <c r="O387" s="50"/>
      <c r="P387" s="50"/>
      <c r="Q387" s="52"/>
      <c r="W387" s="53"/>
      <c r="X387" s="53"/>
      <c r="Y387" s="51"/>
      <c r="Z387" s="51"/>
      <c r="AA387" s="52"/>
    </row>
    <row r="388" spans="4:27">
      <c r="D388" s="50"/>
      <c r="E388" s="50"/>
      <c r="F388" s="50"/>
      <c r="G388" s="50"/>
      <c r="H388" s="50"/>
      <c r="I388" s="50"/>
      <c r="J388" s="50"/>
      <c r="K388" s="51"/>
      <c r="L388" s="50"/>
      <c r="M388" s="50"/>
      <c r="N388" s="50"/>
      <c r="O388" s="50"/>
      <c r="P388" s="50"/>
      <c r="Q388" s="52"/>
      <c r="W388" s="53"/>
      <c r="X388" s="53"/>
      <c r="Y388" s="51"/>
      <c r="Z388" s="51"/>
      <c r="AA388" s="52"/>
    </row>
    <row r="389" spans="4:27">
      <c r="D389" s="50"/>
      <c r="E389" s="50"/>
      <c r="F389" s="50"/>
      <c r="G389" s="50"/>
      <c r="H389" s="50"/>
      <c r="I389" s="50"/>
      <c r="J389" s="50"/>
      <c r="K389" s="51"/>
      <c r="L389" s="50"/>
      <c r="M389" s="50"/>
      <c r="N389" s="50"/>
      <c r="O389" s="50"/>
      <c r="P389" s="50"/>
      <c r="Q389" s="52"/>
      <c r="W389" s="53"/>
      <c r="X389" s="53"/>
      <c r="Y389" s="51"/>
      <c r="Z389" s="51"/>
      <c r="AA389" s="52"/>
    </row>
    <row r="390" spans="4:27">
      <c r="D390" s="50"/>
      <c r="E390" s="50"/>
      <c r="F390" s="50"/>
      <c r="G390" s="50"/>
      <c r="H390" s="50"/>
      <c r="I390" s="50"/>
      <c r="J390" s="50"/>
      <c r="K390" s="51"/>
      <c r="L390" s="50"/>
      <c r="M390" s="50"/>
      <c r="N390" s="50"/>
      <c r="O390" s="50"/>
      <c r="P390" s="50"/>
      <c r="Q390" s="52"/>
      <c r="W390" s="53"/>
      <c r="X390" s="53"/>
      <c r="Y390" s="51"/>
      <c r="Z390" s="51"/>
      <c r="AA390" s="52"/>
    </row>
    <row r="391" spans="4:27">
      <c r="D391" s="50"/>
      <c r="E391" s="50"/>
      <c r="F391" s="50"/>
      <c r="G391" s="50"/>
      <c r="H391" s="50"/>
      <c r="I391" s="50"/>
      <c r="J391" s="50"/>
      <c r="K391" s="51"/>
      <c r="L391" s="50"/>
      <c r="M391" s="50"/>
      <c r="N391" s="50"/>
      <c r="O391" s="50"/>
      <c r="P391" s="50"/>
      <c r="Q391" s="52"/>
      <c r="W391" s="53"/>
      <c r="X391" s="53"/>
      <c r="Y391" s="51"/>
      <c r="Z391" s="51"/>
      <c r="AA391" s="52"/>
    </row>
    <row r="392" spans="4:27">
      <c r="D392" s="50"/>
      <c r="E392" s="50"/>
      <c r="F392" s="50"/>
      <c r="G392" s="50"/>
      <c r="H392" s="50"/>
      <c r="I392" s="50"/>
      <c r="J392" s="50"/>
      <c r="K392" s="51"/>
      <c r="L392" s="50"/>
      <c r="M392" s="50"/>
      <c r="N392" s="50"/>
      <c r="O392" s="50"/>
      <c r="P392" s="50"/>
      <c r="Q392" s="52"/>
      <c r="W392" s="53"/>
      <c r="X392" s="53"/>
      <c r="Y392" s="51"/>
      <c r="Z392" s="51"/>
      <c r="AA392" s="52"/>
    </row>
    <row r="393" spans="4:27">
      <c r="D393" s="50"/>
      <c r="E393" s="50"/>
      <c r="F393" s="50"/>
      <c r="G393" s="50"/>
      <c r="H393" s="50"/>
      <c r="I393" s="50"/>
      <c r="J393" s="50"/>
      <c r="K393" s="51"/>
      <c r="L393" s="50"/>
      <c r="M393" s="50"/>
      <c r="N393" s="50"/>
      <c r="O393" s="50"/>
      <c r="P393" s="50"/>
      <c r="Q393" s="52"/>
      <c r="W393" s="53"/>
      <c r="X393" s="53"/>
      <c r="Y393" s="51"/>
      <c r="Z393" s="51"/>
      <c r="AA393" s="52"/>
    </row>
    <row r="394" spans="4:27">
      <c r="D394" s="50"/>
      <c r="E394" s="50"/>
      <c r="F394" s="50"/>
      <c r="G394" s="50"/>
      <c r="H394" s="50"/>
      <c r="I394" s="50"/>
      <c r="J394" s="50"/>
      <c r="K394" s="51"/>
      <c r="L394" s="50"/>
      <c r="M394" s="50"/>
      <c r="N394" s="50"/>
      <c r="O394" s="50"/>
      <c r="P394" s="50"/>
      <c r="Q394" s="52"/>
      <c r="W394" s="53"/>
      <c r="X394" s="53"/>
      <c r="Y394" s="51"/>
      <c r="Z394" s="51"/>
      <c r="AA394" s="52"/>
    </row>
    <row r="395" spans="4:27">
      <c r="D395" s="50"/>
      <c r="E395" s="50"/>
      <c r="F395" s="50"/>
      <c r="G395" s="50"/>
      <c r="H395" s="50"/>
      <c r="I395" s="50"/>
      <c r="J395" s="50"/>
      <c r="K395" s="51"/>
      <c r="L395" s="50"/>
      <c r="M395" s="50"/>
      <c r="N395" s="50"/>
      <c r="O395" s="50"/>
      <c r="P395" s="50"/>
      <c r="Q395" s="52"/>
      <c r="W395" s="53"/>
      <c r="X395" s="53"/>
      <c r="Y395" s="51"/>
      <c r="Z395" s="51"/>
      <c r="AA395" s="52"/>
    </row>
    <row r="396" spans="4:27">
      <c r="D396" s="50"/>
      <c r="E396" s="50"/>
      <c r="F396" s="50"/>
      <c r="G396" s="50"/>
      <c r="H396" s="50"/>
      <c r="I396" s="50"/>
      <c r="J396" s="50"/>
      <c r="K396" s="51"/>
      <c r="L396" s="50"/>
      <c r="M396" s="50"/>
      <c r="N396" s="50"/>
      <c r="O396" s="50"/>
      <c r="P396" s="50"/>
      <c r="Q396" s="52"/>
      <c r="W396" s="53"/>
      <c r="X396" s="53"/>
      <c r="Y396" s="51"/>
      <c r="Z396" s="51"/>
      <c r="AA396" s="52"/>
    </row>
    <row r="397" spans="4:27">
      <c r="D397" s="50"/>
      <c r="E397" s="50"/>
      <c r="F397" s="50"/>
      <c r="G397" s="50"/>
      <c r="H397" s="50"/>
      <c r="I397" s="50"/>
      <c r="J397" s="50"/>
      <c r="K397" s="51"/>
      <c r="L397" s="50"/>
      <c r="M397" s="50"/>
      <c r="N397" s="50"/>
      <c r="O397" s="50"/>
      <c r="P397" s="50"/>
      <c r="Q397" s="52"/>
      <c r="W397" s="53"/>
      <c r="X397" s="53"/>
      <c r="Y397" s="51"/>
      <c r="Z397" s="51"/>
      <c r="AA397" s="52"/>
    </row>
    <row r="398" spans="4:27">
      <c r="D398" s="50"/>
      <c r="E398" s="50"/>
      <c r="F398" s="50"/>
      <c r="G398" s="50"/>
      <c r="H398" s="50"/>
      <c r="I398" s="50"/>
      <c r="J398" s="50"/>
      <c r="K398" s="51"/>
      <c r="L398" s="50"/>
      <c r="M398" s="50"/>
      <c r="N398" s="50"/>
      <c r="O398" s="50"/>
      <c r="P398" s="50"/>
      <c r="Q398" s="52"/>
      <c r="W398" s="53"/>
      <c r="X398" s="53"/>
      <c r="Y398" s="51"/>
      <c r="Z398" s="51"/>
      <c r="AA398" s="52"/>
    </row>
    <row r="399" spans="4:27">
      <c r="D399" s="50"/>
      <c r="E399" s="50"/>
      <c r="F399" s="50"/>
      <c r="G399" s="50"/>
      <c r="H399" s="50"/>
      <c r="I399" s="50"/>
      <c r="J399" s="50"/>
      <c r="K399" s="51"/>
      <c r="L399" s="50"/>
      <c r="M399" s="50"/>
      <c r="N399" s="50"/>
      <c r="O399" s="50"/>
      <c r="P399" s="50"/>
      <c r="Q399" s="52"/>
      <c r="W399" s="53"/>
      <c r="X399" s="53"/>
      <c r="Y399" s="51"/>
      <c r="Z399" s="51"/>
      <c r="AA399" s="52"/>
    </row>
    <row r="400" spans="4:27">
      <c r="D400" s="50"/>
      <c r="E400" s="50"/>
      <c r="F400" s="50"/>
      <c r="G400" s="50"/>
      <c r="H400" s="50"/>
      <c r="I400" s="50"/>
      <c r="J400" s="50"/>
      <c r="K400" s="51"/>
      <c r="L400" s="50"/>
      <c r="M400" s="50"/>
      <c r="N400" s="50"/>
      <c r="O400" s="50"/>
      <c r="P400" s="50"/>
      <c r="Q400" s="52"/>
      <c r="W400" s="53"/>
      <c r="X400" s="53"/>
      <c r="Y400" s="51"/>
      <c r="Z400" s="51"/>
      <c r="AA400" s="52"/>
    </row>
    <row r="401" spans="4:27">
      <c r="D401" s="50"/>
      <c r="E401" s="50"/>
      <c r="F401" s="50"/>
      <c r="G401" s="50"/>
      <c r="H401" s="50"/>
      <c r="I401" s="50"/>
      <c r="J401" s="50"/>
      <c r="K401" s="51"/>
      <c r="L401" s="50"/>
      <c r="M401" s="50"/>
      <c r="N401" s="50"/>
      <c r="O401" s="50"/>
      <c r="P401" s="50"/>
      <c r="Q401" s="52"/>
      <c r="W401" s="53"/>
      <c r="X401" s="53"/>
      <c r="Y401" s="51"/>
      <c r="Z401" s="51"/>
      <c r="AA401" s="52"/>
    </row>
    <row r="402" spans="4:27">
      <c r="D402" s="50"/>
      <c r="E402" s="50"/>
      <c r="F402" s="50"/>
      <c r="G402" s="50"/>
      <c r="H402" s="50"/>
      <c r="I402" s="50"/>
      <c r="J402" s="50"/>
      <c r="K402" s="51"/>
      <c r="L402" s="50"/>
      <c r="M402" s="50"/>
      <c r="N402" s="50"/>
      <c r="O402" s="50"/>
      <c r="P402" s="50"/>
      <c r="Q402" s="52"/>
      <c r="W402" s="53"/>
      <c r="X402" s="53"/>
      <c r="Y402" s="51"/>
      <c r="Z402" s="51"/>
      <c r="AA402" s="52"/>
    </row>
    <row r="403" spans="4:27">
      <c r="D403" s="50"/>
      <c r="E403" s="50"/>
      <c r="F403" s="50"/>
      <c r="G403" s="50"/>
      <c r="H403" s="50"/>
      <c r="I403" s="50"/>
      <c r="J403" s="50"/>
      <c r="K403" s="51"/>
      <c r="L403" s="50"/>
      <c r="M403" s="50"/>
      <c r="N403" s="50"/>
      <c r="O403" s="50"/>
      <c r="P403" s="50"/>
      <c r="Q403" s="52"/>
      <c r="W403" s="53"/>
      <c r="X403" s="53"/>
      <c r="Y403" s="51"/>
      <c r="Z403" s="51"/>
      <c r="AA403" s="52"/>
    </row>
    <row r="404" spans="4:27">
      <c r="D404" s="50"/>
      <c r="E404" s="50"/>
      <c r="F404" s="50"/>
      <c r="G404" s="50"/>
      <c r="H404" s="50"/>
      <c r="I404" s="50"/>
      <c r="J404" s="50"/>
      <c r="K404" s="51"/>
      <c r="L404" s="50"/>
      <c r="M404" s="50"/>
      <c r="N404" s="50"/>
      <c r="O404" s="50"/>
      <c r="P404" s="50"/>
      <c r="Q404" s="52"/>
      <c r="W404" s="53"/>
      <c r="X404" s="53"/>
      <c r="Y404" s="51"/>
      <c r="Z404" s="51"/>
      <c r="AA404" s="52"/>
    </row>
    <row r="405" spans="4:27">
      <c r="D405" s="50"/>
      <c r="E405" s="50"/>
      <c r="F405" s="50"/>
      <c r="G405" s="50"/>
      <c r="H405" s="50"/>
      <c r="I405" s="50"/>
      <c r="J405" s="50"/>
      <c r="K405" s="51"/>
      <c r="L405" s="50"/>
      <c r="M405" s="50"/>
      <c r="N405" s="50"/>
      <c r="O405" s="50"/>
      <c r="P405" s="50"/>
      <c r="Q405" s="52"/>
      <c r="W405" s="53"/>
      <c r="X405" s="53"/>
      <c r="Y405" s="51"/>
      <c r="Z405" s="51"/>
      <c r="AA405" s="52"/>
    </row>
    <row r="406" spans="4:27">
      <c r="D406" s="50"/>
      <c r="E406" s="50"/>
      <c r="F406" s="50"/>
      <c r="G406" s="50"/>
      <c r="H406" s="50"/>
      <c r="I406" s="50"/>
      <c r="J406" s="50"/>
      <c r="K406" s="51"/>
      <c r="L406" s="50"/>
      <c r="M406" s="50"/>
      <c r="N406" s="50"/>
      <c r="O406" s="50"/>
      <c r="P406" s="50"/>
      <c r="Q406" s="52"/>
      <c r="W406" s="53"/>
      <c r="X406" s="53"/>
      <c r="Y406" s="51"/>
      <c r="Z406" s="51"/>
      <c r="AA406" s="52"/>
    </row>
    <row r="407" spans="4:27">
      <c r="D407" s="50"/>
      <c r="E407" s="50"/>
      <c r="F407" s="50"/>
      <c r="G407" s="50"/>
      <c r="H407" s="50"/>
      <c r="I407" s="50"/>
      <c r="J407" s="50"/>
      <c r="K407" s="51"/>
      <c r="L407" s="50"/>
      <c r="M407" s="50"/>
      <c r="N407" s="50"/>
      <c r="O407" s="50"/>
      <c r="P407" s="50"/>
      <c r="Q407" s="52"/>
      <c r="W407" s="53"/>
      <c r="X407" s="53"/>
      <c r="Y407" s="51"/>
      <c r="Z407" s="51"/>
      <c r="AA407" s="52"/>
    </row>
    <row r="408" spans="4:27">
      <c r="D408" s="50"/>
      <c r="E408" s="50"/>
      <c r="F408" s="50"/>
      <c r="G408" s="50"/>
      <c r="H408" s="50"/>
      <c r="I408" s="50"/>
      <c r="J408" s="50"/>
      <c r="K408" s="51"/>
      <c r="L408" s="50"/>
      <c r="M408" s="50"/>
      <c r="N408" s="50"/>
      <c r="O408" s="50"/>
      <c r="P408" s="50"/>
      <c r="Q408" s="52"/>
      <c r="W408" s="53"/>
      <c r="X408" s="53"/>
      <c r="Y408" s="51"/>
      <c r="Z408" s="51"/>
      <c r="AA408" s="52"/>
    </row>
    <row r="409" spans="4:27">
      <c r="D409" s="50"/>
      <c r="E409" s="50"/>
      <c r="F409" s="50"/>
      <c r="G409" s="50"/>
      <c r="H409" s="50"/>
      <c r="I409" s="50"/>
      <c r="J409" s="50"/>
      <c r="K409" s="51"/>
      <c r="L409" s="50"/>
      <c r="M409" s="50"/>
      <c r="N409" s="50"/>
      <c r="O409" s="50"/>
      <c r="P409" s="50"/>
      <c r="Q409" s="52"/>
      <c r="W409" s="53"/>
      <c r="X409" s="53"/>
      <c r="Y409" s="51"/>
      <c r="Z409" s="51"/>
      <c r="AA409" s="52"/>
    </row>
    <row r="410" spans="4:27">
      <c r="D410" s="50"/>
      <c r="E410" s="50"/>
      <c r="F410" s="50"/>
      <c r="G410" s="50"/>
      <c r="H410" s="50"/>
      <c r="I410" s="50"/>
      <c r="J410" s="50"/>
      <c r="K410" s="51"/>
      <c r="L410" s="50"/>
      <c r="M410" s="50"/>
      <c r="N410" s="50"/>
      <c r="O410" s="50"/>
      <c r="P410" s="50"/>
      <c r="Q410" s="52"/>
      <c r="W410" s="53"/>
      <c r="X410" s="53"/>
      <c r="Y410" s="51"/>
      <c r="Z410" s="51"/>
      <c r="AA410" s="52"/>
    </row>
    <row r="411" spans="4:27">
      <c r="D411" s="50"/>
      <c r="E411" s="50"/>
      <c r="F411" s="50"/>
      <c r="G411" s="50"/>
      <c r="H411" s="50"/>
      <c r="I411" s="50"/>
      <c r="J411" s="50"/>
      <c r="K411" s="51"/>
      <c r="L411" s="50"/>
      <c r="M411" s="50"/>
      <c r="N411" s="50"/>
      <c r="O411" s="50"/>
      <c r="P411" s="50"/>
      <c r="Q411" s="52"/>
      <c r="W411" s="53"/>
      <c r="X411" s="53"/>
      <c r="Y411" s="51"/>
      <c r="Z411" s="51"/>
      <c r="AA411" s="52"/>
    </row>
    <row r="412" spans="4:27">
      <c r="D412" s="50"/>
      <c r="E412" s="50"/>
      <c r="F412" s="50"/>
      <c r="G412" s="50"/>
      <c r="H412" s="50"/>
      <c r="I412" s="50"/>
      <c r="J412" s="50"/>
      <c r="K412" s="51"/>
      <c r="L412" s="50"/>
      <c r="M412" s="50"/>
      <c r="N412" s="50"/>
      <c r="O412" s="50"/>
      <c r="P412" s="50"/>
      <c r="Q412" s="52"/>
      <c r="W412" s="53"/>
      <c r="X412" s="53"/>
      <c r="Y412" s="51"/>
      <c r="Z412" s="51"/>
      <c r="AA412" s="52"/>
    </row>
    <row r="413" spans="4:27">
      <c r="D413" s="50"/>
      <c r="E413" s="50"/>
      <c r="F413" s="50"/>
      <c r="G413" s="50"/>
      <c r="H413" s="50"/>
      <c r="I413" s="50"/>
      <c r="J413" s="50"/>
      <c r="K413" s="51"/>
      <c r="L413" s="50"/>
      <c r="M413" s="50"/>
      <c r="N413" s="50"/>
      <c r="O413" s="50"/>
      <c r="P413" s="50"/>
      <c r="Q413" s="52"/>
      <c r="W413" s="53"/>
      <c r="X413" s="53"/>
      <c r="Y413" s="51"/>
      <c r="Z413" s="51"/>
      <c r="AA413" s="52"/>
    </row>
    <row r="414" spans="4:27">
      <c r="D414" s="50"/>
      <c r="E414" s="50"/>
      <c r="F414" s="50"/>
      <c r="G414" s="50"/>
      <c r="H414" s="50"/>
      <c r="I414" s="50"/>
      <c r="J414" s="50"/>
      <c r="K414" s="51"/>
      <c r="L414" s="50"/>
      <c r="M414" s="50"/>
      <c r="N414" s="50"/>
      <c r="O414" s="50"/>
      <c r="P414" s="50"/>
      <c r="Q414" s="52"/>
      <c r="W414" s="53"/>
      <c r="X414" s="53"/>
      <c r="Y414" s="51"/>
      <c r="Z414" s="51"/>
      <c r="AA414" s="52"/>
    </row>
    <row r="415" spans="4:27">
      <c r="D415" s="50"/>
      <c r="E415" s="50"/>
      <c r="F415" s="50"/>
      <c r="G415" s="50"/>
      <c r="H415" s="50"/>
      <c r="I415" s="50"/>
      <c r="J415" s="50"/>
      <c r="K415" s="51"/>
      <c r="L415" s="50"/>
      <c r="M415" s="50"/>
      <c r="N415" s="50"/>
      <c r="O415" s="50"/>
      <c r="P415" s="50"/>
      <c r="Q415" s="52"/>
      <c r="W415" s="53"/>
      <c r="X415" s="53"/>
      <c r="Y415" s="51"/>
      <c r="Z415" s="51"/>
      <c r="AA415" s="52"/>
    </row>
    <row r="416" spans="4:27">
      <c r="D416" s="50"/>
      <c r="E416" s="50"/>
      <c r="F416" s="50"/>
      <c r="G416" s="50"/>
      <c r="H416" s="50"/>
      <c r="I416" s="50"/>
      <c r="J416" s="50"/>
      <c r="K416" s="51"/>
      <c r="L416" s="50"/>
      <c r="M416" s="50"/>
      <c r="N416" s="50"/>
      <c r="O416" s="50"/>
      <c r="P416" s="50"/>
      <c r="Q416" s="52"/>
      <c r="W416" s="53"/>
      <c r="X416" s="53"/>
      <c r="Y416" s="51"/>
      <c r="Z416" s="51"/>
      <c r="AA416" s="52"/>
    </row>
    <row r="417" spans="4:27">
      <c r="D417" s="50"/>
      <c r="E417" s="50"/>
      <c r="F417" s="50"/>
      <c r="G417" s="50"/>
      <c r="H417" s="50"/>
      <c r="I417" s="50"/>
      <c r="J417" s="50"/>
      <c r="K417" s="51"/>
      <c r="L417" s="50"/>
      <c r="M417" s="50"/>
      <c r="N417" s="50"/>
      <c r="O417" s="50"/>
      <c r="P417" s="50"/>
      <c r="Q417" s="52"/>
      <c r="W417" s="53"/>
      <c r="X417" s="53"/>
      <c r="Y417" s="51"/>
      <c r="Z417" s="51"/>
      <c r="AA417" s="52"/>
    </row>
    <row r="418" spans="4:27">
      <c r="D418" s="50"/>
      <c r="E418" s="50"/>
      <c r="F418" s="50"/>
      <c r="G418" s="50"/>
      <c r="H418" s="50"/>
      <c r="I418" s="50"/>
      <c r="J418" s="50"/>
      <c r="K418" s="51"/>
      <c r="L418" s="50"/>
      <c r="M418" s="50"/>
      <c r="N418" s="50"/>
      <c r="O418" s="50"/>
      <c r="P418" s="50"/>
      <c r="Q418" s="52"/>
      <c r="W418" s="53"/>
      <c r="X418" s="53"/>
      <c r="Y418" s="51"/>
      <c r="Z418" s="51"/>
      <c r="AA418" s="52"/>
    </row>
    <row r="419" spans="4:27">
      <c r="D419" s="50"/>
      <c r="E419" s="50"/>
      <c r="F419" s="50"/>
      <c r="G419" s="50"/>
      <c r="H419" s="50"/>
      <c r="I419" s="50"/>
      <c r="J419" s="50"/>
      <c r="K419" s="51"/>
      <c r="L419" s="50"/>
      <c r="M419" s="50"/>
      <c r="N419" s="50"/>
      <c r="O419" s="50"/>
      <c r="P419" s="50"/>
      <c r="Q419" s="52"/>
      <c r="W419" s="53"/>
      <c r="X419" s="53"/>
      <c r="Y419" s="51"/>
      <c r="Z419" s="51"/>
      <c r="AA419" s="52"/>
    </row>
    <row r="420" spans="4:27">
      <c r="D420" s="50"/>
      <c r="E420" s="50"/>
      <c r="F420" s="50"/>
      <c r="G420" s="50"/>
      <c r="H420" s="50"/>
      <c r="I420" s="50"/>
      <c r="J420" s="50"/>
      <c r="K420" s="51"/>
      <c r="L420" s="50"/>
      <c r="M420" s="50"/>
      <c r="N420" s="50"/>
      <c r="O420" s="50"/>
      <c r="P420" s="50"/>
      <c r="Q420" s="52"/>
      <c r="W420" s="53"/>
      <c r="X420" s="53"/>
      <c r="Y420" s="51"/>
      <c r="Z420" s="51"/>
      <c r="AA420" s="52"/>
    </row>
    <row r="421" spans="4:27">
      <c r="D421" s="50"/>
      <c r="E421" s="50"/>
      <c r="F421" s="50"/>
      <c r="G421" s="50"/>
      <c r="H421" s="50"/>
      <c r="I421" s="50"/>
      <c r="J421" s="50"/>
      <c r="K421" s="51"/>
      <c r="L421" s="50"/>
      <c r="M421" s="50"/>
      <c r="N421" s="50"/>
      <c r="O421" s="50"/>
      <c r="P421" s="50"/>
      <c r="Q421" s="52"/>
      <c r="W421" s="53"/>
      <c r="X421" s="53"/>
      <c r="Y421" s="51"/>
      <c r="Z421" s="51"/>
      <c r="AA421" s="52"/>
    </row>
    <row r="422" spans="4:27">
      <c r="D422" s="50"/>
      <c r="E422" s="50"/>
      <c r="F422" s="50"/>
      <c r="G422" s="50"/>
      <c r="H422" s="50"/>
      <c r="I422" s="50"/>
      <c r="J422" s="50"/>
      <c r="K422" s="51"/>
      <c r="L422" s="50"/>
      <c r="M422" s="50"/>
      <c r="N422" s="50"/>
      <c r="O422" s="50"/>
      <c r="P422" s="50"/>
      <c r="Q422" s="52"/>
      <c r="W422" s="53"/>
      <c r="X422" s="53"/>
      <c r="Y422" s="51"/>
      <c r="Z422" s="51"/>
      <c r="AA422" s="52"/>
    </row>
    <row r="423" spans="4:27">
      <c r="D423" s="50"/>
      <c r="E423" s="50"/>
      <c r="F423" s="50"/>
      <c r="G423" s="50"/>
      <c r="H423" s="50"/>
      <c r="I423" s="50"/>
      <c r="J423" s="50"/>
      <c r="K423" s="51"/>
      <c r="L423" s="50"/>
      <c r="M423" s="50"/>
      <c r="N423" s="50"/>
      <c r="O423" s="50"/>
      <c r="P423" s="50"/>
      <c r="Q423" s="52"/>
      <c r="W423" s="53"/>
      <c r="X423" s="53"/>
      <c r="Y423" s="51"/>
      <c r="Z423" s="51"/>
      <c r="AA423" s="52"/>
    </row>
    <row r="424" spans="4:27">
      <c r="D424" s="50"/>
      <c r="E424" s="50"/>
      <c r="F424" s="50"/>
      <c r="G424" s="50"/>
      <c r="H424" s="50"/>
      <c r="I424" s="50"/>
      <c r="J424" s="50"/>
      <c r="K424" s="51"/>
      <c r="L424" s="50"/>
      <c r="M424" s="50"/>
      <c r="N424" s="50"/>
      <c r="O424" s="50"/>
      <c r="P424" s="50"/>
      <c r="Q424" s="52"/>
      <c r="W424" s="53"/>
      <c r="X424" s="53"/>
      <c r="Y424" s="51"/>
      <c r="Z424" s="51"/>
      <c r="AA424" s="52"/>
    </row>
    <row r="425" spans="4:27">
      <c r="D425" s="50"/>
      <c r="E425" s="50"/>
      <c r="F425" s="50"/>
      <c r="G425" s="50"/>
      <c r="H425" s="50"/>
      <c r="I425" s="50"/>
      <c r="J425" s="50"/>
      <c r="K425" s="51"/>
      <c r="L425" s="50"/>
      <c r="M425" s="50"/>
      <c r="N425" s="50"/>
      <c r="O425" s="50"/>
      <c r="P425" s="50"/>
      <c r="Q425" s="52"/>
      <c r="W425" s="53"/>
      <c r="X425" s="53"/>
      <c r="Y425" s="51"/>
      <c r="Z425" s="51"/>
      <c r="AA425" s="52"/>
    </row>
    <row r="426" spans="4:27">
      <c r="D426" s="50"/>
      <c r="E426" s="50"/>
      <c r="F426" s="50"/>
      <c r="G426" s="50"/>
      <c r="H426" s="50"/>
      <c r="I426" s="50"/>
      <c r="J426" s="50"/>
      <c r="K426" s="51"/>
      <c r="L426" s="50"/>
      <c r="M426" s="50"/>
      <c r="N426" s="50"/>
      <c r="O426" s="50"/>
      <c r="P426" s="50"/>
      <c r="Q426" s="52"/>
      <c r="W426" s="53"/>
      <c r="X426" s="53"/>
      <c r="Y426" s="51"/>
      <c r="Z426" s="51"/>
      <c r="AA426" s="52"/>
    </row>
    <row r="427" spans="4:27">
      <c r="D427" s="50"/>
      <c r="E427" s="50"/>
      <c r="F427" s="50"/>
      <c r="G427" s="50"/>
      <c r="H427" s="50"/>
      <c r="I427" s="50"/>
      <c r="J427" s="50"/>
      <c r="K427" s="51"/>
      <c r="L427" s="50"/>
      <c r="M427" s="50"/>
      <c r="N427" s="50"/>
      <c r="O427" s="50"/>
      <c r="P427" s="50"/>
      <c r="Q427" s="52"/>
      <c r="W427" s="53"/>
      <c r="X427" s="53"/>
      <c r="Y427" s="51"/>
      <c r="Z427" s="51"/>
      <c r="AA427" s="52"/>
    </row>
    <row r="428" spans="4:27">
      <c r="D428" s="50"/>
      <c r="E428" s="50"/>
      <c r="F428" s="50"/>
      <c r="G428" s="50"/>
      <c r="H428" s="50"/>
      <c r="I428" s="50"/>
      <c r="J428" s="50"/>
      <c r="K428" s="51"/>
      <c r="L428" s="50"/>
      <c r="M428" s="50"/>
      <c r="N428" s="50"/>
      <c r="O428" s="50"/>
      <c r="P428" s="50"/>
      <c r="Q428" s="52"/>
      <c r="W428" s="53"/>
      <c r="X428" s="53"/>
      <c r="Y428" s="51"/>
      <c r="Z428" s="51"/>
      <c r="AA428" s="52"/>
    </row>
    <row r="429" spans="4:27">
      <c r="D429" s="50"/>
      <c r="E429" s="50"/>
      <c r="F429" s="50"/>
      <c r="G429" s="50"/>
      <c r="H429" s="50"/>
      <c r="I429" s="50"/>
      <c r="J429" s="50"/>
      <c r="K429" s="51"/>
      <c r="L429" s="50"/>
      <c r="M429" s="50"/>
      <c r="N429" s="50"/>
      <c r="O429" s="50"/>
      <c r="P429" s="50"/>
      <c r="Q429" s="52"/>
      <c r="W429" s="53"/>
      <c r="X429" s="53"/>
      <c r="Y429" s="51"/>
      <c r="Z429" s="51"/>
      <c r="AA429" s="52"/>
    </row>
    <row r="430" spans="4:27">
      <c r="D430" s="50"/>
      <c r="E430" s="50"/>
      <c r="F430" s="50"/>
      <c r="G430" s="50"/>
      <c r="H430" s="50"/>
      <c r="I430" s="50"/>
      <c r="J430" s="50"/>
      <c r="K430" s="51"/>
      <c r="L430" s="50"/>
      <c r="M430" s="50"/>
      <c r="N430" s="50"/>
      <c r="O430" s="50"/>
      <c r="P430" s="50"/>
      <c r="Q430" s="52"/>
      <c r="W430" s="53"/>
      <c r="X430" s="53"/>
      <c r="Y430" s="51"/>
      <c r="Z430" s="51"/>
      <c r="AA430" s="52"/>
    </row>
    <row r="431" spans="4:27">
      <c r="D431" s="50"/>
      <c r="E431" s="50"/>
      <c r="F431" s="50"/>
      <c r="G431" s="50"/>
      <c r="H431" s="50"/>
      <c r="I431" s="50"/>
      <c r="J431" s="50"/>
      <c r="K431" s="51"/>
      <c r="L431" s="50"/>
      <c r="M431" s="50"/>
      <c r="N431" s="50"/>
      <c r="O431" s="50"/>
      <c r="P431" s="50"/>
      <c r="Q431" s="52"/>
      <c r="W431" s="53"/>
      <c r="X431" s="53"/>
      <c r="Y431" s="51"/>
      <c r="Z431" s="51"/>
      <c r="AA431" s="52"/>
    </row>
    <row r="432" spans="4:27">
      <c r="D432" s="50"/>
      <c r="E432" s="50"/>
      <c r="F432" s="50"/>
      <c r="G432" s="50"/>
      <c r="H432" s="50"/>
      <c r="I432" s="50"/>
      <c r="J432" s="50"/>
      <c r="K432" s="51"/>
      <c r="L432" s="50"/>
      <c r="M432" s="50"/>
      <c r="N432" s="50"/>
      <c r="O432" s="50"/>
      <c r="P432" s="50"/>
      <c r="Q432" s="52"/>
      <c r="W432" s="53"/>
      <c r="X432" s="53"/>
      <c r="Y432" s="51"/>
      <c r="Z432" s="51"/>
      <c r="AA432" s="52"/>
    </row>
    <row r="433" spans="4:27">
      <c r="D433" s="50"/>
      <c r="E433" s="50"/>
      <c r="F433" s="50"/>
      <c r="G433" s="50"/>
      <c r="H433" s="50"/>
      <c r="I433" s="50"/>
      <c r="J433" s="50"/>
      <c r="K433" s="51"/>
      <c r="L433" s="50"/>
      <c r="M433" s="50"/>
      <c r="N433" s="50"/>
      <c r="O433" s="50"/>
      <c r="P433" s="50"/>
      <c r="Q433" s="52"/>
      <c r="W433" s="53"/>
      <c r="X433" s="53"/>
      <c r="Y433" s="51"/>
      <c r="Z433" s="51"/>
      <c r="AA433" s="52"/>
    </row>
    <row r="434" spans="4:27">
      <c r="D434" s="50"/>
      <c r="E434" s="50"/>
      <c r="F434" s="50"/>
      <c r="G434" s="50"/>
      <c r="H434" s="50"/>
      <c r="I434" s="50"/>
      <c r="J434" s="50"/>
      <c r="K434" s="51"/>
      <c r="L434" s="50"/>
      <c r="M434" s="50"/>
      <c r="N434" s="50"/>
      <c r="O434" s="50"/>
      <c r="P434" s="50"/>
      <c r="Q434" s="52"/>
      <c r="W434" s="53"/>
      <c r="X434" s="53"/>
      <c r="Y434" s="51"/>
      <c r="Z434" s="51"/>
      <c r="AA434" s="52"/>
    </row>
    <row r="435" spans="4:27">
      <c r="D435" s="50"/>
      <c r="E435" s="50"/>
      <c r="F435" s="50"/>
      <c r="G435" s="50"/>
      <c r="H435" s="50"/>
      <c r="I435" s="50"/>
      <c r="J435" s="50"/>
      <c r="K435" s="51"/>
      <c r="L435" s="50"/>
      <c r="M435" s="50"/>
      <c r="N435" s="50"/>
      <c r="O435" s="50"/>
      <c r="P435" s="50"/>
      <c r="Q435" s="52"/>
      <c r="W435" s="53"/>
      <c r="X435" s="53"/>
      <c r="Y435" s="51"/>
      <c r="Z435" s="51"/>
      <c r="AA435" s="52"/>
    </row>
    <row r="436" spans="4:27">
      <c r="D436" s="50"/>
      <c r="E436" s="50"/>
      <c r="F436" s="50"/>
      <c r="G436" s="50"/>
      <c r="H436" s="50"/>
      <c r="I436" s="50"/>
      <c r="J436" s="50"/>
      <c r="K436" s="51"/>
      <c r="L436" s="50"/>
      <c r="M436" s="50"/>
      <c r="N436" s="50"/>
      <c r="O436" s="50"/>
      <c r="P436" s="50"/>
      <c r="Q436" s="52"/>
      <c r="W436" s="53"/>
      <c r="X436" s="53"/>
      <c r="Y436" s="51"/>
      <c r="Z436" s="51"/>
      <c r="AA436" s="52"/>
    </row>
    <row r="437" spans="4:27">
      <c r="D437" s="50"/>
      <c r="E437" s="50"/>
      <c r="F437" s="50"/>
      <c r="G437" s="50"/>
      <c r="H437" s="50"/>
      <c r="I437" s="50"/>
      <c r="J437" s="50"/>
      <c r="K437" s="51"/>
      <c r="L437" s="50"/>
      <c r="M437" s="50"/>
      <c r="N437" s="50"/>
      <c r="O437" s="50"/>
      <c r="P437" s="50"/>
      <c r="Q437" s="52"/>
      <c r="W437" s="53"/>
      <c r="X437" s="53"/>
      <c r="Y437" s="51"/>
      <c r="Z437" s="51"/>
      <c r="AA437" s="52"/>
    </row>
    <row r="438" spans="4:27">
      <c r="D438" s="50"/>
      <c r="E438" s="50"/>
      <c r="F438" s="50"/>
      <c r="G438" s="50"/>
      <c r="H438" s="50"/>
      <c r="I438" s="50"/>
      <c r="J438" s="50"/>
      <c r="K438" s="51"/>
      <c r="L438" s="50"/>
      <c r="M438" s="50"/>
      <c r="N438" s="50"/>
      <c r="O438" s="50"/>
      <c r="P438" s="50"/>
      <c r="Q438" s="52"/>
      <c r="W438" s="53"/>
      <c r="X438" s="53"/>
      <c r="Y438" s="51"/>
      <c r="Z438" s="51"/>
      <c r="AA438" s="52"/>
    </row>
    <row r="439" spans="4:27">
      <c r="D439" s="50"/>
      <c r="E439" s="50"/>
      <c r="F439" s="50"/>
      <c r="G439" s="50"/>
      <c r="H439" s="50"/>
      <c r="I439" s="50"/>
      <c r="J439" s="50"/>
      <c r="K439" s="51"/>
      <c r="L439" s="50"/>
      <c r="M439" s="50"/>
      <c r="N439" s="50"/>
      <c r="O439" s="50"/>
      <c r="P439" s="50"/>
      <c r="Q439" s="52"/>
      <c r="W439" s="53"/>
      <c r="X439" s="53"/>
      <c r="Y439" s="51"/>
      <c r="Z439" s="51"/>
      <c r="AA439" s="52"/>
    </row>
    <row r="440" spans="4:27">
      <c r="D440" s="50"/>
      <c r="E440" s="50"/>
      <c r="F440" s="50"/>
      <c r="G440" s="50"/>
      <c r="H440" s="50"/>
      <c r="I440" s="50"/>
      <c r="J440" s="50"/>
      <c r="K440" s="51"/>
      <c r="L440" s="50"/>
      <c r="M440" s="50"/>
      <c r="N440" s="50"/>
      <c r="O440" s="50"/>
      <c r="P440" s="50"/>
      <c r="Q440" s="52"/>
      <c r="W440" s="53"/>
      <c r="X440" s="53"/>
      <c r="Y440" s="51"/>
      <c r="Z440" s="51"/>
      <c r="AA440" s="52"/>
    </row>
    <row r="441" spans="4:27">
      <c r="D441" s="50"/>
      <c r="E441" s="50"/>
      <c r="F441" s="50"/>
      <c r="G441" s="50"/>
      <c r="H441" s="50"/>
      <c r="I441" s="50"/>
      <c r="J441" s="50"/>
      <c r="K441" s="51"/>
      <c r="L441" s="50"/>
      <c r="M441" s="50"/>
      <c r="N441" s="50"/>
      <c r="O441" s="50"/>
      <c r="P441" s="50"/>
      <c r="Q441" s="52"/>
      <c r="W441" s="53"/>
      <c r="X441" s="53"/>
      <c r="Y441" s="51"/>
      <c r="Z441" s="51"/>
      <c r="AA441" s="52"/>
    </row>
    <row r="442" spans="4:27">
      <c r="D442" s="50"/>
      <c r="E442" s="50"/>
      <c r="F442" s="50"/>
      <c r="G442" s="50"/>
      <c r="H442" s="50"/>
      <c r="I442" s="50"/>
      <c r="J442" s="50"/>
      <c r="K442" s="51"/>
      <c r="L442" s="50"/>
      <c r="M442" s="50"/>
      <c r="N442" s="50"/>
      <c r="O442" s="50"/>
      <c r="P442" s="50"/>
      <c r="Q442" s="52"/>
      <c r="W442" s="53"/>
      <c r="X442" s="53"/>
      <c r="Y442" s="51"/>
      <c r="Z442" s="51"/>
      <c r="AA442" s="52"/>
    </row>
    <row r="443" spans="4:27">
      <c r="D443" s="50"/>
      <c r="E443" s="50"/>
      <c r="F443" s="50"/>
      <c r="G443" s="50"/>
      <c r="H443" s="50"/>
      <c r="I443" s="50"/>
      <c r="J443" s="50"/>
      <c r="K443" s="51"/>
      <c r="L443" s="50"/>
      <c r="M443" s="50"/>
      <c r="N443" s="50"/>
      <c r="O443" s="50"/>
      <c r="P443" s="50"/>
      <c r="Q443" s="52"/>
      <c r="W443" s="53"/>
      <c r="X443" s="53"/>
      <c r="Y443" s="51"/>
      <c r="Z443" s="51"/>
      <c r="AA443" s="52"/>
    </row>
    <row r="444" spans="4:27">
      <c r="D444" s="50"/>
      <c r="E444" s="50"/>
      <c r="F444" s="50"/>
      <c r="G444" s="50"/>
      <c r="H444" s="50"/>
      <c r="I444" s="50"/>
      <c r="J444" s="50"/>
      <c r="K444" s="51"/>
      <c r="L444" s="50"/>
      <c r="M444" s="50"/>
      <c r="N444" s="50"/>
      <c r="O444" s="50"/>
      <c r="P444" s="50"/>
      <c r="Q444" s="52"/>
      <c r="W444" s="53"/>
      <c r="X444" s="53"/>
      <c r="Y444" s="51"/>
      <c r="Z444" s="51"/>
      <c r="AA444" s="52"/>
    </row>
    <row r="445" spans="4:27">
      <c r="D445" s="50"/>
      <c r="E445" s="50"/>
      <c r="F445" s="50"/>
      <c r="G445" s="50"/>
      <c r="H445" s="50"/>
      <c r="I445" s="50"/>
      <c r="J445" s="50"/>
      <c r="K445" s="51"/>
      <c r="L445" s="50"/>
      <c r="M445" s="50"/>
      <c r="N445" s="50"/>
      <c r="O445" s="50"/>
      <c r="P445" s="50"/>
      <c r="Q445" s="52"/>
      <c r="W445" s="53"/>
      <c r="X445" s="53"/>
      <c r="Y445" s="51"/>
      <c r="Z445" s="51"/>
      <c r="AA445" s="52"/>
    </row>
    <row r="446" spans="4:27">
      <c r="D446" s="50"/>
      <c r="E446" s="50"/>
      <c r="F446" s="50"/>
      <c r="G446" s="50"/>
      <c r="H446" s="50"/>
      <c r="I446" s="50"/>
      <c r="J446" s="50"/>
      <c r="K446" s="51"/>
      <c r="L446" s="50"/>
      <c r="M446" s="50"/>
      <c r="N446" s="50"/>
      <c r="O446" s="50"/>
      <c r="P446" s="50"/>
      <c r="Q446" s="52"/>
      <c r="W446" s="53"/>
      <c r="X446" s="53"/>
      <c r="Y446" s="51"/>
      <c r="Z446" s="51"/>
      <c r="AA446" s="52"/>
    </row>
    <row r="447" spans="4:27">
      <c r="D447" s="50"/>
      <c r="E447" s="50"/>
      <c r="F447" s="50"/>
      <c r="G447" s="50"/>
      <c r="H447" s="50"/>
      <c r="I447" s="50"/>
      <c r="J447" s="50"/>
      <c r="K447" s="51"/>
      <c r="L447" s="50"/>
      <c r="M447" s="50"/>
      <c r="N447" s="50"/>
      <c r="O447" s="50"/>
      <c r="P447" s="50"/>
      <c r="Q447" s="52"/>
      <c r="W447" s="53"/>
      <c r="X447" s="53"/>
      <c r="Y447" s="51"/>
      <c r="Z447" s="51"/>
      <c r="AA447" s="52"/>
    </row>
    <row r="448" spans="4:27">
      <c r="D448" s="50"/>
      <c r="E448" s="50"/>
      <c r="F448" s="50"/>
      <c r="G448" s="50"/>
      <c r="H448" s="50"/>
      <c r="I448" s="50"/>
      <c r="J448" s="50"/>
      <c r="K448" s="51"/>
      <c r="L448" s="50"/>
      <c r="M448" s="50"/>
      <c r="N448" s="50"/>
      <c r="O448" s="50"/>
      <c r="P448" s="50"/>
      <c r="Q448" s="52"/>
      <c r="W448" s="53"/>
      <c r="X448" s="53"/>
      <c r="Y448" s="51"/>
      <c r="Z448" s="51"/>
      <c r="AA448" s="52"/>
    </row>
    <row r="449" spans="4:27">
      <c r="D449" s="50"/>
      <c r="E449" s="50"/>
      <c r="F449" s="50"/>
      <c r="G449" s="50"/>
      <c r="H449" s="50"/>
      <c r="I449" s="50"/>
      <c r="J449" s="50"/>
      <c r="K449" s="51"/>
      <c r="L449" s="50"/>
      <c r="M449" s="50"/>
      <c r="N449" s="50"/>
      <c r="O449" s="50"/>
      <c r="P449" s="50"/>
      <c r="Q449" s="52"/>
      <c r="W449" s="53"/>
      <c r="X449" s="53"/>
      <c r="Y449" s="51"/>
      <c r="Z449" s="51"/>
      <c r="AA449" s="52"/>
    </row>
    <row r="450" spans="4:27">
      <c r="D450" s="50"/>
      <c r="E450" s="50"/>
      <c r="F450" s="50"/>
      <c r="G450" s="50"/>
      <c r="H450" s="50"/>
      <c r="I450" s="50"/>
      <c r="J450" s="50"/>
      <c r="K450" s="51"/>
      <c r="L450" s="50"/>
      <c r="M450" s="50"/>
      <c r="N450" s="50"/>
      <c r="O450" s="50"/>
      <c r="P450" s="50"/>
      <c r="Q450" s="52"/>
      <c r="W450" s="53"/>
      <c r="X450" s="53"/>
      <c r="Y450" s="51"/>
      <c r="Z450" s="51"/>
      <c r="AA450" s="52"/>
    </row>
    <row r="451" spans="4:27">
      <c r="D451" s="50"/>
      <c r="E451" s="50"/>
      <c r="F451" s="50"/>
      <c r="G451" s="50"/>
      <c r="H451" s="50"/>
      <c r="I451" s="50"/>
      <c r="J451" s="50"/>
      <c r="K451" s="51"/>
      <c r="L451" s="50"/>
      <c r="M451" s="50"/>
      <c r="N451" s="50"/>
      <c r="O451" s="50"/>
      <c r="P451" s="50"/>
      <c r="Q451" s="52"/>
      <c r="W451" s="53"/>
      <c r="X451" s="53"/>
      <c r="Y451" s="51"/>
      <c r="Z451" s="51"/>
      <c r="AA451" s="52"/>
    </row>
    <row r="452" spans="4:27">
      <c r="D452" s="50"/>
      <c r="E452" s="50"/>
      <c r="F452" s="50"/>
      <c r="G452" s="50"/>
      <c r="H452" s="50"/>
      <c r="I452" s="50"/>
      <c r="J452" s="50"/>
      <c r="K452" s="51"/>
      <c r="L452" s="50"/>
      <c r="M452" s="50"/>
      <c r="N452" s="50"/>
      <c r="O452" s="50"/>
      <c r="P452" s="50"/>
      <c r="Q452" s="52"/>
      <c r="W452" s="53"/>
      <c r="X452" s="53"/>
      <c r="Y452" s="51"/>
      <c r="Z452" s="51"/>
      <c r="AA452" s="52"/>
    </row>
    <row r="453" spans="4:27">
      <c r="D453" s="50"/>
      <c r="E453" s="50"/>
      <c r="F453" s="50"/>
      <c r="G453" s="50"/>
      <c r="H453" s="50"/>
      <c r="I453" s="50"/>
      <c r="J453" s="50"/>
      <c r="K453" s="51"/>
      <c r="L453" s="50"/>
      <c r="M453" s="50"/>
      <c r="N453" s="50"/>
      <c r="O453" s="50"/>
      <c r="P453" s="50"/>
      <c r="Q453" s="52"/>
      <c r="W453" s="53"/>
      <c r="X453" s="53"/>
      <c r="Y453" s="51"/>
      <c r="Z453" s="51"/>
      <c r="AA453" s="52"/>
    </row>
    <row r="454" spans="4:27">
      <c r="D454" s="50"/>
      <c r="E454" s="50"/>
      <c r="F454" s="50"/>
      <c r="G454" s="50"/>
      <c r="H454" s="50"/>
      <c r="I454" s="50"/>
      <c r="J454" s="50"/>
      <c r="K454" s="51"/>
      <c r="L454" s="50"/>
      <c r="M454" s="50"/>
      <c r="N454" s="50"/>
      <c r="O454" s="50"/>
      <c r="P454" s="50"/>
      <c r="Q454" s="52"/>
      <c r="W454" s="53"/>
      <c r="X454" s="53"/>
      <c r="Y454" s="51"/>
      <c r="Z454" s="51"/>
      <c r="AA454" s="52"/>
    </row>
    <row r="455" spans="4:27">
      <c r="D455" s="50"/>
      <c r="E455" s="50"/>
      <c r="F455" s="50"/>
      <c r="G455" s="50"/>
      <c r="H455" s="50"/>
      <c r="I455" s="50"/>
      <c r="J455" s="50"/>
      <c r="K455" s="51"/>
      <c r="L455" s="50"/>
      <c r="M455" s="50"/>
      <c r="N455" s="50"/>
      <c r="O455" s="50"/>
      <c r="P455" s="50"/>
      <c r="Q455" s="52"/>
      <c r="W455" s="53"/>
      <c r="X455" s="53"/>
      <c r="Y455" s="51"/>
      <c r="Z455" s="51"/>
      <c r="AA455" s="52"/>
    </row>
    <row r="456" spans="4:27">
      <c r="D456" s="50"/>
      <c r="E456" s="50"/>
      <c r="F456" s="50"/>
      <c r="G456" s="50"/>
      <c r="H456" s="50"/>
      <c r="I456" s="50"/>
      <c r="J456" s="50"/>
      <c r="K456" s="51"/>
      <c r="L456" s="50"/>
      <c r="M456" s="50"/>
      <c r="N456" s="50"/>
      <c r="O456" s="50"/>
      <c r="P456" s="50"/>
      <c r="Q456" s="52"/>
      <c r="W456" s="53"/>
      <c r="X456" s="53"/>
      <c r="Y456" s="51"/>
      <c r="Z456" s="51"/>
      <c r="AA456" s="52"/>
    </row>
    <row r="457" spans="4:27">
      <c r="D457" s="50"/>
      <c r="E457" s="50"/>
      <c r="F457" s="50"/>
      <c r="G457" s="50"/>
      <c r="H457" s="50"/>
      <c r="I457" s="50"/>
      <c r="J457" s="50"/>
      <c r="K457" s="51"/>
      <c r="L457" s="50"/>
      <c r="M457" s="50"/>
      <c r="N457" s="50"/>
      <c r="O457" s="50"/>
      <c r="P457" s="50"/>
      <c r="Q457" s="52"/>
      <c r="W457" s="53"/>
      <c r="X457" s="53"/>
      <c r="Y457" s="51"/>
      <c r="Z457" s="51"/>
      <c r="AA457" s="52"/>
    </row>
    <row r="458" spans="4:27">
      <c r="D458" s="50"/>
      <c r="E458" s="50"/>
      <c r="F458" s="50"/>
      <c r="G458" s="50"/>
      <c r="H458" s="50"/>
      <c r="I458" s="50"/>
      <c r="J458" s="50"/>
      <c r="K458" s="51"/>
      <c r="L458" s="50"/>
      <c r="M458" s="50"/>
      <c r="N458" s="50"/>
      <c r="O458" s="50"/>
      <c r="P458" s="50"/>
      <c r="Q458" s="52"/>
      <c r="W458" s="53"/>
      <c r="X458" s="53"/>
      <c r="Y458" s="51"/>
      <c r="Z458" s="51"/>
      <c r="AA458" s="52"/>
    </row>
    <row r="459" spans="4:27">
      <c r="D459" s="50"/>
      <c r="E459" s="50"/>
      <c r="F459" s="50"/>
      <c r="G459" s="50"/>
      <c r="H459" s="50"/>
      <c r="I459" s="50"/>
      <c r="J459" s="50"/>
      <c r="K459" s="51"/>
      <c r="L459" s="50"/>
      <c r="M459" s="50"/>
      <c r="N459" s="50"/>
      <c r="O459" s="50"/>
      <c r="P459" s="50"/>
      <c r="Q459" s="52"/>
      <c r="W459" s="53"/>
      <c r="X459" s="53"/>
      <c r="Y459" s="51"/>
      <c r="Z459" s="51"/>
      <c r="AA459" s="52"/>
    </row>
    <row r="460" spans="4:27">
      <c r="D460" s="50"/>
      <c r="E460" s="50"/>
      <c r="F460" s="50"/>
      <c r="G460" s="50"/>
      <c r="H460" s="50"/>
      <c r="I460" s="50"/>
      <c r="J460" s="50"/>
      <c r="K460" s="51"/>
      <c r="L460" s="50"/>
      <c r="M460" s="50"/>
      <c r="N460" s="50"/>
      <c r="O460" s="50"/>
      <c r="P460" s="50"/>
      <c r="Q460" s="52"/>
      <c r="W460" s="53"/>
      <c r="X460" s="53"/>
      <c r="Y460" s="51"/>
      <c r="Z460" s="51"/>
      <c r="AA460" s="52"/>
    </row>
    <row r="461" spans="4:27">
      <c r="D461" s="50"/>
      <c r="E461" s="50"/>
      <c r="F461" s="50"/>
      <c r="G461" s="50"/>
      <c r="H461" s="50"/>
      <c r="I461" s="50"/>
      <c r="J461" s="50"/>
      <c r="K461" s="51"/>
      <c r="L461" s="50"/>
      <c r="M461" s="50"/>
      <c r="N461" s="50"/>
      <c r="O461" s="50"/>
      <c r="P461" s="50"/>
      <c r="Q461" s="52"/>
      <c r="W461" s="53"/>
      <c r="X461" s="53"/>
      <c r="Y461" s="51"/>
      <c r="Z461" s="51"/>
      <c r="AA461" s="52"/>
    </row>
    <row r="462" spans="4:27">
      <c r="D462" s="50"/>
      <c r="E462" s="50"/>
      <c r="F462" s="50"/>
      <c r="G462" s="50"/>
      <c r="H462" s="50"/>
      <c r="I462" s="50"/>
      <c r="J462" s="50"/>
      <c r="K462" s="51"/>
      <c r="L462" s="50"/>
      <c r="M462" s="50"/>
      <c r="N462" s="50"/>
      <c r="O462" s="50"/>
      <c r="P462" s="50"/>
      <c r="Q462" s="52"/>
      <c r="W462" s="53"/>
      <c r="X462" s="53"/>
      <c r="Y462" s="51"/>
      <c r="Z462" s="51"/>
      <c r="AA462" s="52"/>
    </row>
    <row r="463" spans="4:27">
      <c r="D463" s="50"/>
      <c r="E463" s="50"/>
      <c r="F463" s="50"/>
      <c r="G463" s="50"/>
      <c r="H463" s="50"/>
      <c r="I463" s="50"/>
      <c r="J463" s="50"/>
      <c r="K463" s="51"/>
      <c r="L463" s="50"/>
      <c r="M463" s="50"/>
      <c r="N463" s="50"/>
      <c r="O463" s="50"/>
      <c r="P463" s="50"/>
      <c r="Q463" s="52"/>
      <c r="W463" s="53"/>
      <c r="X463" s="53"/>
      <c r="Y463" s="51"/>
      <c r="Z463" s="51"/>
      <c r="AA463" s="52"/>
    </row>
    <row r="464" spans="4:27">
      <c r="D464" s="50"/>
      <c r="E464" s="50"/>
      <c r="F464" s="50"/>
      <c r="G464" s="50"/>
      <c r="H464" s="50"/>
      <c r="I464" s="50"/>
      <c r="J464" s="50"/>
      <c r="K464" s="51"/>
      <c r="L464" s="50"/>
      <c r="M464" s="50"/>
      <c r="N464" s="50"/>
      <c r="O464" s="50"/>
      <c r="P464" s="50"/>
      <c r="Q464" s="52"/>
      <c r="W464" s="53"/>
      <c r="X464" s="53"/>
      <c r="Y464" s="51"/>
      <c r="Z464" s="51"/>
      <c r="AA464" s="52"/>
    </row>
    <row r="465" spans="4:27">
      <c r="D465" s="50"/>
      <c r="E465" s="50"/>
      <c r="F465" s="50"/>
      <c r="G465" s="50"/>
      <c r="H465" s="50"/>
      <c r="I465" s="50"/>
      <c r="J465" s="50"/>
      <c r="K465" s="51"/>
      <c r="L465" s="50"/>
      <c r="M465" s="50"/>
      <c r="N465" s="50"/>
      <c r="O465" s="50"/>
      <c r="P465" s="50"/>
      <c r="Q465" s="52"/>
      <c r="W465" s="53"/>
      <c r="X465" s="53"/>
      <c r="Y465" s="51"/>
      <c r="Z465" s="51"/>
      <c r="AA465" s="52"/>
    </row>
    <row r="466" spans="4:27">
      <c r="D466" s="50"/>
      <c r="E466" s="50"/>
      <c r="F466" s="50"/>
      <c r="G466" s="50"/>
      <c r="H466" s="50"/>
      <c r="I466" s="50"/>
      <c r="J466" s="50"/>
      <c r="K466" s="51"/>
      <c r="L466" s="50"/>
      <c r="M466" s="50"/>
      <c r="N466" s="50"/>
      <c r="O466" s="50"/>
      <c r="P466" s="50"/>
      <c r="Q466" s="52"/>
      <c r="W466" s="53"/>
      <c r="X466" s="53"/>
      <c r="Y466" s="51"/>
      <c r="Z466" s="51"/>
      <c r="AA466" s="52"/>
    </row>
    <row r="467" spans="4:27">
      <c r="D467" s="50"/>
      <c r="E467" s="50"/>
      <c r="F467" s="50"/>
      <c r="G467" s="50"/>
      <c r="H467" s="50"/>
      <c r="I467" s="50"/>
      <c r="J467" s="50"/>
      <c r="K467" s="51"/>
      <c r="L467" s="50"/>
      <c r="M467" s="50"/>
      <c r="N467" s="50"/>
      <c r="O467" s="50"/>
      <c r="P467" s="50"/>
      <c r="Q467" s="52"/>
      <c r="W467" s="53"/>
      <c r="X467" s="53"/>
      <c r="Y467" s="51"/>
      <c r="Z467" s="51"/>
      <c r="AA467" s="52"/>
    </row>
    <row r="468" spans="4:27">
      <c r="D468" s="50"/>
      <c r="E468" s="50"/>
      <c r="F468" s="50"/>
      <c r="G468" s="50"/>
      <c r="H468" s="50"/>
      <c r="I468" s="50"/>
      <c r="J468" s="50"/>
      <c r="K468" s="51"/>
      <c r="L468" s="50"/>
      <c r="M468" s="50"/>
      <c r="N468" s="50"/>
      <c r="O468" s="50"/>
      <c r="P468" s="50"/>
      <c r="Q468" s="52"/>
      <c r="W468" s="53"/>
      <c r="X468" s="53"/>
      <c r="Y468" s="51"/>
      <c r="Z468" s="51"/>
      <c r="AA468" s="52"/>
    </row>
    <row r="469" spans="4:27">
      <c r="D469" s="50"/>
      <c r="E469" s="50"/>
      <c r="F469" s="50"/>
      <c r="G469" s="50"/>
      <c r="H469" s="50"/>
      <c r="I469" s="50"/>
      <c r="J469" s="50"/>
      <c r="K469" s="51"/>
      <c r="L469" s="50"/>
      <c r="M469" s="50"/>
      <c r="N469" s="50"/>
      <c r="O469" s="50"/>
      <c r="P469" s="50"/>
      <c r="Q469" s="52"/>
      <c r="W469" s="53"/>
      <c r="X469" s="53"/>
      <c r="Y469" s="51"/>
      <c r="Z469" s="51"/>
      <c r="AA469" s="52"/>
    </row>
    <row r="470" spans="4:27">
      <c r="D470" s="50"/>
      <c r="E470" s="50"/>
      <c r="F470" s="50"/>
      <c r="G470" s="50"/>
      <c r="H470" s="50"/>
      <c r="I470" s="50"/>
      <c r="J470" s="50"/>
      <c r="K470" s="51"/>
      <c r="L470" s="50"/>
      <c r="M470" s="50"/>
      <c r="N470" s="50"/>
      <c r="O470" s="50"/>
      <c r="P470" s="50"/>
      <c r="Q470" s="52"/>
      <c r="W470" s="53"/>
      <c r="X470" s="53"/>
      <c r="Y470" s="51"/>
      <c r="Z470" s="51"/>
      <c r="AA470" s="52"/>
    </row>
    <row r="471" spans="4:27">
      <c r="D471" s="50"/>
      <c r="E471" s="50"/>
      <c r="F471" s="50"/>
      <c r="G471" s="50"/>
      <c r="H471" s="50"/>
      <c r="I471" s="50"/>
      <c r="J471" s="50"/>
      <c r="K471" s="51"/>
      <c r="L471" s="50"/>
      <c r="M471" s="50"/>
      <c r="N471" s="50"/>
      <c r="O471" s="50"/>
      <c r="P471" s="50"/>
      <c r="Q471" s="52"/>
      <c r="W471" s="53"/>
      <c r="X471" s="53"/>
      <c r="Y471" s="51"/>
      <c r="Z471" s="51"/>
      <c r="AA471" s="52"/>
    </row>
    <row r="472" spans="4:27">
      <c r="D472" s="50"/>
      <c r="E472" s="50"/>
      <c r="F472" s="50"/>
      <c r="G472" s="50"/>
      <c r="H472" s="50"/>
      <c r="I472" s="50"/>
      <c r="J472" s="50"/>
      <c r="K472" s="51"/>
      <c r="L472" s="50"/>
      <c r="M472" s="50"/>
      <c r="N472" s="50"/>
      <c r="O472" s="50"/>
      <c r="P472" s="50"/>
      <c r="Q472" s="52"/>
      <c r="W472" s="53"/>
      <c r="X472" s="53"/>
      <c r="Y472" s="51"/>
      <c r="Z472" s="51"/>
      <c r="AA472" s="52"/>
    </row>
    <row r="473" spans="4:27">
      <c r="D473" s="50"/>
      <c r="E473" s="50"/>
      <c r="F473" s="50"/>
      <c r="G473" s="50"/>
      <c r="H473" s="50"/>
      <c r="I473" s="50"/>
      <c r="J473" s="50"/>
      <c r="K473" s="51"/>
      <c r="L473" s="50"/>
      <c r="M473" s="50"/>
      <c r="N473" s="50"/>
      <c r="O473" s="50"/>
      <c r="P473" s="50"/>
      <c r="Q473" s="52"/>
      <c r="W473" s="53"/>
      <c r="X473" s="53"/>
      <c r="Y473" s="51"/>
      <c r="Z473" s="51"/>
      <c r="AA473" s="52"/>
    </row>
    <row r="474" spans="4:27">
      <c r="D474" s="50"/>
      <c r="E474" s="50"/>
      <c r="F474" s="50"/>
      <c r="G474" s="50"/>
      <c r="H474" s="50"/>
      <c r="I474" s="50"/>
      <c r="J474" s="50"/>
      <c r="K474" s="51"/>
      <c r="L474" s="50"/>
      <c r="M474" s="50"/>
      <c r="N474" s="50"/>
      <c r="O474" s="50"/>
      <c r="P474" s="50"/>
      <c r="Q474" s="52"/>
      <c r="W474" s="53"/>
      <c r="X474" s="53"/>
      <c r="Y474" s="51"/>
      <c r="Z474" s="51"/>
      <c r="AA474" s="52"/>
    </row>
    <row r="475" spans="4:27">
      <c r="D475" s="50"/>
      <c r="E475" s="50"/>
      <c r="F475" s="50"/>
      <c r="G475" s="50"/>
      <c r="H475" s="50"/>
      <c r="I475" s="50"/>
      <c r="J475" s="50"/>
      <c r="K475" s="51"/>
      <c r="L475" s="50"/>
      <c r="M475" s="50"/>
      <c r="N475" s="50"/>
      <c r="O475" s="50"/>
      <c r="P475" s="50"/>
      <c r="Q475" s="52"/>
      <c r="W475" s="53"/>
      <c r="X475" s="53"/>
      <c r="Y475" s="51"/>
      <c r="Z475" s="51"/>
      <c r="AA475" s="52"/>
    </row>
    <row r="476" spans="4:27">
      <c r="D476" s="50"/>
      <c r="E476" s="50"/>
      <c r="F476" s="50"/>
      <c r="G476" s="50"/>
      <c r="H476" s="50"/>
      <c r="I476" s="50"/>
      <c r="J476" s="50"/>
      <c r="K476" s="51"/>
      <c r="L476" s="50"/>
      <c r="M476" s="50"/>
      <c r="N476" s="50"/>
      <c r="O476" s="50"/>
      <c r="P476" s="50"/>
      <c r="Q476" s="52"/>
      <c r="W476" s="53"/>
      <c r="X476" s="53"/>
      <c r="Y476" s="51"/>
      <c r="Z476" s="51"/>
      <c r="AA476" s="52"/>
    </row>
    <row r="477" spans="4:27">
      <c r="D477" s="50"/>
      <c r="E477" s="50"/>
      <c r="F477" s="50"/>
      <c r="G477" s="50"/>
      <c r="H477" s="50"/>
      <c r="I477" s="50"/>
      <c r="J477" s="50"/>
      <c r="K477" s="51"/>
      <c r="L477" s="50"/>
      <c r="M477" s="50"/>
      <c r="N477" s="50"/>
      <c r="O477" s="50"/>
      <c r="P477" s="50"/>
      <c r="Q477" s="52"/>
      <c r="W477" s="53"/>
      <c r="X477" s="53"/>
      <c r="Y477" s="51"/>
      <c r="Z477" s="51"/>
      <c r="AA477" s="52"/>
    </row>
    <row r="478" spans="4:27">
      <c r="D478" s="50"/>
      <c r="E478" s="50"/>
      <c r="F478" s="50"/>
      <c r="G478" s="50"/>
      <c r="H478" s="50"/>
      <c r="I478" s="50"/>
      <c r="J478" s="50"/>
      <c r="K478" s="51"/>
      <c r="L478" s="50"/>
      <c r="M478" s="50"/>
      <c r="N478" s="50"/>
      <c r="O478" s="50"/>
      <c r="P478" s="50"/>
      <c r="Q478" s="52"/>
      <c r="W478" s="53"/>
      <c r="X478" s="53"/>
      <c r="Y478" s="51"/>
      <c r="Z478" s="51"/>
      <c r="AA478" s="52"/>
    </row>
    <row r="479" spans="4:27">
      <c r="D479" s="50"/>
      <c r="E479" s="50"/>
      <c r="F479" s="50"/>
      <c r="G479" s="50"/>
      <c r="H479" s="50"/>
      <c r="I479" s="50"/>
      <c r="J479" s="50"/>
      <c r="K479" s="51"/>
      <c r="L479" s="50"/>
      <c r="M479" s="50"/>
      <c r="N479" s="50"/>
      <c r="O479" s="50"/>
      <c r="P479" s="50"/>
      <c r="Q479" s="52"/>
      <c r="W479" s="53"/>
      <c r="X479" s="53"/>
      <c r="Y479" s="51"/>
      <c r="Z479" s="51"/>
      <c r="AA479" s="52"/>
    </row>
    <row r="480" spans="4:27">
      <c r="D480" s="50"/>
      <c r="E480" s="50"/>
      <c r="F480" s="50"/>
      <c r="G480" s="50"/>
      <c r="H480" s="50"/>
      <c r="I480" s="50"/>
      <c r="J480" s="50"/>
      <c r="K480" s="51"/>
      <c r="L480" s="50"/>
      <c r="M480" s="50"/>
      <c r="N480" s="50"/>
      <c r="O480" s="50"/>
      <c r="P480" s="50"/>
      <c r="Q480" s="52"/>
      <c r="W480" s="53"/>
      <c r="X480" s="53"/>
      <c r="Y480" s="51"/>
      <c r="Z480" s="51"/>
      <c r="AA480" s="52"/>
    </row>
    <row r="481" spans="4:27">
      <c r="D481" s="50"/>
      <c r="E481" s="50"/>
      <c r="F481" s="50"/>
      <c r="G481" s="50"/>
      <c r="H481" s="50"/>
      <c r="I481" s="50"/>
      <c r="J481" s="50"/>
      <c r="K481" s="51"/>
      <c r="L481" s="50"/>
      <c r="M481" s="50"/>
      <c r="N481" s="50"/>
      <c r="O481" s="50"/>
      <c r="P481" s="50"/>
      <c r="Q481" s="52"/>
      <c r="W481" s="53"/>
      <c r="X481" s="53"/>
      <c r="Y481" s="51"/>
      <c r="Z481" s="51"/>
      <c r="AA481" s="52"/>
    </row>
    <row r="482" spans="4:27">
      <c r="D482" s="50"/>
      <c r="E482" s="50"/>
      <c r="F482" s="50"/>
      <c r="G482" s="50"/>
      <c r="H482" s="50"/>
      <c r="I482" s="50"/>
      <c r="J482" s="50"/>
      <c r="K482" s="51"/>
      <c r="L482" s="50"/>
      <c r="M482" s="50"/>
      <c r="N482" s="50"/>
      <c r="O482" s="50"/>
      <c r="P482" s="50"/>
      <c r="Q482" s="52"/>
      <c r="W482" s="53"/>
      <c r="X482" s="53"/>
      <c r="Y482" s="51"/>
      <c r="Z482" s="51"/>
      <c r="AA482" s="52"/>
    </row>
    <row r="483" spans="4:27">
      <c r="D483" s="50"/>
      <c r="E483" s="50"/>
      <c r="F483" s="50"/>
      <c r="G483" s="50"/>
      <c r="H483" s="50"/>
      <c r="I483" s="50"/>
      <c r="J483" s="50"/>
      <c r="K483" s="51"/>
      <c r="L483" s="50"/>
      <c r="M483" s="50"/>
      <c r="N483" s="50"/>
      <c r="O483" s="50"/>
      <c r="P483" s="50"/>
      <c r="Q483" s="52"/>
      <c r="W483" s="53"/>
      <c r="X483" s="53"/>
      <c r="Y483" s="51"/>
      <c r="Z483" s="51"/>
      <c r="AA483" s="52"/>
    </row>
    <row r="484" spans="4:27">
      <c r="D484" s="50"/>
      <c r="E484" s="50"/>
      <c r="F484" s="50"/>
      <c r="G484" s="50"/>
      <c r="H484" s="50"/>
      <c r="I484" s="50"/>
      <c r="J484" s="50"/>
      <c r="K484" s="51"/>
      <c r="L484" s="50"/>
      <c r="M484" s="50"/>
      <c r="N484" s="50"/>
      <c r="O484" s="50"/>
      <c r="P484" s="50"/>
      <c r="Q484" s="52"/>
      <c r="W484" s="53"/>
      <c r="X484" s="53"/>
      <c r="Y484" s="51"/>
      <c r="Z484" s="51"/>
      <c r="AA484" s="52"/>
    </row>
    <row r="485" spans="4:27">
      <c r="D485" s="50"/>
      <c r="E485" s="50"/>
      <c r="F485" s="50"/>
      <c r="G485" s="50"/>
      <c r="H485" s="50"/>
      <c r="I485" s="50"/>
      <c r="J485" s="50"/>
      <c r="K485" s="51"/>
      <c r="L485" s="50"/>
      <c r="M485" s="50"/>
      <c r="N485" s="50"/>
      <c r="O485" s="50"/>
      <c r="P485" s="50"/>
      <c r="Q485" s="52"/>
      <c r="W485" s="53"/>
      <c r="X485" s="53"/>
      <c r="Y485" s="51"/>
      <c r="Z485" s="51"/>
      <c r="AA485" s="52"/>
    </row>
    <row r="486" spans="4:27">
      <c r="D486" s="50"/>
      <c r="E486" s="50"/>
      <c r="F486" s="50"/>
      <c r="G486" s="50"/>
      <c r="H486" s="50"/>
      <c r="I486" s="50"/>
      <c r="J486" s="50"/>
      <c r="K486" s="51"/>
      <c r="L486" s="50"/>
      <c r="M486" s="50"/>
      <c r="N486" s="50"/>
      <c r="O486" s="50"/>
      <c r="P486" s="50"/>
      <c r="Q486" s="52"/>
      <c r="W486" s="53"/>
      <c r="X486" s="53"/>
      <c r="Y486" s="51"/>
      <c r="Z486" s="51"/>
      <c r="AA486" s="52"/>
    </row>
    <row r="487" spans="4:27">
      <c r="D487" s="50"/>
      <c r="E487" s="50"/>
      <c r="F487" s="50"/>
      <c r="G487" s="50"/>
      <c r="H487" s="50"/>
      <c r="I487" s="50"/>
      <c r="J487" s="50"/>
      <c r="K487" s="51"/>
      <c r="L487" s="50"/>
      <c r="M487" s="50"/>
      <c r="N487" s="50"/>
      <c r="O487" s="50"/>
      <c r="P487" s="50"/>
      <c r="Q487" s="52"/>
      <c r="W487" s="53"/>
      <c r="X487" s="53"/>
      <c r="Y487" s="51"/>
      <c r="Z487" s="51"/>
      <c r="AA487" s="52"/>
    </row>
    <row r="488" spans="4:27">
      <c r="D488" s="50"/>
      <c r="E488" s="50"/>
      <c r="F488" s="50"/>
      <c r="G488" s="50"/>
      <c r="H488" s="50"/>
      <c r="I488" s="50"/>
      <c r="J488" s="50"/>
      <c r="K488" s="51"/>
      <c r="L488" s="50"/>
      <c r="M488" s="50"/>
      <c r="N488" s="50"/>
      <c r="O488" s="50"/>
      <c r="P488" s="50"/>
      <c r="Q488" s="52"/>
      <c r="W488" s="53"/>
      <c r="X488" s="53"/>
      <c r="Y488" s="51"/>
      <c r="Z488" s="51"/>
      <c r="AA488" s="52"/>
    </row>
    <row r="489" spans="4:27">
      <c r="D489" s="50"/>
      <c r="E489" s="50"/>
      <c r="F489" s="50"/>
      <c r="G489" s="50"/>
      <c r="H489" s="50"/>
      <c r="I489" s="50"/>
      <c r="J489" s="50"/>
      <c r="K489" s="51"/>
      <c r="L489" s="50"/>
      <c r="M489" s="50"/>
      <c r="N489" s="50"/>
      <c r="O489" s="50"/>
      <c r="P489" s="50"/>
      <c r="Q489" s="52"/>
      <c r="W489" s="53"/>
      <c r="X489" s="53"/>
      <c r="Y489" s="51"/>
      <c r="Z489" s="51"/>
      <c r="AA489" s="52"/>
    </row>
    <row r="490" spans="4:27">
      <c r="D490" s="50"/>
      <c r="E490" s="50"/>
      <c r="F490" s="50"/>
      <c r="G490" s="50"/>
      <c r="H490" s="50"/>
      <c r="I490" s="50"/>
      <c r="J490" s="50"/>
      <c r="K490" s="51"/>
      <c r="L490" s="50"/>
      <c r="M490" s="50"/>
      <c r="N490" s="50"/>
      <c r="O490" s="50"/>
      <c r="P490" s="50"/>
      <c r="Q490" s="52"/>
      <c r="W490" s="53"/>
      <c r="X490" s="53"/>
      <c r="Y490" s="51"/>
      <c r="Z490" s="51"/>
      <c r="AA490" s="52"/>
    </row>
    <row r="491" spans="4:27">
      <c r="D491" s="50"/>
      <c r="E491" s="50"/>
      <c r="F491" s="50"/>
      <c r="G491" s="50"/>
      <c r="H491" s="50"/>
      <c r="I491" s="50"/>
      <c r="J491" s="50"/>
      <c r="K491" s="51"/>
      <c r="L491" s="50"/>
      <c r="M491" s="50"/>
      <c r="N491" s="50"/>
      <c r="O491" s="50"/>
      <c r="P491" s="50"/>
      <c r="Q491" s="52"/>
      <c r="W491" s="53"/>
      <c r="X491" s="53"/>
      <c r="Y491" s="51"/>
      <c r="Z491" s="51"/>
      <c r="AA491" s="52"/>
    </row>
    <row r="492" spans="4:27">
      <c r="D492" s="50"/>
      <c r="E492" s="50"/>
      <c r="F492" s="50"/>
      <c r="G492" s="50"/>
      <c r="H492" s="50"/>
      <c r="I492" s="50"/>
      <c r="J492" s="50"/>
      <c r="K492" s="51"/>
      <c r="L492" s="50"/>
      <c r="M492" s="50"/>
      <c r="N492" s="50"/>
      <c r="O492" s="50"/>
      <c r="P492" s="50"/>
      <c r="Q492" s="52"/>
      <c r="W492" s="53"/>
      <c r="X492" s="53"/>
      <c r="Y492" s="51"/>
      <c r="Z492" s="51"/>
      <c r="AA492" s="52"/>
    </row>
    <row r="493" spans="4:27">
      <c r="D493" s="50"/>
      <c r="E493" s="50"/>
      <c r="F493" s="50"/>
      <c r="G493" s="50"/>
      <c r="H493" s="50"/>
      <c r="I493" s="50"/>
      <c r="J493" s="50"/>
      <c r="K493" s="51"/>
      <c r="L493" s="50"/>
      <c r="M493" s="50"/>
      <c r="N493" s="50"/>
      <c r="O493" s="50"/>
      <c r="P493" s="50"/>
      <c r="Q493" s="52"/>
      <c r="W493" s="53"/>
      <c r="X493" s="53"/>
      <c r="Y493" s="51"/>
      <c r="Z493" s="51"/>
      <c r="AA493" s="52"/>
    </row>
    <row r="494" spans="4:27">
      <c r="D494" s="50"/>
      <c r="E494" s="50"/>
      <c r="F494" s="50"/>
      <c r="G494" s="50"/>
      <c r="H494" s="50"/>
      <c r="I494" s="50"/>
      <c r="J494" s="50"/>
      <c r="K494" s="51"/>
      <c r="L494" s="50"/>
      <c r="M494" s="50"/>
      <c r="N494" s="50"/>
      <c r="O494" s="50"/>
      <c r="P494" s="50"/>
      <c r="Q494" s="52"/>
      <c r="W494" s="53"/>
      <c r="X494" s="53"/>
      <c r="Y494" s="51"/>
      <c r="Z494" s="51"/>
      <c r="AA494" s="52"/>
    </row>
    <row r="495" spans="4:27">
      <c r="D495" s="50"/>
      <c r="E495" s="50"/>
      <c r="F495" s="50"/>
      <c r="G495" s="50"/>
      <c r="H495" s="50"/>
      <c r="I495" s="50"/>
      <c r="J495" s="50"/>
      <c r="K495" s="51"/>
      <c r="L495" s="50"/>
      <c r="M495" s="50"/>
      <c r="N495" s="50"/>
      <c r="O495" s="50"/>
      <c r="P495" s="50"/>
      <c r="Q495" s="52"/>
      <c r="W495" s="53"/>
      <c r="X495" s="53"/>
      <c r="Y495" s="51"/>
      <c r="Z495" s="51"/>
      <c r="AA495" s="52"/>
    </row>
    <row r="496" spans="4:27">
      <c r="D496" s="50"/>
      <c r="E496" s="50"/>
      <c r="F496" s="50"/>
      <c r="G496" s="50"/>
      <c r="H496" s="50"/>
      <c r="I496" s="50"/>
      <c r="J496" s="50"/>
      <c r="K496" s="51"/>
      <c r="L496" s="50"/>
      <c r="M496" s="50"/>
      <c r="N496" s="50"/>
      <c r="O496" s="50"/>
      <c r="P496" s="50"/>
      <c r="Q496" s="52"/>
      <c r="W496" s="53"/>
      <c r="X496" s="53"/>
      <c r="Y496" s="51"/>
      <c r="Z496" s="51"/>
      <c r="AA496" s="52"/>
    </row>
    <row r="497" spans="4:27">
      <c r="D497" s="50"/>
      <c r="E497" s="50"/>
      <c r="F497" s="50"/>
      <c r="G497" s="50"/>
      <c r="H497" s="50"/>
      <c r="I497" s="50"/>
      <c r="J497" s="50"/>
      <c r="K497" s="51"/>
      <c r="L497" s="50"/>
      <c r="M497" s="50"/>
      <c r="N497" s="50"/>
      <c r="O497" s="50"/>
      <c r="P497" s="50"/>
      <c r="Q497" s="52"/>
      <c r="W497" s="53"/>
      <c r="X497" s="53"/>
      <c r="Y497" s="51"/>
      <c r="Z497" s="51"/>
      <c r="AA497" s="52"/>
    </row>
    <row r="498" spans="4:27">
      <c r="D498" s="50"/>
      <c r="E498" s="50"/>
      <c r="F498" s="50"/>
      <c r="G498" s="50"/>
      <c r="H498" s="50"/>
      <c r="I498" s="50"/>
      <c r="J498" s="50"/>
      <c r="K498" s="51"/>
      <c r="L498" s="50"/>
      <c r="M498" s="50"/>
      <c r="N498" s="50"/>
      <c r="O498" s="50"/>
      <c r="P498" s="50"/>
      <c r="Q498" s="52"/>
      <c r="W498" s="53"/>
      <c r="X498" s="53"/>
      <c r="Y498" s="51"/>
      <c r="Z498" s="51"/>
      <c r="AA498" s="52"/>
    </row>
    <row r="499" spans="4:27">
      <c r="D499" s="50"/>
      <c r="E499" s="50"/>
      <c r="F499" s="50"/>
      <c r="G499" s="50"/>
      <c r="H499" s="50"/>
      <c r="I499" s="50"/>
      <c r="J499" s="50"/>
      <c r="K499" s="51"/>
      <c r="L499" s="50"/>
      <c r="M499" s="50"/>
      <c r="N499" s="50"/>
      <c r="O499" s="50"/>
      <c r="P499" s="50"/>
      <c r="Q499" s="52"/>
      <c r="W499" s="53"/>
      <c r="X499" s="53"/>
      <c r="Y499" s="51"/>
      <c r="Z499" s="51"/>
      <c r="AA499" s="52"/>
    </row>
    <row r="500" spans="4:27">
      <c r="D500" s="50"/>
      <c r="E500" s="50"/>
      <c r="F500" s="50"/>
      <c r="G500" s="50"/>
      <c r="H500" s="50"/>
      <c r="I500" s="50"/>
      <c r="J500" s="50"/>
      <c r="K500" s="51"/>
      <c r="L500" s="50"/>
      <c r="M500" s="50"/>
      <c r="N500" s="50"/>
      <c r="O500" s="50"/>
      <c r="P500" s="50"/>
      <c r="Q500" s="52"/>
      <c r="W500" s="53"/>
      <c r="X500" s="53"/>
      <c r="Y500" s="51"/>
      <c r="Z500" s="51"/>
      <c r="AA500" s="52"/>
    </row>
    <row r="501" spans="4:27">
      <c r="D501" s="50"/>
      <c r="E501" s="50"/>
      <c r="F501" s="50"/>
      <c r="G501" s="50"/>
      <c r="H501" s="50"/>
      <c r="I501" s="50"/>
      <c r="J501" s="50"/>
      <c r="K501" s="51"/>
      <c r="L501" s="50"/>
      <c r="M501" s="50"/>
      <c r="N501" s="50"/>
      <c r="O501" s="50"/>
      <c r="P501" s="50"/>
      <c r="Q501" s="52"/>
      <c r="W501" s="53"/>
      <c r="X501" s="53"/>
      <c r="Y501" s="51"/>
      <c r="Z501" s="51"/>
      <c r="AA501" s="52"/>
    </row>
    <row r="502" spans="4:27">
      <c r="D502" s="50"/>
      <c r="E502" s="50"/>
      <c r="F502" s="50"/>
      <c r="G502" s="50"/>
      <c r="H502" s="50"/>
      <c r="I502" s="50"/>
      <c r="J502" s="50"/>
      <c r="K502" s="51"/>
      <c r="L502" s="50"/>
      <c r="M502" s="50"/>
      <c r="N502" s="50"/>
      <c r="O502" s="50"/>
      <c r="P502" s="50"/>
      <c r="Q502" s="52"/>
      <c r="W502" s="53"/>
      <c r="X502" s="53"/>
      <c r="Y502" s="51"/>
      <c r="Z502" s="51"/>
      <c r="AA502" s="52"/>
    </row>
    <row r="503" spans="4:27">
      <c r="D503" s="50"/>
      <c r="E503" s="50"/>
      <c r="F503" s="50"/>
      <c r="G503" s="50"/>
      <c r="H503" s="50"/>
      <c r="I503" s="50"/>
      <c r="J503" s="50"/>
      <c r="K503" s="51"/>
      <c r="L503" s="50"/>
      <c r="M503" s="50"/>
      <c r="N503" s="50"/>
      <c r="O503" s="50"/>
      <c r="P503" s="50"/>
      <c r="Q503" s="52"/>
      <c r="W503" s="53"/>
      <c r="X503" s="53"/>
      <c r="Y503" s="51"/>
      <c r="Z503" s="51"/>
      <c r="AA503" s="52"/>
    </row>
    <row r="504" spans="4:27">
      <c r="D504" s="50"/>
      <c r="E504" s="50"/>
      <c r="F504" s="50"/>
      <c r="G504" s="50"/>
      <c r="H504" s="50"/>
      <c r="I504" s="50"/>
      <c r="J504" s="50"/>
      <c r="K504" s="51"/>
      <c r="L504" s="50"/>
      <c r="M504" s="50"/>
      <c r="N504" s="50"/>
      <c r="O504" s="50"/>
      <c r="P504" s="50"/>
      <c r="Q504" s="52"/>
      <c r="W504" s="53"/>
      <c r="X504" s="53"/>
      <c r="Y504" s="51"/>
      <c r="Z504" s="51"/>
      <c r="AA504" s="52"/>
    </row>
    <row r="505" spans="4:27">
      <c r="D505" s="50"/>
      <c r="E505" s="50"/>
      <c r="F505" s="50"/>
      <c r="G505" s="50"/>
      <c r="H505" s="50"/>
      <c r="I505" s="50"/>
      <c r="J505" s="50"/>
      <c r="K505" s="51"/>
      <c r="L505" s="50"/>
      <c r="M505" s="50"/>
      <c r="N505" s="50"/>
      <c r="O505" s="50"/>
      <c r="P505" s="50"/>
      <c r="Q505" s="52"/>
      <c r="W505" s="53"/>
      <c r="X505" s="53"/>
      <c r="Y505" s="51"/>
      <c r="Z505" s="51"/>
      <c r="AA505" s="52"/>
    </row>
    <row r="506" spans="4:27">
      <c r="D506" s="50"/>
      <c r="E506" s="50"/>
      <c r="F506" s="50"/>
      <c r="G506" s="50"/>
      <c r="H506" s="50"/>
      <c r="I506" s="50"/>
      <c r="J506" s="50"/>
      <c r="K506" s="51"/>
      <c r="L506" s="50"/>
      <c r="M506" s="50"/>
      <c r="N506" s="50"/>
      <c r="O506" s="50"/>
      <c r="P506" s="50"/>
      <c r="Q506" s="52"/>
      <c r="W506" s="53"/>
      <c r="X506" s="53"/>
      <c r="Y506" s="51"/>
      <c r="Z506" s="51"/>
      <c r="AA506" s="52"/>
    </row>
    <row r="507" spans="4:27">
      <c r="D507" s="50"/>
      <c r="E507" s="50"/>
      <c r="F507" s="50"/>
      <c r="G507" s="50"/>
      <c r="H507" s="50"/>
      <c r="I507" s="50"/>
      <c r="J507" s="50"/>
      <c r="K507" s="51"/>
      <c r="L507" s="50"/>
      <c r="M507" s="50"/>
      <c r="N507" s="50"/>
      <c r="O507" s="50"/>
      <c r="P507" s="50"/>
      <c r="Q507" s="52"/>
      <c r="W507" s="53"/>
      <c r="X507" s="53"/>
      <c r="Y507" s="51"/>
      <c r="Z507" s="51"/>
      <c r="AA507" s="52"/>
    </row>
    <row r="508" spans="4:27">
      <c r="D508" s="50"/>
      <c r="E508" s="50"/>
      <c r="F508" s="50"/>
      <c r="G508" s="50"/>
      <c r="H508" s="50"/>
      <c r="I508" s="50"/>
      <c r="J508" s="50"/>
      <c r="K508" s="51"/>
      <c r="L508" s="50"/>
      <c r="M508" s="50"/>
      <c r="N508" s="50"/>
      <c r="O508" s="50"/>
      <c r="P508" s="50"/>
      <c r="Q508" s="52"/>
      <c r="W508" s="53"/>
      <c r="X508" s="53"/>
      <c r="Y508" s="51"/>
      <c r="Z508" s="51"/>
      <c r="AA508" s="52"/>
    </row>
    <row r="509" spans="4:27">
      <c r="D509" s="50"/>
      <c r="E509" s="50"/>
      <c r="F509" s="50"/>
      <c r="G509" s="50"/>
      <c r="H509" s="50"/>
      <c r="I509" s="50"/>
      <c r="J509" s="50"/>
      <c r="K509" s="51"/>
      <c r="L509" s="50"/>
      <c r="M509" s="50"/>
      <c r="N509" s="50"/>
      <c r="O509" s="50"/>
      <c r="P509" s="50"/>
      <c r="Q509" s="52"/>
      <c r="W509" s="53"/>
      <c r="X509" s="53"/>
      <c r="Y509" s="51"/>
      <c r="Z509" s="51"/>
      <c r="AA509" s="52"/>
    </row>
    <row r="510" spans="4:27">
      <c r="D510" s="50"/>
      <c r="E510" s="50"/>
      <c r="F510" s="50"/>
      <c r="G510" s="50"/>
      <c r="H510" s="50"/>
      <c r="I510" s="50"/>
      <c r="J510" s="50"/>
      <c r="K510" s="51"/>
      <c r="L510" s="50"/>
      <c r="M510" s="50"/>
      <c r="N510" s="50"/>
      <c r="O510" s="50"/>
      <c r="P510" s="50"/>
      <c r="Q510" s="52"/>
      <c r="W510" s="53"/>
      <c r="X510" s="53"/>
      <c r="Y510" s="51"/>
      <c r="Z510" s="51"/>
      <c r="AA510" s="52"/>
    </row>
    <row r="511" spans="4:27">
      <c r="D511" s="50"/>
      <c r="E511" s="50"/>
      <c r="F511" s="50"/>
      <c r="G511" s="50"/>
      <c r="H511" s="50"/>
      <c r="I511" s="50"/>
      <c r="J511" s="50"/>
      <c r="K511" s="51"/>
      <c r="L511" s="50"/>
      <c r="M511" s="50"/>
      <c r="N511" s="50"/>
      <c r="O511" s="50"/>
      <c r="P511" s="50"/>
      <c r="Q511" s="52"/>
      <c r="W511" s="53"/>
      <c r="X511" s="53"/>
      <c r="Y511" s="51"/>
      <c r="Z511" s="51"/>
      <c r="AA511" s="52"/>
    </row>
    <row r="512" spans="4:27">
      <c r="D512" s="50"/>
      <c r="E512" s="50"/>
      <c r="F512" s="50"/>
      <c r="G512" s="50"/>
      <c r="H512" s="50"/>
      <c r="I512" s="50"/>
      <c r="J512" s="50"/>
      <c r="K512" s="51"/>
      <c r="L512" s="50"/>
      <c r="M512" s="50"/>
      <c r="N512" s="50"/>
      <c r="O512" s="50"/>
      <c r="P512" s="50"/>
      <c r="Q512" s="52"/>
      <c r="W512" s="53"/>
      <c r="X512" s="53"/>
      <c r="Y512" s="51"/>
      <c r="Z512" s="51"/>
      <c r="AA512" s="52"/>
    </row>
    <row r="513" spans="4:27">
      <c r="D513" s="50"/>
      <c r="E513" s="50"/>
      <c r="F513" s="50"/>
      <c r="G513" s="50"/>
      <c r="H513" s="50"/>
      <c r="I513" s="50"/>
      <c r="J513" s="50"/>
      <c r="K513" s="51"/>
      <c r="L513" s="50"/>
      <c r="M513" s="50"/>
      <c r="N513" s="50"/>
      <c r="O513" s="50"/>
      <c r="P513" s="50"/>
      <c r="Q513" s="52"/>
      <c r="W513" s="53"/>
      <c r="X513" s="53"/>
      <c r="Y513" s="51"/>
      <c r="Z513" s="51"/>
      <c r="AA513" s="52"/>
    </row>
    <row r="514" spans="4:27">
      <c r="D514" s="50"/>
      <c r="E514" s="50"/>
      <c r="F514" s="50"/>
      <c r="G514" s="50"/>
      <c r="H514" s="50"/>
      <c r="I514" s="50"/>
      <c r="J514" s="50"/>
      <c r="K514" s="51"/>
      <c r="L514" s="50"/>
      <c r="M514" s="50"/>
      <c r="N514" s="50"/>
      <c r="O514" s="50"/>
      <c r="P514" s="50"/>
      <c r="Q514" s="52"/>
      <c r="W514" s="53"/>
      <c r="X514" s="53"/>
      <c r="Y514" s="51"/>
      <c r="Z514" s="51"/>
      <c r="AA514" s="52"/>
    </row>
    <row r="515" spans="4:27">
      <c r="D515" s="50"/>
      <c r="E515" s="50"/>
      <c r="F515" s="50"/>
      <c r="G515" s="50"/>
      <c r="H515" s="50"/>
      <c r="I515" s="50"/>
      <c r="J515" s="50"/>
      <c r="K515" s="51"/>
      <c r="L515" s="50"/>
      <c r="M515" s="50"/>
      <c r="N515" s="50"/>
      <c r="O515" s="50"/>
      <c r="P515" s="50"/>
      <c r="Q515" s="52"/>
      <c r="W515" s="53"/>
      <c r="X515" s="53"/>
      <c r="Y515" s="51"/>
      <c r="Z515" s="51"/>
      <c r="AA515" s="52"/>
    </row>
    <row r="516" spans="4:27">
      <c r="D516" s="50"/>
      <c r="E516" s="50"/>
      <c r="F516" s="50"/>
      <c r="G516" s="50"/>
      <c r="H516" s="50"/>
      <c r="I516" s="50"/>
      <c r="J516" s="50"/>
      <c r="K516" s="51"/>
      <c r="L516" s="50"/>
      <c r="M516" s="50"/>
      <c r="N516" s="50"/>
      <c r="O516" s="50"/>
      <c r="P516" s="50"/>
      <c r="Q516" s="52"/>
      <c r="W516" s="53"/>
      <c r="X516" s="53"/>
      <c r="Y516" s="51"/>
      <c r="Z516" s="51"/>
      <c r="AA516" s="52"/>
    </row>
    <row r="517" spans="4:27">
      <c r="D517" s="50"/>
      <c r="E517" s="50"/>
      <c r="F517" s="50"/>
      <c r="G517" s="50"/>
      <c r="H517" s="50"/>
      <c r="I517" s="50"/>
      <c r="J517" s="50"/>
      <c r="K517" s="51"/>
      <c r="L517" s="50"/>
      <c r="M517" s="50"/>
      <c r="N517" s="50"/>
      <c r="O517" s="50"/>
      <c r="P517" s="50"/>
      <c r="Q517" s="52"/>
      <c r="W517" s="53"/>
      <c r="X517" s="53"/>
      <c r="Y517" s="51"/>
      <c r="Z517" s="51"/>
      <c r="AA517" s="52"/>
    </row>
    <row r="518" spans="4:27">
      <c r="D518" s="50"/>
      <c r="E518" s="50"/>
      <c r="F518" s="50"/>
      <c r="G518" s="50"/>
      <c r="H518" s="50"/>
      <c r="I518" s="50"/>
      <c r="J518" s="50"/>
      <c r="K518" s="51"/>
      <c r="L518" s="50"/>
      <c r="M518" s="50"/>
      <c r="N518" s="50"/>
      <c r="O518" s="50"/>
      <c r="P518" s="50"/>
      <c r="Q518" s="52"/>
      <c r="W518" s="53"/>
      <c r="X518" s="53"/>
      <c r="Y518" s="51"/>
      <c r="Z518" s="51"/>
      <c r="AA518" s="52"/>
    </row>
    <row r="519" spans="4:27">
      <c r="D519" s="50"/>
      <c r="E519" s="50"/>
      <c r="F519" s="50"/>
      <c r="G519" s="50"/>
      <c r="H519" s="50"/>
      <c r="I519" s="50"/>
      <c r="J519" s="50"/>
      <c r="K519" s="51"/>
      <c r="L519" s="50"/>
      <c r="M519" s="50"/>
      <c r="N519" s="50"/>
      <c r="O519" s="50"/>
      <c r="P519" s="50"/>
      <c r="Q519" s="52"/>
      <c r="W519" s="53"/>
      <c r="X519" s="53"/>
      <c r="Y519" s="51"/>
      <c r="Z519" s="51"/>
      <c r="AA519" s="52"/>
    </row>
    <row r="520" spans="4:27">
      <c r="D520" s="50"/>
      <c r="E520" s="50"/>
      <c r="F520" s="50"/>
      <c r="G520" s="50"/>
      <c r="H520" s="50"/>
      <c r="I520" s="50"/>
      <c r="J520" s="50"/>
      <c r="K520" s="51"/>
      <c r="L520" s="50"/>
      <c r="M520" s="50"/>
      <c r="N520" s="50"/>
      <c r="O520" s="50"/>
      <c r="P520" s="50"/>
      <c r="Q520" s="52"/>
      <c r="W520" s="53"/>
      <c r="X520" s="53"/>
      <c r="Y520" s="51"/>
      <c r="Z520" s="51"/>
      <c r="AA520" s="52"/>
    </row>
    <row r="521" spans="4:27">
      <c r="D521" s="50"/>
      <c r="E521" s="50"/>
      <c r="F521" s="50"/>
      <c r="G521" s="50"/>
      <c r="H521" s="50"/>
      <c r="I521" s="50"/>
      <c r="J521" s="50"/>
      <c r="K521" s="51"/>
      <c r="L521" s="50"/>
      <c r="M521" s="50"/>
      <c r="N521" s="50"/>
      <c r="O521" s="50"/>
      <c r="P521" s="50"/>
      <c r="Q521" s="52"/>
      <c r="W521" s="53"/>
      <c r="X521" s="53"/>
      <c r="Y521" s="51"/>
      <c r="Z521" s="51"/>
      <c r="AA521" s="52"/>
    </row>
    <row r="522" spans="4:27">
      <c r="D522" s="50"/>
      <c r="E522" s="50"/>
      <c r="F522" s="50"/>
      <c r="G522" s="50"/>
      <c r="H522" s="50"/>
      <c r="I522" s="50"/>
      <c r="J522" s="50"/>
      <c r="K522" s="51"/>
      <c r="L522" s="50"/>
      <c r="M522" s="50"/>
      <c r="N522" s="50"/>
      <c r="O522" s="50"/>
      <c r="P522" s="50"/>
      <c r="Q522" s="52"/>
      <c r="W522" s="53"/>
      <c r="X522" s="53"/>
      <c r="Y522" s="51"/>
      <c r="Z522" s="51"/>
      <c r="AA522" s="52"/>
    </row>
    <row r="523" spans="4:27">
      <c r="D523" s="50"/>
      <c r="E523" s="50"/>
      <c r="F523" s="50"/>
      <c r="G523" s="50"/>
      <c r="H523" s="50"/>
      <c r="I523" s="50"/>
      <c r="J523" s="50"/>
      <c r="K523" s="51"/>
      <c r="L523" s="50"/>
      <c r="M523" s="50"/>
      <c r="N523" s="50"/>
      <c r="O523" s="50"/>
      <c r="P523" s="50"/>
      <c r="Q523" s="52"/>
      <c r="W523" s="53"/>
      <c r="X523" s="53"/>
      <c r="Y523" s="51"/>
      <c r="Z523" s="51"/>
      <c r="AA523" s="52"/>
    </row>
    <row r="524" spans="4:27">
      <c r="D524" s="50"/>
      <c r="E524" s="50"/>
      <c r="F524" s="50"/>
      <c r="G524" s="50"/>
      <c r="H524" s="50"/>
      <c r="I524" s="50"/>
      <c r="J524" s="50"/>
      <c r="K524" s="51"/>
      <c r="L524" s="50"/>
      <c r="M524" s="50"/>
      <c r="N524" s="50"/>
      <c r="O524" s="50"/>
      <c r="P524" s="50"/>
      <c r="Q524" s="52"/>
      <c r="W524" s="53"/>
      <c r="X524" s="53"/>
      <c r="Y524" s="51"/>
      <c r="Z524" s="51"/>
      <c r="AA524" s="52"/>
    </row>
    <row r="525" spans="4:27">
      <c r="D525" s="50"/>
      <c r="E525" s="50"/>
      <c r="F525" s="50"/>
      <c r="G525" s="50"/>
      <c r="H525" s="50"/>
      <c r="I525" s="50"/>
      <c r="J525" s="50"/>
      <c r="K525" s="51"/>
      <c r="L525" s="50"/>
      <c r="M525" s="50"/>
      <c r="N525" s="50"/>
      <c r="O525" s="50"/>
      <c r="P525" s="50"/>
      <c r="Q525" s="52"/>
      <c r="W525" s="53"/>
      <c r="X525" s="53"/>
      <c r="Y525" s="51"/>
      <c r="Z525" s="51"/>
      <c r="AA525" s="52"/>
    </row>
    <row r="526" spans="4:27">
      <c r="D526" s="50"/>
      <c r="E526" s="50"/>
      <c r="F526" s="50"/>
      <c r="G526" s="50"/>
      <c r="H526" s="50"/>
      <c r="I526" s="50"/>
      <c r="J526" s="50"/>
      <c r="K526" s="51"/>
      <c r="L526" s="50"/>
      <c r="M526" s="50"/>
      <c r="N526" s="50"/>
      <c r="O526" s="50"/>
      <c r="P526" s="50"/>
      <c r="Q526" s="52"/>
      <c r="W526" s="53"/>
      <c r="X526" s="53"/>
      <c r="Y526" s="51"/>
      <c r="Z526" s="51"/>
      <c r="AA526" s="52"/>
    </row>
    <row r="527" spans="4:27">
      <c r="D527" s="50"/>
      <c r="E527" s="50"/>
      <c r="F527" s="50"/>
      <c r="G527" s="50"/>
      <c r="H527" s="50"/>
      <c r="I527" s="50"/>
      <c r="J527" s="50"/>
      <c r="K527" s="51"/>
      <c r="L527" s="50"/>
      <c r="M527" s="50"/>
      <c r="N527" s="50"/>
      <c r="O527" s="50"/>
      <c r="P527" s="50"/>
      <c r="Q527" s="52"/>
      <c r="W527" s="53"/>
      <c r="X527" s="53"/>
      <c r="Y527" s="51"/>
      <c r="Z527" s="51"/>
      <c r="AA527" s="52"/>
    </row>
    <row r="528" spans="4:27">
      <c r="D528" s="50"/>
      <c r="E528" s="50"/>
      <c r="F528" s="50"/>
      <c r="G528" s="50"/>
      <c r="H528" s="50"/>
      <c r="I528" s="50"/>
      <c r="J528" s="50"/>
      <c r="K528" s="51"/>
      <c r="L528" s="50"/>
      <c r="M528" s="50"/>
      <c r="N528" s="50"/>
      <c r="O528" s="50"/>
      <c r="P528" s="50"/>
      <c r="Q528" s="52"/>
      <c r="W528" s="53"/>
      <c r="X528" s="53"/>
      <c r="Y528" s="51"/>
      <c r="Z528" s="51"/>
      <c r="AA528" s="52"/>
    </row>
    <row r="529" spans="4:27">
      <c r="D529" s="50"/>
      <c r="E529" s="50"/>
      <c r="F529" s="50"/>
      <c r="G529" s="50"/>
      <c r="H529" s="50"/>
      <c r="I529" s="50"/>
      <c r="J529" s="50"/>
      <c r="K529" s="51"/>
      <c r="L529" s="50"/>
      <c r="M529" s="50"/>
      <c r="N529" s="50"/>
      <c r="O529" s="50"/>
      <c r="P529" s="50"/>
      <c r="Q529" s="52"/>
      <c r="W529" s="53"/>
      <c r="X529" s="53"/>
      <c r="Y529" s="51"/>
      <c r="Z529" s="51"/>
      <c r="AA529" s="52"/>
    </row>
    <row r="530" spans="4:27">
      <c r="D530" s="50"/>
      <c r="E530" s="50"/>
      <c r="F530" s="50"/>
      <c r="G530" s="50"/>
      <c r="H530" s="50"/>
      <c r="I530" s="50"/>
      <c r="J530" s="50"/>
      <c r="K530" s="51"/>
      <c r="L530" s="50"/>
      <c r="M530" s="50"/>
      <c r="N530" s="50"/>
      <c r="O530" s="50"/>
      <c r="P530" s="50"/>
      <c r="Q530" s="52"/>
      <c r="W530" s="53"/>
      <c r="X530" s="53"/>
      <c r="Y530" s="51"/>
      <c r="Z530" s="51"/>
      <c r="AA530" s="52"/>
    </row>
    <row r="531" spans="4:27">
      <c r="D531" s="50"/>
      <c r="E531" s="50"/>
      <c r="F531" s="50"/>
      <c r="G531" s="50"/>
      <c r="H531" s="50"/>
      <c r="I531" s="50"/>
      <c r="J531" s="50"/>
      <c r="K531" s="51"/>
      <c r="L531" s="50"/>
      <c r="M531" s="50"/>
      <c r="N531" s="50"/>
      <c r="O531" s="50"/>
      <c r="P531" s="50"/>
      <c r="Q531" s="52"/>
      <c r="W531" s="53"/>
      <c r="X531" s="53"/>
      <c r="Y531" s="51"/>
      <c r="Z531" s="51"/>
      <c r="AA531" s="52"/>
    </row>
    <row r="532" spans="4:27">
      <c r="D532" s="50"/>
      <c r="E532" s="50"/>
      <c r="F532" s="50"/>
      <c r="G532" s="50"/>
      <c r="H532" s="50"/>
      <c r="I532" s="50"/>
      <c r="J532" s="50"/>
      <c r="K532" s="51"/>
      <c r="L532" s="50"/>
      <c r="M532" s="50"/>
      <c r="N532" s="50"/>
      <c r="O532" s="50"/>
      <c r="P532" s="50"/>
      <c r="Q532" s="52"/>
      <c r="W532" s="53"/>
      <c r="X532" s="53"/>
      <c r="Y532" s="51"/>
      <c r="Z532" s="51"/>
      <c r="AA532" s="52"/>
    </row>
    <row r="533" spans="4:27">
      <c r="D533" s="50"/>
      <c r="E533" s="50"/>
      <c r="F533" s="50"/>
      <c r="G533" s="50"/>
      <c r="H533" s="50"/>
      <c r="I533" s="50"/>
      <c r="J533" s="50"/>
      <c r="K533" s="51"/>
      <c r="L533" s="50"/>
      <c r="M533" s="50"/>
      <c r="N533" s="50"/>
      <c r="O533" s="50"/>
      <c r="P533" s="50"/>
      <c r="Q533" s="52"/>
      <c r="W533" s="53"/>
      <c r="X533" s="53"/>
      <c r="Y533" s="51"/>
      <c r="Z533" s="51"/>
      <c r="AA533" s="52"/>
    </row>
    <row r="534" spans="4:27">
      <c r="D534" s="50"/>
      <c r="E534" s="50"/>
      <c r="F534" s="50"/>
      <c r="G534" s="50"/>
      <c r="H534" s="50"/>
      <c r="I534" s="50"/>
      <c r="J534" s="50"/>
      <c r="K534" s="51"/>
      <c r="L534" s="50"/>
      <c r="M534" s="50"/>
      <c r="N534" s="50"/>
      <c r="O534" s="50"/>
      <c r="P534" s="50"/>
      <c r="Q534" s="52"/>
      <c r="W534" s="53"/>
      <c r="X534" s="53"/>
      <c r="Y534" s="51"/>
      <c r="Z534" s="51"/>
      <c r="AA534" s="52"/>
    </row>
    <row r="535" spans="4:27">
      <c r="D535" s="50"/>
      <c r="E535" s="50"/>
      <c r="F535" s="50"/>
      <c r="G535" s="50"/>
      <c r="H535" s="50"/>
      <c r="I535" s="50"/>
      <c r="J535" s="50"/>
      <c r="K535" s="51"/>
      <c r="L535" s="50"/>
      <c r="M535" s="50"/>
      <c r="N535" s="50"/>
      <c r="O535" s="50"/>
      <c r="P535" s="50"/>
      <c r="Q535" s="52"/>
      <c r="W535" s="53"/>
      <c r="X535" s="53"/>
      <c r="Y535" s="51"/>
      <c r="Z535" s="51"/>
      <c r="AA535" s="52"/>
    </row>
    <row r="536" spans="4:27">
      <c r="D536" s="50"/>
      <c r="E536" s="50"/>
      <c r="F536" s="50"/>
      <c r="G536" s="50"/>
      <c r="H536" s="50"/>
      <c r="I536" s="50"/>
      <c r="J536" s="50"/>
      <c r="K536" s="51"/>
      <c r="L536" s="50"/>
      <c r="M536" s="50"/>
      <c r="N536" s="50"/>
      <c r="O536" s="50"/>
      <c r="P536" s="50"/>
      <c r="Q536" s="52"/>
      <c r="W536" s="53"/>
      <c r="X536" s="53"/>
      <c r="Y536" s="51"/>
      <c r="Z536" s="51"/>
      <c r="AA536" s="52"/>
    </row>
    <row r="537" spans="4:27">
      <c r="D537" s="50"/>
      <c r="E537" s="50"/>
      <c r="F537" s="50"/>
      <c r="G537" s="50"/>
      <c r="H537" s="50"/>
      <c r="I537" s="50"/>
      <c r="J537" s="50"/>
      <c r="K537" s="51"/>
      <c r="L537" s="50"/>
      <c r="M537" s="50"/>
      <c r="N537" s="50"/>
      <c r="O537" s="50"/>
      <c r="P537" s="50"/>
      <c r="Q537" s="52"/>
      <c r="W537" s="53"/>
      <c r="X537" s="53"/>
      <c r="Y537" s="51"/>
      <c r="Z537" s="51"/>
      <c r="AA537" s="52"/>
    </row>
    <row r="538" spans="4:27">
      <c r="D538" s="50"/>
      <c r="E538" s="50"/>
      <c r="F538" s="50"/>
      <c r="G538" s="50"/>
      <c r="H538" s="50"/>
      <c r="I538" s="50"/>
      <c r="J538" s="50"/>
      <c r="K538" s="51"/>
      <c r="L538" s="50"/>
      <c r="M538" s="50"/>
      <c r="N538" s="50"/>
      <c r="O538" s="50"/>
      <c r="P538" s="50"/>
      <c r="Q538" s="52"/>
      <c r="W538" s="53"/>
      <c r="X538" s="53"/>
      <c r="Y538" s="51"/>
      <c r="Z538" s="51"/>
      <c r="AA538" s="52"/>
    </row>
    <row r="539" spans="4:27">
      <c r="D539" s="50"/>
      <c r="E539" s="50"/>
      <c r="F539" s="50"/>
      <c r="G539" s="50"/>
      <c r="H539" s="50"/>
      <c r="I539" s="50"/>
      <c r="J539" s="50"/>
      <c r="K539" s="51"/>
      <c r="L539" s="50"/>
      <c r="M539" s="50"/>
      <c r="N539" s="50"/>
      <c r="O539" s="50"/>
      <c r="P539" s="50"/>
      <c r="Q539" s="52"/>
      <c r="W539" s="53"/>
      <c r="X539" s="53"/>
      <c r="Y539" s="51"/>
      <c r="Z539" s="51"/>
      <c r="AA539" s="52"/>
    </row>
    <row r="540" spans="4:27">
      <c r="D540" s="50"/>
      <c r="E540" s="50"/>
      <c r="F540" s="50"/>
      <c r="G540" s="50"/>
      <c r="H540" s="50"/>
      <c r="I540" s="50"/>
      <c r="J540" s="50"/>
      <c r="K540" s="51"/>
      <c r="L540" s="50"/>
      <c r="M540" s="50"/>
      <c r="N540" s="50"/>
      <c r="O540" s="50"/>
      <c r="P540" s="50"/>
      <c r="Q540" s="52"/>
      <c r="W540" s="53"/>
      <c r="X540" s="53"/>
      <c r="Y540" s="51"/>
      <c r="Z540" s="51"/>
      <c r="AA540" s="52"/>
    </row>
    <row r="541" spans="4:27">
      <c r="D541" s="50"/>
      <c r="E541" s="50"/>
      <c r="F541" s="50"/>
      <c r="G541" s="50"/>
      <c r="H541" s="50"/>
      <c r="I541" s="50"/>
      <c r="J541" s="50"/>
      <c r="K541" s="51"/>
      <c r="L541" s="50"/>
      <c r="M541" s="50"/>
      <c r="N541" s="50"/>
      <c r="O541" s="50"/>
      <c r="P541" s="50"/>
      <c r="Q541" s="52"/>
      <c r="W541" s="53"/>
      <c r="X541" s="53"/>
      <c r="Y541" s="51"/>
      <c r="Z541" s="51"/>
      <c r="AA541" s="52"/>
    </row>
    <row r="542" spans="4:27">
      <c r="D542" s="50"/>
      <c r="E542" s="50"/>
      <c r="F542" s="50"/>
      <c r="G542" s="50"/>
      <c r="H542" s="50"/>
      <c r="I542" s="50"/>
      <c r="J542" s="50"/>
      <c r="K542" s="51"/>
      <c r="L542" s="50"/>
      <c r="M542" s="50"/>
      <c r="N542" s="50"/>
      <c r="O542" s="50"/>
      <c r="P542" s="50"/>
      <c r="Q542" s="52"/>
      <c r="W542" s="53"/>
      <c r="X542" s="53"/>
      <c r="Y542" s="51"/>
      <c r="Z542" s="51"/>
      <c r="AA542" s="52"/>
    </row>
    <row r="543" spans="4:27">
      <c r="D543" s="50"/>
      <c r="E543" s="50"/>
      <c r="F543" s="50"/>
      <c r="G543" s="50"/>
      <c r="H543" s="50"/>
      <c r="I543" s="50"/>
      <c r="J543" s="50"/>
      <c r="K543" s="51"/>
      <c r="L543" s="50"/>
      <c r="M543" s="50"/>
      <c r="N543" s="50"/>
      <c r="O543" s="50"/>
      <c r="P543" s="50"/>
      <c r="Q543" s="52"/>
      <c r="W543" s="53"/>
      <c r="X543" s="53"/>
      <c r="Y543" s="51"/>
      <c r="Z543" s="51"/>
      <c r="AA543" s="52"/>
    </row>
    <row r="544" spans="4:27">
      <c r="D544" s="50"/>
      <c r="E544" s="50"/>
      <c r="F544" s="50"/>
      <c r="G544" s="50"/>
      <c r="H544" s="50"/>
      <c r="I544" s="50"/>
      <c r="J544" s="50"/>
      <c r="K544" s="51"/>
      <c r="L544" s="50"/>
      <c r="M544" s="50"/>
      <c r="N544" s="50"/>
      <c r="O544" s="50"/>
      <c r="P544" s="50"/>
      <c r="Q544" s="52"/>
      <c r="W544" s="53"/>
      <c r="X544" s="53"/>
      <c r="Y544" s="51"/>
      <c r="Z544" s="51"/>
      <c r="AA544" s="52"/>
    </row>
    <row r="545" spans="4:27">
      <c r="D545" s="50"/>
      <c r="E545" s="50"/>
      <c r="F545" s="50"/>
      <c r="G545" s="50"/>
      <c r="H545" s="50"/>
      <c r="I545" s="50"/>
      <c r="J545" s="50"/>
      <c r="K545" s="51"/>
      <c r="L545" s="50"/>
      <c r="M545" s="50"/>
      <c r="N545" s="50"/>
      <c r="O545" s="50"/>
      <c r="P545" s="50"/>
      <c r="Q545" s="52"/>
      <c r="W545" s="53"/>
      <c r="X545" s="53"/>
      <c r="Y545" s="51"/>
      <c r="Z545" s="51"/>
      <c r="AA545" s="52"/>
    </row>
    <row r="546" spans="4:27">
      <c r="D546" s="50"/>
      <c r="E546" s="50"/>
      <c r="F546" s="50"/>
      <c r="G546" s="50"/>
      <c r="H546" s="50"/>
      <c r="I546" s="50"/>
      <c r="J546" s="50"/>
      <c r="K546" s="51"/>
      <c r="L546" s="50"/>
      <c r="M546" s="50"/>
      <c r="N546" s="50"/>
      <c r="O546" s="50"/>
      <c r="P546" s="50"/>
      <c r="Q546" s="52"/>
      <c r="W546" s="53"/>
      <c r="X546" s="53"/>
      <c r="Y546" s="51"/>
      <c r="Z546" s="51"/>
      <c r="AA546" s="52"/>
    </row>
    <row r="547" spans="4:27">
      <c r="D547" s="50"/>
      <c r="E547" s="50"/>
      <c r="F547" s="50"/>
      <c r="G547" s="50"/>
      <c r="H547" s="50"/>
      <c r="I547" s="50"/>
      <c r="J547" s="50"/>
      <c r="K547" s="51"/>
      <c r="L547" s="50"/>
      <c r="M547" s="50"/>
      <c r="N547" s="50"/>
      <c r="O547" s="50"/>
      <c r="P547" s="50"/>
      <c r="Q547" s="52"/>
      <c r="W547" s="53"/>
      <c r="X547" s="53"/>
      <c r="Y547" s="51"/>
      <c r="Z547" s="51"/>
      <c r="AA547" s="52"/>
    </row>
    <row r="548" spans="4:27">
      <c r="D548" s="50"/>
      <c r="E548" s="50"/>
      <c r="F548" s="50"/>
      <c r="G548" s="50"/>
      <c r="H548" s="50"/>
      <c r="I548" s="50"/>
      <c r="J548" s="50"/>
      <c r="K548" s="51"/>
      <c r="L548" s="50"/>
      <c r="M548" s="50"/>
      <c r="N548" s="50"/>
      <c r="O548" s="50"/>
      <c r="P548" s="50"/>
      <c r="Q548" s="52"/>
      <c r="W548" s="53"/>
      <c r="X548" s="53"/>
      <c r="Y548" s="51"/>
      <c r="Z548" s="51"/>
      <c r="AA548" s="52"/>
    </row>
    <row r="549" spans="4:27">
      <c r="D549" s="50"/>
      <c r="E549" s="50"/>
      <c r="F549" s="50"/>
      <c r="G549" s="50"/>
      <c r="H549" s="50"/>
      <c r="I549" s="50"/>
      <c r="J549" s="50"/>
      <c r="K549" s="51"/>
      <c r="L549" s="50"/>
      <c r="M549" s="50"/>
      <c r="N549" s="50"/>
      <c r="O549" s="50"/>
      <c r="P549" s="50"/>
      <c r="Q549" s="52"/>
      <c r="W549" s="53"/>
      <c r="X549" s="53"/>
      <c r="Y549" s="51"/>
      <c r="Z549" s="51"/>
      <c r="AA549" s="52"/>
    </row>
    <row r="550" spans="4:27">
      <c r="D550" s="50"/>
      <c r="E550" s="50"/>
      <c r="F550" s="50"/>
      <c r="G550" s="50"/>
      <c r="H550" s="50"/>
      <c r="I550" s="50"/>
      <c r="J550" s="50"/>
      <c r="K550" s="51"/>
      <c r="L550" s="50"/>
      <c r="M550" s="50"/>
      <c r="N550" s="50"/>
      <c r="O550" s="50"/>
      <c r="P550" s="50"/>
      <c r="Q550" s="52"/>
      <c r="W550" s="53"/>
      <c r="X550" s="53"/>
      <c r="Y550" s="51"/>
      <c r="Z550" s="51"/>
      <c r="AA550" s="52"/>
    </row>
    <row r="551" spans="4:27">
      <c r="D551" s="50"/>
      <c r="E551" s="50"/>
      <c r="F551" s="50"/>
      <c r="G551" s="50"/>
      <c r="H551" s="50"/>
      <c r="I551" s="50"/>
      <c r="J551" s="50"/>
      <c r="K551" s="51"/>
      <c r="L551" s="50"/>
      <c r="M551" s="50"/>
      <c r="N551" s="50"/>
      <c r="O551" s="50"/>
      <c r="P551" s="50"/>
      <c r="Q551" s="52"/>
      <c r="W551" s="53"/>
      <c r="X551" s="53"/>
      <c r="Y551" s="51"/>
      <c r="Z551" s="51"/>
      <c r="AA551" s="52"/>
    </row>
    <row r="552" spans="4:27">
      <c r="D552" s="50"/>
      <c r="E552" s="50"/>
      <c r="F552" s="50"/>
      <c r="G552" s="50"/>
      <c r="H552" s="50"/>
      <c r="I552" s="50"/>
      <c r="J552" s="50"/>
      <c r="K552" s="51"/>
      <c r="L552" s="50"/>
      <c r="M552" s="50"/>
      <c r="N552" s="50"/>
      <c r="O552" s="50"/>
      <c r="P552" s="50"/>
      <c r="Q552" s="52"/>
      <c r="W552" s="53"/>
      <c r="X552" s="53"/>
      <c r="Y552" s="51"/>
      <c r="Z552" s="51"/>
      <c r="AA552" s="52"/>
    </row>
    <row r="553" spans="4:27">
      <c r="D553" s="50"/>
      <c r="E553" s="50"/>
      <c r="F553" s="50"/>
      <c r="G553" s="50"/>
      <c r="H553" s="50"/>
      <c r="I553" s="50"/>
      <c r="J553" s="50"/>
      <c r="K553" s="51"/>
      <c r="L553" s="50"/>
      <c r="M553" s="50"/>
      <c r="N553" s="50"/>
      <c r="O553" s="50"/>
      <c r="P553" s="50"/>
      <c r="Q553" s="52"/>
      <c r="W553" s="53"/>
      <c r="X553" s="53"/>
      <c r="Y553" s="51"/>
      <c r="Z553" s="51"/>
      <c r="AA553" s="52"/>
    </row>
    <row r="554" spans="4:27">
      <c r="D554" s="50"/>
      <c r="E554" s="50"/>
      <c r="F554" s="50"/>
      <c r="G554" s="50"/>
      <c r="H554" s="50"/>
      <c r="I554" s="50"/>
      <c r="J554" s="50"/>
      <c r="K554" s="51"/>
      <c r="L554" s="50"/>
      <c r="M554" s="50"/>
      <c r="N554" s="50"/>
      <c r="O554" s="50"/>
      <c r="P554" s="50"/>
      <c r="Q554" s="52"/>
      <c r="W554" s="53"/>
      <c r="X554" s="53"/>
      <c r="Y554" s="51"/>
      <c r="Z554" s="51"/>
      <c r="AA554" s="52"/>
    </row>
    <row r="555" spans="4:27">
      <c r="D555" s="50"/>
      <c r="E555" s="50"/>
      <c r="F555" s="50"/>
      <c r="G555" s="50"/>
      <c r="H555" s="50"/>
      <c r="I555" s="50"/>
      <c r="J555" s="50"/>
      <c r="K555" s="51"/>
      <c r="L555" s="50"/>
      <c r="M555" s="50"/>
      <c r="N555" s="50"/>
      <c r="O555" s="50"/>
      <c r="P555" s="50"/>
      <c r="Q555" s="52"/>
      <c r="W555" s="53"/>
      <c r="X555" s="53"/>
      <c r="Y555" s="51"/>
      <c r="Z555" s="51"/>
      <c r="AA555" s="52"/>
    </row>
    <row r="556" spans="4:27">
      <c r="D556" s="50"/>
      <c r="E556" s="50"/>
      <c r="F556" s="50"/>
      <c r="G556" s="50"/>
      <c r="H556" s="50"/>
      <c r="I556" s="50"/>
      <c r="J556" s="50"/>
      <c r="K556" s="51"/>
      <c r="L556" s="50"/>
      <c r="M556" s="50"/>
      <c r="N556" s="50"/>
      <c r="O556" s="50"/>
      <c r="P556" s="50"/>
      <c r="Q556" s="52"/>
      <c r="W556" s="53"/>
      <c r="X556" s="53"/>
      <c r="Y556" s="51"/>
      <c r="Z556" s="51"/>
      <c r="AA556" s="52"/>
    </row>
    <row r="557" spans="4:27">
      <c r="D557" s="50"/>
      <c r="E557" s="50"/>
      <c r="F557" s="50"/>
      <c r="G557" s="50"/>
      <c r="H557" s="50"/>
      <c r="I557" s="50"/>
      <c r="J557" s="50"/>
      <c r="K557" s="51"/>
      <c r="L557" s="50"/>
      <c r="M557" s="50"/>
      <c r="N557" s="50"/>
      <c r="O557" s="50"/>
      <c r="P557" s="50"/>
      <c r="Q557" s="52"/>
      <c r="W557" s="53"/>
      <c r="X557" s="53"/>
      <c r="Y557" s="51"/>
      <c r="Z557" s="51"/>
      <c r="AA557" s="52"/>
    </row>
    <row r="558" spans="4:27">
      <c r="D558" s="50"/>
      <c r="E558" s="50"/>
      <c r="F558" s="50"/>
      <c r="G558" s="50"/>
      <c r="H558" s="50"/>
      <c r="I558" s="50"/>
      <c r="J558" s="50"/>
      <c r="K558" s="51"/>
      <c r="L558" s="50"/>
      <c r="M558" s="50"/>
      <c r="N558" s="50"/>
      <c r="O558" s="50"/>
      <c r="P558" s="50"/>
      <c r="Q558" s="52"/>
      <c r="W558" s="53"/>
      <c r="X558" s="53"/>
      <c r="Y558" s="51"/>
      <c r="Z558" s="51"/>
      <c r="AA558" s="52"/>
    </row>
    <row r="559" spans="4:27">
      <c r="D559" s="50"/>
      <c r="E559" s="50"/>
      <c r="F559" s="50"/>
      <c r="G559" s="50"/>
      <c r="H559" s="50"/>
      <c r="I559" s="50"/>
      <c r="J559" s="50"/>
      <c r="K559" s="51"/>
      <c r="L559" s="50"/>
      <c r="M559" s="50"/>
      <c r="N559" s="50"/>
      <c r="O559" s="50"/>
      <c r="P559" s="50"/>
      <c r="Q559" s="52"/>
      <c r="W559" s="53"/>
      <c r="X559" s="53"/>
      <c r="Y559" s="51"/>
      <c r="Z559" s="51"/>
      <c r="AA559" s="52"/>
    </row>
    <row r="560" spans="4:27">
      <c r="D560" s="50"/>
      <c r="E560" s="50"/>
      <c r="F560" s="50"/>
      <c r="G560" s="50"/>
      <c r="H560" s="50"/>
      <c r="I560" s="50"/>
      <c r="J560" s="50"/>
      <c r="K560" s="51"/>
      <c r="L560" s="50"/>
      <c r="M560" s="50"/>
      <c r="N560" s="50"/>
      <c r="O560" s="50"/>
      <c r="P560" s="50"/>
      <c r="Q560" s="52"/>
      <c r="W560" s="53"/>
      <c r="X560" s="53"/>
      <c r="Y560" s="51"/>
      <c r="Z560" s="51"/>
      <c r="AA560" s="52"/>
    </row>
    <row r="561" spans="4:27">
      <c r="D561" s="50"/>
      <c r="E561" s="50"/>
      <c r="F561" s="50"/>
      <c r="G561" s="50"/>
      <c r="H561" s="50"/>
      <c r="I561" s="50"/>
      <c r="J561" s="50"/>
      <c r="K561" s="51"/>
      <c r="L561" s="50"/>
      <c r="M561" s="50"/>
      <c r="N561" s="50"/>
      <c r="O561" s="50"/>
      <c r="P561" s="50"/>
      <c r="Q561" s="52"/>
      <c r="W561" s="53"/>
      <c r="X561" s="53"/>
      <c r="Y561" s="51"/>
      <c r="Z561" s="51"/>
      <c r="AA561" s="52"/>
    </row>
    <row r="562" spans="4:27">
      <c r="D562" s="50"/>
      <c r="E562" s="50"/>
      <c r="F562" s="50"/>
      <c r="G562" s="50"/>
      <c r="H562" s="50"/>
      <c r="I562" s="50"/>
      <c r="J562" s="50"/>
      <c r="K562" s="51"/>
      <c r="L562" s="50"/>
      <c r="M562" s="50"/>
      <c r="N562" s="50"/>
      <c r="O562" s="50"/>
      <c r="P562" s="50"/>
      <c r="Q562" s="52"/>
      <c r="W562" s="53"/>
      <c r="X562" s="53"/>
      <c r="Y562" s="51"/>
      <c r="Z562" s="51"/>
      <c r="AA562" s="52"/>
    </row>
    <row r="563" spans="4:27">
      <c r="D563" s="50"/>
      <c r="E563" s="50"/>
      <c r="F563" s="50"/>
      <c r="G563" s="50"/>
      <c r="H563" s="50"/>
      <c r="I563" s="50"/>
      <c r="J563" s="50"/>
      <c r="K563" s="51"/>
      <c r="L563" s="50"/>
      <c r="M563" s="50"/>
      <c r="N563" s="50"/>
      <c r="O563" s="50"/>
      <c r="P563" s="50"/>
      <c r="Q563" s="52"/>
      <c r="W563" s="53"/>
      <c r="X563" s="53"/>
      <c r="Y563" s="51"/>
      <c r="Z563" s="51"/>
      <c r="AA563" s="52"/>
    </row>
    <row r="564" spans="4:27">
      <c r="D564" s="50"/>
      <c r="E564" s="50"/>
      <c r="F564" s="50"/>
      <c r="G564" s="50"/>
      <c r="H564" s="50"/>
      <c r="I564" s="50"/>
      <c r="J564" s="50"/>
      <c r="K564" s="51"/>
      <c r="L564" s="50"/>
      <c r="M564" s="50"/>
      <c r="N564" s="50"/>
      <c r="O564" s="50"/>
      <c r="P564" s="50"/>
      <c r="Q564" s="52"/>
      <c r="W564" s="53"/>
      <c r="X564" s="53"/>
      <c r="Y564" s="51"/>
      <c r="Z564" s="51"/>
      <c r="AA564" s="52"/>
    </row>
    <row r="565" spans="4:27">
      <c r="D565" s="50"/>
      <c r="E565" s="50"/>
      <c r="F565" s="50"/>
      <c r="G565" s="50"/>
      <c r="H565" s="50"/>
      <c r="I565" s="50"/>
      <c r="J565" s="50"/>
      <c r="K565" s="51"/>
      <c r="L565" s="50"/>
      <c r="M565" s="50"/>
      <c r="N565" s="50"/>
      <c r="O565" s="50"/>
      <c r="P565" s="50"/>
      <c r="Q565" s="52"/>
      <c r="W565" s="53"/>
      <c r="X565" s="53"/>
      <c r="Y565" s="51"/>
      <c r="Z565" s="51"/>
      <c r="AA565" s="52"/>
    </row>
    <row r="566" spans="4:27">
      <c r="D566" s="50"/>
      <c r="E566" s="50"/>
      <c r="F566" s="50"/>
      <c r="G566" s="50"/>
      <c r="H566" s="50"/>
      <c r="I566" s="50"/>
      <c r="J566" s="50"/>
      <c r="K566" s="51"/>
      <c r="L566" s="50"/>
      <c r="M566" s="50"/>
      <c r="N566" s="50"/>
      <c r="O566" s="50"/>
      <c r="P566" s="50"/>
      <c r="Q566" s="52"/>
      <c r="W566" s="53"/>
      <c r="X566" s="53"/>
      <c r="Y566" s="51"/>
      <c r="Z566" s="51"/>
      <c r="AA566" s="52"/>
    </row>
    <row r="567" spans="4:27">
      <c r="D567" s="50"/>
      <c r="E567" s="50"/>
      <c r="F567" s="50"/>
      <c r="G567" s="50"/>
      <c r="H567" s="50"/>
      <c r="I567" s="50"/>
      <c r="J567" s="50"/>
      <c r="K567" s="51"/>
      <c r="L567" s="50"/>
      <c r="M567" s="50"/>
      <c r="N567" s="50"/>
      <c r="O567" s="50"/>
      <c r="P567" s="50"/>
      <c r="Q567" s="52"/>
      <c r="W567" s="53"/>
      <c r="X567" s="53"/>
      <c r="Y567" s="51"/>
      <c r="Z567" s="51"/>
      <c r="AA567" s="52"/>
    </row>
    <row r="568" spans="4:27">
      <c r="D568" s="50"/>
      <c r="E568" s="50"/>
      <c r="F568" s="50"/>
      <c r="G568" s="50"/>
      <c r="H568" s="50"/>
      <c r="I568" s="50"/>
      <c r="J568" s="50"/>
      <c r="K568" s="51"/>
      <c r="L568" s="50"/>
      <c r="M568" s="50"/>
      <c r="N568" s="50"/>
      <c r="O568" s="50"/>
      <c r="P568" s="50"/>
      <c r="Q568" s="52"/>
      <c r="W568" s="53"/>
      <c r="X568" s="53"/>
      <c r="Y568" s="51"/>
      <c r="Z568" s="51"/>
      <c r="AA568" s="52"/>
    </row>
    <row r="569" spans="4:27">
      <c r="D569" s="50"/>
      <c r="E569" s="50"/>
      <c r="F569" s="50"/>
      <c r="G569" s="50"/>
      <c r="H569" s="50"/>
      <c r="I569" s="50"/>
      <c r="J569" s="50"/>
      <c r="K569" s="51"/>
      <c r="L569" s="50"/>
      <c r="M569" s="50"/>
      <c r="N569" s="50"/>
      <c r="O569" s="50"/>
      <c r="P569" s="50"/>
      <c r="Q569" s="52"/>
      <c r="W569" s="53"/>
      <c r="X569" s="53"/>
      <c r="Y569" s="51"/>
      <c r="Z569" s="51"/>
      <c r="AA569" s="52"/>
    </row>
    <row r="570" spans="4:27">
      <c r="D570" s="50"/>
      <c r="E570" s="50"/>
      <c r="F570" s="50"/>
      <c r="G570" s="50"/>
      <c r="H570" s="50"/>
      <c r="I570" s="50"/>
      <c r="J570" s="50"/>
      <c r="K570" s="51"/>
      <c r="L570" s="50"/>
      <c r="M570" s="50"/>
      <c r="N570" s="50"/>
      <c r="O570" s="50"/>
      <c r="P570" s="50"/>
      <c r="Q570" s="52"/>
      <c r="W570" s="53"/>
      <c r="X570" s="53"/>
      <c r="Y570" s="51"/>
      <c r="Z570" s="51"/>
      <c r="AA570" s="52"/>
    </row>
    <row r="571" spans="4:27">
      <c r="D571" s="50"/>
      <c r="E571" s="50"/>
      <c r="F571" s="50"/>
      <c r="G571" s="50"/>
      <c r="H571" s="50"/>
      <c r="I571" s="50"/>
      <c r="J571" s="50"/>
      <c r="K571" s="51"/>
      <c r="L571" s="50"/>
      <c r="M571" s="50"/>
      <c r="N571" s="50"/>
      <c r="O571" s="50"/>
      <c r="P571" s="50"/>
      <c r="Q571" s="52"/>
      <c r="W571" s="53"/>
      <c r="X571" s="53"/>
      <c r="Y571" s="51"/>
      <c r="Z571" s="51"/>
      <c r="AA571" s="52"/>
    </row>
    <row r="572" spans="4:27">
      <c r="D572" s="50"/>
      <c r="E572" s="50"/>
      <c r="F572" s="50"/>
      <c r="G572" s="50"/>
      <c r="H572" s="50"/>
      <c r="I572" s="50"/>
      <c r="J572" s="50"/>
      <c r="K572" s="51"/>
      <c r="L572" s="50"/>
      <c r="M572" s="50"/>
      <c r="N572" s="50"/>
      <c r="O572" s="50"/>
      <c r="P572" s="50"/>
      <c r="Q572" s="52"/>
      <c r="W572" s="53"/>
      <c r="X572" s="53"/>
      <c r="Y572" s="51"/>
      <c r="Z572" s="51"/>
      <c r="AA572" s="52"/>
    </row>
    <row r="573" spans="4:27">
      <c r="D573" s="50"/>
      <c r="E573" s="50"/>
      <c r="F573" s="50"/>
      <c r="G573" s="50"/>
      <c r="H573" s="50"/>
      <c r="I573" s="50"/>
      <c r="J573" s="50"/>
      <c r="K573" s="51"/>
      <c r="L573" s="50"/>
      <c r="M573" s="50"/>
      <c r="N573" s="50"/>
      <c r="O573" s="50"/>
      <c r="P573" s="50"/>
      <c r="Q573" s="52"/>
      <c r="W573" s="53"/>
      <c r="X573" s="53"/>
      <c r="Y573" s="51"/>
      <c r="Z573" s="51"/>
      <c r="AA573" s="52"/>
    </row>
    <row r="574" spans="4:27">
      <c r="D574" s="50"/>
      <c r="E574" s="50"/>
      <c r="F574" s="50"/>
      <c r="G574" s="50"/>
      <c r="H574" s="50"/>
      <c r="I574" s="50"/>
      <c r="J574" s="50"/>
      <c r="K574" s="51"/>
      <c r="L574" s="50"/>
      <c r="M574" s="50"/>
      <c r="N574" s="50"/>
      <c r="O574" s="50"/>
      <c r="P574" s="50"/>
      <c r="Q574" s="52"/>
      <c r="W574" s="53"/>
      <c r="X574" s="53"/>
      <c r="Y574" s="51"/>
      <c r="Z574" s="51"/>
      <c r="AA574" s="52"/>
    </row>
    <row r="575" spans="4:27">
      <c r="D575" s="50"/>
      <c r="E575" s="50"/>
      <c r="F575" s="50"/>
      <c r="G575" s="50"/>
      <c r="H575" s="50"/>
      <c r="I575" s="50"/>
      <c r="J575" s="50"/>
      <c r="K575" s="51"/>
      <c r="L575" s="50"/>
      <c r="M575" s="50"/>
      <c r="N575" s="50"/>
      <c r="O575" s="50"/>
      <c r="P575" s="50"/>
      <c r="Q575" s="52"/>
      <c r="W575" s="53"/>
      <c r="X575" s="53"/>
      <c r="Y575" s="51"/>
      <c r="Z575" s="51"/>
      <c r="AA575" s="52"/>
    </row>
    <row r="576" spans="4:27">
      <c r="D576" s="50"/>
      <c r="E576" s="50"/>
      <c r="F576" s="50"/>
      <c r="G576" s="50"/>
      <c r="H576" s="50"/>
      <c r="I576" s="50"/>
      <c r="J576" s="50"/>
      <c r="K576" s="51"/>
      <c r="L576" s="50"/>
      <c r="M576" s="50"/>
      <c r="N576" s="50"/>
      <c r="O576" s="50"/>
      <c r="P576" s="50"/>
      <c r="Q576" s="52"/>
      <c r="W576" s="53"/>
      <c r="X576" s="53"/>
      <c r="Y576" s="51"/>
      <c r="Z576" s="51"/>
      <c r="AA576" s="52"/>
    </row>
    <row r="577" spans="4:27">
      <c r="D577" s="50"/>
      <c r="E577" s="50"/>
      <c r="F577" s="50"/>
      <c r="G577" s="50"/>
      <c r="H577" s="50"/>
      <c r="I577" s="50"/>
      <c r="J577" s="50"/>
      <c r="K577" s="51"/>
      <c r="L577" s="50"/>
      <c r="M577" s="50"/>
      <c r="N577" s="50"/>
      <c r="O577" s="50"/>
      <c r="P577" s="50"/>
      <c r="Q577" s="52"/>
      <c r="W577" s="53"/>
      <c r="X577" s="53"/>
      <c r="Y577" s="51"/>
      <c r="Z577" s="51"/>
      <c r="AA577" s="52"/>
    </row>
    <row r="578" spans="4:27">
      <c r="D578" s="50"/>
      <c r="E578" s="50"/>
      <c r="F578" s="50"/>
      <c r="G578" s="50"/>
      <c r="H578" s="50"/>
      <c r="I578" s="50"/>
      <c r="J578" s="50"/>
      <c r="K578" s="51"/>
      <c r="L578" s="50"/>
      <c r="M578" s="50"/>
      <c r="N578" s="50"/>
      <c r="O578" s="50"/>
      <c r="P578" s="50"/>
      <c r="Q578" s="52"/>
      <c r="W578" s="53"/>
      <c r="X578" s="53"/>
      <c r="Y578" s="51"/>
      <c r="Z578" s="51"/>
      <c r="AA578" s="52"/>
    </row>
    <row r="579" spans="4:27">
      <c r="D579" s="50"/>
      <c r="E579" s="50"/>
      <c r="F579" s="50"/>
      <c r="G579" s="50"/>
      <c r="H579" s="50"/>
      <c r="I579" s="50"/>
      <c r="J579" s="50"/>
      <c r="K579" s="51"/>
      <c r="L579" s="50"/>
      <c r="M579" s="50"/>
      <c r="N579" s="50"/>
      <c r="O579" s="50"/>
      <c r="P579" s="50"/>
      <c r="Q579" s="52"/>
      <c r="W579" s="53"/>
      <c r="X579" s="53"/>
      <c r="Y579" s="51"/>
      <c r="Z579" s="51"/>
      <c r="AA579" s="52"/>
    </row>
    <row r="580" spans="4:27">
      <c r="D580" s="50"/>
      <c r="E580" s="50"/>
      <c r="F580" s="50"/>
      <c r="G580" s="50"/>
      <c r="H580" s="50"/>
      <c r="I580" s="50"/>
      <c r="J580" s="50"/>
      <c r="K580" s="51"/>
      <c r="L580" s="50"/>
      <c r="M580" s="50"/>
      <c r="N580" s="50"/>
      <c r="O580" s="50"/>
      <c r="P580" s="50"/>
      <c r="Q580" s="52"/>
      <c r="W580" s="53"/>
      <c r="X580" s="53"/>
      <c r="Y580" s="51"/>
      <c r="Z580" s="51"/>
      <c r="AA580" s="52"/>
    </row>
    <row r="581" spans="4:27">
      <c r="D581" s="50"/>
      <c r="E581" s="50"/>
      <c r="F581" s="50"/>
      <c r="G581" s="50"/>
      <c r="H581" s="50"/>
      <c r="I581" s="50"/>
      <c r="J581" s="50"/>
      <c r="K581" s="51"/>
      <c r="L581" s="50"/>
      <c r="M581" s="50"/>
      <c r="N581" s="50"/>
      <c r="O581" s="50"/>
      <c r="P581" s="50"/>
      <c r="Q581" s="52"/>
      <c r="W581" s="53"/>
      <c r="X581" s="53"/>
      <c r="Y581" s="51"/>
      <c r="Z581" s="51"/>
      <c r="AA581" s="52"/>
    </row>
    <row r="582" spans="4:27">
      <c r="D582" s="50"/>
      <c r="E582" s="50"/>
      <c r="F582" s="50"/>
      <c r="G582" s="50"/>
      <c r="H582" s="50"/>
      <c r="I582" s="50"/>
      <c r="J582" s="50"/>
      <c r="K582" s="51"/>
      <c r="L582" s="50"/>
      <c r="M582" s="50"/>
      <c r="N582" s="50"/>
      <c r="O582" s="50"/>
      <c r="P582" s="50"/>
      <c r="Q582" s="52"/>
      <c r="W582" s="53"/>
      <c r="X582" s="53"/>
      <c r="Y582" s="51"/>
      <c r="Z582" s="51"/>
      <c r="AA582" s="52"/>
    </row>
    <row r="583" spans="4:27">
      <c r="D583" s="50"/>
      <c r="E583" s="50"/>
      <c r="F583" s="50"/>
      <c r="G583" s="50"/>
      <c r="H583" s="50"/>
      <c r="I583" s="50"/>
      <c r="J583" s="50"/>
      <c r="K583" s="51"/>
      <c r="L583" s="50"/>
      <c r="M583" s="50"/>
      <c r="N583" s="50"/>
      <c r="O583" s="50"/>
      <c r="P583" s="50"/>
      <c r="Q583" s="52"/>
      <c r="W583" s="53"/>
      <c r="X583" s="53"/>
      <c r="Y583" s="51"/>
      <c r="Z583" s="51"/>
      <c r="AA583" s="52"/>
    </row>
    <row r="584" spans="4:27">
      <c r="D584" s="50"/>
      <c r="E584" s="50"/>
      <c r="F584" s="50"/>
      <c r="G584" s="50"/>
      <c r="H584" s="50"/>
      <c r="I584" s="50"/>
      <c r="J584" s="50"/>
      <c r="K584" s="51"/>
      <c r="L584" s="50"/>
      <c r="M584" s="50"/>
      <c r="N584" s="50"/>
      <c r="O584" s="50"/>
      <c r="P584" s="50"/>
      <c r="Q584" s="52"/>
      <c r="W584" s="53"/>
      <c r="X584" s="53"/>
      <c r="Y584" s="51"/>
      <c r="Z584" s="51"/>
      <c r="AA584" s="52"/>
    </row>
    <row r="585" spans="4:27">
      <c r="D585" s="50"/>
      <c r="E585" s="50"/>
      <c r="F585" s="50"/>
      <c r="G585" s="50"/>
      <c r="H585" s="50"/>
      <c r="I585" s="50"/>
      <c r="J585" s="50"/>
      <c r="K585" s="51"/>
      <c r="L585" s="50"/>
      <c r="M585" s="50"/>
      <c r="N585" s="50"/>
      <c r="O585" s="50"/>
      <c r="P585" s="50"/>
      <c r="Q585" s="52"/>
      <c r="W585" s="53"/>
      <c r="X585" s="53"/>
      <c r="Y585" s="51"/>
      <c r="Z585" s="51"/>
      <c r="AA585" s="52"/>
    </row>
    <row r="586" spans="4:27">
      <c r="D586" s="50"/>
      <c r="E586" s="50"/>
      <c r="F586" s="50"/>
      <c r="G586" s="50"/>
      <c r="H586" s="50"/>
      <c r="I586" s="50"/>
      <c r="J586" s="50"/>
      <c r="K586" s="51"/>
      <c r="L586" s="50"/>
      <c r="M586" s="50"/>
      <c r="N586" s="50"/>
      <c r="O586" s="50"/>
      <c r="P586" s="50"/>
      <c r="Q586" s="52"/>
      <c r="W586" s="53"/>
      <c r="X586" s="53"/>
      <c r="Y586" s="51"/>
      <c r="Z586" s="51"/>
      <c r="AA586" s="52"/>
    </row>
    <row r="587" spans="4:27">
      <c r="D587" s="50"/>
      <c r="E587" s="50"/>
      <c r="F587" s="50"/>
      <c r="G587" s="50"/>
      <c r="H587" s="50"/>
      <c r="I587" s="50"/>
      <c r="J587" s="50"/>
      <c r="K587" s="51"/>
      <c r="L587" s="50"/>
      <c r="M587" s="50"/>
      <c r="N587" s="50"/>
      <c r="O587" s="50"/>
      <c r="P587" s="50"/>
      <c r="Q587" s="52"/>
      <c r="W587" s="53"/>
      <c r="X587" s="53"/>
      <c r="Y587" s="51"/>
      <c r="Z587" s="51"/>
      <c r="AA587" s="52"/>
    </row>
    <row r="588" spans="4:27">
      <c r="D588" s="50"/>
      <c r="E588" s="50"/>
      <c r="F588" s="50"/>
      <c r="G588" s="50"/>
      <c r="H588" s="50"/>
      <c r="I588" s="50"/>
      <c r="J588" s="50"/>
      <c r="K588" s="51"/>
      <c r="L588" s="50"/>
      <c r="M588" s="50"/>
      <c r="N588" s="50"/>
      <c r="O588" s="50"/>
      <c r="P588" s="50"/>
      <c r="Q588" s="52"/>
      <c r="W588" s="53"/>
      <c r="X588" s="53"/>
      <c r="Y588" s="51"/>
      <c r="Z588" s="51"/>
      <c r="AA588" s="52"/>
    </row>
    <row r="589" spans="4:27">
      <c r="D589" s="50"/>
      <c r="E589" s="50"/>
      <c r="F589" s="50"/>
      <c r="G589" s="50"/>
      <c r="H589" s="50"/>
      <c r="I589" s="50"/>
      <c r="J589" s="50"/>
      <c r="K589" s="51"/>
      <c r="L589" s="50"/>
      <c r="M589" s="50"/>
      <c r="N589" s="50"/>
      <c r="O589" s="50"/>
      <c r="P589" s="50"/>
      <c r="Q589" s="52"/>
      <c r="W589" s="53"/>
      <c r="X589" s="53"/>
      <c r="Y589" s="51"/>
      <c r="Z589" s="51"/>
      <c r="AA589" s="52"/>
    </row>
    <row r="590" spans="4:27">
      <c r="D590" s="50"/>
      <c r="E590" s="50"/>
      <c r="F590" s="50"/>
      <c r="G590" s="50"/>
      <c r="H590" s="50"/>
      <c r="I590" s="50"/>
      <c r="J590" s="50"/>
      <c r="K590" s="51"/>
      <c r="L590" s="50"/>
      <c r="M590" s="50"/>
      <c r="N590" s="50"/>
      <c r="O590" s="50"/>
      <c r="P590" s="50"/>
      <c r="Q590" s="52"/>
      <c r="W590" s="53"/>
      <c r="X590" s="53"/>
      <c r="Y590" s="51"/>
      <c r="Z590" s="51"/>
      <c r="AA590" s="52"/>
    </row>
    <row r="591" spans="4:27">
      <c r="D591" s="50"/>
      <c r="E591" s="50"/>
      <c r="F591" s="50"/>
      <c r="G591" s="50"/>
      <c r="H591" s="50"/>
      <c r="I591" s="50"/>
      <c r="J591" s="50"/>
      <c r="K591" s="51"/>
      <c r="L591" s="50"/>
      <c r="M591" s="50"/>
      <c r="N591" s="50"/>
      <c r="O591" s="50"/>
      <c r="P591" s="50"/>
      <c r="Q591" s="52"/>
      <c r="W591" s="53"/>
      <c r="X591" s="53"/>
      <c r="Y591" s="51"/>
      <c r="Z591" s="51"/>
      <c r="AA591" s="52"/>
    </row>
    <row r="592" spans="4:27">
      <c r="D592" s="50"/>
      <c r="E592" s="50"/>
      <c r="F592" s="50"/>
      <c r="G592" s="50"/>
      <c r="H592" s="50"/>
      <c r="I592" s="50"/>
      <c r="J592" s="50"/>
      <c r="K592" s="51"/>
      <c r="L592" s="50"/>
      <c r="M592" s="50"/>
      <c r="N592" s="50"/>
      <c r="O592" s="50"/>
      <c r="P592" s="50"/>
      <c r="Q592" s="52"/>
      <c r="W592" s="53"/>
      <c r="X592" s="53"/>
      <c r="Y592" s="51"/>
      <c r="Z592" s="51"/>
      <c r="AA592" s="52"/>
    </row>
    <row r="593" spans="4:27">
      <c r="D593" s="50"/>
      <c r="E593" s="50"/>
      <c r="F593" s="50"/>
      <c r="G593" s="50"/>
      <c r="H593" s="50"/>
      <c r="I593" s="50"/>
      <c r="J593" s="50"/>
      <c r="K593" s="51"/>
      <c r="L593" s="50"/>
      <c r="M593" s="50"/>
      <c r="N593" s="50"/>
      <c r="O593" s="50"/>
      <c r="P593" s="50"/>
      <c r="Q593" s="52"/>
      <c r="W593" s="53"/>
      <c r="X593" s="53"/>
      <c r="Y593" s="51"/>
      <c r="Z593" s="51"/>
      <c r="AA593" s="52"/>
    </row>
    <row r="594" spans="4:27">
      <c r="D594" s="50"/>
      <c r="E594" s="50"/>
      <c r="F594" s="50"/>
      <c r="G594" s="50"/>
      <c r="H594" s="50"/>
      <c r="I594" s="50"/>
      <c r="J594" s="50"/>
      <c r="K594" s="51"/>
      <c r="L594" s="50"/>
      <c r="M594" s="50"/>
      <c r="N594" s="50"/>
      <c r="O594" s="50"/>
      <c r="P594" s="50"/>
      <c r="Q594" s="52"/>
      <c r="W594" s="53"/>
      <c r="X594" s="53"/>
      <c r="Y594" s="51"/>
      <c r="Z594" s="51"/>
      <c r="AA594" s="52"/>
    </row>
    <row r="595" spans="4:27">
      <c r="D595" s="50"/>
      <c r="E595" s="50"/>
      <c r="F595" s="50"/>
      <c r="G595" s="50"/>
      <c r="H595" s="50"/>
      <c r="I595" s="50"/>
      <c r="J595" s="50"/>
      <c r="K595" s="51"/>
      <c r="L595" s="50"/>
      <c r="M595" s="50"/>
      <c r="N595" s="50"/>
      <c r="O595" s="50"/>
      <c r="P595" s="50"/>
      <c r="Q595" s="52"/>
      <c r="W595" s="53"/>
      <c r="X595" s="53"/>
      <c r="Y595" s="51"/>
      <c r="Z595" s="51"/>
      <c r="AA595" s="52"/>
    </row>
    <row r="596" spans="4:27">
      <c r="D596" s="50"/>
      <c r="E596" s="50"/>
      <c r="F596" s="50"/>
      <c r="G596" s="50"/>
      <c r="H596" s="50"/>
      <c r="I596" s="50"/>
      <c r="J596" s="50"/>
      <c r="K596" s="51"/>
      <c r="L596" s="50"/>
      <c r="M596" s="50"/>
      <c r="N596" s="50"/>
      <c r="O596" s="50"/>
      <c r="P596" s="50"/>
      <c r="Q596" s="52"/>
      <c r="W596" s="53"/>
      <c r="X596" s="53"/>
      <c r="Y596" s="51"/>
      <c r="Z596" s="51"/>
      <c r="AA596" s="52"/>
    </row>
    <row r="597" spans="4:27">
      <c r="D597" s="50"/>
      <c r="E597" s="50"/>
      <c r="F597" s="50"/>
      <c r="G597" s="50"/>
      <c r="H597" s="50"/>
      <c r="I597" s="50"/>
      <c r="J597" s="50"/>
      <c r="K597" s="51"/>
      <c r="L597" s="50"/>
      <c r="M597" s="50"/>
      <c r="N597" s="50"/>
      <c r="O597" s="50"/>
      <c r="P597" s="50"/>
      <c r="Q597" s="52"/>
      <c r="W597" s="53"/>
      <c r="X597" s="53"/>
      <c r="Y597" s="51"/>
      <c r="Z597" s="51"/>
      <c r="AA597" s="52"/>
    </row>
    <row r="598" spans="4:27">
      <c r="D598" s="50"/>
      <c r="E598" s="50"/>
      <c r="F598" s="50"/>
      <c r="G598" s="50"/>
      <c r="H598" s="50"/>
      <c r="I598" s="50"/>
      <c r="J598" s="50"/>
      <c r="K598" s="51"/>
      <c r="L598" s="50"/>
      <c r="M598" s="50"/>
      <c r="N598" s="50"/>
      <c r="O598" s="50"/>
      <c r="P598" s="50"/>
      <c r="Q598" s="52"/>
      <c r="W598" s="53"/>
      <c r="X598" s="53"/>
      <c r="Y598" s="51"/>
      <c r="Z598" s="51"/>
      <c r="AA598" s="52"/>
    </row>
    <row r="599" spans="4:27">
      <c r="D599" s="50"/>
      <c r="E599" s="50"/>
      <c r="F599" s="50"/>
      <c r="G599" s="50"/>
      <c r="H599" s="50"/>
      <c r="I599" s="50"/>
      <c r="J599" s="50"/>
      <c r="K599" s="51"/>
      <c r="L599" s="50"/>
      <c r="M599" s="50"/>
      <c r="N599" s="50"/>
      <c r="O599" s="50"/>
      <c r="P599" s="50"/>
      <c r="Q599" s="52"/>
      <c r="W599" s="53"/>
      <c r="X599" s="53"/>
      <c r="Y599" s="51"/>
      <c r="Z599" s="51"/>
      <c r="AA599" s="52"/>
    </row>
    <row r="600" spans="4:27">
      <c r="D600" s="50"/>
      <c r="E600" s="50"/>
      <c r="F600" s="50"/>
      <c r="G600" s="50"/>
      <c r="H600" s="50"/>
      <c r="I600" s="50"/>
      <c r="J600" s="50"/>
      <c r="K600" s="51"/>
      <c r="L600" s="50"/>
      <c r="M600" s="50"/>
      <c r="N600" s="50"/>
      <c r="O600" s="50"/>
      <c r="P600" s="50"/>
      <c r="Q600" s="52"/>
      <c r="W600" s="53"/>
      <c r="X600" s="53"/>
      <c r="Y600" s="51"/>
      <c r="Z600" s="51"/>
      <c r="AA600" s="52"/>
    </row>
    <row r="601" spans="4:27">
      <c r="D601" s="50"/>
      <c r="E601" s="50"/>
      <c r="F601" s="50"/>
      <c r="G601" s="50"/>
      <c r="H601" s="50"/>
      <c r="I601" s="50"/>
      <c r="J601" s="50"/>
      <c r="K601" s="51"/>
      <c r="L601" s="50"/>
      <c r="M601" s="50"/>
      <c r="N601" s="50"/>
      <c r="O601" s="50"/>
      <c r="P601" s="50"/>
      <c r="Q601" s="52"/>
      <c r="W601" s="53"/>
      <c r="X601" s="53"/>
      <c r="Y601" s="51"/>
      <c r="Z601" s="51"/>
      <c r="AA601" s="52"/>
    </row>
    <row r="602" spans="4:27">
      <c r="D602" s="50"/>
      <c r="E602" s="50"/>
      <c r="F602" s="50"/>
      <c r="G602" s="50"/>
      <c r="H602" s="50"/>
      <c r="I602" s="50"/>
      <c r="J602" s="50"/>
      <c r="K602" s="51"/>
      <c r="L602" s="50"/>
      <c r="M602" s="50"/>
      <c r="N602" s="50"/>
      <c r="O602" s="50"/>
      <c r="P602" s="50"/>
      <c r="Q602" s="52"/>
      <c r="W602" s="53"/>
      <c r="X602" s="53"/>
      <c r="Y602" s="51"/>
      <c r="Z602" s="51"/>
      <c r="AA602" s="52"/>
    </row>
    <row r="603" spans="4:27">
      <c r="D603" s="50"/>
      <c r="E603" s="50"/>
      <c r="F603" s="50"/>
      <c r="G603" s="50"/>
      <c r="H603" s="50"/>
      <c r="I603" s="50"/>
      <c r="J603" s="50"/>
      <c r="K603" s="51"/>
      <c r="L603" s="50"/>
      <c r="M603" s="50"/>
      <c r="N603" s="50"/>
      <c r="O603" s="50"/>
      <c r="P603" s="50"/>
      <c r="Q603" s="52"/>
      <c r="W603" s="53"/>
      <c r="X603" s="53"/>
      <c r="Y603" s="51"/>
      <c r="Z603" s="51"/>
      <c r="AA603" s="52"/>
    </row>
    <row r="604" spans="4:27">
      <c r="D604" s="50"/>
      <c r="E604" s="50"/>
      <c r="F604" s="50"/>
      <c r="G604" s="50"/>
      <c r="H604" s="50"/>
      <c r="I604" s="50"/>
      <c r="J604" s="50"/>
      <c r="K604" s="51"/>
      <c r="L604" s="50"/>
      <c r="M604" s="50"/>
      <c r="N604" s="50"/>
      <c r="O604" s="50"/>
      <c r="P604" s="50"/>
      <c r="Q604" s="52"/>
      <c r="W604" s="53"/>
      <c r="X604" s="53"/>
      <c r="Y604" s="51"/>
      <c r="Z604" s="51"/>
      <c r="AA604" s="52"/>
    </row>
    <row r="605" spans="4:27">
      <c r="D605" s="50"/>
      <c r="E605" s="50"/>
      <c r="F605" s="50"/>
      <c r="G605" s="50"/>
      <c r="H605" s="50"/>
      <c r="I605" s="50"/>
      <c r="J605" s="50"/>
      <c r="K605" s="51"/>
      <c r="L605" s="50"/>
      <c r="M605" s="50"/>
      <c r="N605" s="50"/>
      <c r="O605" s="50"/>
      <c r="P605" s="50"/>
      <c r="Q605" s="52"/>
      <c r="W605" s="53"/>
      <c r="X605" s="53"/>
      <c r="Y605" s="51"/>
      <c r="Z605" s="51"/>
      <c r="AA605" s="52"/>
    </row>
    <row r="606" spans="4:27">
      <c r="D606" s="50"/>
      <c r="E606" s="50"/>
      <c r="F606" s="50"/>
      <c r="G606" s="50"/>
      <c r="H606" s="50"/>
      <c r="I606" s="50"/>
      <c r="J606" s="50"/>
      <c r="K606" s="51"/>
      <c r="L606" s="50"/>
      <c r="M606" s="50"/>
      <c r="N606" s="50"/>
      <c r="O606" s="50"/>
      <c r="P606" s="50"/>
      <c r="Q606" s="52"/>
      <c r="W606" s="53"/>
      <c r="X606" s="53"/>
      <c r="Y606" s="51"/>
      <c r="Z606" s="51"/>
      <c r="AA606" s="52"/>
    </row>
    <row r="607" spans="4:27">
      <c r="D607" s="50"/>
      <c r="E607" s="50"/>
      <c r="F607" s="50"/>
      <c r="G607" s="50"/>
      <c r="H607" s="50"/>
      <c r="I607" s="50"/>
      <c r="J607" s="50"/>
      <c r="K607" s="51"/>
      <c r="L607" s="50"/>
      <c r="M607" s="50"/>
      <c r="N607" s="50"/>
      <c r="O607" s="50"/>
      <c r="P607" s="50"/>
      <c r="Q607" s="52"/>
      <c r="W607" s="53"/>
      <c r="X607" s="53"/>
      <c r="Y607" s="51"/>
      <c r="Z607" s="51"/>
      <c r="AA607" s="52"/>
    </row>
    <row r="608" spans="4:27">
      <c r="D608" s="50"/>
      <c r="E608" s="50"/>
      <c r="F608" s="50"/>
      <c r="G608" s="50"/>
      <c r="H608" s="50"/>
      <c r="I608" s="50"/>
      <c r="J608" s="50"/>
      <c r="K608" s="51"/>
      <c r="L608" s="50"/>
      <c r="M608" s="50"/>
      <c r="N608" s="50"/>
      <c r="O608" s="50"/>
      <c r="P608" s="50"/>
      <c r="Q608" s="52"/>
      <c r="W608" s="53"/>
      <c r="X608" s="53"/>
      <c r="Y608" s="51"/>
      <c r="Z608" s="51"/>
      <c r="AA608" s="52"/>
    </row>
    <row r="609" spans="4:27">
      <c r="D609" s="50"/>
      <c r="E609" s="50"/>
      <c r="F609" s="50"/>
      <c r="G609" s="50"/>
      <c r="H609" s="50"/>
      <c r="I609" s="50"/>
      <c r="J609" s="50"/>
      <c r="K609" s="51"/>
      <c r="L609" s="50"/>
      <c r="M609" s="50"/>
      <c r="N609" s="50"/>
      <c r="O609" s="50"/>
      <c r="P609" s="50"/>
      <c r="Q609" s="52"/>
      <c r="W609" s="53"/>
      <c r="X609" s="53"/>
      <c r="Y609" s="51"/>
      <c r="Z609" s="51"/>
      <c r="AA609" s="52"/>
    </row>
    <row r="610" spans="4:27">
      <c r="D610" s="50"/>
      <c r="E610" s="50"/>
      <c r="F610" s="50"/>
      <c r="G610" s="50"/>
      <c r="H610" s="50"/>
      <c r="I610" s="50"/>
      <c r="J610" s="50"/>
      <c r="K610" s="51"/>
      <c r="L610" s="50"/>
      <c r="M610" s="50"/>
      <c r="N610" s="50"/>
      <c r="O610" s="50"/>
      <c r="P610" s="50"/>
      <c r="Q610" s="52"/>
      <c r="W610" s="53"/>
      <c r="X610" s="53"/>
      <c r="Y610" s="51"/>
      <c r="Z610" s="51"/>
      <c r="AA610" s="52"/>
    </row>
    <row r="611" spans="4:27">
      <c r="D611" s="50"/>
      <c r="E611" s="50"/>
      <c r="F611" s="50"/>
      <c r="G611" s="50"/>
      <c r="H611" s="50"/>
      <c r="I611" s="50"/>
      <c r="J611" s="50"/>
      <c r="K611" s="51"/>
      <c r="L611" s="50"/>
      <c r="M611" s="50"/>
      <c r="N611" s="50"/>
      <c r="O611" s="50"/>
      <c r="P611" s="50"/>
      <c r="Q611" s="52"/>
      <c r="W611" s="53"/>
      <c r="X611" s="53"/>
      <c r="Y611" s="51"/>
      <c r="Z611" s="51"/>
      <c r="AA611" s="52"/>
    </row>
    <row r="612" spans="4:27">
      <c r="D612" s="50"/>
      <c r="E612" s="50"/>
      <c r="F612" s="50"/>
      <c r="G612" s="50"/>
      <c r="H612" s="50"/>
      <c r="I612" s="50"/>
      <c r="J612" s="50"/>
      <c r="K612" s="51"/>
      <c r="L612" s="50"/>
      <c r="M612" s="50"/>
      <c r="N612" s="50"/>
      <c r="O612" s="50"/>
      <c r="P612" s="50"/>
      <c r="Q612" s="52"/>
      <c r="W612" s="53"/>
      <c r="X612" s="53"/>
      <c r="Y612" s="51"/>
      <c r="Z612" s="51"/>
      <c r="AA612" s="52"/>
    </row>
    <row r="613" spans="4:27">
      <c r="D613" s="50"/>
      <c r="E613" s="50"/>
      <c r="F613" s="50"/>
      <c r="G613" s="50"/>
      <c r="H613" s="50"/>
      <c r="I613" s="50"/>
      <c r="J613" s="50"/>
      <c r="K613" s="51"/>
      <c r="L613" s="50"/>
      <c r="M613" s="50"/>
      <c r="N613" s="50"/>
      <c r="O613" s="50"/>
      <c r="P613" s="50"/>
      <c r="Q613" s="52"/>
      <c r="W613" s="53"/>
      <c r="X613" s="53"/>
      <c r="Y613" s="51"/>
      <c r="Z613" s="51"/>
      <c r="AA613" s="52"/>
    </row>
    <row r="614" spans="4:27">
      <c r="D614" s="50"/>
      <c r="E614" s="50"/>
      <c r="F614" s="50"/>
      <c r="G614" s="50"/>
      <c r="H614" s="50"/>
      <c r="I614" s="50"/>
      <c r="J614" s="50"/>
      <c r="K614" s="51"/>
      <c r="L614" s="50"/>
      <c r="M614" s="50"/>
      <c r="N614" s="50"/>
      <c r="O614" s="50"/>
      <c r="P614" s="50"/>
      <c r="Q614" s="52"/>
      <c r="W614" s="53"/>
      <c r="X614" s="53"/>
      <c r="Y614" s="51"/>
      <c r="Z614" s="51"/>
      <c r="AA614" s="52"/>
    </row>
    <row r="615" spans="4:27">
      <c r="D615" s="50"/>
      <c r="E615" s="50"/>
      <c r="F615" s="50"/>
      <c r="G615" s="50"/>
      <c r="H615" s="50"/>
      <c r="I615" s="50"/>
      <c r="J615" s="50"/>
      <c r="K615" s="51"/>
      <c r="L615" s="50"/>
      <c r="M615" s="50"/>
      <c r="N615" s="50"/>
      <c r="O615" s="50"/>
      <c r="P615" s="50"/>
      <c r="Q615" s="52"/>
      <c r="W615" s="53"/>
      <c r="X615" s="53"/>
      <c r="Y615" s="51"/>
      <c r="Z615" s="51"/>
      <c r="AA615" s="52"/>
    </row>
    <row r="616" spans="4:27">
      <c r="D616" s="50"/>
      <c r="E616" s="50"/>
      <c r="F616" s="50"/>
      <c r="G616" s="50"/>
      <c r="H616" s="50"/>
      <c r="I616" s="50"/>
      <c r="J616" s="50"/>
      <c r="K616" s="51"/>
      <c r="L616" s="50"/>
      <c r="M616" s="50"/>
      <c r="N616" s="50"/>
      <c r="O616" s="50"/>
      <c r="P616" s="50"/>
      <c r="Q616" s="52"/>
      <c r="W616" s="53"/>
      <c r="X616" s="53"/>
      <c r="Y616" s="51"/>
      <c r="Z616" s="51"/>
      <c r="AA616" s="52"/>
    </row>
    <row r="617" spans="4:27">
      <c r="D617" s="50"/>
      <c r="E617" s="50"/>
      <c r="F617" s="50"/>
      <c r="G617" s="50"/>
      <c r="H617" s="50"/>
      <c r="I617" s="50"/>
      <c r="J617" s="50"/>
      <c r="K617" s="51"/>
      <c r="L617" s="50"/>
      <c r="M617" s="50"/>
      <c r="N617" s="50"/>
      <c r="O617" s="50"/>
      <c r="P617" s="50"/>
      <c r="Q617" s="52"/>
      <c r="W617" s="53"/>
      <c r="X617" s="53"/>
      <c r="Y617" s="51"/>
      <c r="Z617" s="51"/>
      <c r="AA617" s="52"/>
    </row>
    <row r="618" spans="4:27">
      <c r="D618" s="50"/>
      <c r="E618" s="50"/>
      <c r="F618" s="50"/>
      <c r="G618" s="50"/>
      <c r="H618" s="50"/>
      <c r="I618" s="50"/>
      <c r="J618" s="50"/>
      <c r="K618" s="51"/>
      <c r="L618" s="50"/>
      <c r="M618" s="50"/>
      <c r="N618" s="50"/>
      <c r="O618" s="50"/>
      <c r="P618" s="50"/>
      <c r="Q618" s="52"/>
      <c r="W618" s="53"/>
      <c r="X618" s="53"/>
      <c r="Y618" s="51"/>
      <c r="Z618" s="51"/>
      <c r="AA618" s="52"/>
    </row>
    <row r="619" spans="4:27">
      <c r="D619" s="50"/>
      <c r="E619" s="50"/>
      <c r="F619" s="50"/>
      <c r="G619" s="50"/>
      <c r="H619" s="50"/>
      <c r="I619" s="50"/>
      <c r="J619" s="50"/>
      <c r="K619" s="51"/>
      <c r="L619" s="50"/>
      <c r="M619" s="50"/>
      <c r="N619" s="50"/>
      <c r="O619" s="50"/>
      <c r="P619" s="50"/>
      <c r="Q619" s="52"/>
      <c r="W619" s="53"/>
      <c r="X619" s="53"/>
      <c r="Y619" s="51"/>
      <c r="Z619" s="51"/>
      <c r="AA619" s="52"/>
    </row>
    <row r="620" spans="4:27">
      <c r="D620" s="50"/>
      <c r="E620" s="50"/>
      <c r="F620" s="50"/>
      <c r="G620" s="50"/>
      <c r="H620" s="50"/>
      <c r="I620" s="50"/>
      <c r="J620" s="50"/>
      <c r="K620" s="51"/>
      <c r="L620" s="50"/>
      <c r="M620" s="50"/>
      <c r="N620" s="50"/>
      <c r="O620" s="50"/>
      <c r="P620" s="50"/>
      <c r="Q620" s="52"/>
      <c r="W620" s="53"/>
      <c r="X620" s="53"/>
      <c r="Y620" s="51"/>
      <c r="Z620" s="51"/>
      <c r="AA620" s="52"/>
    </row>
    <row r="621" spans="4:27">
      <c r="D621" s="50"/>
      <c r="E621" s="50"/>
      <c r="F621" s="50"/>
      <c r="G621" s="50"/>
      <c r="H621" s="50"/>
      <c r="I621" s="50"/>
      <c r="J621" s="50"/>
      <c r="K621" s="51"/>
      <c r="L621" s="50"/>
      <c r="M621" s="50"/>
      <c r="N621" s="50"/>
      <c r="O621" s="50"/>
      <c r="P621" s="50"/>
      <c r="Q621" s="52"/>
      <c r="W621" s="53"/>
      <c r="X621" s="53"/>
      <c r="Y621" s="51"/>
      <c r="Z621" s="51"/>
      <c r="AA621" s="52"/>
    </row>
    <row r="622" spans="4:27">
      <c r="D622" s="50"/>
      <c r="E622" s="50"/>
      <c r="F622" s="50"/>
      <c r="G622" s="50"/>
      <c r="H622" s="50"/>
      <c r="I622" s="50"/>
      <c r="J622" s="50"/>
      <c r="K622" s="51"/>
      <c r="L622" s="50"/>
      <c r="M622" s="50"/>
      <c r="N622" s="50"/>
      <c r="O622" s="50"/>
      <c r="P622" s="50"/>
      <c r="Q622" s="52"/>
      <c r="W622" s="53"/>
      <c r="X622" s="53"/>
      <c r="Y622" s="51"/>
      <c r="Z622" s="51"/>
      <c r="AA622" s="52"/>
    </row>
    <row r="623" spans="4:27">
      <c r="D623" s="50"/>
      <c r="E623" s="50"/>
      <c r="F623" s="50"/>
      <c r="G623" s="50"/>
      <c r="H623" s="50"/>
      <c r="I623" s="50"/>
      <c r="J623" s="50"/>
      <c r="K623" s="51"/>
      <c r="L623" s="50"/>
      <c r="M623" s="50"/>
      <c r="N623" s="50"/>
      <c r="O623" s="50"/>
      <c r="P623" s="50"/>
      <c r="Q623" s="52"/>
      <c r="W623" s="53"/>
      <c r="X623" s="53"/>
      <c r="Y623" s="51"/>
      <c r="Z623" s="51"/>
      <c r="AA623" s="52"/>
    </row>
    <row r="624" spans="4:27">
      <c r="D624" s="50"/>
      <c r="E624" s="50"/>
      <c r="F624" s="50"/>
      <c r="G624" s="50"/>
      <c r="H624" s="50"/>
      <c r="I624" s="50"/>
      <c r="J624" s="50"/>
      <c r="K624" s="51"/>
      <c r="L624" s="50"/>
      <c r="M624" s="50"/>
      <c r="N624" s="50"/>
      <c r="O624" s="50"/>
      <c r="P624" s="50"/>
      <c r="Q624" s="52"/>
      <c r="W624" s="53"/>
      <c r="X624" s="53"/>
      <c r="Y624" s="51"/>
      <c r="Z624" s="51"/>
      <c r="AA624" s="52"/>
    </row>
    <row r="625" spans="4:27">
      <c r="D625" s="50"/>
      <c r="E625" s="50"/>
      <c r="F625" s="50"/>
      <c r="G625" s="50"/>
      <c r="H625" s="50"/>
      <c r="I625" s="50"/>
      <c r="J625" s="50"/>
      <c r="K625" s="51"/>
      <c r="L625" s="50"/>
      <c r="M625" s="50"/>
      <c r="N625" s="50"/>
      <c r="O625" s="50"/>
      <c r="P625" s="50"/>
      <c r="Q625" s="52"/>
      <c r="W625" s="53"/>
      <c r="X625" s="53"/>
      <c r="Y625" s="51"/>
      <c r="Z625" s="51"/>
      <c r="AA625" s="52"/>
    </row>
    <row r="626" spans="4:27">
      <c r="D626" s="50"/>
      <c r="E626" s="50"/>
      <c r="F626" s="50"/>
      <c r="G626" s="50"/>
      <c r="H626" s="50"/>
      <c r="I626" s="50"/>
      <c r="J626" s="50"/>
      <c r="K626" s="51"/>
      <c r="L626" s="50"/>
      <c r="M626" s="50"/>
      <c r="N626" s="50"/>
      <c r="O626" s="50"/>
      <c r="P626" s="50"/>
      <c r="Q626" s="52"/>
      <c r="W626" s="53"/>
      <c r="X626" s="53"/>
      <c r="Y626" s="51"/>
      <c r="Z626" s="51"/>
      <c r="AA626" s="52"/>
    </row>
    <row r="627" spans="4:27">
      <c r="D627" s="50"/>
      <c r="E627" s="50"/>
      <c r="F627" s="50"/>
      <c r="G627" s="50"/>
      <c r="H627" s="50"/>
      <c r="I627" s="50"/>
      <c r="J627" s="50"/>
      <c r="K627" s="51"/>
      <c r="L627" s="50"/>
      <c r="M627" s="50"/>
      <c r="N627" s="50"/>
      <c r="O627" s="50"/>
      <c r="P627" s="50"/>
      <c r="Q627" s="52"/>
      <c r="W627" s="53"/>
      <c r="X627" s="53"/>
      <c r="Y627" s="51"/>
      <c r="Z627" s="51"/>
      <c r="AA627" s="52"/>
    </row>
    <row r="628" spans="4:27">
      <c r="D628" s="50"/>
      <c r="E628" s="50"/>
      <c r="F628" s="50"/>
      <c r="G628" s="50"/>
      <c r="H628" s="50"/>
      <c r="I628" s="50"/>
      <c r="J628" s="50"/>
      <c r="K628" s="51"/>
      <c r="L628" s="50"/>
      <c r="M628" s="50"/>
      <c r="N628" s="50"/>
      <c r="O628" s="50"/>
      <c r="P628" s="50"/>
      <c r="Q628" s="52"/>
      <c r="W628" s="53"/>
      <c r="X628" s="53"/>
      <c r="Y628" s="51"/>
      <c r="Z628" s="51"/>
      <c r="AA628" s="52"/>
    </row>
    <row r="629" spans="4:27">
      <c r="D629" s="50"/>
      <c r="E629" s="50"/>
      <c r="F629" s="50"/>
      <c r="G629" s="50"/>
      <c r="H629" s="50"/>
      <c r="I629" s="50"/>
      <c r="J629" s="50"/>
      <c r="K629" s="51"/>
      <c r="L629" s="50"/>
      <c r="M629" s="50"/>
      <c r="N629" s="50"/>
      <c r="O629" s="50"/>
      <c r="P629" s="50"/>
      <c r="Q629" s="52"/>
      <c r="W629" s="53"/>
      <c r="X629" s="53"/>
      <c r="Y629" s="51"/>
      <c r="Z629" s="51"/>
      <c r="AA629" s="52"/>
    </row>
    <row r="630" spans="4:27">
      <c r="D630" s="50"/>
      <c r="E630" s="50"/>
      <c r="F630" s="50"/>
      <c r="G630" s="50"/>
      <c r="H630" s="50"/>
      <c r="I630" s="50"/>
      <c r="J630" s="50"/>
      <c r="K630" s="51"/>
      <c r="L630" s="50"/>
      <c r="M630" s="50"/>
      <c r="N630" s="50"/>
      <c r="O630" s="50"/>
      <c r="P630" s="50"/>
      <c r="Q630" s="52"/>
      <c r="W630" s="53"/>
      <c r="X630" s="53"/>
      <c r="Y630" s="51"/>
      <c r="Z630" s="51"/>
      <c r="AA630" s="52"/>
    </row>
    <row r="631" spans="4:27">
      <c r="D631" s="50"/>
      <c r="E631" s="50"/>
      <c r="F631" s="50"/>
      <c r="G631" s="50"/>
      <c r="H631" s="50"/>
      <c r="I631" s="50"/>
      <c r="J631" s="50"/>
      <c r="K631" s="51"/>
      <c r="L631" s="50"/>
      <c r="M631" s="50"/>
      <c r="N631" s="50"/>
      <c r="O631" s="50"/>
      <c r="P631" s="50"/>
      <c r="Q631" s="52"/>
      <c r="W631" s="53"/>
      <c r="X631" s="53"/>
      <c r="Y631" s="51"/>
      <c r="Z631" s="51"/>
      <c r="AA631" s="52"/>
    </row>
    <row r="632" spans="4:27">
      <c r="D632" s="50"/>
      <c r="E632" s="50"/>
      <c r="F632" s="50"/>
      <c r="G632" s="50"/>
      <c r="H632" s="50"/>
      <c r="I632" s="50"/>
      <c r="J632" s="50"/>
      <c r="K632" s="51"/>
      <c r="L632" s="50"/>
      <c r="M632" s="50"/>
      <c r="N632" s="50"/>
      <c r="O632" s="50"/>
      <c r="P632" s="50"/>
      <c r="Q632" s="52"/>
      <c r="W632" s="53"/>
      <c r="X632" s="53"/>
      <c r="Y632" s="51"/>
      <c r="Z632" s="51"/>
      <c r="AA632" s="52"/>
    </row>
    <row r="633" spans="4:27">
      <c r="D633" s="50"/>
      <c r="E633" s="50"/>
      <c r="F633" s="50"/>
      <c r="G633" s="50"/>
      <c r="H633" s="50"/>
      <c r="I633" s="50"/>
      <c r="J633" s="50"/>
      <c r="K633" s="51"/>
      <c r="L633" s="50"/>
      <c r="M633" s="50"/>
      <c r="N633" s="50"/>
      <c r="O633" s="50"/>
      <c r="P633" s="50"/>
      <c r="Q633" s="52"/>
      <c r="W633" s="53"/>
      <c r="X633" s="53"/>
      <c r="Y633" s="51"/>
      <c r="Z633" s="51"/>
      <c r="AA633" s="52"/>
    </row>
    <row r="634" spans="4:27">
      <c r="D634" s="50"/>
      <c r="E634" s="50"/>
      <c r="F634" s="50"/>
      <c r="G634" s="50"/>
      <c r="H634" s="50"/>
      <c r="I634" s="50"/>
      <c r="J634" s="50"/>
      <c r="K634" s="51"/>
      <c r="L634" s="50"/>
      <c r="M634" s="50"/>
      <c r="N634" s="50"/>
      <c r="O634" s="50"/>
      <c r="P634" s="50"/>
      <c r="Q634" s="52"/>
      <c r="W634" s="53"/>
      <c r="X634" s="53"/>
      <c r="Y634" s="51"/>
      <c r="Z634" s="51"/>
      <c r="AA634" s="52"/>
    </row>
    <row r="635" spans="4:27">
      <c r="D635" s="50"/>
      <c r="E635" s="50"/>
      <c r="F635" s="50"/>
      <c r="G635" s="50"/>
      <c r="H635" s="50"/>
      <c r="I635" s="50"/>
      <c r="J635" s="50"/>
      <c r="K635" s="51"/>
      <c r="L635" s="50"/>
      <c r="M635" s="50"/>
      <c r="N635" s="50"/>
      <c r="O635" s="50"/>
      <c r="P635" s="50"/>
      <c r="Q635" s="52"/>
      <c r="W635" s="53"/>
      <c r="X635" s="53"/>
      <c r="Y635" s="51"/>
      <c r="Z635" s="51"/>
      <c r="AA635" s="52"/>
    </row>
    <row r="636" spans="4:27">
      <c r="D636" s="50"/>
      <c r="E636" s="50"/>
      <c r="F636" s="50"/>
      <c r="G636" s="50"/>
      <c r="H636" s="50"/>
      <c r="I636" s="50"/>
      <c r="J636" s="50"/>
      <c r="K636" s="51"/>
      <c r="L636" s="50"/>
      <c r="M636" s="50"/>
      <c r="N636" s="50"/>
      <c r="O636" s="50"/>
      <c r="P636" s="50"/>
      <c r="Q636" s="52"/>
      <c r="W636" s="53"/>
      <c r="X636" s="53"/>
      <c r="Y636" s="51"/>
      <c r="Z636" s="51"/>
      <c r="AA636" s="52"/>
    </row>
    <row r="637" spans="4:27">
      <c r="D637" s="50"/>
      <c r="E637" s="50"/>
      <c r="F637" s="50"/>
      <c r="G637" s="50"/>
      <c r="H637" s="50"/>
      <c r="I637" s="50"/>
      <c r="J637" s="50"/>
      <c r="K637" s="51"/>
      <c r="L637" s="50"/>
      <c r="M637" s="50"/>
      <c r="N637" s="50"/>
      <c r="O637" s="50"/>
      <c r="P637" s="50"/>
      <c r="Q637" s="52"/>
      <c r="W637" s="53"/>
      <c r="X637" s="53"/>
      <c r="Y637" s="51"/>
      <c r="Z637" s="51"/>
      <c r="AA637" s="52"/>
    </row>
    <row r="638" spans="4:27">
      <c r="D638" s="50"/>
      <c r="E638" s="50"/>
      <c r="F638" s="50"/>
      <c r="G638" s="50"/>
      <c r="H638" s="50"/>
      <c r="I638" s="50"/>
      <c r="J638" s="50"/>
      <c r="K638" s="51"/>
      <c r="L638" s="50"/>
      <c r="M638" s="50"/>
      <c r="N638" s="50"/>
      <c r="O638" s="50"/>
      <c r="P638" s="50"/>
      <c r="Q638" s="52"/>
      <c r="W638" s="53"/>
      <c r="X638" s="53"/>
      <c r="Y638" s="51"/>
      <c r="Z638" s="51"/>
      <c r="AA638" s="52"/>
    </row>
    <row r="639" spans="4:27">
      <c r="D639" s="50"/>
      <c r="E639" s="50"/>
      <c r="F639" s="50"/>
      <c r="G639" s="50"/>
      <c r="H639" s="50"/>
      <c r="I639" s="50"/>
      <c r="J639" s="50"/>
      <c r="K639" s="51"/>
      <c r="L639" s="50"/>
      <c r="M639" s="50"/>
      <c r="N639" s="50"/>
      <c r="O639" s="50"/>
      <c r="P639" s="50"/>
      <c r="Q639" s="52"/>
      <c r="W639" s="53"/>
      <c r="X639" s="53"/>
      <c r="Y639" s="51"/>
      <c r="Z639" s="51"/>
      <c r="AA639" s="52"/>
    </row>
    <row r="640" spans="4:27">
      <c r="D640" s="50"/>
      <c r="E640" s="50"/>
      <c r="F640" s="50"/>
      <c r="G640" s="50"/>
      <c r="H640" s="50"/>
      <c r="I640" s="50"/>
      <c r="J640" s="50"/>
      <c r="K640" s="51"/>
      <c r="L640" s="50"/>
      <c r="M640" s="50"/>
      <c r="N640" s="50"/>
      <c r="O640" s="50"/>
      <c r="P640" s="50"/>
      <c r="Q640" s="52"/>
      <c r="W640" s="53"/>
      <c r="X640" s="53"/>
      <c r="Y640" s="51"/>
      <c r="Z640" s="51"/>
      <c r="AA640" s="52"/>
    </row>
    <row r="641" spans="4:27">
      <c r="D641" s="50"/>
      <c r="E641" s="50"/>
      <c r="F641" s="50"/>
      <c r="G641" s="50"/>
      <c r="H641" s="50"/>
      <c r="I641" s="50"/>
      <c r="J641" s="50"/>
      <c r="K641" s="51"/>
      <c r="L641" s="50"/>
      <c r="M641" s="50"/>
      <c r="N641" s="50"/>
      <c r="O641" s="50"/>
      <c r="P641" s="50"/>
      <c r="Q641" s="52"/>
      <c r="W641" s="53"/>
      <c r="X641" s="53"/>
      <c r="Y641" s="51"/>
      <c r="Z641" s="51"/>
      <c r="AA641" s="52"/>
    </row>
    <row r="642" spans="4:27">
      <c r="D642" s="50"/>
      <c r="E642" s="50"/>
      <c r="F642" s="50"/>
      <c r="G642" s="50"/>
      <c r="H642" s="50"/>
      <c r="I642" s="50"/>
      <c r="J642" s="50"/>
      <c r="K642" s="51"/>
      <c r="L642" s="50"/>
      <c r="M642" s="50"/>
      <c r="N642" s="50"/>
      <c r="O642" s="50"/>
      <c r="P642" s="50"/>
      <c r="Q642" s="52"/>
      <c r="W642" s="53"/>
      <c r="X642" s="53"/>
      <c r="Y642" s="51"/>
      <c r="Z642" s="51"/>
      <c r="AA642" s="52"/>
    </row>
    <row r="643" spans="4:27">
      <c r="D643" s="50"/>
      <c r="E643" s="50"/>
      <c r="F643" s="50"/>
      <c r="G643" s="50"/>
      <c r="H643" s="50"/>
      <c r="I643" s="50"/>
      <c r="J643" s="50"/>
      <c r="K643" s="51"/>
      <c r="L643" s="50"/>
      <c r="M643" s="50"/>
      <c r="N643" s="50"/>
      <c r="O643" s="50"/>
      <c r="P643" s="50"/>
      <c r="Q643" s="52"/>
      <c r="W643" s="53"/>
      <c r="X643" s="53"/>
      <c r="Y643" s="51"/>
      <c r="Z643" s="51"/>
      <c r="AA643" s="52"/>
    </row>
    <row r="644" spans="4:27">
      <c r="D644" s="50"/>
      <c r="E644" s="50"/>
      <c r="F644" s="50"/>
      <c r="G644" s="50"/>
      <c r="H644" s="50"/>
      <c r="I644" s="50"/>
      <c r="J644" s="50"/>
      <c r="K644" s="51"/>
      <c r="L644" s="50"/>
      <c r="M644" s="50"/>
      <c r="N644" s="50"/>
      <c r="O644" s="50"/>
      <c r="P644" s="50"/>
      <c r="Q644" s="52"/>
      <c r="W644" s="53"/>
      <c r="X644" s="53"/>
      <c r="Y644" s="51"/>
      <c r="Z644" s="51"/>
      <c r="AA644" s="52"/>
    </row>
    <row r="645" spans="4:27">
      <c r="D645" s="50"/>
      <c r="E645" s="50"/>
      <c r="F645" s="50"/>
      <c r="G645" s="50"/>
      <c r="H645" s="50"/>
      <c r="I645" s="50"/>
      <c r="J645" s="50"/>
      <c r="K645" s="51"/>
      <c r="L645" s="50"/>
      <c r="M645" s="50"/>
      <c r="N645" s="50"/>
      <c r="O645" s="50"/>
      <c r="P645" s="50"/>
      <c r="Q645" s="52"/>
      <c r="W645" s="53"/>
      <c r="X645" s="53"/>
      <c r="Y645" s="51"/>
      <c r="Z645" s="51"/>
      <c r="AA645" s="52"/>
    </row>
    <row r="646" spans="4:27">
      <c r="D646" s="50"/>
      <c r="E646" s="50"/>
      <c r="F646" s="50"/>
      <c r="G646" s="50"/>
      <c r="H646" s="50"/>
      <c r="I646" s="50"/>
      <c r="J646" s="50"/>
      <c r="K646" s="51"/>
      <c r="L646" s="50"/>
      <c r="M646" s="50"/>
      <c r="N646" s="50"/>
      <c r="O646" s="50"/>
      <c r="P646" s="50"/>
      <c r="Q646" s="52"/>
      <c r="W646" s="53"/>
      <c r="X646" s="53"/>
      <c r="Y646" s="51"/>
      <c r="Z646" s="51"/>
      <c r="AA646" s="52"/>
    </row>
    <row r="647" spans="4:27">
      <c r="D647" s="50"/>
      <c r="E647" s="50"/>
      <c r="F647" s="50"/>
      <c r="G647" s="50"/>
      <c r="H647" s="50"/>
      <c r="I647" s="50"/>
      <c r="J647" s="50"/>
      <c r="K647" s="51"/>
      <c r="L647" s="50"/>
      <c r="M647" s="50"/>
      <c r="N647" s="50"/>
      <c r="O647" s="50"/>
      <c r="P647" s="50"/>
      <c r="Q647" s="52"/>
      <c r="W647" s="53"/>
      <c r="X647" s="53"/>
      <c r="Y647" s="51"/>
      <c r="Z647" s="51"/>
      <c r="AA647" s="52"/>
    </row>
    <row r="648" spans="4:27">
      <c r="D648" s="50"/>
      <c r="E648" s="50"/>
      <c r="F648" s="50"/>
      <c r="G648" s="50"/>
      <c r="H648" s="50"/>
      <c r="I648" s="50"/>
      <c r="J648" s="50"/>
      <c r="K648" s="51"/>
      <c r="L648" s="50"/>
      <c r="M648" s="50"/>
      <c r="N648" s="50"/>
      <c r="O648" s="50"/>
      <c r="P648" s="50"/>
      <c r="Q648" s="52"/>
      <c r="W648" s="53"/>
      <c r="X648" s="53"/>
      <c r="Y648" s="51"/>
      <c r="Z648" s="51"/>
      <c r="AA648" s="52"/>
    </row>
    <row r="649" spans="4:27">
      <c r="D649" s="50"/>
      <c r="E649" s="50"/>
      <c r="F649" s="50"/>
      <c r="G649" s="50"/>
      <c r="H649" s="50"/>
      <c r="I649" s="50"/>
      <c r="J649" s="50"/>
      <c r="K649" s="51"/>
      <c r="L649" s="50"/>
      <c r="M649" s="50"/>
      <c r="N649" s="50"/>
      <c r="O649" s="50"/>
      <c r="P649" s="50"/>
      <c r="Q649" s="52"/>
      <c r="W649" s="53"/>
      <c r="X649" s="53"/>
      <c r="Y649" s="51"/>
      <c r="Z649" s="51"/>
      <c r="AA649" s="52"/>
    </row>
    <row r="650" spans="4:27">
      <c r="D650" s="50"/>
      <c r="E650" s="50"/>
      <c r="F650" s="50"/>
      <c r="G650" s="50"/>
      <c r="H650" s="50"/>
      <c r="I650" s="50"/>
      <c r="J650" s="50"/>
      <c r="K650" s="51"/>
      <c r="L650" s="50"/>
      <c r="M650" s="50"/>
      <c r="N650" s="50"/>
      <c r="O650" s="50"/>
      <c r="P650" s="50"/>
      <c r="Q650" s="52"/>
      <c r="W650" s="53"/>
      <c r="X650" s="53"/>
      <c r="Y650" s="51"/>
      <c r="Z650" s="51"/>
      <c r="AA650" s="52"/>
    </row>
    <row r="651" spans="4:27">
      <c r="D651" s="50"/>
      <c r="E651" s="50"/>
      <c r="F651" s="50"/>
      <c r="G651" s="50"/>
      <c r="H651" s="50"/>
      <c r="I651" s="50"/>
      <c r="J651" s="50"/>
      <c r="K651" s="51"/>
      <c r="L651" s="50"/>
      <c r="M651" s="50"/>
      <c r="N651" s="50"/>
      <c r="O651" s="50"/>
      <c r="P651" s="50"/>
      <c r="Q651" s="52"/>
      <c r="W651" s="53"/>
      <c r="X651" s="53"/>
      <c r="Y651" s="51"/>
      <c r="Z651" s="51"/>
      <c r="AA651" s="52"/>
    </row>
    <row r="652" spans="4:27">
      <c r="D652" s="50"/>
      <c r="E652" s="50"/>
      <c r="F652" s="50"/>
      <c r="G652" s="50"/>
      <c r="H652" s="50"/>
      <c r="I652" s="50"/>
      <c r="J652" s="50"/>
      <c r="K652" s="51"/>
      <c r="L652" s="50"/>
      <c r="M652" s="50"/>
      <c r="N652" s="50"/>
      <c r="O652" s="50"/>
      <c r="P652" s="50"/>
      <c r="Q652" s="52"/>
      <c r="W652" s="53"/>
      <c r="X652" s="53"/>
      <c r="Y652" s="51"/>
      <c r="Z652" s="51"/>
      <c r="AA652" s="52"/>
    </row>
    <row r="653" spans="4:27">
      <c r="D653" s="50"/>
      <c r="E653" s="50"/>
      <c r="F653" s="50"/>
      <c r="G653" s="50"/>
      <c r="H653" s="50"/>
      <c r="I653" s="50"/>
      <c r="J653" s="50"/>
      <c r="K653" s="51"/>
      <c r="L653" s="50"/>
      <c r="M653" s="50"/>
      <c r="N653" s="50"/>
      <c r="O653" s="50"/>
      <c r="P653" s="50"/>
      <c r="Q653" s="52"/>
      <c r="W653" s="53"/>
      <c r="X653" s="53"/>
      <c r="Y653" s="51"/>
      <c r="Z653" s="51"/>
      <c r="AA653" s="52"/>
    </row>
    <row r="654" spans="4:27">
      <c r="D654" s="50"/>
      <c r="E654" s="50"/>
      <c r="F654" s="50"/>
      <c r="G654" s="50"/>
      <c r="H654" s="50"/>
      <c r="I654" s="50"/>
      <c r="J654" s="50"/>
      <c r="K654" s="51"/>
      <c r="L654" s="50"/>
      <c r="M654" s="50"/>
      <c r="N654" s="50"/>
      <c r="O654" s="50"/>
      <c r="P654" s="50"/>
      <c r="Q654" s="52"/>
      <c r="W654" s="53"/>
      <c r="X654" s="53"/>
      <c r="Y654" s="51"/>
      <c r="Z654" s="51"/>
      <c r="AA654" s="52"/>
    </row>
    <row r="655" spans="4:27">
      <c r="D655" s="50"/>
      <c r="E655" s="50"/>
      <c r="F655" s="50"/>
      <c r="G655" s="50"/>
      <c r="H655" s="50"/>
      <c r="I655" s="50"/>
      <c r="J655" s="50"/>
      <c r="K655" s="51"/>
      <c r="L655" s="50"/>
      <c r="M655" s="50"/>
      <c r="N655" s="50"/>
      <c r="O655" s="50"/>
      <c r="P655" s="50"/>
      <c r="Q655" s="52"/>
      <c r="W655" s="53"/>
      <c r="X655" s="53"/>
      <c r="Y655" s="51"/>
      <c r="Z655" s="51"/>
      <c r="AA655" s="52"/>
    </row>
    <row r="656" spans="4:27">
      <c r="D656" s="50"/>
      <c r="E656" s="50"/>
      <c r="F656" s="50"/>
      <c r="G656" s="50"/>
      <c r="H656" s="50"/>
      <c r="I656" s="50"/>
      <c r="J656" s="50"/>
      <c r="K656" s="51"/>
      <c r="L656" s="50"/>
      <c r="M656" s="50"/>
      <c r="N656" s="50"/>
      <c r="O656" s="50"/>
      <c r="P656" s="50"/>
      <c r="Q656" s="52"/>
      <c r="W656" s="53"/>
      <c r="X656" s="53"/>
      <c r="Y656" s="51"/>
      <c r="Z656" s="51"/>
      <c r="AA656" s="52"/>
    </row>
    <row r="657" spans="4:27">
      <c r="D657" s="50"/>
      <c r="E657" s="50"/>
      <c r="F657" s="50"/>
      <c r="G657" s="50"/>
      <c r="H657" s="50"/>
      <c r="I657" s="50"/>
      <c r="J657" s="50"/>
      <c r="K657" s="51"/>
      <c r="L657" s="50"/>
      <c r="M657" s="50"/>
      <c r="N657" s="50"/>
      <c r="O657" s="50"/>
      <c r="P657" s="50"/>
      <c r="Q657" s="52"/>
      <c r="W657" s="53"/>
      <c r="X657" s="53"/>
      <c r="Y657" s="51"/>
      <c r="Z657" s="51"/>
      <c r="AA657" s="52"/>
    </row>
    <row r="658" spans="4:27">
      <c r="D658" s="50"/>
      <c r="E658" s="50"/>
      <c r="F658" s="50"/>
      <c r="G658" s="50"/>
      <c r="H658" s="50"/>
      <c r="I658" s="50"/>
      <c r="J658" s="50"/>
      <c r="K658" s="51"/>
      <c r="L658" s="50"/>
      <c r="M658" s="50"/>
      <c r="N658" s="50"/>
      <c r="O658" s="50"/>
      <c r="P658" s="50"/>
      <c r="Q658" s="52"/>
      <c r="W658" s="53"/>
      <c r="X658" s="53"/>
      <c r="Y658" s="51"/>
      <c r="Z658" s="51"/>
      <c r="AA658" s="52"/>
    </row>
    <row r="659" spans="4:27">
      <c r="D659" s="50"/>
      <c r="E659" s="50"/>
      <c r="F659" s="50"/>
      <c r="G659" s="50"/>
      <c r="H659" s="50"/>
      <c r="I659" s="50"/>
      <c r="J659" s="50"/>
      <c r="K659" s="51"/>
      <c r="L659" s="50"/>
      <c r="M659" s="50"/>
      <c r="N659" s="50"/>
      <c r="O659" s="50"/>
      <c r="P659" s="50"/>
      <c r="Q659" s="52"/>
      <c r="W659" s="53"/>
      <c r="X659" s="53"/>
      <c r="Y659" s="51"/>
      <c r="Z659" s="51"/>
      <c r="AA659" s="52"/>
    </row>
    <row r="660" spans="4:27">
      <c r="D660" s="50"/>
      <c r="E660" s="50"/>
      <c r="F660" s="50"/>
      <c r="G660" s="50"/>
      <c r="H660" s="50"/>
      <c r="I660" s="50"/>
      <c r="J660" s="50"/>
      <c r="K660" s="51"/>
      <c r="L660" s="50"/>
      <c r="M660" s="50"/>
      <c r="N660" s="50"/>
      <c r="O660" s="50"/>
      <c r="P660" s="50"/>
      <c r="Q660" s="52"/>
      <c r="W660" s="53"/>
      <c r="X660" s="53"/>
      <c r="Y660" s="51"/>
      <c r="Z660" s="51"/>
      <c r="AA660" s="52"/>
    </row>
    <row r="661" spans="4:27">
      <c r="D661" s="50"/>
      <c r="E661" s="50"/>
      <c r="F661" s="50"/>
      <c r="G661" s="50"/>
      <c r="H661" s="50"/>
      <c r="I661" s="50"/>
      <c r="J661" s="50"/>
      <c r="K661" s="51"/>
      <c r="L661" s="50"/>
      <c r="M661" s="50"/>
      <c r="N661" s="50"/>
      <c r="O661" s="50"/>
      <c r="P661" s="50"/>
      <c r="Q661" s="52"/>
      <c r="W661" s="53"/>
      <c r="X661" s="53"/>
      <c r="Y661" s="51"/>
      <c r="Z661" s="51"/>
      <c r="AA661" s="52"/>
    </row>
    <row r="662" spans="4:27">
      <c r="D662" s="50"/>
      <c r="E662" s="50"/>
      <c r="F662" s="50"/>
      <c r="G662" s="50"/>
      <c r="H662" s="50"/>
      <c r="I662" s="50"/>
      <c r="J662" s="50"/>
      <c r="K662" s="51"/>
      <c r="L662" s="50"/>
      <c r="M662" s="50"/>
      <c r="N662" s="50"/>
      <c r="O662" s="50"/>
      <c r="P662" s="50"/>
      <c r="Q662" s="52"/>
      <c r="W662" s="53"/>
      <c r="X662" s="53"/>
      <c r="Y662" s="51"/>
      <c r="Z662" s="51"/>
      <c r="AA662" s="52"/>
    </row>
    <row r="663" spans="4:27">
      <c r="D663" s="50"/>
      <c r="E663" s="50"/>
      <c r="F663" s="50"/>
      <c r="G663" s="50"/>
      <c r="H663" s="50"/>
      <c r="I663" s="50"/>
      <c r="J663" s="50"/>
      <c r="K663" s="51"/>
      <c r="L663" s="50"/>
      <c r="M663" s="50"/>
      <c r="N663" s="50"/>
      <c r="O663" s="50"/>
      <c r="P663" s="50"/>
      <c r="Q663" s="52"/>
      <c r="W663" s="53"/>
      <c r="X663" s="53"/>
      <c r="Y663" s="51"/>
      <c r="Z663" s="51"/>
      <c r="AA663" s="52"/>
    </row>
    <row r="664" spans="4:27">
      <c r="D664" s="50"/>
      <c r="E664" s="50"/>
      <c r="F664" s="50"/>
      <c r="G664" s="50"/>
      <c r="H664" s="50"/>
      <c r="I664" s="50"/>
      <c r="J664" s="50"/>
      <c r="K664" s="51"/>
      <c r="L664" s="50"/>
      <c r="M664" s="50"/>
      <c r="N664" s="50"/>
      <c r="O664" s="50"/>
      <c r="P664" s="50"/>
      <c r="Q664" s="52"/>
      <c r="W664" s="53"/>
      <c r="X664" s="53"/>
      <c r="Y664" s="51"/>
      <c r="Z664" s="51"/>
      <c r="AA664" s="52"/>
    </row>
    <row r="665" spans="4:27">
      <c r="D665" s="50"/>
      <c r="E665" s="50"/>
      <c r="F665" s="50"/>
      <c r="G665" s="50"/>
      <c r="H665" s="50"/>
      <c r="I665" s="50"/>
      <c r="J665" s="50"/>
      <c r="K665" s="51"/>
      <c r="L665" s="50"/>
      <c r="M665" s="50"/>
      <c r="N665" s="50"/>
      <c r="O665" s="50"/>
      <c r="P665" s="50"/>
      <c r="Q665" s="52"/>
      <c r="W665" s="53"/>
      <c r="X665" s="53"/>
      <c r="Y665" s="51"/>
      <c r="Z665" s="51"/>
      <c r="AA665" s="52"/>
    </row>
    <row r="666" spans="4:27">
      <c r="D666" s="50"/>
      <c r="E666" s="50"/>
      <c r="F666" s="50"/>
      <c r="G666" s="50"/>
      <c r="H666" s="50"/>
      <c r="I666" s="50"/>
      <c r="J666" s="50"/>
      <c r="K666" s="51"/>
      <c r="L666" s="50"/>
      <c r="M666" s="50"/>
      <c r="N666" s="50"/>
      <c r="O666" s="50"/>
      <c r="P666" s="50"/>
      <c r="Q666" s="52"/>
      <c r="W666" s="53"/>
      <c r="X666" s="53"/>
      <c r="Y666" s="51"/>
      <c r="Z666" s="51"/>
      <c r="AA666" s="52"/>
    </row>
    <row r="667" spans="4:27">
      <c r="D667" s="50"/>
      <c r="E667" s="50"/>
      <c r="F667" s="50"/>
      <c r="G667" s="50"/>
      <c r="H667" s="50"/>
      <c r="I667" s="50"/>
      <c r="J667" s="50"/>
      <c r="K667" s="51"/>
      <c r="L667" s="50"/>
      <c r="M667" s="50"/>
      <c r="N667" s="50"/>
      <c r="O667" s="50"/>
      <c r="P667" s="50"/>
      <c r="Q667" s="52"/>
      <c r="W667" s="53"/>
      <c r="X667" s="53"/>
      <c r="Y667" s="51"/>
      <c r="Z667" s="51"/>
      <c r="AA667" s="52"/>
    </row>
    <row r="668" spans="4:27">
      <c r="D668" s="50"/>
      <c r="E668" s="50"/>
      <c r="F668" s="50"/>
      <c r="G668" s="50"/>
      <c r="H668" s="50"/>
      <c r="I668" s="50"/>
      <c r="J668" s="50"/>
      <c r="K668" s="51"/>
      <c r="L668" s="50"/>
      <c r="M668" s="50"/>
      <c r="N668" s="50"/>
      <c r="O668" s="50"/>
      <c r="P668" s="50"/>
      <c r="Q668" s="52"/>
      <c r="W668" s="53"/>
      <c r="X668" s="53"/>
      <c r="Y668" s="51"/>
      <c r="Z668" s="51"/>
      <c r="AA668" s="52"/>
    </row>
    <row r="669" spans="4:27">
      <c r="D669" s="50"/>
      <c r="E669" s="50"/>
      <c r="F669" s="50"/>
      <c r="G669" s="50"/>
      <c r="H669" s="50"/>
      <c r="I669" s="50"/>
      <c r="J669" s="50"/>
      <c r="K669" s="51"/>
      <c r="L669" s="50"/>
      <c r="M669" s="50"/>
      <c r="N669" s="50"/>
      <c r="O669" s="50"/>
      <c r="P669" s="50"/>
      <c r="Q669" s="52"/>
      <c r="W669" s="53"/>
      <c r="X669" s="53"/>
      <c r="Y669" s="51"/>
      <c r="Z669" s="51"/>
      <c r="AA669" s="52"/>
    </row>
    <row r="670" spans="4:27">
      <c r="D670" s="50"/>
      <c r="E670" s="50"/>
      <c r="F670" s="50"/>
      <c r="G670" s="50"/>
      <c r="H670" s="50"/>
      <c r="I670" s="50"/>
      <c r="J670" s="50"/>
      <c r="K670" s="51"/>
      <c r="L670" s="50"/>
      <c r="M670" s="50"/>
      <c r="N670" s="50"/>
      <c r="O670" s="50"/>
      <c r="P670" s="50"/>
      <c r="Q670" s="52"/>
      <c r="W670" s="53"/>
      <c r="X670" s="53"/>
      <c r="Y670" s="51"/>
      <c r="Z670" s="51"/>
      <c r="AA670" s="52"/>
    </row>
    <row r="671" spans="4:27">
      <c r="D671" s="50"/>
      <c r="E671" s="50"/>
      <c r="F671" s="50"/>
      <c r="G671" s="50"/>
      <c r="H671" s="50"/>
      <c r="I671" s="50"/>
      <c r="J671" s="50"/>
      <c r="K671" s="51"/>
      <c r="L671" s="50"/>
      <c r="M671" s="50"/>
      <c r="N671" s="50"/>
      <c r="O671" s="50"/>
      <c r="P671" s="50"/>
      <c r="Q671" s="52"/>
      <c r="W671" s="53"/>
      <c r="X671" s="53"/>
      <c r="Y671" s="51"/>
      <c r="Z671" s="51"/>
      <c r="AA671" s="52"/>
    </row>
    <row r="672" spans="4:27">
      <c r="D672" s="50"/>
      <c r="E672" s="50"/>
      <c r="F672" s="50"/>
      <c r="G672" s="50"/>
      <c r="H672" s="50"/>
      <c r="I672" s="50"/>
      <c r="J672" s="50"/>
      <c r="K672" s="51"/>
      <c r="L672" s="50"/>
      <c r="M672" s="50"/>
      <c r="N672" s="50"/>
      <c r="O672" s="50"/>
      <c r="P672" s="50"/>
      <c r="Q672" s="52"/>
      <c r="W672" s="53"/>
      <c r="X672" s="53"/>
      <c r="Y672" s="51"/>
      <c r="Z672" s="51"/>
      <c r="AA672" s="52"/>
    </row>
    <row r="673" spans="4:27">
      <c r="D673" s="50"/>
      <c r="E673" s="50"/>
      <c r="F673" s="50"/>
      <c r="G673" s="50"/>
      <c r="H673" s="50"/>
      <c r="I673" s="50"/>
      <c r="J673" s="50"/>
      <c r="K673" s="51"/>
      <c r="L673" s="50"/>
      <c r="M673" s="50"/>
      <c r="N673" s="50"/>
      <c r="O673" s="50"/>
      <c r="P673" s="50"/>
      <c r="Q673" s="52"/>
      <c r="W673" s="53"/>
      <c r="X673" s="53"/>
      <c r="Y673" s="51"/>
      <c r="Z673" s="51"/>
      <c r="AA673" s="52"/>
    </row>
    <row r="674" spans="4:27">
      <c r="D674" s="50"/>
      <c r="E674" s="50"/>
      <c r="F674" s="50"/>
      <c r="G674" s="50"/>
      <c r="H674" s="50"/>
      <c r="I674" s="50"/>
      <c r="J674" s="50"/>
      <c r="K674" s="51"/>
      <c r="L674" s="50"/>
      <c r="M674" s="50"/>
      <c r="N674" s="50"/>
      <c r="O674" s="50"/>
      <c r="P674" s="50"/>
      <c r="Q674" s="52"/>
      <c r="W674" s="53"/>
      <c r="X674" s="53"/>
      <c r="Y674" s="51"/>
      <c r="Z674" s="51"/>
      <c r="AA674" s="52"/>
    </row>
    <row r="675" spans="4:27">
      <c r="D675" s="50"/>
      <c r="E675" s="50"/>
      <c r="F675" s="50"/>
      <c r="G675" s="50"/>
      <c r="H675" s="50"/>
      <c r="I675" s="50"/>
      <c r="J675" s="50"/>
      <c r="K675" s="51"/>
      <c r="L675" s="50"/>
      <c r="M675" s="50"/>
      <c r="N675" s="50"/>
      <c r="O675" s="50"/>
      <c r="P675" s="50"/>
      <c r="Q675" s="52"/>
      <c r="W675" s="53"/>
      <c r="X675" s="53"/>
      <c r="Y675" s="51"/>
      <c r="Z675" s="51"/>
      <c r="AA675" s="52"/>
    </row>
    <row r="676" spans="4:27">
      <c r="D676" s="50"/>
      <c r="E676" s="50"/>
      <c r="F676" s="50"/>
      <c r="G676" s="50"/>
      <c r="H676" s="50"/>
      <c r="I676" s="50"/>
      <c r="J676" s="50"/>
      <c r="K676" s="51"/>
      <c r="L676" s="50"/>
      <c r="M676" s="50"/>
      <c r="N676" s="50"/>
      <c r="O676" s="50"/>
      <c r="P676" s="50"/>
      <c r="Q676" s="52"/>
      <c r="W676" s="53"/>
      <c r="X676" s="53"/>
      <c r="Y676" s="51"/>
      <c r="Z676" s="51"/>
      <c r="AA676" s="52"/>
    </row>
    <row r="677" spans="4:27">
      <c r="D677" s="50"/>
      <c r="E677" s="50"/>
      <c r="F677" s="50"/>
      <c r="G677" s="50"/>
      <c r="H677" s="50"/>
      <c r="I677" s="50"/>
      <c r="J677" s="50"/>
      <c r="K677" s="51"/>
      <c r="L677" s="50"/>
      <c r="M677" s="50"/>
      <c r="N677" s="50"/>
      <c r="O677" s="50"/>
      <c r="P677" s="50"/>
      <c r="Q677" s="52"/>
      <c r="W677" s="53"/>
      <c r="X677" s="53"/>
      <c r="Y677" s="51"/>
      <c r="Z677" s="51"/>
      <c r="AA677" s="52"/>
    </row>
    <row r="678" spans="4:27">
      <c r="D678" s="50"/>
      <c r="E678" s="50"/>
      <c r="F678" s="50"/>
      <c r="G678" s="50"/>
      <c r="H678" s="50"/>
      <c r="I678" s="50"/>
      <c r="J678" s="50"/>
      <c r="K678" s="51"/>
      <c r="L678" s="50"/>
      <c r="M678" s="50"/>
      <c r="N678" s="50"/>
      <c r="O678" s="50"/>
      <c r="P678" s="50"/>
      <c r="Q678" s="52"/>
      <c r="W678" s="53"/>
      <c r="X678" s="53"/>
      <c r="Y678" s="51"/>
      <c r="Z678" s="51"/>
      <c r="AA678" s="52"/>
    </row>
    <row r="679" spans="4:27">
      <c r="D679" s="50"/>
      <c r="E679" s="50"/>
      <c r="F679" s="50"/>
      <c r="G679" s="50"/>
      <c r="H679" s="50"/>
      <c r="I679" s="50"/>
      <c r="J679" s="50"/>
      <c r="K679" s="51"/>
      <c r="L679" s="50"/>
      <c r="M679" s="50"/>
      <c r="N679" s="50"/>
      <c r="O679" s="50"/>
      <c r="P679" s="50"/>
      <c r="Q679" s="52"/>
      <c r="W679" s="53"/>
      <c r="X679" s="53"/>
      <c r="Y679" s="51"/>
      <c r="Z679" s="51"/>
      <c r="AA679" s="52"/>
    </row>
    <row r="680" spans="4:27">
      <c r="D680" s="50"/>
      <c r="E680" s="50"/>
      <c r="F680" s="50"/>
      <c r="G680" s="50"/>
      <c r="H680" s="50"/>
      <c r="I680" s="50"/>
      <c r="J680" s="50"/>
      <c r="K680" s="51"/>
      <c r="L680" s="50"/>
      <c r="M680" s="50"/>
      <c r="N680" s="50"/>
      <c r="O680" s="50"/>
      <c r="P680" s="50"/>
      <c r="Q680" s="52"/>
      <c r="W680" s="53"/>
      <c r="X680" s="53"/>
      <c r="Y680" s="51"/>
      <c r="Z680" s="51"/>
      <c r="AA680" s="52"/>
    </row>
    <row r="681" spans="4:27">
      <c r="D681" s="50"/>
      <c r="E681" s="50"/>
      <c r="F681" s="50"/>
      <c r="G681" s="50"/>
      <c r="H681" s="50"/>
      <c r="I681" s="50"/>
      <c r="J681" s="50"/>
      <c r="K681" s="51"/>
      <c r="L681" s="50"/>
      <c r="M681" s="50"/>
      <c r="N681" s="50"/>
      <c r="O681" s="50"/>
      <c r="P681" s="50"/>
      <c r="Q681" s="52"/>
      <c r="W681" s="53"/>
      <c r="X681" s="53"/>
      <c r="Y681" s="51"/>
      <c r="Z681" s="51"/>
      <c r="AA681" s="52"/>
    </row>
    <row r="682" spans="4:27">
      <c r="D682" s="50"/>
      <c r="E682" s="50"/>
      <c r="F682" s="50"/>
      <c r="G682" s="50"/>
      <c r="H682" s="50"/>
      <c r="I682" s="50"/>
      <c r="J682" s="50"/>
      <c r="K682" s="51"/>
      <c r="L682" s="50"/>
      <c r="M682" s="50"/>
      <c r="N682" s="50"/>
      <c r="O682" s="50"/>
      <c r="P682" s="50"/>
      <c r="Q682" s="52"/>
      <c r="W682" s="53"/>
      <c r="X682" s="53"/>
      <c r="Y682" s="51"/>
      <c r="Z682" s="51"/>
      <c r="AA682" s="52"/>
    </row>
    <row r="683" spans="4:27">
      <c r="D683" s="50"/>
      <c r="E683" s="50"/>
      <c r="F683" s="50"/>
      <c r="G683" s="50"/>
      <c r="H683" s="50"/>
      <c r="I683" s="50"/>
      <c r="J683" s="50"/>
      <c r="K683" s="51"/>
      <c r="L683" s="50"/>
      <c r="M683" s="50"/>
      <c r="N683" s="50"/>
      <c r="O683" s="50"/>
      <c r="P683" s="50"/>
      <c r="Q683" s="52"/>
      <c r="W683" s="53"/>
      <c r="X683" s="53"/>
      <c r="Y683" s="51"/>
      <c r="Z683" s="51"/>
      <c r="AA683" s="52"/>
    </row>
    <row r="684" spans="4:27">
      <c r="D684" s="50"/>
      <c r="E684" s="50"/>
      <c r="F684" s="50"/>
      <c r="G684" s="50"/>
      <c r="H684" s="50"/>
      <c r="I684" s="50"/>
      <c r="J684" s="50"/>
      <c r="K684" s="51"/>
      <c r="L684" s="50"/>
      <c r="M684" s="50"/>
      <c r="N684" s="50"/>
      <c r="O684" s="50"/>
      <c r="P684" s="50"/>
      <c r="Q684" s="52"/>
      <c r="W684" s="53"/>
      <c r="X684" s="53"/>
      <c r="Y684" s="51"/>
      <c r="Z684" s="51"/>
      <c r="AA684" s="52"/>
    </row>
    <row r="685" spans="4:27">
      <c r="D685" s="50"/>
      <c r="E685" s="50"/>
      <c r="F685" s="50"/>
      <c r="G685" s="50"/>
      <c r="H685" s="50"/>
      <c r="I685" s="50"/>
      <c r="J685" s="50"/>
      <c r="K685" s="51"/>
      <c r="L685" s="50"/>
      <c r="M685" s="50"/>
      <c r="N685" s="50"/>
      <c r="O685" s="50"/>
      <c r="P685" s="50"/>
      <c r="Q685" s="52"/>
      <c r="W685" s="53"/>
      <c r="X685" s="53"/>
      <c r="Y685" s="51"/>
      <c r="Z685" s="51"/>
      <c r="AA685" s="52"/>
    </row>
    <row r="686" spans="4:27">
      <c r="D686" s="50"/>
      <c r="E686" s="50"/>
      <c r="F686" s="50"/>
      <c r="G686" s="50"/>
      <c r="H686" s="50"/>
      <c r="I686" s="50"/>
      <c r="J686" s="50"/>
      <c r="K686" s="51"/>
      <c r="L686" s="50"/>
      <c r="M686" s="50"/>
      <c r="N686" s="50"/>
      <c r="O686" s="50"/>
      <c r="P686" s="50"/>
      <c r="Q686" s="52"/>
      <c r="W686" s="53"/>
      <c r="X686" s="53"/>
      <c r="Y686" s="51"/>
      <c r="Z686" s="51"/>
      <c r="AA686" s="52"/>
    </row>
    <row r="687" spans="4:27">
      <c r="D687" s="50"/>
      <c r="E687" s="50"/>
      <c r="F687" s="50"/>
      <c r="G687" s="50"/>
      <c r="H687" s="50"/>
      <c r="I687" s="50"/>
      <c r="J687" s="50"/>
      <c r="K687" s="51"/>
      <c r="L687" s="50"/>
      <c r="M687" s="50"/>
      <c r="N687" s="50"/>
      <c r="O687" s="50"/>
      <c r="P687" s="50"/>
      <c r="Q687" s="52"/>
      <c r="W687" s="53"/>
      <c r="X687" s="53"/>
      <c r="Y687" s="51"/>
      <c r="Z687" s="51"/>
      <c r="AA687" s="52"/>
    </row>
    <row r="688" spans="4:27">
      <c r="D688" s="50"/>
      <c r="E688" s="50"/>
      <c r="F688" s="50"/>
      <c r="G688" s="50"/>
      <c r="H688" s="50"/>
      <c r="I688" s="50"/>
      <c r="J688" s="50"/>
      <c r="K688" s="51"/>
      <c r="L688" s="50"/>
      <c r="M688" s="50"/>
      <c r="N688" s="50"/>
      <c r="O688" s="50"/>
      <c r="P688" s="50"/>
      <c r="Q688" s="52"/>
      <c r="W688" s="53"/>
      <c r="X688" s="53"/>
      <c r="Y688" s="51"/>
      <c r="Z688" s="51"/>
      <c r="AA688" s="52"/>
    </row>
    <row r="689" spans="4:27">
      <c r="D689" s="50"/>
      <c r="E689" s="50"/>
      <c r="F689" s="50"/>
      <c r="G689" s="50"/>
      <c r="H689" s="50"/>
      <c r="I689" s="50"/>
      <c r="J689" s="50"/>
      <c r="K689" s="51"/>
      <c r="L689" s="50"/>
      <c r="M689" s="50"/>
      <c r="N689" s="50"/>
      <c r="O689" s="50"/>
      <c r="P689" s="50"/>
      <c r="Q689" s="52"/>
      <c r="W689" s="53"/>
      <c r="X689" s="53"/>
      <c r="Y689" s="51"/>
      <c r="Z689" s="51"/>
      <c r="AA689" s="52"/>
    </row>
    <row r="690" spans="4:27">
      <c r="D690" s="50"/>
      <c r="E690" s="50"/>
      <c r="F690" s="50"/>
      <c r="G690" s="50"/>
      <c r="H690" s="50"/>
      <c r="I690" s="50"/>
      <c r="J690" s="50"/>
      <c r="K690" s="51"/>
      <c r="L690" s="50"/>
      <c r="M690" s="50"/>
      <c r="N690" s="50"/>
      <c r="O690" s="50"/>
      <c r="P690" s="50"/>
      <c r="Q690" s="52"/>
      <c r="W690" s="53"/>
      <c r="X690" s="53"/>
      <c r="Y690" s="51"/>
      <c r="Z690" s="51"/>
      <c r="AA690" s="52"/>
    </row>
    <row r="691" spans="4:27">
      <c r="D691" s="50"/>
      <c r="E691" s="50"/>
      <c r="F691" s="50"/>
      <c r="G691" s="50"/>
      <c r="H691" s="50"/>
      <c r="I691" s="50"/>
      <c r="J691" s="50"/>
      <c r="K691" s="51"/>
      <c r="L691" s="50"/>
      <c r="M691" s="50"/>
      <c r="N691" s="50"/>
      <c r="O691" s="50"/>
      <c r="P691" s="50"/>
      <c r="Q691" s="52"/>
      <c r="W691" s="53"/>
      <c r="X691" s="53"/>
      <c r="Y691" s="51"/>
      <c r="Z691" s="51"/>
      <c r="AA691" s="52"/>
    </row>
    <row r="692" spans="4:27">
      <c r="D692" s="50"/>
      <c r="E692" s="50"/>
      <c r="F692" s="50"/>
      <c r="G692" s="50"/>
      <c r="H692" s="50"/>
      <c r="I692" s="50"/>
      <c r="J692" s="50"/>
      <c r="K692" s="51"/>
      <c r="L692" s="50"/>
      <c r="M692" s="50"/>
      <c r="N692" s="50"/>
      <c r="O692" s="50"/>
      <c r="P692" s="50"/>
      <c r="Q692" s="52"/>
      <c r="W692" s="53"/>
      <c r="X692" s="53"/>
      <c r="Y692" s="51"/>
      <c r="Z692" s="51"/>
      <c r="AA692" s="52"/>
    </row>
    <row r="693" spans="4:27">
      <c r="D693" s="50"/>
      <c r="E693" s="50"/>
      <c r="F693" s="50"/>
      <c r="G693" s="50"/>
      <c r="H693" s="50"/>
      <c r="I693" s="50"/>
      <c r="J693" s="50"/>
      <c r="K693" s="51"/>
      <c r="L693" s="50"/>
      <c r="M693" s="50"/>
      <c r="N693" s="50"/>
      <c r="O693" s="50"/>
      <c r="P693" s="50"/>
      <c r="Q693" s="52"/>
      <c r="W693" s="53"/>
      <c r="X693" s="53"/>
      <c r="Y693" s="51"/>
      <c r="Z693" s="51"/>
      <c r="AA693" s="52"/>
    </row>
    <row r="694" spans="4:27">
      <c r="D694" s="50"/>
      <c r="E694" s="50"/>
      <c r="F694" s="50"/>
      <c r="G694" s="50"/>
      <c r="H694" s="50"/>
      <c r="I694" s="50"/>
      <c r="J694" s="50"/>
      <c r="K694" s="51"/>
      <c r="L694" s="50"/>
      <c r="M694" s="50"/>
      <c r="N694" s="50"/>
      <c r="O694" s="50"/>
      <c r="P694" s="50"/>
      <c r="Q694" s="52"/>
      <c r="W694" s="53"/>
      <c r="X694" s="53"/>
      <c r="Y694" s="51"/>
      <c r="Z694" s="51"/>
      <c r="AA694" s="52"/>
    </row>
    <row r="695" spans="4:27">
      <c r="D695" s="50"/>
      <c r="E695" s="50"/>
      <c r="F695" s="50"/>
      <c r="G695" s="50"/>
      <c r="H695" s="50"/>
      <c r="I695" s="50"/>
      <c r="J695" s="50"/>
      <c r="K695" s="51"/>
      <c r="L695" s="50"/>
      <c r="M695" s="50"/>
      <c r="N695" s="50"/>
      <c r="O695" s="50"/>
      <c r="P695" s="50"/>
      <c r="Q695" s="52"/>
      <c r="W695" s="53"/>
      <c r="X695" s="53"/>
      <c r="Y695" s="51"/>
      <c r="Z695" s="51"/>
      <c r="AA695" s="52"/>
    </row>
    <row r="696" spans="4:27">
      <c r="D696" s="50"/>
      <c r="E696" s="50"/>
      <c r="F696" s="50"/>
      <c r="G696" s="50"/>
      <c r="H696" s="50"/>
      <c r="I696" s="50"/>
      <c r="J696" s="50"/>
      <c r="K696" s="51"/>
      <c r="L696" s="50"/>
      <c r="M696" s="50"/>
      <c r="N696" s="50"/>
      <c r="O696" s="50"/>
      <c r="P696" s="50"/>
      <c r="Q696" s="52"/>
      <c r="W696" s="53"/>
      <c r="X696" s="53"/>
      <c r="Y696" s="51"/>
      <c r="Z696" s="51"/>
      <c r="AA696" s="52"/>
    </row>
    <row r="697" spans="4:27">
      <c r="D697" s="50"/>
      <c r="E697" s="50"/>
      <c r="F697" s="50"/>
      <c r="G697" s="50"/>
      <c r="H697" s="50"/>
      <c r="I697" s="50"/>
      <c r="J697" s="50"/>
      <c r="K697" s="51"/>
      <c r="L697" s="50"/>
      <c r="M697" s="50"/>
      <c r="N697" s="50"/>
      <c r="O697" s="50"/>
      <c r="P697" s="50"/>
      <c r="Q697" s="52"/>
      <c r="W697" s="53"/>
      <c r="X697" s="53"/>
      <c r="Y697" s="51"/>
      <c r="Z697" s="51"/>
      <c r="AA697" s="52"/>
    </row>
    <row r="698" spans="4:27">
      <c r="D698" s="50"/>
      <c r="E698" s="50"/>
      <c r="F698" s="50"/>
      <c r="G698" s="50"/>
      <c r="H698" s="50"/>
      <c r="I698" s="50"/>
      <c r="J698" s="50"/>
      <c r="K698" s="51"/>
      <c r="L698" s="50"/>
      <c r="M698" s="50"/>
      <c r="N698" s="50"/>
      <c r="O698" s="50"/>
      <c r="P698" s="50"/>
      <c r="Q698" s="52"/>
      <c r="W698" s="53"/>
      <c r="X698" s="53"/>
      <c r="Y698" s="51"/>
      <c r="Z698" s="51"/>
      <c r="AA698" s="52"/>
    </row>
    <row r="699" spans="4:27">
      <c r="D699" s="50"/>
      <c r="E699" s="50"/>
      <c r="F699" s="50"/>
      <c r="G699" s="50"/>
      <c r="H699" s="50"/>
      <c r="I699" s="50"/>
      <c r="J699" s="50"/>
      <c r="K699" s="51"/>
      <c r="L699" s="50"/>
      <c r="M699" s="50"/>
      <c r="N699" s="50"/>
      <c r="O699" s="50"/>
      <c r="P699" s="50"/>
      <c r="Q699" s="52"/>
      <c r="W699" s="53"/>
      <c r="X699" s="53"/>
      <c r="Y699" s="51"/>
      <c r="Z699" s="51"/>
      <c r="AA699" s="52"/>
    </row>
    <row r="700" spans="4:27">
      <c r="D700" s="50"/>
      <c r="E700" s="50"/>
      <c r="F700" s="50"/>
      <c r="G700" s="50"/>
      <c r="H700" s="50"/>
      <c r="I700" s="50"/>
      <c r="J700" s="50"/>
      <c r="K700" s="51"/>
      <c r="L700" s="50"/>
      <c r="M700" s="50"/>
      <c r="N700" s="50"/>
      <c r="O700" s="50"/>
      <c r="P700" s="50"/>
      <c r="Q700" s="52"/>
      <c r="W700" s="53"/>
      <c r="X700" s="53"/>
      <c r="Y700" s="51"/>
      <c r="Z700" s="51"/>
      <c r="AA700" s="52"/>
    </row>
    <row r="701" spans="4:27">
      <c r="D701" s="50"/>
      <c r="E701" s="50"/>
      <c r="F701" s="50"/>
      <c r="G701" s="50"/>
      <c r="H701" s="50"/>
      <c r="I701" s="50"/>
      <c r="J701" s="50"/>
      <c r="K701" s="51"/>
      <c r="L701" s="50"/>
      <c r="M701" s="50"/>
      <c r="N701" s="50"/>
      <c r="O701" s="50"/>
      <c r="P701" s="50"/>
      <c r="Q701" s="52"/>
      <c r="W701" s="53"/>
      <c r="X701" s="53"/>
      <c r="Y701" s="51"/>
      <c r="Z701" s="51"/>
      <c r="AA701" s="52"/>
    </row>
    <row r="702" spans="4:27">
      <c r="D702" s="50"/>
      <c r="E702" s="50"/>
      <c r="F702" s="50"/>
      <c r="G702" s="50"/>
      <c r="H702" s="50"/>
      <c r="I702" s="50"/>
      <c r="J702" s="50"/>
      <c r="K702" s="51"/>
      <c r="L702" s="50"/>
      <c r="M702" s="50"/>
      <c r="N702" s="50"/>
      <c r="O702" s="50"/>
      <c r="P702" s="50"/>
      <c r="Q702" s="52"/>
      <c r="W702" s="53"/>
      <c r="X702" s="53"/>
      <c r="Y702" s="51"/>
      <c r="Z702" s="51"/>
      <c r="AA702" s="52"/>
    </row>
    <row r="703" spans="4:27">
      <c r="D703" s="50"/>
      <c r="E703" s="50"/>
      <c r="F703" s="50"/>
      <c r="G703" s="50"/>
      <c r="H703" s="50"/>
      <c r="I703" s="50"/>
      <c r="J703" s="50"/>
      <c r="K703" s="51"/>
      <c r="L703" s="50"/>
      <c r="M703" s="50"/>
      <c r="N703" s="50"/>
      <c r="O703" s="50"/>
      <c r="P703" s="50"/>
      <c r="Q703" s="52"/>
      <c r="W703" s="53"/>
      <c r="X703" s="53"/>
      <c r="Y703" s="51"/>
      <c r="Z703" s="51"/>
      <c r="AA703" s="52"/>
    </row>
    <row r="704" spans="4:27">
      <c r="D704" s="50"/>
      <c r="E704" s="50"/>
      <c r="F704" s="50"/>
      <c r="G704" s="50"/>
      <c r="H704" s="50"/>
      <c r="I704" s="50"/>
      <c r="J704" s="50"/>
      <c r="K704" s="51"/>
      <c r="L704" s="50"/>
      <c r="M704" s="50"/>
      <c r="N704" s="50"/>
      <c r="O704" s="50"/>
      <c r="P704" s="50"/>
      <c r="Q704" s="52"/>
      <c r="W704" s="53"/>
      <c r="X704" s="53"/>
      <c r="Y704" s="51"/>
      <c r="Z704" s="51"/>
      <c r="AA704" s="52"/>
    </row>
    <row r="705" spans="4:27">
      <c r="D705" s="50"/>
      <c r="E705" s="50"/>
      <c r="F705" s="50"/>
      <c r="G705" s="50"/>
      <c r="H705" s="50"/>
      <c r="I705" s="50"/>
      <c r="J705" s="50"/>
      <c r="K705" s="51"/>
      <c r="L705" s="50"/>
      <c r="M705" s="50"/>
      <c r="N705" s="50"/>
      <c r="O705" s="50"/>
      <c r="P705" s="50"/>
      <c r="Q705" s="52"/>
      <c r="W705" s="53"/>
      <c r="X705" s="53"/>
      <c r="Y705" s="51"/>
      <c r="Z705" s="51"/>
      <c r="AA705" s="52"/>
    </row>
    <row r="706" spans="4:27">
      <c r="D706" s="50"/>
      <c r="E706" s="50"/>
      <c r="F706" s="50"/>
      <c r="G706" s="50"/>
      <c r="H706" s="50"/>
      <c r="I706" s="50"/>
      <c r="J706" s="50"/>
      <c r="K706" s="51"/>
      <c r="L706" s="50"/>
      <c r="M706" s="50"/>
      <c r="N706" s="50"/>
      <c r="O706" s="50"/>
      <c r="P706" s="50"/>
      <c r="Q706" s="52"/>
      <c r="W706" s="53"/>
      <c r="X706" s="53"/>
      <c r="Y706" s="51"/>
      <c r="Z706" s="51"/>
      <c r="AA706" s="52"/>
    </row>
    <row r="707" spans="4:27">
      <c r="D707" s="50"/>
      <c r="E707" s="50"/>
      <c r="F707" s="50"/>
      <c r="G707" s="50"/>
      <c r="H707" s="50"/>
      <c r="I707" s="50"/>
      <c r="J707" s="50"/>
      <c r="K707" s="51"/>
      <c r="L707" s="50"/>
      <c r="M707" s="50"/>
      <c r="N707" s="50"/>
      <c r="O707" s="50"/>
      <c r="P707" s="50"/>
      <c r="Q707" s="52"/>
      <c r="W707" s="53"/>
      <c r="X707" s="53"/>
      <c r="Y707" s="51"/>
      <c r="Z707" s="51"/>
      <c r="AA707" s="52"/>
    </row>
    <row r="708" spans="4:27">
      <c r="D708" s="50"/>
      <c r="E708" s="50"/>
      <c r="F708" s="50"/>
      <c r="G708" s="50"/>
      <c r="H708" s="50"/>
      <c r="I708" s="50"/>
      <c r="J708" s="50"/>
      <c r="K708" s="51"/>
      <c r="L708" s="50"/>
      <c r="M708" s="50"/>
      <c r="N708" s="50"/>
      <c r="O708" s="50"/>
      <c r="P708" s="50"/>
      <c r="Q708" s="52"/>
      <c r="W708" s="53"/>
      <c r="X708" s="53"/>
      <c r="Y708" s="51"/>
      <c r="Z708" s="51"/>
      <c r="AA708" s="52"/>
    </row>
    <row r="709" spans="4:27">
      <c r="D709" s="50"/>
      <c r="E709" s="50"/>
      <c r="F709" s="50"/>
      <c r="G709" s="50"/>
      <c r="H709" s="50"/>
      <c r="I709" s="50"/>
      <c r="J709" s="50"/>
      <c r="K709" s="51"/>
      <c r="L709" s="50"/>
      <c r="M709" s="50"/>
      <c r="N709" s="50"/>
      <c r="O709" s="50"/>
      <c r="P709" s="50"/>
      <c r="Q709" s="52"/>
      <c r="W709" s="53"/>
      <c r="X709" s="53"/>
      <c r="Y709" s="51"/>
      <c r="Z709" s="51"/>
      <c r="AA709" s="52"/>
    </row>
    <row r="710" spans="4:27">
      <c r="D710" s="50"/>
      <c r="E710" s="50"/>
      <c r="F710" s="50"/>
      <c r="G710" s="50"/>
      <c r="H710" s="50"/>
      <c r="I710" s="50"/>
      <c r="J710" s="50"/>
      <c r="K710" s="51"/>
      <c r="L710" s="50"/>
      <c r="M710" s="50"/>
      <c r="N710" s="50"/>
      <c r="O710" s="50"/>
      <c r="P710" s="50"/>
      <c r="Q710" s="52"/>
      <c r="W710" s="53"/>
      <c r="X710" s="53"/>
      <c r="Y710" s="51"/>
      <c r="Z710" s="51"/>
      <c r="AA710" s="52"/>
    </row>
    <row r="711" spans="4:27">
      <c r="D711" s="50"/>
      <c r="E711" s="50"/>
      <c r="F711" s="50"/>
      <c r="G711" s="50"/>
      <c r="H711" s="50"/>
      <c r="I711" s="50"/>
      <c r="J711" s="50"/>
      <c r="K711" s="51"/>
      <c r="L711" s="50"/>
      <c r="M711" s="50"/>
      <c r="N711" s="50"/>
      <c r="O711" s="50"/>
      <c r="P711" s="50"/>
      <c r="Q711" s="52"/>
      <c r="W711" s="53"/>
      <c r="X711" s="53"/>
      <c r="Y711" s="51"/>
      <c r="Z711" s="51"/>
      <c r="AA711" s="52"/>
    </row>
    <row r="712" spans="4:27">
      <c r="D712" s="50"/>
      <c r="E712" s="50"/>
      <c r="F712" s="50"/>
      <c r="G712" s="50"/>
      <c r="H712" s="50"/>
      <c r="I712" s="50"/>
      <c r="J712" s="50"/>
      <c r="K712" s="51"/>
      <c r="L712" s="50"/>
      <c r="M712" s="50"/>
      <c r="N712" s="50"/>
      <c r="O712" s="50"/>
      <c r="P712" s="50"/>
      <c r="Q712" s="52"/>
      <c r="W712" s="53"/>
      <c r="X712" s="53"/>
      <c r="Y712" s="51"/>
      <c r="Z712" s="51"/>
      <c r="AA712" s="52"/>
    </row>
    <row r="713" spans="4:27">
      <c r="D713" s="50"/>
      <c r="E713" s="50"/>
      <c r="F713" s="50"/>
      <c r="G713" s="50"/>
      <c r="H713" s="50"/>
      <c r="I713" s="50"/>
      <c r="J713" s="50"/>
      <c r="K713" s="51"/>
      <c r="L713" s="50"/>
      <c r="M713" s="50"/>
      <c r="N713" s="50"/>
      <c r="O713" s="50"/>
      <c r="P713" s="50"/>
      <c r="Q713" s="52"/>
      <c r="W713" s="53"/>
      <c r="X713" s="53"/>
      <c r="Y713" s="51"/>
      <c r="Z713" s="51"/>
      <c r="AA713" s="52"/>
    </row>
    <row r="714" spans="4:27">
      <c r="D714" s="50"/>
      <c r="E714" s="50"/>
      <c r="F714" s="50"/>
      <c r="G714" s="50"/>
      <c r="H714" s="50"/>
      <c r="I714" s="50"/>
      <c r="J714" s="50"/>
      <c r="K714" s="51"/>
      <c r="L714" s="50"/>
      <c r="M714" s="50"/>
      <c r="N714" s="50"/>
      <c r="O714" s="50"/>
      <c r="P714" s="50"/>
      <c r="Q714" s="52"/>
      <c r="W714" s="53"/>
      <c r="X714" s="53"/>
      <c r="Y714" s="51"/>
      <c r="Z714" s="51"/>
      <c r="AA714" s="52"/>
    </row>
    <row r="715" spans="4:27">
      <c r="D715" s="50"/>
      <c r="E715" s="50"/>
      <c r="F715" s="50"/>
      <c r="G715" s="50"/>
      <c r="H715" s="50"/>
      <c r="I715" s="50"/>
      <c r="J715" s="50"/>
      <c r="K715" s="51"/>
      <c r="L715" s="50"/>
      <c r="M715" s="50"/>
      <c r="N715" s="50"/>
      <c r="O715" s="50"/>
      <c r="P715" s="50"/>
      <c r="Q715" s="52"/>
      <c r="W715" s="53"/>
      <c r="X715" s="53"/>
      <c r="Y715" s="51"/>
      <c r="Z715" s="51"/>
      <c r="AA715" s="52"/>
    </row>
    <row r="716" spans="4:27">
      <c r="D716" s="50"/>
      <c r="E716" s="50"/>
      <c r="F716" s="50"/>
      <c r="G716" s="50"/>
      <c r="H716" s="50"/>
      <c r="I716" s="50"/>
      <c r="J716" s="50"/>
      <c r="K716" s="51"/>
      <c r="L716" s="50"/>
      <c r="M716" s="50"/>
      <c r="N716" s="50"/>
      <c r="O716" s="50"/>
      <c r="P716" s="50"/>
      <c r="Q716" s="52"/>
      <c r="W716" s="53"/>
      <c r="X716" s="53"/>
      <c r="Y716" s="51"/>
      <c r="Z716" s="51"/>
      <c r="AA716" s="52"/>
    </row>
    <row r="717" spans="4:27">
      <c r="D717" s="50"/>
      <c r="E717" s="50"/>
      <c r="F717" s="50"/>
      <c r="G717" s="50"/>
      <c r="H717" s="50"/>
      <c r="I717" s="50"/>
      <c r="J717" s="50"/>
      <c r="K717" s="51"/>
      <c r="L717" s="50"/>
      <c r="M717" s="50"/>
      <c r="N717" s="50"/>
      <c r="O717" s="50"/>
      <c r="P717" s="50"/>
      <c r="Q717" s="52"/>
      <c r="W717" s="53"/>
      <c r="X717" s="53"/>
      <c r="Y717" s="51"/>
      <c r="Z717" s="51"/>
      <c r="AA717" s="52"/>
    </row>
    <row r="718" spans="4:27">
      <c r="D718" s="50"/>
      <c r="E718" s="50"/>
      <c r="F718" s="50"/>
      <c r="G718" s="50"/>
      <c r="H718" s="50"/>
      <c r="I718" s="50"/>
      <c r="J718" s="50"/>
      <c r="K718" s="51"/>
      <c r="L718" s="50"/>
      <c r="M718" s="50"/>
      <c r="N718" s="50"/>
      <c r="O718" s="50"/>
      <c r="P718" s="50"/>
      <c r="Q718" s="52"/>
      <c r="W718" s="53"/>
      <c r="X718" s="53"/>
      <c r="Y718" s="51"/>
      <c r="Z718" s="51"/>
      <c r="AA718" s="52"/>
    </row>
    <row r="719" spans="4:27">
      <c r="D719" s="50"/>
      <c r="E719" s="50"/>
      <c r="F719" s="50"/>
      <c r="G719" s="50"/>
      <c r="H719" s="50"/>
      <c r="I719" s="50"/>
      <c r="J719" s="50"/>
      <c r="K719" s="51"/>
      <c r="L719" s="50"/>
      <c r="M719" s="50"/>
      <c r="N719" s="50"/>
      <c r="O719" s="50"/>
      <c r="P719" s="50"/>
      <c r="Q719" s="52"/>
      <c r="W719" s="53"/>
      <c r="X719" s="53"/>
      <c r="Y719" s="51"/>
      <c r="Z719" s="51"/>
      <c r="AA719" s="52"/>
    </row>
    <row r="720" spans="4:27">
      <c r="D720" s="50"/>
      <c r="E720" s="50"/>
      <c r="F720" s="50"/>
      <c r="G720" s="50"/>
      <c r="H720" s="50"/>
      <c r="I720" s="50"/>
      <c r="J720" s="50"/>
      <c r="K720" s="51"/>
      <c r="L720" s="50"/>
      <c r="M720" s="50"/>
      <c r="N720" s="50"/>
      <c r="O720" s="50"/>
      <c r="P720" s="50"/>
      <c r="Q720" s="52"/>
      <c r="W720" s="53"/>
      <c r="X720" s="53"/>
      <c r="Y720" s="51"/>
      <c r="Z720" s="51"/>
      <c r="AA720" s="52"/>
    </row>
    <row r="721" spans="4:27">
      <c r="D721" s="50"/>
      <c r="E721" s="50"/>
      <c r="F721" s="50"/>
      <c r="G721" s="50"/>
      <c r="H721" s="50"/>
      <c r="I721" s="50"/>
      <c r="J721" s="50"/>
      <c r="K721" s="51"/>
      <c r="L721" s="50"/>
      <c r="M721" s="50"/>
      <c r="N721" s="50"/>
      <c r="O721" s="50"/>
      <c r="P721" s="50"/>
      <c r="Q721" s="52"/>
      <c r="W721" s="53"/>
      <c r="X721" s="53"/>
      <c r="Y721" s="51"/>
      <c r="Z721" s="51"/>
      <c r="AA721" s="52"/>
    </row>
    <row r="722" spans="4:27">
      <c r="D722" s="50"/>
      <c r="E722" s="50"/>
      <c r="F722" s="50"/>
      <c r="G722" s="50"/>
      <c r="H722" s="50"/>
      <c r="I722" s="50"/>
      <c r="J722" s="50"/>
      <c r="K722" s="51"/>
      <c r="L722" s="50"/>
      <c r="M722" s="50"/>
      <c r="N722" s="50"/>
      <c r="O722" s="50"/>
      <c r="P722" s="50"/>
      <c r="Q722" s="52"/>
      <c r="W722" s="53"/>
      <c r="X722" s="53"/>
      <c r="Y722" s="51"/>
      <c r="Z722" s="51"/>
      <c r="AA722" s="52"/>
    </row>
    <row r="723" spans="4:27">
      <c r="D723" s="50"/>
      <c r="E723" s="50"/>
      <c r="F723" s="50"/>
      <c r="G723" s="50"/>
      <c r="H723" s="50"/>
      <c r="I723" s="50"/>
      <c r="J723" s="50"/>
      <c r="K723" s="51"/>
      <c r="L723" s="50"/>
      <c r="M723" s="50"/>
      <c r="N723" s="50"/>
      <c r="O723" s="50"/>
      <c r="P723" s="50"/>
      <c r="Q723" s="52"/>
      <c r="W723" s="53"/>
      <c r="X723" s="53"/>
      <c r="Y723" s="51"/>
      <c r="Z723" s="51"/>
      <c r="AA723" s="52"/>
    </row>
    <row r="724" spans="4:27">
      <c r="D724" s="50"/>
      <c r="E724" s="50"/>
      <c r="F724" s="50"/>
      <c r="G724" s="50"/>
      <c r="H724" s="50"/>
      <c r="I724" s="50"/>
      <c r="J724" s="50"/>
      <c r="K724" s="51"/>
      <c r="L724" s="50"/>
      <c r="M724" s="50"/>
      <c r="N724" s="50"/>
      <c r="O724" s="50"/>
      <c r="P724" s="50"/>
      <c r="Q724" s="52"/>
      <c r="W724" s="53"/>
      <c r="X724" s="53"/>
      <c r="Y724" s="51"/>
      <c r="Z724" s="51"/>
      <c r="AA724" s="52"/>
    </row>
    <row r="725" spans="4:27">
      <c r="D725" s="50"/>
      <c r="E725" s="50"/>
      <c r="F725" s="50"/>
      <c r="G725" s="50"/>
      <c r="H725" s="50"/>
      <c r="I725" s="50"/>
      <c r="J725" s="50"/>
      <c r="K725" s="51"/>
      <c r="L725" s="50"/>
      <c r="M725" s="50"/>
      <c r="N725" s="50"/>
      <c r="O725" s="50"/>
      <c r="P725" s="50"/>
      <c r="Q725" s="52"/>
      <c r="W725" s="53"/>
      <c r="X725" s="53"/>
      <c r="Y725" s="51"/>
      <c r="Z725" s="51"/>
      <c r="AA725" s="52"/>
    </row>
    <row r="726" spans="4:27">
      <c r="D726" s="50"/>
      <c r="E726" s="50"/>
      <c r="F726" s="50"/>
      <c r="G726" s="50"/>
      <c r="H726" s="50"/>
      <c r="I726" s="50"/>
      <c r="J726" s="50"/>
      <c r="K726" s="51"/>
      <c r="L726" s="50"/>
      <c r="M726" s="50"/>
      <c r="N726" s="50"/>
      <c r="O726" s="50"/>
      <c r="P726" s="50"/>
      <c r="Q726" s="52"/>
      <c r="W726" s="53"/>
      <c r="X726" s="53"/>
      <c r="Y726" s="51"/>
      <c r="Z726" s="51"/>
      <c r="AA726" s="52"/>
    </row>
    <row r="727" spans="4:27">
      <c r="D727" s="50"/>
      <c r="E727" s="50"/>
      <c r="F727" s="50"/>
      <c r="G727" s="50"/>
      <c r="H727" s="50"/>
      <c r="I727" s="50"/>
      <c r="J727" s="50"/>
      <c r="K727" s="51"/>
      <c r="L727" s="50"/>
      <c r="M727" s="50"/>
      <c r="N727" s="50"/>
      <c r="O727" s="50"/>
      <c r="P727" s="50"/>
      <c r="Q727" s="52"/>
      <c r="W727" s="53"/>
      <c r="X727" s="53"/>
      <c r="Y727" s="51"/>
      <c r="Z727" s="51"/>
      <c r="AA727" s="52"/>
    </row>
    <row r="728" spans="4:27">
      <c r="D728" s="50"/>
      <c r="E728" s="50"/>
      <c r="F728" s="50"/>
      <c r="G728" s="50"/>
      <c r="H728" s="50"/>
      <c r="I728" s="50"/>
      <c r="J728" s="50"/>
      <c r="K728" s="51"/>
      <c r="L728" s="50"/>
      <c r="M728" s="50"/>
      <c r="N728" s="50"/>
      <c r="O728" s="50"/>
      <c r="P728" s="50"/>
      <c r="Q728" s="52"/>
      <c r="W728" s="53"/>
      <c r="X728" s="53"/>
      <c r="Y728" s="51"/>
      <c r="Z728" s="51"/>
      <c r="AA728" s="52"/>
    </row>
    <row r="729" spans="4:27">
      <c r="D729" s="50"/>
      <c r="E729" s="50"/>
      <c r="F729" s="50"/>
      <c r="G729" s="50"/>
      <c r="H729" s="50"/>
      <c r="I729" s="50"/>
      <c r="J729" s="50"/>
      <c r="K729" s="51"/>
      <c r="L729" s="50"/>
      <c r="M729" s="50"/>
      <c r="N729" s="50"/>
      <c r="O729" s="50"/>
      <c r="P729" s="50"/>
      <c r="Q729" s="52"/>
      <c r="W729" s="53"/>
      <c r="X729" s="53"/>
      <c r="Y729" s="51"/>
      <c r="Z729" s="51"/>
      <c r="AA729" s="52"/>
    </row>
    <row r="730" spans="4:27">
      <c r="D730" s="50"/>
      <c r="E730" s="50"/>
      <c r="F730" s="50"/>
      <c r="G730" s="50"/>
      <c r="H730" s="50"/>
      <c r="I730" s="50"/>
      <c r="J730" s="50"/>
      <c r="K730" s="51"/>
      <c r="L730" s="50"/>
      <c r="M730" s="50"/>
      <c r="N730" s="50"/>
      <c r="O730" s="50"/>
      <c r="P730" s="50"/>
      <c r="Q730" s="52"/>
      <c r="W730" s="53"/>
      <c r="X730" s="53"/>
      <c r="Y730" s="51"/>
      <c r="Z730" s="51"/>
      <c r="AA730" s="52"/>
    </row>
    <row r="731" spans="4:27">
      <c r="D731" s="50"/>
      <c r="E731" s="50"/>
      <c r="F731" s="50"/>
      <c r="G731" s="50"/>
      <c r="H731" s="50"/>
      <c r="I731" s="50"/>
      <c r="J731" s="50"/>
      <c r="K731" s="51"/>
      <c r="L731" s="50"/>
      <c r="M731" s="50"/>
      <c r="N731" s="50"/>
      <c r="O731" s="50"/>
      <c r="P731" s="50"/>
      <c r="Q731" s="52"/>
      <c r="W731" s="53"/>
      <c r="X731" s="53"/>
      <c r="Y731" s="51"/>
      <c r="Z731" s="51"/>
      <c r="AA731" s="52"/>
    </row>
    <row r="732" spans="4:27">
      <c r="D732" s="50"/>
      <c r="E732" s="50"/>
      <c r="F732" s="50"/>
      <c r="G732" s="50"/>
      <c r="H732" s="50"/>
      <c r="I732" s="50"/>
      <c r="J732" s="50"/>
      <c r="K732" s="51"/>
      <c r="L732" s="50"/>
      <c r="M732" s="50"/>
      <c r="N732" s="50"/>
      <c r="O732" s="50"/>
      <c r="P732" s="50"/>
      <c r="Q732" s="52"/>
      <c r="W732" s="53"/>
      <c r="X732" s="53"/>
      <c r="Y732" s="51"/>
      <c r="Z732" s="51"/>
      <c r="AA732" s="52"/>
    </row>
    <row r="733" spans="4:27">
      <c r="D733" s="50"/>
      <c r="E733" s="50"/>
      <c r="F733" s="50"/>
      <c r="G733" s="50"/>
      <c r="H733" s="50"/>
      <c r="I733" s="50"/>
      <c r="J733" s="50"/>
      <c r="K733" s="51"/>
      <c r="L733" s="50"/>
      <c r="M733" s="50"/>
      <c r="N733" s="50"/>
      <c r="O733" s="50"/>
      <c r="P733" s="50"/>
      <c r="Q733" s="52"/>
      <c r="W733" s="53"/>
      <c r="X733" s="53"/>
      <c r="Y733" s="51"/>
      <c r="Z733" s="51"/>
      <c r="AA733" s="52"/>
    </row>
    <row r="734" spans="4:27">
      <c r="D734" s="50"/>
      <c r="E734" s="50"/>
      <c r="F734" s="50"/>
      <c r="G734" s="50"/>
      <c r="H734" s="50"/>
      <c r="I734" s="50"/>
      <c r="J734" s="50"/>
      <c r="K734" s="51"/>
      <c r="L734" s="50"/>
      <c r="M734" s="50"/>
      <c r="N734" s="50"/>
      <c r="O734" s="50"/>
      <c r="P734" s="50"/>
      <c r="Q734" s="52"/>
      <c r="W734" s="53"/>
      <c r="X734" s="53"/>
      <c r="Y734" s="51"/>
      <c r="Z734" s="51"/>
      <c r="AA734" s="52"/>
    </row>
    <row r="735" spans="4:27">
      <c r="D735" s="50"/>
      <c r="E735" s="50"/>
      <c r="F735" s="50"/>
      <c r="G735" s="50"/>
      <c r="H735" s="50"/>
      <c r="I735" s="50"/>
      <c r="J735" s="50"/>
      <c r="K735" s="51"/>
      <c r="L735" s="50"/>
      <c r="M735" s="50"/>
      <c r="N735" s="50"/>
      <c r="O735" s="50"/>
      <c r="P735" s="50"/>
      <c r="Q735" s="52"/>
      <c r="W735" s="53"/>
      <c r="X735" s="53"/>
      <c r="Y735" s="51"/>
      <c r="Z735" s="51"/>
      <c r="AA735" s="52"/>
    </row>
    <row r="736" spans="4:27">
      <c r="D736" s="50"/>
      <c r="E736" s="50"/>
      <c r="F736" s="50"/>
      <c r="G736" s="50"/>
      <c r="H736" s="50"/>
      <c r="I736" s="50"/>
      <c r="J736" s="50"/>
      <c r="K736" s="51"/>
      <c r="L736" s="50"/>
      <c r="M736" s="50"/>
      <c r="N736" s="50"/>
      <c r="O736" s="50"/>
      <c r="P736" s="50"/>
      <c r="Q736" s="52"/>
      <c r="W736" s="53"/>
      <c r="X736" s="53"/>
      <c r="Y736" s="51"/>
      <c r="Z736" s="51"/>
      <c r="AA736" s="52"/>
    </row>
    <row r="737" spans="4:27">
      <c r="D737" s="50"/>
      <c r="E737" s="50"/>
      <c r="F737" s="50"/>
      <c r="G737" s="50"/>
      <c r="H737" s="50"/>
      <c r="I737" s="50"/>
      <c r="J737" s="50"/>
      <c r="K737" s="51"/>
      <c r="L737" s="50"/>
      <c r="M737" s="50"/>
      <c r="N737" s="50"/>
      <c r="O737" s="50"/>
      <c r="P737" s="50"/>
      <c r="Q737" s="52"/>
      <c r="W737" s="53"/>
      <c r="X737" s="53"/>
      <c r="Y737" s="51"/>
      <c r="Z737" s="51"/>
      <c r="AA737" s="52"/>
    </row>
    <row r="738" spans="4:27">
      <c r="D738" s="50"/>
      <c r="E738" s="50"/>
      <c r="F738" s="50"/>
      <c r="G738" s="50"/>
      <c r="H738" s="50"/>
      <c r="I738" s="50"/>
      <c r="J738" s="50"/>
      <c r="K738" s="51"/>
      <c r="L738" s="50"/>
      <c r="M738" s="50"/>
      <c r="N738" s="50"/>
      <c r="O738" s="50"/>
      <c r="P738" s="50"/>
      <c r="Q738" s="52"/>
      <c r="W738" s="53"/>
      <c r="X738" s="53"/>
      <c r="Y738" s="51"/>
      <c r="Z738" s="51"/>
      <c r="AA738" s="52"/>
    </row>
    <row r="739" spans="4:27">
      <c r="D739" s="50"/>
      <c r="E739" s="50"/>
      <c r="F739" s="50"/>
      <c r="G739" s="50"/>
      <c r="H739" s="50"/>
      <c r="I739" s="50"/>
      <c r="J739" s="50"/>
      <c r="K739" s="51"/>
      <c r="L739" s="50"/>
      <c r="M739" s="50"/>
      <c r="N739" s="50"/>
      <c r="O739" s="50"/>
      <c r="P739" s="50"/>
      <c r="Q739" s="52"/>
      <c r="W739" s="53"/>
      <c r="X739" s="53"/>
      <c r="Y739" s="51"/>
      <c r="Z739" s="51"/>
      <c r="AA739" s="52"/>
    </row>
    <row r="740" spans="4:27">
      <c r="D740" s="50"/>
      <c r="E740" s="50"/>
      <c r="F740" s="50"/>
      <c r="G740" s="50"/>
      <c r="H740" s="50"/>
      <c r="I740" s="50"/>
      <c r="J740" s="50"/>
      <c r="K740" s="51"/>
      <c r="L740" s="50"/>
      <c r="M740" s="50"/>
      <c r="N740" s="50"/>
      <c r="O740" s="50"/>
      <c r="P740" s="50"/>
      <c r="Q740" s="52"/>
      <c r="W740" s="53"/>
      <c r="X740" s="53"/>
      <c r="Y740" s="51"/>
      <c r="Z740" s="51"/>
      <c r="AA740" s="52"/>
    </row>
    <row r="741" spans="4:27">
      <c r="D741" s="50"/>
      <c r="E741" s="50"/>
      <c r="F741" s="50"/>
      <c r="G741" s="50"/>
      <c r="H741" s="50"/>
      <c r="I741" s="50"/>
      <c r="J741" s="50"/>
      <c r="K741" s="51"/>
      <c r="L741" s="50"/>
      <c r="M741" s="50"/>
      <c r="N741" s="50"/>
      <c r="O741" s="50"/>
      <c r="P741" s="50"/>
      <c r="Q741" s="52"/>
      <c r="W741" s="53"/>
      <c r="X741" s="53"/>
      <c r="Y741" s="51"/>
      <c r="Z741" s="51"/>
      <c r="AA741" s="52"/>
    </row>
    <row r="742" spans="4:27">
      <c r="D742" s="50"/>
      <c r="E742" s="50"/>
      <c r="F742" s="50"/>
      <c r="G742" s="50"/>
      <c r="H742" s="50"/>
      <c r="I742" s="50"/>
      <c r="J742" s="50"/>
      <c r="K742" s="51"/>
      <c r="L742" s="50"/>
      <c r="M742" s="50"/>
      <c r="N742" s="50"/>
      <c r="O742" s="50"/>
      <c r="P742" s="50"/>
      <c r="Q742" s="52"/>
      <c r="W742" s="53"/>
      <c r="X742" s="53"/>
      <c r="Y742" s="51"/>
      <c r="Z742" s="51"/>
      <c r="AA742" s="52"/>
    </row>
    <row r="743" spans="4:27">
      <c r="D743" s="50"/>
      <c r="E743" s="50"/>
      <c r="F743" s="50"/>
      <c r="G743" s="50"/>
      <c r="H743" s="50"/>
      <c r="I743" s="50"/>
      <c r="J743" s="50"/>
      <c r="K743" s="51"/>
      <c r="L743" s="50"/>
      <c r="M743" s="50"/>
      <c r="N743" s="50"/>
      <c r="O743" s="50"/>
      <c r="P743" s="50"/>
      <c r="Q743" s="52"/>
      <c r="W743" s="53"/>
      <c r="X743" s="53"/>
      <c r="Y743" s="51"/>
      <c r="Z743" s="51"/>
      <c r="AA743" s="52"/>
    </row>
    <row r="744" spans="4:27">
      <c r="D744" s="50"/>
      <c r="E744" s="50"/>
      <c r="F744" s="50"/>
      <c r="G744" s="50"/>
      <c r="H744" s="50"/>
      <c r="I744" s="50"/>
      <c r="J744" s="50"/>
      <c r="K744" s="51"/>
      <c r="L744" s="50"/>
      <c r="M744" s="50"/>
      <c r="N744" s="50"/>
      <c r="O744" s="50"/>
      <c r="P744" s="50"/>
      <c r="Q744" s="52"/>
      <c r="W744" s="53"/>
      <c r="X744" s="53"/>
      <c r="Y744" s="51"/>
      <c r="Z744" s="51"/>
      <c r="AA744" s="52"/>
    </row>
    <row r="745" spans="4:27">
      <c r="D745" s="50"/>
      <c r="E745" s="50"/>
      <c r="F745" s="50"/>
      <c r="G745" s="50"/>
      <c r="H745" s="50"/>
      <c r="I745" s="50"/>
      <c r="J745" s="50"/>
      <c r="K745" s="51"/>
      <c r="L745" s="50"/>
      <c r="M745" s="50"/>
      <c r="N745" s="50"/>
      <c r="O745" s="50"/>
      <c r="P745" s="50"/>
      <c r="Q745" s="52"/>
      <c r="W745" s="53"/>
      <c r="X745" s="53"/>
      <c r="Y745" s="51"/>
      <c r="Z745" s="51"/>
      <c r="AA745" s="52"/>
    </row>
    <row r="746" spans="4:27">
      <c r="D746" s="50"/>
      <c r="E746" s="50"/>
      <c r="F746" s="50"/>
      <c r="G746" s="50"/>
      <c r="H746" s="50"/>
      <c r="I746" s="50"/>
      <c r="J746" s="50"/>
      <c r="K746" s="51"/>
      <c r="L746" s="50"/>
      <c r="M746" s="50"/>
      <c r="N746" s="50"/>
      <c r="O746" s="50"/>
      <c r="P746" s="50"/>
      <c r="Q746" s="52"/>
      <c r="W746" s="53"/>
      <c r="X746" s="53"/>
      <c r="Y746" s="51"/>
      <c r="Z746" s="51"/>
      <c r="AA746" s="52"/>
    </row>
    <row r="747" spans="4:27">
      <c r="D747" s="50"/>
      <c r="E747" s="50"/>
      <c r="F747" s="50"/>
      <c r="G747" s="50"/>
      <c r="H747" s="50"/>
      <c r="I747" s="50"/>
      <c r="J747" s="50"/>
      <c r="K747" s="51"/>
      <c r="L747" s="50"/>
      <c r="M747" s="50"/>
      <c r="N747" s="50"/>
      <c r="O747" s="50"/>
      <c r="P747" s="50"/>
      <c r="Q747" s="52"/>
      <c r="W747" s="53"/>
      <c r="X747" s="53"/>
      <c r="Y747" s="51"/>
      <c r="Z747" s="51"/>
      <c r="AA747" s="52"/>
    </row>
    <row r="748" spans="4:27">
      <c r="D748" s="50"/>
      <c r="E748" s="50"/>
      <c r="F748" s="50"/>
      <c r="G748" s="50"/>
      <c r="H748" s="50"/>
      <c r="I748" s="50"/>
      <c r="J748" s="50"/>
      <c r="K748" s="51"/>
      <c r="L748" s="50"/>
      <c r="M748" s="50"/>
      <c r="N748" s="50"/>
      <c r="O748" s="50"/>
      <c r="P748" s="50"/>
      <c r="Q748" s="52"/>
      <c r="W748" s="53"/>
      <c r="X748" s="53"/>
      <c r="Y748" s="51"/>
      <c r="Z748" s="51"/>
      <c r="AA748" s="52"/>
    </row>
    <row r="749" spans="4:27">
      <c r="D749" s="50"/>
      <c r="E749" s="50"/>
      <c r="F749" s="50"/>
      <c r="G749" s="50"/>
      <c r="H749" s="50"/>
      <c r="I749" s="50"/>
      <c r="J749" s="50"/>
      <c r="K749" s="51"/>
      <c r="L749" s="50"/>
      <c r="M749" s="50"/>
      <c r="N749" s="50"/>
      <c r="O749" s="50"/>
      <c r="P749" s="50"/>
      <c r="Q749" s="52"/>
      <c r="W749" s="53"/>
      <c r="X749" s="53"/>
      <c r="Y749" s="51"/>
      <c r="Z749" s="51"/>
      <c r="AA749" s="52"/>
    </row>
    <row r="750" spans="4:27">
      <c r="D750" s="50"/>
      <c r="E750" s="50"/>
      <c r="F750" s="50"/>
      <c r="G750" s="50"/>
      <c r="H750" s="50"/>
      <c r="I750" s="50"/>
      <c r="J750" s="50"/>
      <c r="K750" s="51"/>
      <c r="L750" s="50"/>
      <c r="M750" s="50"/>
      <c r="N750" s="50"/>
      <c r="O750" s="50"/>
      <c r="P750" s="50"/>
      <c r="Q750" s="52"/>
      <c r="W750" s="53"/>
      <c r="X750" s="53"/>
      <c r="Y750" s="51"/>
      <c r="Z750" s="51"/>
      <c r="AA750" s="52"/>
    </row>
    <row r="751" spans="4:27">
      <c r="D751" s="50"/>
      <c r="E751" s="50"/>
      <c r="F751" s="50"/>
      <c r="G751" s="50"/>
      <c r="H751" s="50"/>
      <c r="I751" s="50"/>
      <c r="J751" s="50"/>
      <c r="K751" s="51"/>
      <c r="L751" s="50"/>
      <c r="M751" s="50"/>
      <c r="N751" s="50"/>
      <c r="O751" s="50"/>
      <c r="P751" s="50"/>
      <c r="Q751" s="52"/>
      <c r="W751" s="53"/>
      <c r="X751" s="53"/>
      <c r="Y751" s="51"/>
      <c r="Z751" s="51"/>
      <c r="AA751" s="52"/>
    </row>
    <row r="752" spans="4:27">
      <c r="D752" s="50"/>
      <c r="E752" s="50"/>
      <c r="F752" s="50"/>
      <c r="G752" s="50"/>
      <c r="H752" s="50"/>
      <c r="I752" s="50"/>
      <c r="J752" s="50"/>
      <c r="K752" s="51"/>
      <c r="L752" s="50"/>
      <c r="M752" s="50"/>
      <c r="N752" s="50"/>
      <c r="O752" s="50"/>
      <c r="P752" s="50"/>
      <c r="Q752" s="52"/>
      <c r="W752" s="53"/>
      <c r="X752" s="53"/>
      <c r="Y752" s="51"/>
      <c r="Z752" s="51"/>
      <c r="AA752" s="52"/>
    </row>
    <row r="753" spans="4:27">
      <c r="D753" s="50"/>
      <c r="E753" s="50"/>
      <c r="F753" s="50"/>
      <c r="G753" s="50"/>
      <c r="H753" s="50"/>
      <c r="I753" s="50"/>
      <c r="J753" s="50"/>
      <c r="K753" s="51"/>
      <c r="L753" s="50"/>
      <c r="M753" s="50"/>
      <c r="N753" s="50"/>
      <c r="O753" s="50"/>
      <c r="P753" s="50"/>
      <c r="Q753" s="52"/>
      <c r="W753" s="53"/>
      <c r="X753" s="53"/>
      <c r="Y753" s="51"/>
      <c r="Z753" s="51"/>
      <c r="AA753" s="52"/>
    </row>
    <row r="754" spans="4:27">
      <c r="D754" s="50"/>
      <c r="E754" s="50"/>
      <c r="F754" s="50"/>
      <c r="G754" s="50"/>
      <c r="H754" s="50"/>
      <c r="I754" s="50"/>
      <c r="J754" s="50"/>
      <c r="K754" s="51"/>
      <c r="L754" s="50"/>
      <c r="M754" s="50"/>
      <c r="N754" s="50"/>
      <c r="O754" s="50"/>
      <c r="P754" s="50"/>
      <c r="Q754" s="52"/>
      <c r="W754" s="53"/>
      <c r="X754" s="53"/>
      <c r="Y754" s="51"/>
      <c r="Z754" s="51"/>
      <c r="AA754" s="52"/>
    </row>
    <row r="755" spans="4:27">
      <c r="D755" s="50"/>
      <c r="E755" s="50"/>
      <c r="F755" s="50"/>
      <c r="G755" s="50"/>
      <c r="H755" s="50"/>
      <c r="I755" s="50"/>
      <c r="J755" s="50"/>
      <c r="K755" s="51"/>
      <c r="L755" s="50"/>
      <c r="M755" s="50"/>
      <c r="N755" s="50"/>
      <c r="O755" s="50"/>
      <c r="P755" s="50"/>
      <c r="Q755" s="52"/>
      <c r="W755" s="53"/>
      <c r="X755" s="53"/>
      <c r="Y755" s="51"/>
      <c r="Z755" s="51"/>
      <c r="AA755" s="52"/>
    </row>
    <row r="756" spans="4:27">
      <c r="D756" s="50"/>
      <c r="E756" s="50"/>
      <c r="F756" s="50"/>
      <c r="G756" s="50"/>
      <c r="H756" s="50"/>
      <c r="I756" s="50"/>
      <c r="J756" s="50"/>
      <c r="K756" s="51"/>
      <c r="L756" s="50"/>
      <c r="M756" s="50"/>
      <c r="N756" s="50"/>
      <c r="O756" s="50"/>
      <c r="P756" s="50"/>
      <c r="Q756" s="52"/>
      <c r="W756" s="53"/>
      <c r="X756" s="53"/>
      <c r="Y756" s="51"/>
      <c r="Z756" s="51"/>
      <c r="AA756" s="52"/>
    </row>
    <row r="757" spans="4:27">
      <c r="D757" s="50"/>
      <c r="E757" s="50"/>
      <c r="F757" s="50"/>
      <c r="G757" s="50"/>
      <c r="H757" s="50"/>
      <c r="I757" s="50"/>
      <c r="J757" s="50"/>
      <c r="K757" s="51"/>
      <c r="L757" s="50"/>
      <c r="M757" s="50"/>
      <c r="N757" s="50"/>
      <c r="O757" s="50"/>
      <c r="P757" s="50"/>
      <c r="Q757" s="52"/>
      <c r="W757" s="53"/>
      <c r="X757" s="53"/>
      <c r="Y757" s="51"/>
      <c r="Z757" s="51"/>
      <c r="AA757" s="52"/>
    </row>
    <row r="758" spans="4:27">
      <c r="D758" s="50"/>
      <c r="E758" s="50"/>
      <c r="F758" s="50"/>
      <c r="G758" s="50"/>
      <c r="H758" s="50"/>
      <c r="I758" s="50"/>
      <c r="J758" s="50"/>
      <c r="K758" s="51"/>
      <c r="L758" s="50"/>
      <c r="M758" s="50"/>
      <c r="N758" s="50"/>
      <c r="O758" s="50"/>
      <c r="P758" s="50"/>
      <c r="Q758" s="52"/>
      <c r="W758" s="53"/>
      <c r="X758" s="53"/>
      <c r="Y758" s="51"/>
      <c r="Z758" s="51"/>
      <c r="AA758" s="52"/>
    </row>
    <row r="759" spans="4:27">
      <c r="D759" s="50"/>
      <c r="E759" s="50"/>
      <c r="F759" s="50"/>
      <c r="G759" s="50"/>
      <c r="H759" s="50"/>
      <c r="I759" s="50"/>
      <c r="J759" s="50"/>
      <c r="K759" s="51"/>
      <c r="L759" s="50"/>
      <c r="M759" s="50"/>
      <c r="N759" s="50"/>
      <c r="O759" s="50"/>
      <c r="P759" s="50"/>
      <c r="Q759" s="52"/>
      <c r="W759" s="53"/>
      <c r="X759" s="53"/>
      <c r="Y759" s="51"/>
      <c r="Z759" s="51"/>
      <c r="AA759" s="52"/>
    </row>
    <row r="760" spans="4:27">
      <c r="D760" s="50"/>
      <c r="E760" s="50"/>
      <c r="F760" s="50"/>
      <c r="G760" s="50"/>
      <c r="H760" s="50"/>
      <c r="I760" s="50"/>
      <c r="J760" s="50"/>
      <c r="K760" s="51"/>
      <c r="L760" s="50"/>
      <c r="M760" s="50"/>
      <c r="N760" s="50"/>
      <c r="O760" s="50"/>
      <c r="P760" s="50"/>
      <c r="Q760" s="52"/>
      <c r="W760" s="53"/>
      <c r="X760" s="53"/>
      <c r="Y760" s="51"/>
      <c r="Z760" s="51"/>
      <c r="AA760" s="52"/>
    </row>
    <row r="761" spans="4:27">
      <c r="D761" s="50"/>
      <c r="E761" s="50"/>
      <c r="F761" s="50"/>
      <c r="G761" s="50"/>
      <c r="H761" s="50"/>
      <c r="I761" s="50"/>
      <c r="J761" s="50"/>
      <c r="K761" s="51"/>
      <c r="L761" s="50"/>
      <c r="M761" s="50"/>
      <c r="N761" s="50"/>
      <c r="O761" s="50"/>
      <c r="P761" s="50"/>
      <c r="Q761" s="52"/>
      <c r="W761" s="53"/>
      <c r="X761" s="53"/>
      <c r="Y761" s="51"/>
      <c r="Z761" s="51"/>
      <c r="AA761" s="52"/>
    </row>
    <row r="762" spans="4:27">
      <c r="D762" s="50"/>
      <c r="E762" s="50"/>
      <c r="F762" s="50"/>
      <c r="G762" s="50"/>
      <c r="H762" s="50"/>
      <c r="I762" s="50"/>
      <c r="J762" s="50"/>
      <c r="K762" s="51"/>
      <c r="L762" s="50"/>
      <c r="M762" s="50"/>
      <c r="N762" s="50"/>
      <c r="O762" s="50"/>
      <c r="P762" s="50"/>
      <c r="Q762" s="52"/>
      <c r="W762" s="53"/>
      <c r="X762" s="53"/>
      <c r="Y762" s="51"/>
      <c r="Z762" s="51"/>
      <c r="AA762" s="52"/>
    </row>
    <row r="763" spans="4:27">
      <c r="D763" s="50"/>
      <c r="E763" s="50"/>
      <c r="F763" s="50"/>
      <c r="G763" s="50"/>
      <c r="H763" s="50"/>
      <c r="I763" s="50"/>
      <c r="J763" s="50"/>
      <c r="K763" s="51"/>
      <c r="L763" s="50"/>
      <c r="M763" s="50"/>
      <c r="N763" s="50"/>
      <c r="O763" s="50"/>
      <c r="P763" s="50"/>
      <c r="Q763" s="52"/>
      <c r="W763" s="53"/>
      <c r="X763" s="53"/>
      <c r="Y763" s="51"/>
      <c r="Z763" s="51"/>
      <c r="AA763" s="52"/>
    </row>
    <row r="764" spans="4:27">
      <c r="D764" s="50"/>
      <c r="E764" s="50"/>
      <c r="F764" s="50"/>
      <c r="G764" s="50"/>
      <c r="H764" s="50"/>
      <c r="I764" s="50"/>
      <c r="J764" s="50"/>
      <c r="K764" s="51"/>
      <c r="L764" s="50"/>
      <c r="M764" s="50"/>
      <c r="N764" s="50"/>
      <c r="O764" s="50"/>
      <c r="P764" s="50"/>
      <c r="Q764" s="52"/>
      <c r="W764" s="53"/>
      <c r="X764" s="53"/>
      <c r="Y764" s="51"/>
      <c r="Z764" s="51"/>
      <c r="AA764" s="52"/>
    </row>
    <row r="765" spans="4:27">
      <c r="D765" s="50"/>
      <c r="E765" s="50"/>
      <c r="F765" s="50"/>
      <c r="G765" s="50"/>
      <c r="H765" s="50"/>
      <c r="I765" s="50"/>
      <c r="J765" s="50"/>
      <c r="K765" s="51"/>
      <c r="L765" s="50"/>
      <c r="M765" s="50"/>
      <c r="N765" s="50"/>
      <c r="O765" s="50"/>
      <c r="P765" s="50"/>
      <c r="Q765" s="52"/>
      <c r="W765" s="53"/>
      <c r="X765" s="53"/>
      <c r="Y765" s="51"/>
      <c r="Z765" s="51"/>
      <c r="AA765" s="52"/>
    </row>
    <row r="766" spans="4:27">
      <c r="D766" s="50"/>
      <c r="E766" s="50"/>
      <c r="F766" s="50"/>
      <c r="G766" s="50"/>
      <c r="H766" s="50"/>
      <c r="I766" s="50"/>
      <c r="J766" s="50"/>
      <c r="K766" s="51"/>
      <c r="L766" s="50"/>
      <c r="M766" s="50"/>
      <c r="N766" s="50"/>
      <c r="O766" s="50"/>
      <c r="P766" s="50"/>
      <c r="Q766" s="52"/>
      <c r="W766" s="53"/>
      <c r="X766" s="53"/>
      <c r="Y766" s="51"/>
      <c r="Z766" s="51"/>
      <c r="AA766" s="52"/>
    </row>
    <row r="767" spans="4:27">
      <c r="D767" s="50"/>
      <c r="E767" s="50"/>
      <c r="F767" s="50"/>
      <c r="G767" s="50"/>
      <c r="H767" s="50"/>
      <c r="I767" s="50"/>
      <c r="J767" s="50"/>
      <c r="K767" s="51"/>
      <c r="L767" s="50"/>
      <c r="M767" s="50"/>
      <c r="N767" s="50"/>
      <c r="O767" s="50"/>
      <c r="P767" s="50"/>
      <c r="Q767" s="52"/>
      <c r="W767" s="53"/>
      <c r="X767" s="53"/>
      <c r="Y767" s="51"/>
      <c r="Z767" s="51"/>
      <c r="AA767" s="52"/>
    </row>
    <row r="768" spans="4:27">
      <c r="D768" s="50"/>
      <c r="E768" s="50"/>
      <c r="F768" s="50"/>
      <c r="G768" s="50"/>
      <c r="H768" s="50"/>
      <c r="I768" s="50"/>
      <c r="J768" s="50"/>
      <c r="K768" s="51"/>
      <c r="L768" s="50"/>
      <c r="M768" s="50"/>
      <c r="N768" s="50"/>
      <c r="O768" s="50"/>
      <c r="P768" s="50"/>
      <c r="Q768" s="52"/>
      <c r="W768" s="53"/>
      <c r="X768" s="53"/>
      <c r="Y768" s="51"/>
      <c r="Z768" s="51"/>
      <c r="AA768" s="52"/>
    </row>
    <row r="769" spans="4:27">
      <c r="D769" s="50"/>
      <c r="E769" s="50"/>
      <c r="F769" s="50"/>
      <c r="G769" s="50"/>
      <c r="H769" s="50"/>
      <c r="I769" s="50"/>
      <c r="J769" s="50"/>
      <c r="K769" s="51"/>
      <c r="L769" s="50"/>
      <c r="M769" s="50"/>
      <c r="N769" s="50"/>
      <c r="O769" s="50"/>
      <c r="P769" s="50"/>
      <c r="Q769" s="52"/>
      <c r="W769" s="53"/>
      <c r="X769" s="53"/>
      <c r="Y769" s="51"/>
      <c r="Z769" s="51"/>
      <c r="AA769" s="52"/>
    </row>
    <row r="770" spans="4:27">
      <c r="D770" s="50"/>
      <c r="E770" s="50"/>
      <c r="F770" s="50"/>
      <c r="G770" s="50"/>
      <c r="H770" s="50"/>
      <c r="I770" s="50"/>
      <c r="J770" s="50"/>
      <c r="K770" s="51"/>
      <c r="L770" s="50"/>
      <c r="M770" s="50"/>
      <c r="N770" s="50"/>
      <c r="O770" s="50"/>
      <c r="P770" s="50"/>
      <c r="Q770" s="52"/>
      <c r="W770" s="53"/>
      <c r="X770" s="53"/>
      <c r="Y770" s="51"/>
      <c r="Z770" s="51"/>
      <c r="AA770" s="52"/>
    </row>
    <row r="771" spans="4:27">
      <c r="D771" s="50"/>
      <c r="E771" s="50"/>
      <c r="F771" s="50"/>
      <c r="G771" s="50"/>
      <c r="H771" s="50"/>
      <c r="I771" s="50"/>
      <c r="J771" s="50"/>
      <c r="K771" s="51"/>
      <c r="L771" s="50"/>
      <c r="M771" s="50"/>
      <c r="N771" s="50"/>
      <c r="O771" s="50"/>
      <c r="P771" s="50"/>
      <c r="Q771" s="52"/>
      <c r="W771" s="53"/>
      <c r="X771" s="53"/>
      <c r="Y771" s="51"/>
      <c r="Z771" s="51"/>
      <c r="AA771" s="52"/>
    </row>
    <row r="772" spans="4:27">
      <c r="D772" s="50"/>
      <c r="E772" s="50"/>
      <c r="F772" s="50"/>
      <c r="G772" s="50"/>
      <c r="H772" s="50"/>
      <c r="I772" s="50"/>
      <c r="J772" s="50"/>
      <c r="K772" s="51"/>
      <c r="L772" s="50"/>
      <c r="M772" s="50"/>
      <c r="N772" s="50"/>
      <c r="O772" s="50"/>
      <c r="P772" s="50"/>
      <c r="Q772" s="52"/>
      <c r="W772" s="53"/>
      <c r="X772" s="53"/>
      <c r="Y772" s="51"/>
      <c r="Z772" s="51"/>
      <c r="AA772" s="52"/>
    </row>
    <row r="773" spans="4:27">
      <c r="D773" s="50"/>
      <c r="E773" s="50"/>
      <c r="F773" s="50"/>
      <c r="G773" s="50"/>
      <c r="H773" s="50"/>
      <c r="I773" s="50"/>
      <c r="J773" s="50"/>
      <c r="K773" s="51"/>
      <c r="L773" s="50"/>
      <c r="M773" s="50"/>
      <c r="N773" s="50"/>
      <c r="O773" s="50"/>
      <c r="P773" s="50"/>
      <c r="Q773" s="52"/>
      <c r="W773" s="53"/>
      <c r="X773" s="53"/>
      <c r="Y773" s="51"/>
      <c r="Z773" s="51"/>
      <c r="AA773" s="52"/>
    </row>
    <row r="774" spans="4:27">
      <c r="D774" s="50"/>
      <c r="E774" s="50"/>
      <c r="F774" s="50"/>
      <c r="G774" s="50"/>
      <c r="H774" s="50"/>
      <c r="I774" s="50"/>
      <c r="J774" s="50"/>
      <c r="K774" s="51"/>
      <c r="L774" s="50"/>
      <c r="M774" s="50"/>
      <c r="N774" s="50"/>
      <c r="O774" s="50"/>
      <c r="P774" s="50"/>
      <c r="Q774" s="52"/>
      <c r="W774" s="53"/>
      <c r="X774" s="53"/>
      <c r="Y774" s="51"/>
      <c r="Z774" s="51"/>
      <c r="AA774" s="52"/>
    </row>
    <row r="775" spans="4:27">
      <c r="D775" s="50"/>
      <c r="E775" s="50"/>
      <c r="F775" s="50"/>
      <c r="G775" s="50"/>
      <c r="H775" s="50"/>
      <c r="I775" s="50"/>
      <c r="J775" s="50"/>
      <c r="K775" s="51"/>
      <c r="L775" s="50"/>
      <c r="M775" s="50"/>
      <c r="N775" s="50"/>
      <c r="O775" s="50"/>
      <c r="P775" s="50"/>
      <c r="Q775" s="52"/>
      <c r="W775" s="53"/>
      <c r="X775" s="53"/>
      <c r="Y775" s="51"/>
      <c r="Z775" s="51"/>
      <c r="AA775" s="52"/>
    </row>
    <row r="776" spans="4:27">
      <c r="D776" s="50"/>
      <c r="E776" s="50"/>
      <c r="F776" s="50"/>
      <c r="G776" s="50"/>
      <c r="H776" s="50"/>
      <c r="I776" s="50"/>
      <c r="J776" s="50"/>
      <c r="K776" s="51"/>
      <c r="L776" s="50"/>
      <c r="M776" s="50"/>
      <c r="N776" s="50"/>
      <c r="O776" s="50"/>
      <c r="P776" s="50"/>
      <c r="Q776" s="52"/>
      <c r="W776" s="53"/>
      <c r="X776" s="53"/>
      <c r="Y776" s="51"/>
      <c r="Z776" s="51"/>
      <c r="AA776" s="52"/>
    </row>
    <row r="777" spans="4:27">
      <c r="D777" s="50"/>
      <c r="E777" s="50"/>
      <c r="F777" s="50"/>
      <c r="G777" s="50"/>
      <c r="H777" s="50"/>
      <c r="I777" s="50"/>
      <c r="J777" s="50"/>
      <c r="K777" s="51"/>
      <c r="L777" s="50"/>
      <c r="M777" s="50"/>
      <c r="N777" s="50"/>
      <c r="O777" s="50"/>
      <c r="P777" s="50"/>
      <c r="Q777" s="52"/>
      <c r="W777" s="53"/>
      <c r="X777" s="53"/>
      <c r="Y777" s="51"/>
      <c r="Z777" s="51"/>
      <c r="AA777" s="52"/>
    </row>
    <row r="778" spans="4:27">
      <c r="D778" s="50"/>
      <c r="E778" s="50"/>
      <c r="F778" s="50"/>
      <c r="G778" s="50"/>
      <c r="H778" s="50"/>
      <c r="I778" s="50"/>
      <c r="J778" s="50"/>
      <c r="K778" s="51"/>
      <c r="L778" s="50"/>
      <c r="M778" s="50"/>
      <c r="N778" s="50"/>
      <c r="O778" s="50"/>
      <c r="P778" s="50"/>
      <c r="Q778" s="52"/>
      <c r="W778" s="53"/>
      <c r="X778" s="53"/>
      <c r="Y778" s="51"/>
      <c r="Z778" s="51"/>
      <c r="AA778" s="52"/>
    </row>
    <row r="779" spans="4:27">
      <c r="D779" s="50"/>
      <c r="E779" s="50"/>
      <c r="F779" s="50"/>
      <c r="G779" s="50"/>
      <c r="H779" s="50"/>
      <c r="I779" s="50"/>
      <c r="J779" s="50"/>
      <c r="K779" s="51"/>
      <c r="L779" s="50"/>
      <c r="M779" s="50"/>
      <c r="N779" s="50"/>
      <c r="O779" s="50"/>
      <c r="P779" s="50"/>
      <c r="Q779" s="52"/>
      <c r="W779" s="53"/>
      <c r="X779" s="53"/>
      <c r="Y779" s="51"/>
      <c r="Z779" s="51"/>
      <c r="AA779" s="52"/>
    </row>
    <row r="780" spans="4:27">
      <c r="D780" s="50"/>
      <c r="E780" s="50"/>
      <c r="F780" s="50"/>
      <c r="G780" s="50"/>
      <c r="H780" s="50"/>
      <c r="I780" s="50"/>
      <c r="J780" s="50"/>
      <c r="K780" s="51"/>
      <c r="L780" s="50"/>
      <c r="M780" s="50"/>
      <c r="N780" s="50"/>
      <c r="O780" s="50"/>
      <c r="P780" s="50"/>
      <c r="Q780" s="52"/>
      <c r="W780" s="53"/>
      <c r="X780" s="53"/>
      <c r="Y780" s="51"/>
      <c r="Z780" s="51"/>
      <c r="AA780" s="52"/>
    </row>
    <row r="781" spans="4:27">
      <c r="D781" s="50"/>
      <c r="E781" s="50"/>
      <c r="F781" s="50"/>
      <c r="G781" s="50"/>
      <c r="H781" s="50"/>
      <c r="I781" s="50"/>
      <c r="J781" s="50"/>
      <c r="K781" s="51"/>
      <c r="L781" s="50"/>
      <c r="M781" s="50"/>
      <c r="N781" s="50"/>
      <c r="O781" s="50"/>
      <c r="P781" s="50"/>
      <c r="Q781" s="52"/>
      <c r="W781" s="53"/>
      <c r="X781" s="53"/>
      <c r="Y781" s="51"/>
      <c r="Z781" s="51"/>
      <c r="AA781" s="52"/>
    </row>
    <row r="782" spans="4:27">
      <c r="D782" s="50"/>
      <c r="E782" s="50"/>
      <c r="F782" s="50"/>
      <c r="G782" s="50"/>
      <c r="H782" s="50"/>
      <c r="I782" s="50"/>
      <c r="J782" s="50"/>
      <c r="K782" s="51"/>
      <c r="L782" s="50"/>
      <c r="M782" s="50"/>
      <c r="N782" s="50"/>
      <c r="O782" s="50"/>
      <c r="P782" s="50"/>
      <c r="Q782" s="52"/>
      <c r="W782" s="53"/>
      <c r="X782" s="53"/>
      <c r="Y782" s="51"/>
      <c r="Z782" s="51"/>
      <c r="AA782" s="52"/>
    </row>
    <row r="783" spans="4:27">
      <c r="D783" s="50"/>
      <c r="E783" s="50"/>
      <c r="F783" s="50"/>
      <c r="G783" s="50"/>
      <c r="H783" s="50"/>
      <c r="I783" s="50"/>
      <c r="J783" s="50"/>
      <c r="K783" s="51"/>
      <c r="L783" s="50"/>
      <c r="M783" s="50"/>
      <c r="N783" s="50"/>
      <c r="O783" s="50"/>
      <c r="P783" s="50"/>
      <c r="Q783" s="52"/>
      <c r="W783" s="53"/>
      <c r="X783" s="53"/>
      <c r="Y783" s="51"/>
      <c r="Z783" s="51"/>
      <c r="AA783" s="52"/>
    </row>
    <row r="784" spans="4:27">
      <c r="D784" s="50"/>
      <c r="E784" s="50"/>
      <c r="F784" s="50"/>
      <c r="G784" s="50"/>
      <c r="H784" s="50"/>
      <c r="I784" s="50"/>
      <c r="J784" s="50"/>
      <c r="K784" s="51"/>
      <c r="L784" s="50"/>
      <c r="M784" s="50"/>
      <c r="N784" s="50"/>
      <c r="O784" s="50"/>
      <c r="P784" s="50"/>
      <c r="Q784" s="52"/>
      <c r="W784" s="53"/>
      <c r="X784" s="53"/>
      <c r="Y784" s="51"/>
      <c r="Z784" s="51"/>
      <c r="AA784" s="52"/>
    </row>
    <row r="785" spans="4:27">
      <c r="D785" s="50"/>
      <c r="E785" s="50"/>
      <c r="F785" s="50"/>
      <c r="G785" s="50"/>
      <c r="H785" s="50"/>
      <c r="I785" s="50"/>
      <c r="J785" s="50"/>
      <c r="K785" s="51"/>
      <c r="L785" s="50"/>
      <c r="M785" s="50"/>
      <c r="N785" s="50"/>
      <c r="O785" s="50"/>
      <c r="P785" s="50"/>
      <c r="Q785" s="52"/>
      <c r="W785" s="53"/>
      <c r="X785" s="53"/>
      <c r="Y785" s="51"/>
      <c r="Z785" s="51"/>
      <c r="AA785" s="52"/>
    </row>
    <row r="786" spans="4:27">
      <c r="D786" s="50"/>
      <c r="E786" s="50"/>
      <c r="F786" s="50"/>
      <c r="G786" s="50"/>
      <c r="H786" s="50"/>
      <c r="I786" s="50"/>
      <c r="J786" s="50"/>
      <c r="K786" s="51"/>
      <c r="L786" s="50"/>
      <c r="M786" s="50"/>
      <c r="N786" s="50"/>
      <c r="O786" s="50"/>
      <c r="P786" s="50"/>
      <c r="Q786" s="52"/>
      <c r="W786" s="53"/>
      <c r="X786" s="53"/>
      <c r="Y786" s="51"/>
      <c r="Z786" s="51"/>
      <c r="AA786" s="52"/>
    </row>
    <row r="787" spans="4:27">
      <c r="D787" s="50"/>
      <c r="E787" s="50"/>
      <c r="F787" s="50"/>
      <c r="G787" s="50"/>
      <c r="H787" s="50"/>
      <c r="I787" s="50"/>
      <c r="J787" s="50"/>
      <c r="K787" s="51"/>
      <c r="L787" s="50"/>
      <c r="M787" s="50"/>
      <c r="N787" s="50"/>
      <c r="O787" s="50"/>
      <c r="P787" s="50"/>
      <c r="Q787" s="52"/>
      <c r="W787" s="53"/>
      <c r="X787" s="53"/>
      <c r="Y787" s="51"/>
      <c r="Z787" s="51"/>
      <c r="AA787" s="52"/>
    </row>
    <row r="788" spans="4:27">
      <c r="D788" s="50"/>
      <c r="E788" s="50"/>
      <c r="F788" s="50"/>
      <c r="G788" s="50"/>
      <c r="H788" s="50"/>
      <c r="I788" s="50"/>
      <c r="J788" s="50"/>
      <c r="K788" s="51"/>
      <c r="L788" s="50"/>
      <c r="M788" s="50"/>
      <c r="N788" s="50"/>
      <c r="O788" s="50"/>
      <c r="P788" s="50"/>
      <c r="Q788" s="52"/>
      <c r="W788" s="53"/>
      <c r="X788" s="53"/>
      <c r="Y788" s="51"/>
      <c r="Z788" s="51"/>
      <c r="AA788" s="52"/>
    </row>
    <row r="789" spans="4:27">
      <c r="D789" s="50"/>
      <c r="E789" s="50"/>
      <c r="F789" s="50"/>
      <c r="G789" s="50"/>
      <c r="H789" s="50"/>
      <c r="I789" s="50"/>
      <c r="J789" s="50"/>
      <c r="K789" s="51"/>
      <c r="L789" s="50"/>
      <c r="M789" s="50"/>
      <c r="N789" s="50"/>
      <c r="O789" s="50"/>
      <c r="P789" s="50"/>
      <c r="Q789" s="52"/>
      <c r="W789" s="53"/>
      <c r="X789" s="53"/>
      <c r="Y789" s="51"/>
      <c r="Z789" s="51"/>
      <c r="AA789" s="52"/>
    </row>
    <row r="790" spans="4:27">
      <c r="D790" s="50"/>
      <c r="E790" s="50"/>
      <c r="F790" s="50"/>
      <c r="G790" s="50"/>
      <c r="H790" s="50"/>
      <c r="I790" s="50"/>
      <c r="J790" s="50"/>
      <c r="K790" s="51"/>
      <c r="L790" s="50"/>
      <c r="M790" s="50"/>
      <c r="N790" s="50"/>
      <c r="O790" s="50"/>
      <c r="P790" s="50"/>
      <c r="Q790" s="52"/>
      <c r="W790" s="53"/>
      <c r="X790" s="53"/>
      <c r="Y790" s="51"/>
      <c r="Z790" s="51"/>
      <c r="AA790" s="52"/>
    </row>
    <row r="791" spans="4:27">
      <c r="D791" s="50"/>
      <c r="E791" s="50"/>
      <c r="F791" s="50"/>
      <c r="G791" s="50"/>
      <c r="H791" s="50"/>
      <c r="I791" s="50"/>
      <c r="J791" s="50"/>
      <c r="K791" s="51"/>
      <c r="L791" s="50"/>
      <c r="M791" s="50"/>
      <c r="N791" s="50"/>
      <c r="O791" s="50"/>
      <c r="P791" s="50"/>
      <c r="Q791" s="52"/>
      <c r="W791" s="53"/>
      <c r="X791" s="53"/>
      <c r="Y791" s="51"/>
      <c r="Z791" s="51"/>
      <c r="AA791" s="52"/>
    </row>
    <row r="792" spans="4:27">
      <c r="D792" s="50"/>
      <c r="E792" s="50"/>
      <c r="F792" s="50"/>
      <c r="G792" s="50"/>
      <c r="H792" s="50"/>
      <c r="I792" s="50"/>
      <c r="J792" s="50"/>
      <c r="K792" s="51"/>
      <c r="L792" s="50"/>
      <c r="M792" s="50"/>
      <c r="N792" s="50"/>
      <c r="O792" s="50"/>
      <c r="P792" s="50"/>
      <c r="Q792" s="52"/>
      <c r="W792" s="53"/>
      <c r="X792" s="53"/>
      <c r="Y792" s="51"/>
      <c r="Z792" s="51"/>
      <c r="AA792" s="52"/>
    </row>
    <row r="793" spans="4:27">
      <c r="D793" s="50"/>
      <c r="E793" s="50"/>
      <c r="F793" s="50"/>
      <c r="G793" s="50"/>
      <c r="H793" s="50"/>
      <c r="I793" s="50"/>
      <c r="J793" s="50"/>
      <c r="K793" s="51"/>
      <c r="L793" s="50"/>
      <c r="M793" s="50"/>
      <c r="N793" s="50"/>
      <c r="O793" s="50"/>
      <c r="P793" s="50"/>
      <c r="Q793" s="52"/>
      <c r="W793" s="53"/>
      <c r="X793" s="53"/>
      <c r="Y793" s="51"/>
      <c r="Z793" s="51"/>
      <c r="AA793" s="52"/>
    </row>
    <row r="794" spans="4:27">
      <c r="D794" s="50"/>
      <c r="E794" s="50"/>
      <c r="F794" s="50"/>
      <c r="G794" s="50"/>
      <c r="H794" s="50"/>
      <c r="I794" s="50"/>
      <c r="J794" s="50"/>
      <c r="K794" s="51"/>
      <c r="L794" s="50"/>
      <c r="M794" s="50"/>
      <c r="N794" s="50"/>
      <c r="O794" s="50"/>
      <c r="P794" s="50"/>
      <c r="Q794" s="52"/>
      <c r="W794" s="53"/>
      <c r="X794" s="53"/>
      <c r="Y794" s="51"/>
      <c r="Z794" s="51"/>
      <c r="AA794" s="52"/>
    </row>
    <row r="795" spans="4:27">
      <c r="D795" s="50"/>
      <c r="E795" s="50"/>
      <c r="F795" s="50"/>
      <c r="G795" s="50"/>
      <c r="H795" s="50"/>
      <c r="I795" s="50"/>
      <c r="J795" s="50"/>
      <c r="K795" s="51"/>
      <c r="L795" s="50"/>
      <c r="M795" s="50"/>
      <c r="N795" s="50"/>
      <c r="O795" s="50"/>
      <c r="P795" s="50"/>
      <c r="Q795" s="52"/>
      <c r="W795" s="53"/>
      <c r="X795" s="53"/>
      <c r="Y795" s="51"/>
      <c r="Z795" s="51"/>
      <c r="AA795" s="52"/>
    </row>
    <row r="796" spans="4:27">
      <c r="D796" s="50"/>
      <c r="E796" s="50"/>
      <c r="F796" s="50"/>
      <c r="G796" s="50"/>
      <c r="H796" s="50"/>
      <c r="I796" s="50"/>
      <c r="J796" s="50"/>
      <c r="K796" s="51"/>
      <c r="L796" s="50"/>
      <c r="M796" s="50"/>
      <c r="N796" s="50"/>
      <c r="O796" s="50"/>
      <c r="P796" s="50"/>
      <c r="Q796" s="52"/>
      <c r="W796" s="53"/>
      <c r="X796" s="53"/>
      <c r="Y796" s="51"/>
      <c r="Z796" s="51"/>
      <c r="AA796" s="52"/>
    </row>
    <row r="797" spans="4:27">
      <c r="D797" s="50"/>
      <c r="E797" s="50"/>
      <c r="F797" s="50"/>
      <c r="G797" s="50"/>
      <c r="H797" s="50"/>
      <c r="I797" s="50"/>
      <c r="J797" s="50"/>
      <c r="K797" s="51"/>
      <c r="L797" s="50"/>
      <c r="M797" s="50"/>
      <c r="N797" s="50"/>
      <c r="O797" s="50"/>
      <c r="P797" s="50"/>
      <c r="Q797" s="52"/>
      <c r="W797" s="53"/>
      <c r="X797" s="53"/>
      <c r="Y797" s="51"/>
      <c r="Z797" s="51"/>
      <c r="AA797" s="52"/>
    </row>
    <row r="798" spans="4:27">
      <c r="D798" s="50"/>
      <c r="E798" s="50"/>
      <c r="F798" s="50"/>
      <c r="G798" s="50"/>
      <c r="H798" s="50"/>
      <c r="I798" s="50"/>
      <c r="J798" s="50"/>
      <c r="K798" s="51"/>
      <c r="L798" s="50"/>
      <c r="M798" s="50"/>
      <c r="N798" s="50"/>
      <c r="O798" s="50"/>
      <c r="P798" s="50"/>
      <c r="Q798" s="52"/>
      <c r="W798" s="53"/>
      <c r="X798" s="53"/>
      <c r="Y798" s="51"/>
      <c r="Z798" s="51"/>
      <c r="AA798" s="52"/>
    </row>
    <row r="799" spans="4:27">
      <c r="D799" s="50"/>
      <c r="E799" s="50"/>
      <c r="F799" s="50"/>
      <c r="G799" s="50"/>
      <c r="H799" s="50"/>
      <c r="I799" s="50"/>
      <c r="J799" s="50"/>
      <c r="K799" s="51"/>
      <c r="L799" s="50"/>
      <c r="M799" s="50"/>
      <c r="N799" s="50"/>
      <c r="O799" s="50"/>
      <c r="P799" s="50"/>
      <c r="Q799" s="52"/>
      <c r="W799" s="53"/>
      <c r="X799" s="53"/>
      <c r="Y799" s="51"/>
      <c r="Z799" s="51"/>
      <c r="AA799" s="52"/>
    </row>
    <row r="800" spans="4:27">
      <c r="D800" s="50"/>
      <c r="E800" s="50"/>
      <c r="F800" s="50"/>
      <c r="G800" s="50"/>
      <c r="H800" s="50"/>
      <c r="I800" s="50"/>
      <c r="J800" s="50"/>
      <c r="K800" s="51"/>
      <c r="L800" s="50"/>
      <c r="M800" s="50"/>
      <c r="N800" s="50"/>
      <c r="O800" s="50"/>
      <c r="P800" s="50"/>
      <c r="Q800" s="52"/>
      <c r="W800" s="53"/>
      <c r="X800" s="53"/>
      <c r="Y800" s="51"/>
      <c r="Z800" s="51"/>
      <c r="AA800" s="52"/>
    </row>
    <row r="801" spans="4:27">
      <c r="D801" s="50"/>
      <c r="E801" s="50"/>
      <c r="F801" s="50"/>
      <c r="G801" s="50"/>
      <c r="H801" s="50"/>
      <c r="I801" s="50"/>
      <c r="J801" s="50"/>
      <c r="K801" s="51"/>
      <c r="L801" s="50"/>
      <c r="M801" s="50"/>
      <c r="N801" s="50"/>
      <c r="O801" s="50"/>
      <c r="P801" s="50"/>
      <c r="Q801" s="52"/>
      <c r="W801" s="53"/>
      <c r="X801" s="53"/>
      <c r="Y801" s="51"/>
      <c r="Z801" s="51"/>
      <c r="AA801" s="52"/>
    </row>
    <row r="802" spans="4:27">
      <c r="D802" s="50"/>
      <c r="E802" s="50"/>
      <c r="F802" s="50"/>
      <c r="G802" s="50"/>
      <c r="H802" s="50"/>
      <c r="I802" s="50"/>
      <c r="J802" s="50"/>
      <c r="K802" s="51"/>
      <c r="L802" s="50"/>
      <c r="M802" s="50"/>
      <c r="N802" s="50"/>
      <c r="O802" s="50"/>
      <c r="P802" s="50"/>
      <c r="Q802" s="52"/>
      <c r="W802" s="53"/>
      <c r="X802" s="53"/>
      <c r="Y802" s="51"/>
      <c r="Z802" s="51"/>
      <c r="AA802" s="52"/>
    </row>
    <row r="803" spans="4:27">
      <c r="D803" s="50"/>
      <c r="E803" s="50"/>
      <c r="F803" s="50"/>
      <c r="G803" s="50"/>
      <c r="H803" s="50"/>
      <c r="I803" s="50"/>
      <c r="J803" s="50"/>
      <c r="K803" s="51"/>
      <c r="L803" s="50"/>
      <c r="M803" s="50"/>
      <c r="N803" s="50"/>
      <c r="O803" s="50"/>
      <c r="P803" s="50"/>
      <c r="Q803" s="52"/>
      <c r="W803" s="53"/>
      <c r="X803" s="53"/>
      <c r="Y803" s="51"/>
      <c r="Z803" s="51"/>
      <c r="AA803" s="52"/>
    </row>
    <row r="804" spans="4:27">
      <c r="D804" s="50"/>
      <c r="E804" s="50"/>
      <c r="F804" s="50"/>
      <c r="G804" s="50"/>
      <c r="H804" s="50"/>
      <c r="I804" s="50"/>
      <c r="J804" s="50"/>
      <c r="K804" s="51"/>
      <c r="L804" s="50"/>
      <c r="M804" s="50"/>
      <c r="N804" s="50"/>
      <c r="O804" s="50"/>
      <c r="P804" s="50"/>
      <c r="Q804" s="52"/>
      <c r="W804" s="53"/>
      <c r="X804" s="53"/>
      <c r="Y804" s="51"/>
      <c r="Z804" s="51"/>
      <c r="AA804" s="52"/>
    </row>
    <row r="805" spans="4:27">
      <c r="D805" s="50"/>
      <c r="E805" s="50"/>
      <c r="F805" s="50"/>
      <c r="G805" s="50"/>
      <c r="H805" s="50"/>
      <c r="I805" s="50"/>
      <c r="J805" s="50"/>
      <c r="K805" s="51"/>
      <c r="L805" s="50"/>
      <c r="M805" s="50"/>
      <c r="N805" s="50"/>
      <c r="O805" s="50"/>
      <c r="P805" s="50"/>
      <c r="Q805" s="52"/>
      <c r="W805" s="53"/>
      <c r="X805" s="53"/>
      <c r="Y805" s="51"/>
      <c r="Z805" s="51"/>
      <c r="AA805" s="52"/>
    </row>
    <row r="806" spans="4:27">
      <c r="D806" s="50"/>
      <c r="E806" s="50"/>
      <c r="F806" s="50"/>
      <c r="G806" s="50"/>
      <c r="H806" s="50"/>
      <c r="I806" s="50"/>
      <c r="J806" s="50"/>
      <c r="K806" s="51"/>
      <c r="L806" s="50"/>
      <c r="M806" s="50"/>
      <c r="N806" s="50"/>
      <c r="O806" s="50"/>
      <c r="P806" s="50"/>
      <c r="Q806" s="52"/>
      <c r="W806" s="53"/>
      <c r="X806" s="53"/>
      <c r="Y806" s="51"/>
      <c r="Z806" s="51"/>
      <c r="AA806" s="52"/>
    </row>
    <row r="807" spans="4:27">
      <c r="D807" s="50"/>
      <c r="E807" s="50"/>
      <c r="F807" s="50"/>
      <c r="G807" s="50"/>
      <c r="H807" s="50"/>
      <c r="I807" s="50"/>
      <c r="J807" s="50"/>
      <c r="K807" s="51"/>
      <c r="L807" s="50"/>
      <c r="M807" s="50"/>
      <c r="N807" s="50"/>
      <c r="O807" s="50"/>
      <c r="P807" s="50"/>
      <c r="Q807" s="52"/>
      <c r="W807" s="53"/>
      <c r="X807" s="53"/>
      <c r="Y807" s="51"/>
      <c r="Z807" s="51"/>
      <c r="AA807" s="52"/>
    </row>
    <row r="808" spans="4:27">
      <c r="D808" s="50"/>
      <c r="E808" s="50"/>
      <c r="F808" s="50"/>
      <c r="G808" s="50"/>
      <c r="H808" s="50"/>
      <c r="I808" s="50"/>
      <c r="J808" s="50"/>
      <c r="K808" s="51"/>
      <c r="L808" s="50"/>
      <c r="M808" s="50"/>
      <c r="N808" s="50"/>
      <c r="O808" s="50"/>
      <c r="P808" s="50"/>
      <c r="Q808" s="52"/>
      <c r="W808" s="53"/>
      <c r="X808" s="53"/>
      <c r="Y808" s="51"/>
      <c r="Z808" s="51"/>
      <c r="AA808" s="52"/>
    </row>
    <row r="809" spans="4:27">
      <c r="D809" s="50"/>
      <c r="E809" s="50"/>
      <c r="F809" s="50"/>
      <c r="G809" s="50"/>
      <c r="H809" s="50"/>
      <c r="I809" s="50"/>
      <c r="J809" s="50"/>
      <c r="K809" s="51"/>
      <c r="L809" s="50"/>
      <c r="M809" s="50"/>
      <c r="N809" s="50"/>
      <c r="O809" s="50"/>
      <c r="P809" s="50"/>
      <c r="Q809" s="52"/>
      <c r="W809" s="53"/>
      <c r="X809" s="53"/>
      <c r="Y809" s="51"/>
      <c r="Z809" s="51"/>
      <c r="AA809" s="52"/>
    </row>
    <row r="810" spans="4:27">
      <c r="D810" s="50"/>
      <c r="E810" s="50"/>
      <c r="F810" s="50"/>
      <c r="G810" s="50"/>
      <c r="H810" s="50"/>
      <c r="I810" s="50"/>
      <c r="J810" s="50"/>
      <c r="K810" s="51"/>
      <c r="L810" s="50"/>
      <c r="M810" s="50"/>
      <c r="N810" s="50"/>
      <c r="O810" s="50"/>
      <c r="P810" s="50"/>
      <c r="Q810" s="52"/>
      <c r="W810" s="53"/>
      <c r="X810" s="53"/>
      <c r="Y810" s="51"/>
      <c r="Z810" s="51"/>
      <c r="AA810" s="52"/>
    </row>
    <row r="811" spans="4:27">
      <c r="D811" s="50"/>
      <c r="E811" s="50"/>
      <c r="F811" s="50"/>
      <c r="G811" s="50"/>
      <c r="H811" s="50"/>
      <c r="I811" s="50"/>
      <c r="J811" s="50"/>
      <c r="K811" s="51"/>
      <c r="L811" s="50"/>
      <c r="M811" s="50"/>
      <c r="N811" s="50"/>
      <c r="O811" s="50"/>
      <c r="P811" s="50"/>
      <c r="Q811" s="52"/>
      <c r="W811" s="53"/>
      <c r="X811" s="53"/>
      <c r="Y811" s="51"/>
      <c r="Z811" s="51"/>
      <c r="AA811" s="52"/>
    </row>
    <row r="812" spans="4:27">
      <c r="D812" s="50"/>
      <c r="E812" s="50"/>
      <c r="F812" s="50"/>
      <c r="G812" s="50"/>
      <c r="H812" s="50"/>
      <c r="I812" s="50"/>
      <c r="J812" s="50"/>
      <c r="K812" s="51"/>
      <c r="L812" s="50"/>
      <c r="M812" s="50"/>
      <c r="N812" s="50"/>
      <c r="O812" s="50"/>
      <c r="P812" s="50"/>
      <c r="Q812" s="52"/>
      <c r="W812" s="53"/>
      <c r="X812" s="53"/>
      <c r="Y812" s="51"/>
      <c r="Z812" s="51"/>
      <c r="AA812" s="52"/>
    </row>
    <row r="813" spans="4:27">
      <c r="D813" s="50"/>
      <c r="E813" s="50"/>
      <c r="F813" s="50"/>
      <c r="G813" s="50"/>
      <c r="H813" s="50"/>
      <c r="I813" s="50"/>
      <c r="J813" s="50"/>
      <c r="K813" s="51"/>
      <c r="L813" s="50"/>
      <c r="M813" s="50"/>
      <c r="N813" s="50"/>
      <c r="O813" s="50"/>
      <c r="P813" s="50"/>
      <c r="Q813" s="52"/>
      <c r="W813" s="53"/>
      <c r="X813" s="53"/>
      <c r="Y813" s="51"/>
      <c r="Z813" s="51"/>
      <c r="AA813" s="52"/>
    </row>
    <row r="814" spans="4:27">
      <c r="D814" s="50"/>
      <c r="E814" s="50"/>
      <c r="F814" s="50"/>
      <c r="G814" s="50"/>
      <c r="H814" s="50"/>
      <c r="I814" s="50"/>
      <c r="J814" s="50"/>
      <c r="K814" s="51"/>
      <c r="L814" s="50"/>
      <c r="M814" s="50"/>
      <c r="N814" s="50"/>
      <c r="O814" s="50"/>
      <c r="P814" s="50"/>
      <c r="Q814" s="52"/>
      <c r="W814" s="53"/>
      <c r="X814" s="53"/>
      <c r="Y814" s="51"/>
      <c r="Z814" s="51"/>
      <c r="AA814" s="52"/>
    </row>
    <row r="815" spans="4:27">
      <c r="D815" s="50"/>
      <c r="E815" s="50"/>
      <c r="F815" s="50"/>
      <c r="G815" s="50"/>
      <c r="H815" s="50"/>
      <c r="I815" s="50"/>
      <c r="J815" s="50"/>
      <c r="K815" s="51"/>
      <c r="L815" s="50"/>
      <c r="M815" s="50"/>
      <c r="N815" s="50"/>
      <c r="O815" s="50"/>
      <c r="P815" s="50"/>
      <c r="Q815" s="52"/>
      <c r="W815" s="53"/>
      <c r="X815" s="53"/>
      <c r="Y815" s="51"/>
      <c r="Z815" s="51"/>
      <c r="AA815" s="52"/>
    </row>
    <row r="816" spans="4:27">
      <c r="D816" s="50"/>
      <c r="E816" s="50"/>
      <c r="F816" s="50"/>
      <c r="G816" s="50"/>
      <c r="H816" s="50"/>
      <c r="I816" s="50"/>
      <c r="J816" s="50"/>
      <c r="K816" s="51"/>
      <c r="L816" s="50"/>
      <c r="M816" s="50"/>
      <c r="N816" s="50"/>
      <c r="O816" s="50"/>
      <c r="P816" s="50"/>
      <c r="Q816" s="52"/>
      <c r="W816" s="53"/>
      <c r="X816" s="53"/>
      <c r="Y816" s="51"/>
      <c r="Z816" s="51"/>
      <c r="AA816" s="52"/>
    </row>
    <row r="817" spans="4:27">
      <c r="D817" s="50"/>
      <c r="E817" s="50"/>
      <c r="F817" s="50"/>
      <c r="G817" s="50"/>
      <c r="H817" s="50"/>
      <c r="I817" s="50"/>
      <c r="J817" s="50"/>
      <c r="K817" s="51"/>
      <c r="L817" s="50"/>
      <c r="M817" s="50"/>
      <c r="N817" s="50"/>
      <c r="O817" s="50"/>
      <c r="P817" s="50"/>
      <c r="Q817" s="52"/>
      <c r="W817" s="53"/>
      <c r="X817" s="53"/>
      <c r="Y817" s="51"/>
      <c r="Z817" s="51"/>
      <c r="AA817" s="52"/>
    </row>
    <row r="818" spans="4:27">
      <c r="D818" s="50"/>
      <c r="E818" s="50"/>
      <c r="F818" s="50"/>
      <c r="G818" s="50"/>
      <c r="H818" s="50"/>
      <c r="I818" s="50"/>
      <c r="J818" s="50"/>
      <c r="K818" s="51"/>
      <c r="L818" s="50"/>
      <c r="M818" s="50"/>
      <c r="N818" s="50"/>
      <c r="O818" s="50"/>
      <c r="P818" s="50"/>
      <c r="Q818" s="52"/>
      <c r="W818" s="53"/>
      <c r="X818" s="53"/>
      <c r="Y818" s="51"/>
      <c r="Z818" s="51"/>
      <c r="AA818" s="52"/>
    </row>
    <row r="819" spans="4:27">
      <c r="D819" s="50"/>
      <c r="E819" s="50"/>
      <c r="F819" s="50"/>
      <c r="G819" s="50"/>
      <c r="H819" s="50"/>
      <c r="I819" s="50"/>
      <c r="J819" s="50"/>
      <c r="K819" s="51"/>
      <c r="L819" s="50"/>
      <c r="M819" s="50"/>
      <c r="N819" s="50"/>
      <c r="O819" s="50"/>
      <c r="P819" s="50"/>
      <c r="Q819" s="52"/>
      <c r="W819" s="53"/>
      <c r="X819" s="53"/>
      <c r="Y819" s="51"/>
      <c r="Z819" s="51"/>
      <c r="AA819" s="52"/>
    </row>
    <row r="820" spans="4:27">
      <c r="D820" s="50"/>
      <c r="E820" s="50"/>
      <c r="F820" s="50"/>
      <c r="G820" s="50"/>
      <c r="H820" s="50"/>
      <c r="I820" s="50"/>
      <c r="J820" s="50"/>
      <c r="K820" s="51"/>
      <c r="L820" s="50"/>
      <c r="M820" s="50"/>
      <c r="N820" s="50"/>
      <c r="O820" s="50"/>
      <c r="P820" s="50"/>
      <c r="Q820" s="52"/>
      <c r="W820" s="53"/>
      <c r="X820" s="53"/>
      <c r="Y820" s="51"/>
      <c r="Z820" s="51"/>
      <c r="AA820" s="52"/>
    </row>
    <row r="821" spans="4:27">
      <c r="D821" s="50"/>
      <c r="E821" s="50"/>
      <c r="F821" s="50"/>
      <c r="G821" s="50"/>
      <c r="H821" s="50"/>
      <c r="I821" s="50"/>
      <c r="J821" s="50"/>
      <c r="K821" s="51"/>
      <c r="L821" s="50"/>
      <c r="M821" s="50"/>
      <c r="N821" s="50"/>
      <c r="O821" s="50"/>
      <c r="P821" s="50"/>
      <c r="Q821" s="52"/>
      <c r="W821" s="53"/>
      <c r="X821" s="53"/>
      <c r="Y821" s="51"/>
      <c r="Z821" s="51"/>
      <c r="AA821" s="52"/>
    </row>
    <row r="822" spans="4:27">
      <c r="D822" s="50"/>
      <c r="E822" s="50"/>
      <c r="F822" s="50"/>
      <c r="G822" s="50"/>
      <c r="H822" s="50"/>
      <c r="I822" s="50"/>
      <c r="J822" s="50"/>
      <c r="K822" s="51"/>
      <c r="L822" s="50"/>
      <c r="M822" s="50"/>
      <c r="N822" s="50"/>
      <c r="O822" s="50"/>
      <c r="P822" s="50"/>
      <c r="Q822" s="52"/>
      <c r="W822" s="53"/>
      <c r="X822" s="53"/>
      <c r="Y822" s="51"/>
      <c r="Z822" s="51"/>
      <c r="AA822" s="52"/>
    </row>
    <row r="823" spans="4:27">
      <c r="D823" s="50"/>
      <c r="E823" s="50"/>
      <c r="F823" s="50"/>
      <c r="G823" s="50"/>
      <c r="H823" s="50"/>
      <c r="I823" s="50"/>
      <c r="J823" s="50"/>
      <c r="K823" s="51"/>
      <c r="L823" s="50"/>
      <c r="M823" s="50"/>
      <c r="N823" s="50"/>
      <c r="O823" s="50"/>
      <c r="P823" s="50"/>
      <c r="Q823" s="52"/>
      <c r="W823" s="53"/>
      <c r="X823" s="53"/>
      <c r="Y823" s="51"/>
      <c r="Z823" s="51"/>
      <c r="AA823" s="52"/>
    </row>
    <row r="824" spans="4:27">
      <c r="D824" s="50"/>
      <c r="E824" s="50"/>
      <c r="F824" s="50"/>
      <c r="G824" s="50"/>
      <c r="H824" s="50"/>
      <c r="I824" s="50"/>
      <c r="J824" s="50"/>
      <c r="K824" s="51"/>
      <c r="L824" s="50"/>
      <c r="M824" s="50"/>
      <c r="N824" s="50"/>
      <c r="O824" s="50"/>
      <c r="P824" s="50"/>
      <c r="Q824" s="52"/>
      <c r="W824" s="53"/>
      <c r="X824" s="53"/>
      <c r="Y824" s="51"/>
      <c r="Z824" s="51"/>
      <c r="AA824" s="52"/>
    </row>
    <row r="825" spans="4:27">
      <c r="D825" s="50"/>
      <c r="E825" s="50"/>
      <c r="F825" s="50"/>
      <c r="G825" s="50"/>
      <c r="H825" s="50"/>
      <c r="I825" s="50"/>
      <c r="J825" s="50"/>
      <c r="K825" s="51"/>
      <c r="L825" s="50"/>
      <c r="M825" s="50"/>
      <c r="N825" s="50"/>
      <c r="O825" s="50"/>
      <c r="P825" s="50"/>
      <c r="Q825" s="52"/>
      <c r="W825" s="53"/>
      <c r="X825" s="53"/>
      <c r="Y825" s="51"/>
      <c r="Z825" s="51"/>
      <c r="AA825" s="52"/>
    </row>
    <row r="826" spans="4:27">
      <c r="D826" s="50"/>
      <c r="E826" s="50"/>
      <c r="F826" s="50"/>
      <c r="G826" s="50"/>
      <c r="H826" s="50"/>
      <c r="I826" s="50"/>
      <c r="J826" s="50"/>
      <c r="K826" s="51"/>
      <c r="L826" s="50"/>
      <c r="M826" s="50"/>
      <c r="N826" s="50"/>
      <c r="O826" s="50"/>
      <c r="P826" s="50"/>
      <c r="Q826" s="52"/>
      <c r="W826" s="53"/>
      <c r="X826" s="53"/>
      <c r="Y826" s="51"/>
      <c r="Z826" s="51"/>
      <c r="AA826" s="52"/>
    </row>
    <row r="827" spans="4:27">
      <c r="D827" s="50"/>
      <c r="E827" s="50"/>
      <c r="F827" s="50"/>
      <c r="G827" s="50"/>
      <c r="H827" s="50"/>
      <c r="I827" s="50"/>
      <c r="J827" s="50"/>
      <c r="K827" s="51"/>
      <c r="L827" s="50"/>
      <c r="M827" s="50"/>
      <c r="N827" s="50"/>
      <c r="O827" s="50"/>
      <c r="P827" s="50"/>
      <c r="Q827" s="52"/>
      <c r="W827" s="53"/>
      <c r="X827" s="53"/>
      <c r="Y827" s="51"/>
      <c r="Z827" s="51"/>
      <c r="AA827" s="52"/>
    </row>
    <row r="828" spans="4:27">
      <c r="D828" s="50"/>
      <c r="E828" s="50"/>
      <c r="F828" s="50"/>
      <c r="G828" s="50"/>
      <c r="H828" s="50"/>
      <c r="I828" s="50"/>
      <c r="J828" s="50"/>
      <c r="K828" s="51"/>
      <c r="L828" s="50"/>
      <c r="M828" s="50"/>
      <c r="N828" s="50"/>
      <c r="O828" s="50"/>
      <c r="P828" s="50"/>
      <c r="Q828" s="52"/>
      <c r="W828" s="53"/>
      <c r="X828" s="53"/>
      <c r="Y828" s="51"/>
      <c r="Z828" s="51"/>
      <c r="AA828" s="52"/>
    </row>
    <row r="829" spans="4:27">
      <c r="D829" s="50"/>
      <c r="E829" s="50"/>
      <c r="F829" s="50"/>
      <c r="G829" s="50"/>
      <c r="H829" s="50"/>
      <c r="I829" s="50"/>
      <c r="J829" s="50"/>
      <c r="K829" s="51"/>
      <c r="L829" s="50"/>
      <c r="M829" s="50"/>
      <c r="N829" s="50"/>
      <c r="O829" s="50"/>
      <c r="P829" s="50"/>
      <c r="Q829" s="52"/>
      <c r="W829" s="53"/>
      <c r="X829" s="53"/>
      <c r="Y829" s="51"/>
      <c r="Z829" s="51"/>
      <c r="AA829" s="52"/>
    </row>
    <row r="830" spans="4:27">
      <c r="D830" s="50"/>
      <c r="E830" s="50"/>
      <c r="F830" s="50"/>
      <c r="G830" s="50"/>
      <c r="H830" s="50"/>
      <c r="I830" s="50"/>
      <c r="J830" s="50"/>
      <c r="K830" s="51"/>
      <c r="L830" s="50"/>
      <c r="M830" s="50"/>
      <c r="N830" s="50"/>
      <c r="O830" s="50"/>
      <c r="P830" s="50"/>
      <c r="Q830" s="52"/>
      <c r="W830" s="53"/>
      <c r="X830" s="53"/>
      <c r="Y830" s="51"/>
      <c r="Z830" s="51"/>
      <c r="AA830" s="52"/>
    </row>
    <row r="831" spans="4:27">
      <c r="D831" s="50"/>
      <c r="E831" s="50"/>
      <c r="F831" s="50"/>
      <c r="G831" s="50"/>
      <c r="H831" s="50"/>
      <c r="I831" s="50"/>
      <c r="J831" s="50"/>
      <c r="K831" s="51"/>
      <c r="L831" s="50"/>
      <c r="M831" s="50"/>
      <c r="N831" s="50"/>
      <c r="O831" s="50"/>
      <c r="P831" s="50"/>
      <c r="Q831" s="52"/>
      <c r="W831" s="53"/>
      <c r="X831" s="53"/>
      <c r="Y831" s="51"/>
      <c r="Z831" s="51"/>
      <c r="AA831" s="52"/>
    </row>
    <row r="832" spans="4:27">
      <c r="D832" s="50"/>
      <c r="E832" s="50"/>
      <c r="F832" s="50"/>
      <c r="G832" s="50"/>
      <c r="H832" s="50"/>
      <c r="I832" s="50"/>
      <c r="J832" s="50"/>
      <c r="K832" s="51"/>
      <c r="L832" s="50"/>
      <c r="M832" s="50"/>
      <c r="N832" s="50"/>
      <c r="O832" s="50"/>
      <c r="P832" s="50"/>
      <c r="Q832" s="52"/>
      <c r="W832" s="53"/>
      <c r="X832" s="53"/>
      <c r="Y832" s="51"/>
      <c r="Z832" s="51"/>
      <c r="AA832" s="52"/>
    </row>
    <row r="833" spans="4:27">
      <c r="D833" s="50"/>
      <c r="E833" s="50"/>
      <c r="F833" s="50"/>
      <c r="G833" s="50"/>
      <c r="H833" s="50"/>
      <c r="I833" s="50"/>
      <c r="J833" s="50"/>
      <c r="K833" s="51"/>
      <c r="L833" s="50"/>
      <c r="M833" s="50"/>
      <c r="N833" s="50"/>
      <c r="O833" s="50"/>
      <c r="P833" s="50"/>
      <c r="Q833" s="52"/>
      <c r="W833" s="53"/>
      <c r="X833" s="53"/>
      <c r="Y833" s="51"/>
      <c r="Z833" s="51"/>
      <c r="AA833" s="52"/>
    </row>
    <row r="834" spans="4:27">
      <c r="D834" s="50"/>
      <c r="E834" s="50"/>
      <c r="F834" s="50"/>
      <c r="G834" s="50"/>
      <c r="H834" s="50"/>
      <c r="I834" s="50"/>
      <c r="J834" s="50"/>
      <c r="K834" s="51"/>
      <c r="L834" s="50"/>
      <c r="M834" s="50"/>
      <c r="N834" s="50"/>
      <c r="O834" s="50"/>
      <c r="P834" s="50"/>
      <c r="Q834" s="52"/>
      <c r="W834" s="53"/>
      <c r="X834" s="53"/>
      <c r="Y834" s="51"/>
      <c r="Z834" s="51"/>
      <c r="AA834" s="52"/>
    </row>
    <row r="835" spans="4:27">
      <c r="D835" s="50"/>
      <c r="E835" s="50"/>
      <c r="F835" s="50"/>
      <c r="G835" s="50"/>
      <c r="H835" s="50"/>
      <c r="I835" s="50"/>
      <c r="J835" s="50"/>
      <c r="K835" s="51"/>
      <c r="L835" s="50"/>
      <c r="M835" s="50"/>
      <c r="N835" s="50"/>
      <c r="O835" s="50"/>
      <c r="P835" s="50"/>
      <c r="Q835" s="52"/>
      <c r="W835" s="53"/>
      <c r="X835" s="53"/>
      <c r="Y835" s="51"/>
      <c r="Z835" s="51"/>
      <c r="AA835" s="52"/>
    </row>
    <row r="836" spans="4:27">
      <c r="D836" s="50"/>
      <c r="E836" s="50"/>
      <c r="F836" s="50"/>
      <c r="G836" s="50"/>
      <c r="H836" s="50"/>
      <c r="I836" s="50"/>
      <c r="J836" s="50"/>
      <c r="K836" s="51"/>
      <c r="L836" s="50"/>
      <c r="M836" s="50"/>
      <c r="N836" s="50"/>
      <c r="O836" s="50"/>
      <c r="P836" s="50"/>
      <c r="Q836" s="52"/>
      <c r="W836" s="53"/>
      <c r="X836" s="53"/>
      <c r="Y836" s="51"/>
      <c r="Z836" s="51"/>
      <c r="AA836" s="52"/>
    </row>
    <row r="837" spans="4:27">
      <c r="D837" s="50"/>
      <c r="E837" s="50"/>
      <c r="F837" s="50"/>
      <c r="G837" s="50"/>
      <c r="H837" s="50"/>
      <c r="I837" s="50"/>
      <c r="J837" s="50"/>
      <c r="K837" s="51"/>
      <c r="L837" s="50"/>
      <c r="M837" s="50"/>
      <c r="N837" s="50"/>
      <c r="O837" s="50"/>
      <c r="P837" s="50"/>
      <c r="Q837" s="52"/>
      <c r="W837" s="53"/>
      <c r="X837" s="53"/>
      <c r="Y837" s="51"/>
      <c r="Z837" s="51"/>
      <c r="AA837" s="52"/>
    </row>
    <row r="838" spans="4:27">
      <c r="D838" s="50"/>
      <c r="E838" s="50"/>
      <c r="F838" s="50"/>
      <c r="G838" s="50"/>
      <c r="H838" s="50"/>
      <c r="I838" s="50"/>
      <c r="J838" s="50"/>
      <c r="K838" s="51"/>
      <c r="L838" s="50"/>
      <c r="M838" s="50"/>
      <c r="N838" s="50"/>
      <c r="O838" s="50"/>
      <c r="P838" s="50"/>
      <c r="Q838" s="52"/>
      <c r="W838" s="53"/>
      <c r="X838" s="53"/>
      <c r="Y838" s="51"/>
      <c r="Z838" s="51"/>
      <c r="AA838" s="52"/>
    </row>
    <row r="839" spans="4:27">
      <c r="D839" s="50"/>
      <c r="E839" s="50"/>
      <c r="F839" s="50"/>
      <c r="G839" s="50"/>
      <c r="H839" s="50"/>
      <c r="I839" s="50"/>
      <c r="J839" s="50"/>
      <c r="K839" s="51"/>
      <c r="L839" s="50"/>
      <c r="M839" s="50"/>
      <c r="N839" s="50"/>
      <c r="O839" s="50"/>
      <c r="P839" s="50"/>
      <c r="Q839" s="52"/>
      <c r="W839" s="53"/>
      <c r="X839" s="53"/>
      <c r="Y839" s="51"/>
      <c r="Z839" s="51"/>
      <c r="AA839" s="52"/>
    </row>
    <row r="840" spans="4:27">
      <c r="D840" s="50"/>
      <c r="E840" s="50"/>
      <c r="F840" s="50"/>
      <c r="G840" s="50"/>
      <c r="H840" s="50"/>
      <c r="I840" s="50"/>
      <c r="J840" s="50"/>
      <c r="K840" s="51"/>
      <c r="L840" s="50"/>
      <c r="M840" s="50"/>
      <c r="N840" s="50"/>
      <c r="O840" s="50"/>
      <c r="P840" s="50"/>
      <c r="Q840" s="52"/>
      <c r="W840" s="53"/>
      <c r="X840" s="53"/>
      <c r="Y840" s="51"/>
      <c r="Z840" s="51"/>
      <c r="AA840" s="52"/>
    </row>
    <row r="841" spans="4:27">
      <c r="D841" s="50"/>
      <c r="E841" s="50"/>
      <c r="F841" s="50"/>
      <c r="G841" s="50"/>
      <c r="H841" s="50"/>
      <c r="I841" s="50"/>
      <c r="J841" s="50"/>
      <c r="K841" s="51"/>
      <c r="L841" s="50"/>
      <c r="M841" s="50"/>
      <c r="N841" s="50"/>
      <c r="O841" s="50"/>
      <c r="P841" s="50"/>
      <c r="Q841" s="52"/>
      <c r="W841" s="53"/>
      <c r="X841" s="53"/>
      <c r="Y841" s="51"/>
      <c r="Z841" s="51"/>
      <c r="AA841" s="52"/>
    </row>
    <row r="842" spans="4:27">
      <c r="D842" s="50"/>
      <c r="E842" s="50"/>
      <c r="F842" s="50"/>
      <c r="G842" s="50"/>
      <c r="H842" s="50"/>
      <c r="I842" s="50"/>
      <c r="J842" s="50"/>
      <c r="K842" s="51"/>
      <c r="L842" s="50"/>
      <c r="M842" s="50"/>
      <c r="N842" s="50"/>
      <c r="O842" s="50"/>
      <c r="P842" s="50"/>
      <c r="Q842" s="52"/>
      <c r="W842" s="53"/>
      <c r="X842" s="53"/>
      <c r="Y842" s="51"/>
      <c r="Z842" s="51"/>
      <c r="AA842" s="52"/>
    </row>
    <row r="843" spans="4:27">
      <c r="D843" s="50"/>
      <c r="E843" s="50"/>
      <c r="F843" s="50"/>
      <c r="G843" s="50"/>
      <c r="H843" s="50"/>
      <c r="I843" s="50"/>
      <c r="J843" s="50"/>
      <c r="K843" s="51"/>
      <c r="L843" s="50"/>
      <c r="M843" s="50"/>
      <c r="N843" s="50"/>
      <c r="O843" s="50"/>
      <c r="P843" s="50"/>
      <c r="Q843" s="52"/>
      <c r="W843" s="53"/>
      <c r="X843" s="53"/>
      <c r="Y843" s="51"/>
      <c r="Z843" s="51"/>
      <c r="AA843" s="52"/>
    </row>
    <row r="844" spans="4:27">
      <c r="D844" s="50"/>
      <c r="E844" s="50"/>
      <c r="F844" s="50"/>
      <c r="G844" s="50"/>
      <c r="H844" s="50"/>
      <c r="I844" s="50"/>
      <c r="J844" s="50"/>
      <c r="K844" s="51"/>
      <c r="L844" s="50"/>
      <c r="M844" s="50"/>
      <c r="N844" s="50"/>
      <c r="O844" s="50"/>
      <c r="P844" s="50"/>
      <c r="Q844" s="52"/>
      <c r="W844" s="53"/>
      <c r="X844" s="53"/>
      <c r="Y844" s="51"/>
      <c r="Z844" s="51"/>
      <c r="AA844" s="52"/>
    </row>
    <row r="845" spans="4:27">
      <c r="D845" s="50"/>
      <c r="E845" s="50"/>
      <c r="F845" s="50"/>
      <c r="G845" s="50"/>
      <c r="H845" s="50"/>
      <c r="I845" s="50"/>
      <c r="J845" s="50"/>
      <c r="K845" s="51"/>
      <c r="L845" s="50"/>
      <c r="M845" s="50"/>
      <c r="N845" s="50"/>
      <c r="O845" s="50"/>
      <c r="P845" s="50"/>
      <c r="Q845" s="52"/>
      <c r="W845" s="53"/>
      <c r="X845" s="53"/>
      <c r="Y845" s="51"/>
      <c r="Z845" s="51"/>
      <c r="AA845" s="52"/>
    </row>
    <row r="846" spans="4:27">
      <c r="D846" s="50"/>
      <c r="E846" s="50"/>
      <c r="F846" s="50"/>
      <c r="G846" s="50"/>
      <c r="H846" s="50"/>
      <c r="I846" s="50"/>
      <c r="J846" s="50"/>
      <c r="K846" s="51"/>
      <c r="L846" s="50"/>
      <c r="M846" s="50"/>
      <c r="N846" s="50"/>
      <c r="O846" s="50"/>
      <c r="P846" s="50"/>
      <c r="Q846" s="52"/>
      <c r="W846" s="53"/>
      <c r="X846" s="53"/>
      <c r="Y846" s="51"/>
      <c r="Z846" s="51"/>
      <c r="AA846" s="52"/>
    </row>
    <row r="847" spans="4:27">
      <c r="D847" s="50"/>
      <c r="E847" s="50"/>
      <c r="F847" s="50"/>
      <c r="G847" s="50"/>
      <c r="H847" s="50"/>
      <c r="I847" s="50"/>
      <c r="J847" s="50"/>
      <c r="K847" s="51"/>
      <c r="L847" s="50"/>
      <c r="M847" s="50"/>
      <c r="N847" s="50"/>
      <c r="O847" s="50"/>
      <c r="P847" s="50"/>
      <c r="Q847" s="52"/>
      <c r="W847" s="53"/>
      <c r="X847" s="53"/>
      <c r="Y847" s="51"/>
      <c r="Z847" s="51"/>
      <c r="AA847" s="52"/>
    </row>
    <row r="848" spans="4:27">
      <c r="D848" s="50"/>
      <c r="E848" s="50"/>
      <c r="F848" s="50"/>
      <c r="G848" s="50"/>
      <c r="H848" s="50"/>
      <c r="I848" s="50"/>
      <c r="J848" s="50"/>
      <c r="K848" s="51"/>
      <c r="L848" s="50"/>
      <c r="M848" s="50"/>
      <c r="N848" s="50"/>
      <c r="O848" s="50"/>
      <c r="P848" s="50"/>
      <c r="Q848" s="52"/>
      <c r="W848" s="53"/>
      <c r="X848" s="53"/>
      <c r="Y848" s="51"/>
      <c r="Z848" s="51"/>
      <c r="AA848" s="52"/>
    </row>
    <row r="849" spans="4:27">
      <c r="D849" s="50"/>
      <c r="E849" s="50"/>
      <c r="F849" s="50"/>
      <c r="G849" s="50"/>
      <c r="H849" s="50"/>
      <c r="I849" s="50"/>
      <c r="J849" s="50"/>
      <c r="K849" s="51"/>
      <c r="L849" s="50"/>
      <c r="M849" s="50"/>
      <c r="N849" s="50"/>
      <c r="O849" s="50"/>
      <c r="P849" s="50"/>
      <c r="Q849" s="52"/>
      <c r="W849" s="53"/>
      <c r="X849" s="53"/>
      <c r="Y849" s="51"/>
      <c r="Z849" s="51"/>
      <c r="AA849" s="52"/>
    </row>
    <row r="850" spans="4:27">
      <c r="D850" s="50"/>
      <c r="E850" s="50"/>
      <c r="F850" s="50"/>
      <c r="G850" s="50"/>
      <c r="H850" s="50"/>
      <c r="I850" s="50"/>
      <c r="J850" s="50"/>
      <c r="K850" s="51"/>
      <c r="L850" s="50"/>
      <c r="M850" s="50"/>
      <c r="N850" s="50"/>
      <c r="O850" s="50"/>
      <c r="P850" s="50"/>
      <c r="Q850" s="52"/>
      <c r="W850" s="53"/>
      <c r="X850" s="53"/>
      <c r="Y850" s="51"/>
      <c r="Z850" s="51"/>
      <c r="AA850" s="52"/>
    </row>
    <row r="851" spans="4:27">
      <c r="D851" s="50"/>
      <c r="E851" s="50"/>
      <c r="F851" s="50"/>
      <c r="G851" s="50"/>
      <c r="H851" s="50"/>
      <c r="I851" s="50"/>
      <c r="J851" s="50"/>
      <c r="K851" s="51"/>
      <c r="L851" s="50"/>
      <c r="M851" s="50"/>
      <c r="N851" s="50"/>
      <c r="O851" s="50"/>
      <c r="P851" s="50"/>
      <c r="Q851" s="52"/>
      <c r="W851" s="53"/>
      <c r="X851" s="53"/>
      <c r="Y851" s="51"/>
      <c r="Z851" s="51"/>
      <c r="AA851" s="52"/>
    </row>
    <row r="852" spans="4:27">
      <c r="D852" s="50"/>
      <c r="E852" s="50"/>
      <c r="F852" s="50"/>
      <c r="G852" s="50"/>
      <c r="H852" s="50"/>
      <c r="I852" s="50"/>
      <c r="J852" s="50"/>
      <c r="K852" s="51"/>
      <c r="L852" s="50"/>
      <c r="M852" s="50"/>
      <c r="N852" s="50"/>
      <c r="O852" s="50"/>
      <c r="P852" s="50"/>
      <c r="Q852" s="52"/>
      <c r="W852" s="53"/>
      <c r="X852" s="53"/>
      <c r="Y852" s="51"/>
      <c r="Z852" s="51"/>
      <c r="AA852" s="52"/>
    </row>
    <row r="853" spans="4:27">
      <c r="D853" s="50"/>
      <c r="E853" s="50"/>
      <c r="F853" s="50"/>
      <c r="G853" s="50"/>
      <c r="H853" s="50"/>
      <c r="I853" s="50"/>
      <c r="J853" s="50"/>
      <c r="K853" s="51"/>
      <c r="L853" s="50"/>
      <c r="M853" s="50"/>
      <c r="N853" s="50"/>
      <c r="O853" s="50"/>
      <c r="P853" s="50"/>
      <c r="Q853" s="52"/>
      <c r="W853" s="53"/>
      <c r="X853" s="53"/>
      <c r="Y853" s="51"/>
      <c r="Z853" s="51"/>
      <c r="AA853" s="52"/>
    </row>
    <row r="854" spans="4:27">
      <c r="D854" s="50"/>
      <c r="E854" s="50"/>
      <c r="F854" s="50"/>
      <c r="G854" s="50"/>
      <c r="H854" s="50"/>
      <c r="I854" s="50"/>
      <c r="J854" s="50"/>
      <c r="K854" s="51"/>
      <c r="L854" s="50"/>
      <c r="M854" s="50"/>
      <c r="N854" s="50"/>
      <c r="O854" s="50"/>
      <c r="P854" s="50"/>
      <c r="Q854" s="52"/>
      <c r="W854" s="53"/>
      <c r="X854" s="53"/>
      <c r="Y854" s="51"/>
      <c r="Z854" s="51"/>
      <c r="AA854" s="52"/>
    </row>
    <row r="855" spans="4:27">
      <c r="D855" s="50"/>
      <c r="E855" s="50"/>
      <c r="F855" s="50"/>
      <c r="G855" s="50"/>
      <c r="H855" s="50"/>
      <c r="I855" s="50"/>
      <c r="J855" s="50"/>
      <c r="K855" s="51"/>
      <c r="L855" s="50"/>
      <c r="M855" s="50"/>
      <c r="N855" s="50"/>
      <c r="O855" s="50"/>
      <c r="P855" s="50"/>
      <c r="Q855" s="52"/>
      <c r="W855" s="53"/>
      <c r="X855" s="53"/>
      <c r="Y855" s="51"/>
      <c r="Z855" s="51"/>
      <c r="AA855" s="52"/>
    </row>
    <row r="856" spans="4:27">
      <c r="D856" s="50"/>
      <c r="E856" s="50"/>
      <c r="F856" s="50"/>
      <c r="G856" s="50"/>
      <c r="H856" s="50"/>
      <c r="I856" s="50"/>
      <c r="J856" s="50"/>
      <c r="K856" s="51"/>
      <c r="L856" s="50"/>
      <c r="M856" s="50"/>
      <c r="N856" s="50"/>
      <c r="O856" s="50"/>
      <c r="P856" s="50"/>
      <c r="Q856" s="52"/>
      <c r="W856" s="53"/>
      <c r="X856" s="53"/>
      <c r="Y856" s="51"/>
      <c r="Z856" s="51"/>
      <c r="AA856" s="52"/>
    </row>
    <row r="857" spans="4:27">
      <c r="D857" s="50"/>
      <c r="E857" s="50"/>
      <c r="F857" s="50"/>
      <c r="G857" s="50"/>
      <c r="H857" s="50"/>
      <c r="I857" s="50"/>
      <c r="J857" s="50"/>
      <c r="K857" s="51"/>
      <c r="L857" s="50"/>
      <c r="M857" s="50"/>
      <c r="N857" s="50"/>
      <c r="O857" s="50"/>
      <c r="P857" s="50"/>
      <c r="Q857" s="52"/>
      <c r="W857" s="53"/>
      <c r="X857" s="53"/>
      <c r="Y857" s="51"/>
      <c r="Z857" s="51"/>
      <c r="AA857" s="52"/>
    </row>
    <row r="858" spans="4:27">
      <c r="D858" s="50"/>
      <c r="E858" s="50"/>
      <c r="F858" s="50"/>
      <c r="G858" s="50"/>
      <c r="H858" s="50"/>
      <c r="I858" s="50"/>
      <c r="J858" s="50"/>
      <c r="K858" s="51"/>
      <c r="L858" s="50"/>
      <c r="M858" s="50"/>
      <c r="N858" s="50"/>
      <c r="O858" s="50"/>
      <c r="P858" s="50"/>
      <c r="Q858" s="52"/>
      <c r="W858" s="53"/>
      <c r="X858" s="53"/>
      <c r="Y858" s="51"/>
      <c r="Z858" s="51"/>
      <c r="AA858" s="52"/>
    </row>
    <row r="859" spans="4:27">
      <c r="D859" s="50"/>
      <c r="E859" s="50"/>
      <c r="F859" s="50"/>
      <c r="G859" s="50"/>
      <c r="H859" s="50"/>
      <c r="I859" s="50"/>
      <c r="J859" s="50"/>
      <c r="K859" s="51"/>
      <c r="L859" s="50"/>
      <c r="M859" s="50"/>
      <c r="N859" s="50"/>
      <c r="O859" s="50"/>
      <c r="P859" s="50"/>
      <c r="Q859" s="52"/>
      <c r="W859" s="53"/>
      <c r="X859" s="53"/>
      <c r="Y859" s="51"/>
      <c r="Z859" s="51"/>
      <c r="AA859" s="52"/>
    </row>
    <row r="860" spans="4:27">
      <c r="D860" s="50"/>
      <c r="E860" s="50"/>
      <c r="F860" s="50"/>
      <c r="G860" s="50"/>
      <c r="H860" s="50"/>
      <c r="I860" s="50"/>
      <c r="J860" s="50"/>
      <c r="K860" s="51"/>
      <c r="L860" s="50"/>
      <c r="M860" s="50"/>
      <c r="N860" s="50"/>
      <c r="O860" s="50"/>
      <c r="P860" s="50"/>
      <c r="Q860" s="52"/>
      <c r="W860" s="53"/>
      <c r="X860" s="53"/>
      <c r="Y860" s="51"/>
      <c r="Z860" s="51"/>
      <c r="AA860" s="52"/>
    </row>
    <row r="861" spans="4:27">
      <c r="D861" s="50"/>
      <c r="E861" s="50"/>
      <c r="F861" s="50"/>
      <c r="G861" s="50"/>
      <c r="H861" s="50"/>
      <c r="I861" s="50"/>
      <c r="J861" s="50"/>
      <c r="K861" s="51"/>
      <c r="L861" s="50"/>
      <c r="M861" s="50"/>
      <c r="N861" s="50"/>
      <c r="O861" s="50"/>
      <c r="P861" s="50"/>
      <c r="Q861" s="52"/>
      <c r="W861" s="53"/>
      <c r="X861" s="53"/>
      <c r="Y861" s="51"/>
      <c r="Z861" s="51"/>
      <c r="AA861" s="52"/>
    </row>
    <row r="862" spans="4:27">
      <c r="D862" s="50"/>
      <c r="E862" s="50"/>
      <c r="F862" s="50"/>
      <c r="G862" s="50"/>
      <c r="H862" s="50"/>
      <c r="I862" s="50"/>
      <c r="J862" s="50"/>
      <c r="K862" s="51"/>
      <c r="L862" s="50"/>
      <c r="M862" s="50"/>
      <c r="N862" s="50"/>
      <c r="O862" s="50"/>
      <c r="P862" s="50"/>
      <c r="Q862" s="52"/>
      <c r="W862" s="53"/>
      <c r="X862" s="53"/>
      <c r="Y862" s="51"/>
      <c r="Z862" s="51"/>
      <c r="AA862" s="52"/>
    </row>
    <row r="863" spans="4:27">
      <c r="D863" s="50"/>
      <c r="E863" s="50"/>
      <c r="F863" s="50"/>
      <c r="G863" s="50"/>
      <c r="H863" s="50"/>
      <c r="I863" s="50"/>
      <c r="J863" s="50"/>
      <c r="K863" s="51"/>
      <c r="L863" s="50"/>
      <c r="M863" s="50"/>
      <c r="N863" s="50"/>
      <c r="O863" s="50"/>
      <c r="P863" s="50"/>
      <c r="Q863" s="52"/>
      <c r="W863" s="53"/>
      <c r="X863" s="53"/>
      <c r="Y863" s="51"/>
      <c r="Z863" s="51"/>
      <c r="AA863" s="52"/>
    </row>
    <row r="864" spans="4:27">
      <c r="D864" s="50"/>
      <c r="E864" s="50"/>
      <c r="F864" s="50"/>
      <c r="G864" s="50"/>
      <c r="H864" s="50"/>
      <c r="I864" s="50"/>
      <c r="J864" s="50"/>
      <c r="K864" s="51"/>
      <c r="L864" s="50"/>
      <c r="M864" s="50"/>
      <c r="N864" s="50"/>
      <c r="O864" s="50"/>
      <c r="P864" s="50"/>
      <c r="Q864" s="52"/>
      <c r="W864" s="53"/>
      <c r="X864" s="53"/>
      <c r="Y864" s="51"/>
      <c r="Z864" s="51"/>
      <c r="AA864" s="52"/>
    </row>
    <row r="865" spans="4:27">
      <c r="D865" s="50"/>
      <c r="E865" s="50"/>
      <c r="F865" s="50"/>
      <c r="G865" s="50"/>
      <c r="H865" s="50"/>
      <c r="I865" s="50"/>
      <c r="J865" s="50"/>
      <c r="K865" s="51"/>
      <c r="L865" s="50"/>
      <c r="M865" s="50"/>
      <c r="N865" s="50"/>
      <c r="O865" s="50"/>
      <c r="P865" s="50"/>
      <c r="Q865" s="52"/>
      <c r="W865" s="53"/>
      <c r="X865" s="53"/>
      <c r="Y865" s="51"/>
      <c r="Z865" s="51"/>
      <c r="AA865" s="52"/>
    </row>
    <row r="866" spans="4:27">
      <c r="D866" s="50"/>
      <c r="E866" s="50"/>
      <c r="F866" s="50"/>
      <c r="G866" s="50"/>
      <c r="H866" s="50"/>
      <c r="I866" s="50"/>
      <c r="J866" s="50"/>
      <c r="K866" s="51"/>
      <c r="L866" s="50"/>
      <c r="M866" s="50"/>
      <c r="N866" s="50"/>
      <c r="O866" s="50"/>
      <c r="P866" s="50"/>
      <c r="Q866" s="52"/>
      <c r="W866" s="53"/>
      <c r="X866" s="53"/>
      <c r="Y866" s="51"/>
      <c r="Z866" s="51"/>
      <c r="AA866" s="52"/>
    </row>
    <row r="867" spans="4:27">
      <c r="D867" s="50"/>
      <c r="E867" s="50"/>
      <c r="F867" s="50"/>
      <c r="G867" s="50"/>
      <c r="H867" s="50"/>
      <c r="I867" s="50"/>
      <c r="J867" s="50"/>
      <c r="K867" s="51"/>
      <c r="L867" s="50"/>
      <c r="M867" s="50"/>
      <c r="N867" s="50"/>
      <c r="O867" s="50"/>
      <c r="P867" s="50"/>
      <c r="Q867" s="52"/>
      <c r="W867" s="53"/>
      <c r="X867" s="53"/>
      <c r="Y867" s="51"/>
      <c r="Z867" s="51"/>
      <c r="AA867" s="52"/>
    </row>
    <row r="868" spans="4:27">
      <c r="D868" s="50"/>
      <c r="E868" s="50"/>
      <c r="F868" s="50"/>
      <c r="G868" s="50"/>
      <c r="H868" s="50"/>
      <c r="I868" s="50"/>
      <c r="J868" s="50"/>
      <c r="K868" s="51"/>
      <c r="L868" s="50"/>
      <c r="M868" s="50"/>
      <c r="N868" s="50"/>
      <c r="O868" s="50"/>
      <c r="P868" s="50"/>
      <c r="Q868" s="52"/>
      <c r="W868" s="53"/>
      <c r="X868" s="53"/>
      <c r="Y868" s="51"/>
      <c r="Z868" s="51"/>
      <c r="AA868" s="52"/>
    </row>
    <row r="869" spans="4:27">
      <c r="D869" s="50"/>
      <c r="E869" s="50"/>
      <c r="F869" s="50"/>
      <c r="G869" s="50"/>
      <c r="H869" s="50"/>
      <c r="I869" s="50"/>
      <c r="J869" s="50"/>
      <c r="K869" s="51"/>
      <c r="L869" s="50"/>
      <c r="M869" s="50"/>
      <c r="N869" s="50"/>
      <c r="O869" s="50"/>
      <c r="P869" s="50"/>
      <c r="Q869" s="52"/>
      <c r="W869" s="53"/>
      <c r="X869" s="53"/>
      <c r="Y869" s="51"/>
      <c r="Z869" s="51"/>
      <c r="AA869" s="52"/>
    </row>
    <row r="870" spans="4:27">
      <c r="D870" s="50"/>
      <c r="E870" s="50"/>
      <c r="F870" s="50"/>
      <c r="G870" s="50"/>
      <c r="H870" s="50"/>
      <c r="I870" s="50"/>
      <c r="J870" s="50"/>
      <c r="K870" s="51"/>
      <c r="L870" s="50"/>
      <c r="M870" s="50"/>
      <c r="N870" s="50"/>
      <c r="O870" s="50"/>
      <c r="P870" s="50"/>
      <c r="Q870" s="52"/>
      <c r="W870" s="53"/>
      <c r="X870" s="53"/>
      <c r="Y870" s="51"/>
      <c r="Z870" s="51"/>
      <c r="AA870" s="52"/>
    </row>
    <row r="871" spans="4:27">
      <c r="D871" s="50"/>
      <c r="E871" s="50"/>
      <c r="F871" s="50"/>
      <c r="G871" s="50"/>
      <c r="H871" s="50"/>
      <c r="I871" s="50"/>
      <c r="J871" s="50"/>
      <c r="K871" s="51"/>
      <c r="L871" s="50"/>
      <c r="M871" s="50"/>
      <c r="N871" s="50"/>
      <c r="O871" s="50"/>
      <c r="P871" s="50"/>
      <c r="Q871" s="52"/>
      <c r="W871" s="53"/>
      <c r="X871" s="53"/>
      <c r="Y871" s="51"/>
      <c r="Z871" s="51"/>
      <c r="AA871" s="52"/>
    </row>
    <row r="872" spans="4:27">
      <c r="D872" s="50"/>
      <c r="E872" s="50"/>
      <c r="F872" s="50"/>
      <c r="G872" s="50"/>
      <c r="H872" s="50"/>
      <c r="I872" s="50"/>
      <c r="J872" s="50"/>
      <c r="K872" s="51"/>
      <c r="L872" s="50"/>
      <c r="M872" s="50"/>
      <c r="N872" s="50"/>
      <c r="O872" s="50"/>
      <c r="P872" s="50"/>
      <c r="Q872" s="52"/>
      <c r="W872" s="53"/>
      <c r="X872" s="53"/>
      <c r="Y872" s="51"/>
      <c r="Z872" s="51"/>
      <c r="AA872" s="52"/>
    </row>
    <row r="873" spans="4:27">
      <c r="D873" s="50"/>
      <c r="E873" s="50"/>
      <c r="F873" s="50"/>
      <c r="G873" s="50"/>
      <c r="H873" s="50"/>
      <c r="I873" s="50"/>
      <c r="J873" s="50"/>
      <c r="K873" s="51"/>
      <c r="L873" s="50"/>
      <c r="M873" s="50"/>
      <c r="N873" s="50"/>
      <c r="O873" s="50"/>
      <c r="P873" s="50"/>
      <c r="Q873" s="52"/>
      <c r="W873" s="53"/>
      <c r="X873" s="53"/>
      <c r="Y873" s="51"/>
      <c r="Z873" s="51"/>
      <c r="AA873" s="52"/>
    </row>
    <row r="874" spans="4:27">
      <c r="D874" s="50"/>
      <c r="E874" s="50"/>
      <c r="F874" s="50"/>
      <c r="G874" s="50"/>
      <c r="H874" s="50"/>
      <c r="I874" s="50"/>
      <c r="J874" s="50"/>
      <c r="K874" s="51"/>
      <c r="L874" s="50"/>
      <c r="M874" s="50"/>
      <c r="N874" s="50"/>
      <c r="O874" s="50"/>
      <c r="P874" s="50"/>
      <c r="Q874" s="52"/>
      <c r="W874" s="53"/>
      <c r="X874" s="53"/>
      <c r="Y874" s="51"/>
      <c r="Z874" s="51"/>
      <c r="AA874" s="52"/>
    </row>
    <row r="875" spans="4:27">
      <c r="D875" s="50"/>
      <c r="E875" s="50"/>
      <c r="F875" s="50"/>
      <c r="G875" s="50"/>
      <c r="H875" s="50"/>
      <c r="I875" s="50"/>
      <c r="J875" s="50"/>
      <c r="K875" s="51"/>
      <c r="L875" s="50"/>
      <c r="M875" s="50"/>
      <c r="N875" s="50"/>
      <c r="O875" s="50"/>
      <c r="P875" s="50"/>
      <c r="Q875" s="52"/>
      <c r="W875" s="53"/>
      <c r="X875" s="53"/>
      <c r="Y875" s="51"/>
      <c r="Z875" s="51"/>
      <c r="AA875" s="52"/>
    </row>
    <row r="876" spans="4:27">
      <c r="D876" s="50"/>
      <c r="E876" s="50"/>
      <c r="F876" s="50"/>
      <c r="G876" s="50"/>
      <c r="H876" s="50"/>
      <c r="I876" s="50"/>
      <c r="J876" s="50"/>
      <c r="K876" s="51"/>
      <c r="L876" s="50"/>
      <c r="M876" s="50"/>
      <c r="N876" s="50"/>
      <c r="O876" s="50"/>
      <c r="P876" s="50"/>
      <c r="Q876" s="52"/>
      <c r="W876" s="53"/>
      <c r="X876" s="53"/>
      <c r="Y876" s="51"/>
      <c r="Z876" s="51"/>
      <c r="AA876" s="52"/>
    </row>
    <row r="877" spans="4:27">
      <c r="D877" s="50"/>
      <c r="E877" s="50"/>
      <c r="F877" s="50"/>
      <c r="G877" s="50"/>
      <c r="H877" s="50"/>
      <c r="I877" s="50"/>
      <c r="J877" s="50"/>
      <c r="K877" s="51"/>
      <c r="L877" s="50"/>
      <c r="M877" s="50"/>
      <c r="N877" s="50"/>
      <c r="O877" s="50"/>
      <c r="P877" s="50"/>
      <c r="Q877" s="52"/>
      <c r="W877" s="53"/>
      <c r="X877" s="53"/>
      <c r="Y877" s="51"/>
      <c r="Z877" s="51"/>
      <c r="AA877" s="52"/>
    </row>
    <row r="878" spans="4:27">
      <c r="D878" s="50"/>
      <c r="E878" s="50"/>
      <c r="F878" s="50"/>
      <c r="G878" s="50"/>
      <c r="H878" s="50"/>
      <c r="I878" s="50"/>
      <c r="J878" s="50"/>
      <c r="K878" s="51"/>
      <c r="L878" s="50"/>
      <c r="M878" s="50"/>
      <c r="N878" s="50"/>
      <c r="O878" s="50"/>
      <c r="P878" s="50"/>
      <c r="Q878" s="52"/>
      <c r="W878" s="53"/>
      <c r="X878" s="53"/>
      <c r="Y878" s="51"/>
      <c r="Z878" s="51"/>
      <c r="AA878" s="52"/>
    </row>
    <row r="879" spans="4:27">
      <c r="D879" s="50"/>
      <c r="E879" s="50"/>
      <c r="F879" s="50"/>
      <c r="G879" s="50"/>
      <c r="H879" s="50"/>
      <c r="I879" s="50"/>
      <c r="J879" s="50"/>
      <c r="K879" s="51"/>
      <c r="L879" s="50"/>
      <c r="M879" s="50"/>
      <c r="N879" s="50"/>
      <c r="O879" s="50"/>
      <c r="P879" s="50"/>
      <c r="Q879" s="52"/>
      <c r="W879" s="53"/>
      <c r="X879" s="53"/>
      <c r="Y879" s="51"/>
      <c r="Z879" s="51"/>
      <c r="AA879" s="52"/>
    </row>
    <row r="880" spans="4:27">
      <c r="D880" s="50"/>
      <c r="E880" s="50"/>
      <c r="F880" s="50"/>
      <c r="G880" s="50"/>
      <c r="H880" s="50"/>
      <c r="I880" s="50"/>
      <c r="J880" s="50"/>
      <c r="K880" s="51"/>
      <c r="L880" s="50"/>
      <c r="M880" s="50"/>
      <c r="N880" s="50"/>
      <c r="O880" s="50"/>
      <c r="P880" s="50"/>
      <c r="Q880" s="52"/>
      <c r="W880" s="53"/>
      <c r="X880" s="53"/>
      <c r="Y880" s="51"/>
      <c r="Z880" s="51"/>
      <c r="AA880" s="52"/>
    </row>
    <row r="881" spans="4:27">
      <c r="D881" s="50"/>
      <c r="E881" s="50"/>
      <c r="F881" s="50"/>
      <c r="G881" s="50"/>
      <c r="H881" s="50"/>
      <c r="I881" s="50"/>
      <c r="J881" s="50"/>
      <c r="K881" s="51"/>
      <c r="L881" s="50"/>
      <c r="M881" s="50"/>
      <c r="N881" s="50"/>
      <c r="O881" s="50"/>
      <c r="P881" s="50"/>
      <c r="Q881" s="52"/>
      <c r="W881" s="53"/>
      <c r="X881" s="53"/>
      <c r="Y881" s="51"/>
      <c r="Z881" s="51"/>
      <c r="AA881" s="52"/>
    </row>
    <row r="882" spans="4:27">
      <c r="D882" s="50"/>
      <c r="E882" s="50"/>
      <c r="F882" s="50"/>
      <c r="G882" s="50"/>
      <c r="H882" s="50"/>
      <c r="I882" s="50"/>
      <c r="J882" s="50"/>
      <c r="K882" s="51"/>
      <c r="L882" s="50"/>
      <c r="M882" s="50"/>
      <c r="N882" s="50"/>
      <c r="O882" s="50"/>
      <c r="P882" s="50"/>
      <c r="Q882" s="52"/>
      <c r="W882" s="53"/>
      <c r="X882" s="53"/>
      <c r="Y882" s="51"/>
      <c r="Z882" s="51"/>
      <c r="AA882" s="52"/>
    </row>
    <row r="883" spans="4:27">
      <c r="D883" s="50"/>
      <c r="E883" s="50"/>
      <c r="F883" s="50"/>
      <c r="G883" s="50"/>
      <c r="H883" s="50"/>
      <c r="I883" s="50"/>
      <c r="J883" s="50"/>
      <c r="K883" s="51"/>
      <c r="L883" s="50"/>
      <c r="M883" s="50"/>
      <c r="N883" s="50"/>
      <c r="O883" s="50"/>
      <c r="P883" s="50"/>
      <c r="Q883" s="52"/>
      <c r="W883" s="53"/>
      <c r="X883" s="53"/>
      <c r="Y883" s="51"/>
      <c r="Z883" s="51"/>
      <c r="AA883" s="52"/>
    </row>
    <row r="884" spans="4:27">
      <c r="D884" s="50"/>
      <c r="E884" s="50"/>
      <c r="F884" s="50"/>
      <c r="G884" s="50"/>
      <c r="H884" s="50"/>
      <c r="I884" s="50"/>
      <c r="J884" s="50"/>
      <c r="K884" s="51"/>
      <c r="L884" s="50"/>
      <c r="M884" s="50"/>
      <c r="N884" s="50"/>
      <c r="O884" s="50"/>
      <c r="P884" s="50"/>
      <c r="Q884" s="52"/>
      <c r="W884" s="53"/>
      <c r="X884" s="53"/>
      <c r="Y884" s="51"/>
      <c r="Z884" s="51"/>
      <c r="AA884" s="52"/>
    </row>
    <row r="885" spans="4:27">
      <c r="D885" s="50"/>
      <c r="E885" s="50"/>
      <c r="F885" s="50"/>
      <c r="G885" s="50"/>
      <c r="H885" s="50"/>
      <c r="I885" s="50"/>
      <c r="J885" s="50"/>
      <c r="K885" s="51"/>
      <c r="L885" s="50"/>
      <c r="M885" s="50"/>
      <c r="N885" s="50"/>
      <c r="O885" s="50"/>
      <c r="P885" s="50"/>
      <c r="Q885" s="52"/>
      <c r="W885" s="53"/>
      <c r="X885" s="53"/>
      <c r="Y885" s="51"/>
      <c r="Z885" s="51"/>
      <c r="AA885" s="52"/>
    </row>
    <row r="886" spans="4:27">
      <c r="D886" s="50"/>
      <c r="E886" s="50"/>
      <c r="F886" s="50"/>
      <c r="G886" s="50"/>
      <c r="H886" s="50"/>
      <c r="I886" s="50"/>
      <c r="J886" s="50"/>
      <c r="K886" s="51"/>
      <c r="L886" s="50"/>
      <c r="M886" s="50"/>
      <c r="N886" s="50"/>
      <c r="O886" s="50"/>
      <c r="P886" s="50"/>
      <c r="Q886" s="52"/>
      <c r="W886" s="53"/>
      <c r="X886" s="53"/>
      <c r="Y886" s="51"/>
      <c r="Z886" s="51"/>
      <c r="AA886" s="52"/>
    </row>
    <row r="887" spans="4:27">
      <c r="D887" s="50"/>
      <c r="E887" s="50"/>
      <c r="F887" s="50"/>
      <c r="G887" s="50"/>
      <c r="H887" s="50"/>
      <c r="I887" s="50"/>
      <c r="J887" s="50"/>
      <c r="K887" s="51"/>
      <c r="L887" s="50"/>
      <c r="M887" s="50"/>
      <c r="N887" s="50"/>
      <c r="O887" s="50"/>
      <c r="P887" s="50"/>
      <c r="Q887" s="52"/>
      <c r="W887" s="53"/>
      <c r="X887" s="53"/>
      <c r="Y887" s="51"/>
      <c r="Z887" s="51"/>
      <c r="AA887" s="52"/>
    </row>
    <row r="888" spans="4:27">
      <c r="D888" s="50"/>
      <c r="E888" s="50"/>
      <c r="F888" s="50"/>
      <c r="G888" s="50"/>
      <c r="H888" s="50"/>
      <c r="I888" s="50"/>
      <c r="J888" s="50"/>
      <c r="K888" s="51"/>
      <c r="L888" s="50"/>
      <c r="M888" s="50"/>
      <c r="N888" s="50"/>
      <c r="O888" s="50"/>
      <c r="P888" s="50"/>
      <c r="Q888" s="52"/>
      <c r="W888" s="53"/>
      <c r="X888" s="53"/>
      <c r="Y888" s="51"/>
      <c r="Z888" s="51"/>
      <c r="AA888" s="52"/>
    </row>
    <row r="889" spans="4:27">
      <c r="D889" s="50"/>
      <c r="E889" s="50"/>
      <c r="F889" s="50"/>
      <c r="G889" s="50"/>
      <c r="H889" s="50"/>
      <c r="I889" s="50"/>
      <c r="J889" s="50"/>
      <c r="K889" s="51"/>
      <c r="L889" s="50"/>
      <c r="M889" s="50"/>
      <c r="N889" s="50"/>
      <c r="O889" s="50"/>
      <c r="P889" s="50"/>
      <c r="Q889" s="52"/>
      <c r="W889" s="53"/>
      <c r="X889" s="53"/>
      <c r="Y889" s="51"/>
      <c r="Z889" s="51"/>
      <c r="AA889" s="52"/>
    </row>
    <row r="890" spans="4:27">
      <c r="D890" s="50"/>
      <c r="E890" s="50"/>
      <c r="F890" s="50"/>
      <c r="G890" s="50"/>
      <c r="H890" s="50"/>
      <c r="I890" s="50"/>
      <c r="J890" s="50"/>
      <c r="K890" s="51"/>
      <c r="L890" s="50"/>
      <c r="M890" s="50"/>
      <c r="N890" s="50"/>
      <c r="O890" s="50"/>
      <c r="P890" s="50"/>
      <c r="Q890" s="52"/>
      <c r="W890" s="53"/>
      <c r="X890" s="53"/>
      <c r="Y890" s="51"/>
      <c r="Z890" s="51"/>
      <c r="AA890" s="52"/>
    </row>
    <row r="891" spans="4:27">
      <c r="D891" s="50"/>
      <c r="E891" s="50"/>
      <c r="F891" s="50"/>
      <c r="G891" s="50"/>
      <c r="H891" s="50"/>
      <c r="I891" s="50"/>
      <c r="J891" s="50"/>
      <c r="K891" s="51"/>
      <c r="L891" s="50"/>
      <c r="M891" s="50"/>
      <c r="N891" s="50"/>
      <c r="O891" s="50"/>
      <c r="P891" s="50"/>
      <c r="Q891" s="52"/>
      <c r="W891" s="53"/>
      <c r="X891" s="53"/>
      <c r="Y891" s="51"/>
      <c r="Z891" s="51"/>
      <c r="AA891" s="52"/>
    </row>
    <row r="892" spans="4:27">
      <c r="D892" s="50"/>
      <c r="E892" s="50"/>
      <c r="F892" s="50"/>
      <c r="G892" s="50"/>
      <c r="H892" s="50"/>
      <c r="I892" s="50"/>
      <c r="J892" s="50"/>
      <c r="K892" s="51"/>
      <c r="L892" s="50"/>
      <c r="M892" s="50"/>
      <c r="N892" s="50"/>
      <c r="O892" s="50"/>
      <c r="P892" s="50"/>
      <c r="Q892" s="52"/>
      <c r="W892" s="53"/>
      <c r="X892" s="53"/>
      <c r="Y892" s="51"/>
      <c r="Z892" s="51"/>
      <c r="AA892" s="52"/>
    </row>
    <row r="893" spans="4:27">
      <c r="D893" s="50"/>
      <c r="E893" s="50"/>
      <c r="F893" s="50"/>
      <c r="G893" s="50"/>
      <c r="H893" s="50"/>
      <c r="I893" s="50"/>
      <c r="J893" s="50"/>
      <c r="K893" s="51"/>
      <c r="L893" s="50"/>
      <c r="M893" s="50"/>
      <c r="N893" s="50"/>
      <c r="O893" s="50"/>
      <c r="P893" s="50"/>
      <c r="Q893" s="52"/>
      <c r="W893" s="53"/>
      <c r="X893" s="53"/>
      <c r="Y893" s="51"/>
      <c r="Z893" s="51"/>
      <c r="AA893" s="52"/>
    </row>
    <row r="894" spans="4:27">
      <c r="D894" s="50"/>
      <c r="E894" s="50"/>
      <c r="F894" s="50"/>
      <c r="G894" s="50"/>
      <c r="H894" s="50"/>
      <c r="I894" s="50"/>
      <c r="J894" s="50"/>
      <c r="K894" s="51"/>
      <c r="L894" s="50"/>
      <c r="M894" s="50"/>
      <c r="N894" s="50"/>
      <c r="O894" s="50"/>
      <c r="P894" s="50"/>
      <c r="Q894" s="52"/>
      <c r="W894" s="53"/>
      <c r="X894" s="53"/>
      <c r="Y894" s="51"/>
      <c r="Z894" s="51"/>
      <c r="AA894" s="52"/>
    </row>
    <row r="895" spans="4:27">
      <c r="D895" s="50"/>
      <c r="E895" s="50"/>
      <c r="F895" s="50"/>
      <c r="G895" s="50"/>
      <c r="H895" s="50"/>
      <c r="I895" s="50"/>
      <c r="J895" s="50"/>
      <c r="K895" s="51"/>
      <c r="L895" s="50"/>
      <c r="M895" s="50"/>
      <c r="N895" s="50"/>
      <c r="O895" s="50"/>
      <c r="P895" s="50"/>
      <c r="Q895" s="52"/>
      <c r="W895" s="53"/>
      <c r="X895" s="53"/>
      <c r="Y895" s="51"/>
      <c r="Z895" s="51"/>
      <c r="AA895" s="52"/>
    </row>
    <row r="896" spans="4:27">
      <c r="D896" s="50"/>
      <c r="E896" s="50"/>
      <c r="F896" s="50"/>
      <c r="G896" s="50"/>
      <c r="H896" s="50"/>
      <c r="I896" s="50"/>
      <c r="J896" s="50"/>
      <c r="K896" s="51"/>
      <c r="L896" s="50"/>
      <c r="M896" s="50"/>
      <c r="N896" s="50"/>
      <c r="O896" s="50"/>
      <c r="P896" s="50"/>
      <c r="Q896" s="52"/>
      <c r="W896" s="53"/>
      <c r="X896" s="53"/>
      <c r="Y896" s="51"/>
      <c r="Z896" s="51"/>
      <c r="AA896" s="52"/>
    </row>
    <row r="897" spans="4:27">
      <c r="D897" s="50"/>
      <c r="E897" s="50"/>
      <c r="F897" s="50"/>
      <c r="G897" s="50"/>
      <c r="H897" s="50"/>
      <c r="I897" s="50"/>
      <c r="J897" s="50"/>
      <c r="K897" s="51"/>
      <c r="L897" s="50"/>
      <c r="M897" s="50"/>
      <c r="N897" s="50"/>
      <c r="O897" s="50"/>
      <c r="P897" s="50"/>
      <c r="Q897" s="52"/>
      <c r="W897" s="53"/>
      <c r="X897" s="53"/>
      <c r="Y897" s="51"/>
      <c r="Z897" s="51"/>
      <c r="AA897" s="52"/>
    </row>
    <row r="898" spans="4:27">
      <c r="D898" s="50"/>
      <c r="E898" s="50"/>
      <c r="F898" s="50"/>
      <c r="G898" s="50"/>
      <c r="H898" s="50"/>
      <c r="I898" s="50"/>
      <c r="J898" s="50"/>
      <c r="K898" s="51"/>
      <c r="L898" s="50"/>
      <c r="M898" s="50"/>
      <c r="N898" s="50"/>
      <c r="O898" s="50"/>
      <c r="P898" s="50"/>
      <c r="Q898" s="52"/>
      <c r="W898" s="53"/>
      <c r="X898" s="53"/>
      <c r="Y898" s="51"/>
      <c r="Z898" s="51"/>
      <c r="AA898" s="52"/>
    </row>
    <row r="899" spans="4:27">
      <c r="D899" s="50"/>
      <c r="E899" s="50"/>
      <c r="F899" s="50"/>
      <c r="G899" s="50"/>
      <c r="H899" s="50"/>
      <c r="I899" s="50"/>
      <c r="J899" s="50"/>
      <c r="K899" s="51"/>
      <c r="L899" s="50"/>
      <c r="M899" s="50"/>
      <c r="N899" s="50"/>
      <c r="O899" s="50"/>
      <c r="P899" s="50"/>
      <c r="Q899" s="52"/>
      <c r="W899" s="53"/>
      <c r="X899" s="53"/>
      <c r="Y899" s="51"/>
      <c r="Z899" s="51"/>
      <c r="AA899" s="52"/>
    </row>
    <row r="900" spans="4:27">
      <c r="D900" s="50"/>
      <c r="E900" s="50"/>
      <c r="F900" s="50"/>
      <c r="G900" s="50"/>
      <c r="H900" s="50"/>
      <c r="I900" s="50"/>
      <c r="J900" s="50"/>
      <c r="K900" s="51"/>
      <c r="L900" s="50"/>
      <c r="M900" s="50"/>
      <c r="N900" s="50"/>
      <c r="O900" s="50"/>
      <c r="P900" s="50"/>
      <c r="Q900" s="52"/>
      <c r="W900" s="53"/>
      <c r="X900" s="53"/>
      <c r="Y900" s="51"/>
      <c r="Z900" s="51"/>
      <c r="AA900" s="52"/>
    </row>
    <row r="901" spans="4:27">
      <c r="D901" s="50"/>
      <c r="E901" s="50"/>
      <c r="F901" s="50"/>
      <c r="G901" s="50"/>
      <c r="H901" s="50"/>
      <c r="I901" s="50"/>
      <c r="J901" s="50"/>
      <c r="K901" s="51"/>
      <c r="L901" s="50"/>
      <c r="M901" s="50"/>
      <c r="N901" s="50"/>
      <c r="O901" s="50"/>
      <c r="P901" s="50"/>
      <c r="Q901" s="52"/>
      <c r="W901" s="53"/>
      <c r="X901" s="53"/>
      <c r="Y901" s="51"/>
      <c r="Z901" s="51"/>
      <c r="AA901" s="52"/>
    </row>
    <row r="902" spans="4:27">
      <c r="D902" s="50"/>
      <c r="E902" s="50"/>
      <c r="F902" s="50"/>
      <c r="G902" s="50"/>
      <c r="H902" s="50"/>
      <c r="I902" s="50"/>
      <c r="J902" s="50"/>
      <c r="K902" s="51"/>
      <c r="L902" s="50"/>
      <c r="M902" s="50"/>
      <c r="N902" s="50"/>
      <c r="O902" s="50"/>
      <c r="P902" s="50"/>
      <c r="Q902" s="52"/>
      <c r="W902" s="53"/>
      <c r="X902" s="53"/>
      <c r="Y902" s="51"/>
      <c r="Z902" s="51"/>
      <c r="AA902" s="52"/>
    </row>
    <row r="903" spans="4:27">
      <c r="D903" s="50"/>
      <c r="E903" s="50"/>
      <c r="F903" s="50"/>
      <c r="G903" s="50"/>
      <c r="H903" s="50"/>
      <c r="I903" s="50"/>
      <c r="J903" s="50"/>
      <c r="K903" s="51"/>
      <c r="L903" s="50"/>
      <c r="M903" s="50"/>
      <c r="N903" s="50"/>
      <c r="O903" s="50"/>
      <c r="P903" s="50"/>
      <c r="Q903" s="52"/>
      <c r="W903" s="53"/>
      <c r="X903" s="53"/>
      <c r="Y903" s="51"/>
      <c r="Z903" s="51"/>
      <c r="AA903" s="52"/>
    </row>
    <row r="904" spans="4:27">
      <c r="D904" s="50"/>
      <c r="E904" s="50"/>
      <c r="F904" s="50"/>
      <c r="G904" s="50"/>
      <c r="H904" s="50"/>
      <c r="I904" s="50"/>
      <c r="J904" s="50"/>
      <c r="K904" s="51"/>
      <c r="L904" s="50"/>
      <c r="M904" s="50"/>
      <c r="N904" s="50"/>
      <c r="O904" s="50"/>
      <c r="P904" s="50"/>
      <c r="Q904" s="52"/>
      <c r="W904" s="53"/>
      <c r="X904" s="53"/>
      <c r="Y904" s="51"/>
      <c r="Z904" s="51"/>
      <c r="AA904" s="52"/>
    </row>
    <row r="905" spans="4:27">
      <c r="D905" s="50"/>
      <c r="E905" s="50"/>
      <c r="F905" s="50"/>
      <c r="G905" s="50"/>
      <c r="H905" s="50"/>
      <c r="I905" s="50"/>
      <c r="J905" s="50"/>
      <c r="K905" s="51"/>
      <c r="L905" s="50"/>
      <c r="M905" s="50"/>
      <c r="N905" s="50"/>
      <c r="O905" s="50"/>
      <c r="P905" s="50"/>
      <c r="Q905" s="52"/>
      <c r="W905" s="53"/>
      <c r="X905" s="53"/>
      <c r="Y905" s="51"/>
      <c r="Z905" s="51"/>
      <c r="AA905" s="52"/>
    </row>
    <row r="906" spans="4:27">
      <c r="D906" s="50"/>
      <c r="E906" s="50"/>
      <c r="F906" s="50"/>
      <c r="G906" s="50"/>
      <c r="H906" s="50"/>
      <c r="I906" s="50"/>
      <c r="J906" s="50"/>
      <c r="K906" s="51"/>
      <c r="L906" s="50"/>
      <c r="M906" s="50"/>
      <c r="N906" s="50"/>
      <c r="O906" s="50"/>
      <c r="P906" s="50"/>
      <c r="Q906" s="52"/>
      <c r="W906" s="53"/>
      <c r="X906" s="53"/>
      <c r="Y906" s="51"/>
      <c r="Z906" s="51"/>
      <c r="AA906" s="52"/>
    </row>
    <row r="907" spans="4:27">
      <c r="D907" s="50"/>
      <c r="E907" s="50"/>
      <c r="F907" s="50"/>
      <c r="G907" s="50"/>
      <c r="H907" s="50"/>
      <c r="I907" s="50"/>
      <c r="J907" s="50"/>
      <c r="K907" s="51"/>
      <c r="L907" s="50"/>
      <c r="M907" s="50"/>
      <c r="N907" s="50"/>
      <c r="O907" s="50"/>
      <c r="P907" s="50"/>
      <c r="Q907" s="52"/>
      <c r="W907" s="53"/>
      <c r="X907" s="53"/>
      <c r="Y907" s="51"/>
      <c r="Z907" s="51"/>
      <c r="AA907" s="52"/>
    </row>
    <row r="908" spans="4:27">
      <c r="D908" s="50"/>
      <c r="E908" s="50"/>
      <c r="F908" s="50"/>
      <c r="G908" s="50"/>
      <c r="H908" s="50"/>
      <c r="I908" s="50"/>
      <c r="J908" s="50"/>
      <c r="K908" s="51"/>
      <c r="L908" s="50"/>
      <c r="M908" s="50"/>
      <c r="N908" s="50"/>
      <c r="O908" s="50"/>
      <c r="P908" s="50"/>
      <c r="Q908" s="52"/>
      <c r="W908" s="53"/>
      <c r="X908" s="53"/>
      <c r="Y908" s="51"/>
      <c r="Z908" s="51"/>
      <c r="AA908" s="52"/>
    </row>
    <row r="909" spans="4:27">
      <c r="D909" s="50"/>
      <c r="E909" s="50"/>
      <c r="F909" s="50"/>
      <c r="G909" s="50"/>
      <c r="H909" s="50"/>
      <c r="I909" s="50"/>
      <c r="J909" s="50"/>
      <c r="K909" s="51"/>
      <c r="L909" s="50"/>
      <c r="M909" s="50"/>
      <c r="N909" s="50"/>
      <c r="O909" s="50"/>
      <c r="P909" s="50"/>
      <c r="Q909" s="52"/>
      <c r="W909" s="53"/>
      <c r="X909" s="53"/>
      <c r="Y909" s="51"/>
      <c r="Z909" s="51"/>
      <c r="AA909" s="52"/>
    </row>
    <row r="910" spans="4:27">
      <c r="D910" s="50"/>
      <c r="E910" s="50"/>
      <c r="F910" s="50"/>
      <c r="G910" s="50"/>
      <c r="H910" s="50"/>
      <c r="I910" s="50"/>
      <c r="J910" s="50"/>
      <c r="K910" s="51"/>
      <c r="L910" s="50"/>
      <c r="M910" s="50"/>
      <c r="N910" s="50"/>
      <c r="O910" s="50"/>
      <c r="P910" s="50"/>
      <c r="Q910" s="52"/>
      <c r="W910" s="53"/>
      <c r="X910" s="53"/>
      <c r="Y910" s="51"/>
      <c r="Z910" s="51"/>
      <c r="AA910" s="52"/>
    </row>
    <row r="911" spans="4:27">
      <c r="D911" s="50"/>
      <c r="E911" s="50"/>
      <c r="F911" s="50"/>
      <c r="G911" s="50"/>
      <c r="H911" s="50"/>
      <c r="I911" s="50"/>
      <c r="J911" s="50"/>
      <c r="K911" s="51"/>
      <c r="L911" s="50"/>
      <c r="M911" s="50"/>
      <c r="N911" s="50"/>
      <c r="O911" s="50"/>
      <c r="P911" s="50"/>
      <c r="Q911" s="52"/>
      <c r="W911" s="53"/>
      <c r="X911" s="53"/>
      <c r="Y911" s="51"/>
      <c r="Z911" s="51"/>
      <c r="AA911" s="52"/>
    </row>
    <row r="912" spans="4:27">
      <c r="D912" s="50"/>
      <c r="E912" s="50"/>
      <c r="F912" s="50"/>
      <c r="G912" s="50"/>
      <c r="H912" s="50"/>
      <c r="I912" s="50"/>
      <c r="J912" s="50"/>
      <c r="K912" s="51"/>
      <c r="L912" s="50"/>
      <c r="M912" s="50"/>
      <c r="N912" s="50"/>
      <c r="O912" s="50"/>
      <c r="P912" s="50"/>
      <c r="Q912" s="52"/>
      <c r="W912" s="53"/>
      <c r="X912" s="53"/>
      <c r="Y912" s="51"/>
      <c r="Z912" s="51"/>
      <c r="AA912" s="52"/>
    </row>
    <row r="913" spans="4:27">
      <c r="D913" s="50"/>
      <c r="E913" s="50"/>
      <c r="F913" s="50"/>
      <c r="G913" s="50"/>
      <c r="H913" s="50"/>
      <c r="I913" s="50"/>
      <c r="J913" s="50"/>
      <c r="K913" s="51"/>
      <c r="L913" s="50"/>
      <c r="M913" s="50"/>
      <c r="N913" s="50"/>
      <c r="O913" s="50"/>
      <c r="P913" s="50"/>
      <c r="Q913" s="52"/>
      <c r="W913" s="53"/>
      <c r="X913" s="53"/>
      <c r="Y913" s="51"/>
      <c r="Z913" s="51"/>
      <c r="AA913" s="52"/>
    </row>
    <row r="914" spans="4:27">
      <c r="D914" s="50"/>
      <c r="E914" s="50"/>
      <c r="F914" s="50"/>
      <c r="G914" s="50"/>
      <c r="H914" s="50"/>
      <c r="I914" s="50"/>
      <c r="J914" s="50"/>
      <c r="K914" s="51"/>
      <c r="L914" s="50"/>
      <c r="M914" s="50"/>
      <c r="N914" s="50"/>
      <c r="O914" s="50"/>
      <c r="P914" s="50"/>
      <c r="Q914" s="52"/>
      <c r="W914" s="53"/>
      <c r="X914" s="53"/>
      <c r="Y914" s="51"/>
      <c r="Z914" s="51"/>
      <c r="AA914" s="52"/>
    </row>
    <row r="915" spans="4:27">
      <c r="D915" s="50"/>
      <c r="E915" s="50"/>
      <c r="F915" s="50"/>
      <c r="G915" s="50"/>
      <c r="H915" s="50"/>
      <c r="I915" s="50"/>
      <c r="J915" s="50"/>
      <c r="K915" s="51"/>
      <c r="L915" s="50"/>
      <c r="M915" s="50"/>
      <c r="N915" s="50"/>
      <c r="O915" s="50"/>
      <c r="P915" s="50"/>
      <c r="Q915" s="52"/>
      <c r="W915" s="53"/>
      <c r="X915" s="53"/>
      <c r="Y915" s="51"/>
      <c r="Z915" s="51"/>
      <c r="AA915" s="52"/>
    </row>
    <row r="916" spans="4:27">
      <c r="D916" s="50"/>
      <c r="E916" s="50"/>
      <c r="F916" s="50"/>
      <c r="G916" s="50"/>
      <c r="H916" s="50"/>
      <c r="I916" s="50"/>
      <c r="J916" s="50"/>
      <c r="K916" s="51"/>
      <c r="L916" s="50"/>
      <c r="M916" s="50"/>
      <c r="N916" s="50"/>
      <c r="O916" s="50"/>
      <c r="P916" s="50"/>
      <c r="Q916" s="52"/>
      <c r="W916" s="53"/>
      <c r="X916" s="53"/>
      <c r="Y916" s="51"/>
      <c r="Z916" s="51"/>
      <c r="AA916" s="52"/>
    </row>
    <row r="917" spans="4:27">
      <c r="D917" s="50"/>
      <c r="E917" s="50"/>
      <c r="F917" s="50"/>
      <c r="G917" s="50"/>
      <c r="H917" s="50"/>
      <c r="I917" s="50"/>
      <c r="J917" s="50"/>
      <c r="K917" s="51"/>
      <c r="L917" s="50"/>
      <c r="M917" s="50"/>
      <c r="N917" s="50"/>
      <c r="O917" s="50"/>
      <c r="P917" s="50"/>
      <c r="Q917" s="52"/>
      <c r="W917" s="53"/>
      <c r="X917" s="53"/>
      <c r="Y917" s="51"/>
      <c r="Z917" s="51"/>
      <c r="AA917" s="52"/>
    </row>
    <row r="918" spans="4:27">
      <c r="D918" s="50"/>
      <c r="E918" s="50"/>
      <c r="F918" s="50"/>
      <c r="G918" s="50"/>
      <c r="H918" s="50"/>
      <c r="I918" s="50"/>
      <c r="J918" s="50"/>
      <c r="K918" s="51"/>
      <c r="L918" s="50"/>
      <c r="M918" s="50"/>
      <c r="N918" s="50"/>
      <c r="O918" s="50"/>
      <c r="P918" s="50"/>
      <c r="Q918" s="52"/>
      <c r="W918" s="53"/>
      <c r="X918" s="53"/>
      <c r="Y918" s="51"/>
      <c r="Z918" s="51"/>
      <c r="AA918" s="52"/>
    </row>
    <row r="919" spans="4:27">
      <c r="D919" s="50"/>
      <c r="E919" s="50"/>
      <c r="F919" s="50"/>
      <c r="G919" s="50"/>
      <c r="H919" s="50"/>
      <c r="I919" s="50"/>
      <c r="J919" s="50"/>
      <c r="K919" s="51"/>
      <c r="L919" s="50"/>
      <c r="M919" s="50"/>
      <c r="N919" s="50"/>
      <c r="O919" s="50"/>
      <c r="P919" s="50"/>
      <c r="Q919" s="52"/>
      <c r="W919" s="53"/>
      <c r="X919" s="53"/>
      <c r="Y919" s="51"/>
      <c r="Z919" s="51"/>
      <c r="AA919" s="52"/>
    </row>
    <row r="920" spans="4:27">
      <c r="D920" s="50"/>
      <c r="E920" s="50"/>
      <c r="F920" s="50"/>
      <c r="G920" s="50"/>
      <c r="H920" s="50"/>
      <c r="I920" s="50"/>
      <c r="J920" s="50"/>
      <c r="K920" s="51"/>
      <c r="L920" s="50"/>
      <c r="M920" s="50"/>
      <c r="N920" s="50"/>
      <c r="O920" s="50"/>
      <c r="P920" s="50"/>
      <c r="Q920" s="52"/>
      <c r="W920" s="53"/>
      <c r="X920" s="53"/>
      <c r="Y920" s="51"/>
      <c r="Z920" s="51"/>
      <c r="AA920" s="52"/>
    </row>
    <row r="921" spans="4:27">
      <c r="D921" s="50"/>
      <c r="E921" s="50"/>
      <c r="F921" s="50"/>
      <c r="G921" s="50"/>
      <c r="H921" s="50"/>
      <c r="I921" s="50"/>
      <c r="J921" s="50"/>
      <c r="K921" s="51"/>
      <c r="L921" s="50"/>
      <c r="M921" s="50"/>
      <c r="N921" s="50"/>
      <c r="O921" s="50"/>
      <c r="P921" s="50"/>
      <c r="Q921" s="52"/>
      <c r="W921" s="53"/>
      <c r="X921" s="53"/>
      <c r="Y921" s="51"/>
      <c r="Z921" s="51"/>
      <c r="AA921" s="52"/>
    </row>
    <row r="922" spans="4:27">
      <c r="D922" s="50"/>
      <c r="E922" s="50"/>
      <c r="F922" s="50"/>
      <c r="G922" s="50"/>
      <c r="H922" s="50"/>
      <c r="I922" s="50"/>
      <c r="J922" s="50"/>
      <c r="K922" s="51"/>
      <c r="L922" s="50"/>
      <c r="M922" s="50"/>
      <c r="N922" s="50"/>
      <c r="O922" s="50"/>
      <c r="P922" s="50"/>
      <c r="Q922" s="52"/>
      <c r="W922" s="53"/>
      <c r="X922" s="53"/>
      <c r="Y922" s="51"/>
      <c r="Z922" s="51"/>
      <c r="AA922" s="52"/>
    </row>
    <row r="923" spans="4:27">
      <c r="D923" s="50"/>
      <c r="E923" s="50"/>
      <c r="F923" s="50"/>
      <c r="G923" s="50"/>
      <c r="H923" s="50"/>
      <c r="I923" s="50"/>
      <c r="J923" s="50"/>
      <c r="K923" s="51"/>
      <c r="L923" s="50"/>
      <c r="M923" s="50"/>
      <c r="N923" s="50"/>
      <c r="O923" s="50"/>
      <c r="P923" s="50"/>
      <c r="Q923" s="52"/>
      <c r="W923" s="53"/>
      <c r="X923" s="53"/>
      <c r="Y923" s="51"/>
      <c r="Z923" s="51"/>
      <c r="AA923" s="52"/>
    </row>
    <row r="924" spans="4:27">
      <c r="D924" s="50"/>
      <c r="E924" s="50"/>
      <c r="F924" s="50"/>
      <c r="G924" s="50"/>
      <c r="H924" s="50"/>
      <c r="I924" s="50"/>
      <c r="J924" s="50"/>
      <c r="K924" s="51"/>
      <c r="L924" s="50"/>
      <c r="M924" s="50"/>
      <c r="N924" s="50"/>
      <c r="O924" s="50"/>
      <c r="P924" s="50"/>
      <c r="Q924" s="52"/>
      <c r="W924" s="53"/>
      <c r="X924" s="53"/>
      <c r="Y924" s="51"/>
      <c r="Z924" s="51"/>
      <c r="AA924" s="52"/>
    </row>
    <row r="925" spans="4:27">
      <c r="D925" s="50"/>
      <c r="E925" s="50"/>
      <c r="F925" s="50"/>
      <c r="G925" s="50"/>
      <c r="H925" s="50"/>
      <c r="I925" s="50"/>
      <c r="J925" s="50"/>
      <c r="K925" s="51"/>
      <c r="L925" s="50"/>
      <c r="M925" s="50"/>
      <c r="N925" s="50"/>
      <c r="O925" s="50"/>
      <c r="P925" s="50"/>
      <c r="Q925" s="52"/>
      <c r="W925" s="53"/>
      <c r="X925" s="53"/>
      <c r="Y925" s="51"/>
      <c r="Z925" s="51"/>
      <c r="AA925" s="52"/>
    </row>
    <row r="926" spans="4:27">
      <c r="D926" s="50"/>
      <c r="E926" s="50"/>
      <c r="F926" s="50"/>
      <c r="G926" s="50"/>
      <c r="H926" s="50"/>
      <c r="I926" s="50"/>
      <c r="J926" s="50"/>
      <c r="K926" s="51"/>
      <c r="L926" s="50"/>
      <c r="M926" s="50"/>
      <c r="N926" s="50"/>
      <c r="O926" s="50"/>
      <c r="P926" s="50"/>
      <c r="Q926" s="52"/>
      <c r="W926" s="53"/>
      <c r="X926" s="53"/>
      <c r="Y926" s="51"/>
      <c r="Z926" s="51"/>
      <c r="AA926" s="52"/>
    </row>
    <row r="927" spans="4:27">
      <c r="D927" s="50"/>
      <c r="E927" s="50"/>
      <c r="F927" s="50"/>
      <c r="G927" s="50"/>
      <c r="H927" s="50"/>
      <c r="I927" s="50"/>
      <c r="J927" s="50"/>
      <c r="K927" s="51"/>
      <c r="L927" s="50"/>
      <c r="M927" s="50"/>
      <c r="N927" s="50"/>
      <c r="O927" s="50"/>
      <c r="P927" s="50"/>
      <c r="Q927" s="52"/>
      <c r="W927" s="53"/>
      <c r="X927" s="53"/>
      <c r="Y927" s="51"/>
      <c r="Z927" s="51"/>
      <c r="AA927" s="52"/>
    </row>
    <row r="928" spans="4:27">
      <c r="D928" s="50"/>
      <c r="E928" s="50"/>
      <c r="F928" s="50"/>
      <c r="G928" s="50"/>
      <c r="H928" s="50"/>
      <c r="I928" s="50"/>
      <c r="J928" s="50"/>
      <c r="K928" s="51"/>
      <c r="L928" s="50"/>
      <c r="M928" s="50"/>
      <c r="N928" s="50"/>
      <c r="O928" s="50"/>
      <c r="P928" s="50"/>
      <c r="Q928" s="52"/>
      <c r="W928" s="53"/>
      <c r="X928" s="53"/>
      <c r="Y928" s="51"/>
      <c r="Z928" s="51"/>
      <c r="AA928" s="52"/>
    </row>
    <row r="929" spans="4:27">
      <c r="D929" s="50"/>
      <c r="E929" s="50"/>
      <c r="F929" s="50"/>
      <c r="G929" s="50"/>
      <c r="H929" s="50"/>
      <c r="I929" s="50"/>
      <c r="J929" s="50"/>
      <c r="K929" s="51"/>
      <c r="L929" s="50"/>
      <c r="M929" s="50"/>
      <c r="N929" s="50"/>
      <c r="O929" s="50"/>
      <c r="P929" s="50"/>
      <c r="Q929" s="52"/>
      <c r="W929" s="53"/>
      <c r="X929" s="53"/>
      <c r="Y929" s="51"/>
      <c r="Z929" s="51"/>
      <c r="AA929" s="52"/>
    </row>
    <row r="930" spans="4:27">
      <c r="D930" s="50"/>
      <c r="E930" s="50"/>
      <c r="F930" s="50"/>
      <c r="G930" s="50"/>
      <c r="H930" s="50"/>
      <c r="I930" s="50"/>
      <c r="J930" s="50"/>
      <c r="K930" s="51"/>
      <c r="L930" s="50"/>
      <c r="M930" s="50"/>
      <c r="N930" s="50"/>
      <c r="O930" s="50"/>
      <c r="P930" s="50"/>
      <c r="Q930" s="52"/>
      <c r="W930" s="53"/>
      <c r="X930" s="53"/>
      <c r="Y930" s="51"/>
      <c r="Z930" s="51"/>
      <c r="AA930" s="52"/>
    </row>
    <row r="931" spans="4:27">
      <c r="D931" s="50"/>
      <c r="E931" s="50"/>
      <c r="F931" s="50"/>
      <c r="G931" s="50"/>
      <c r="H931" s="50"/>
      <c r="I931" s="50"/>
      <c r="J931" s="50"/>
      <c r="K931" s="51"/>
      <c r="L931" s="50"/>
      <c r="M931" s="50"/>
      <c r="N931" s="50"/>
      <c r="O931" s="50"/>
      <c r="P931" s="50"/>
      <c r="Q931" s="52"/>
      <c r="W931" s="53"/>
      <c r="X931" s="53"/>
      <c r="Y931" s="51"/>
      <c r="Z931" s="51"/>
      <c r="AA931" s="52"/>
    </row>
    <row r="932" spans="4:27">
      <c r="D932" s="50"/>
      <c r="E932" s="50"/>
      <c r="F932" s="50"/>
      <c r="G932" s="50"/>
      <c r="H932" s="50"/>
      <c r="I932" s="50"/>
      <c r="J932" s="50"/>
      <c r="K932" s="51"/>
      <c r="L932" s="50"/>
      <c r="M932" s="50"/>
      <c r="N932" s="50"/>
      <c r="O932" s="50"/>
      <c r="P932" s="50"/>
      <c r="Q932" s="52"/>
      <c r="W932" s="53"/>
      <c r="X932" s="53"/>
      <c r="Y932" s="51"/>
      <c r="Z932" s="51"/>
      <c r="AA932" s="52"/>
    </row>
    <row r="933" spans="4:27">
      <c r="D933" s="50"/>
      <c r="E933" s="50"/>
      <c r="F933" s="50"/>
      <c r="G933" s="50"/>
      <c r="H933" s="50"/>
      <c r="I933" s="50"/>
      <c r="J933" s="50"/>
      <c r="K933" s="51"/>
      <c r="L933" s="50"/>
      <c r="M933" s="50"/>
      <c r="N933" s="50"/>
      <c r="O933" s="50"/>
      <c r="P933" s="50"/>
      <c r="Q933" s="52"/>
      <c r="W933" s="53"/>
      <c r="X933" s="53"/>
      <c r="Y933" s="51"/>
      <c r="Z933" s="51"/>
      <c r="AA933" s="52"/>
    </row>
    <row r="934" spans="4:27">
      <c r="D934" s="50"/>
      <c r="E934" s="50"/>
      <c r="F934" s="50"/>
      <c r="G934" s="50"/>
      <c r="H934" s="50"/>
      <c r="I934" s="50"/>
      <c r="J934" s="50"/>
      <c r="K934" s="51"/>
      <c r="L934" s="50"/>
      <c r="M934" s="50"/>
      <c r="N934" s="50"/>
      <c r="O934" s="50"/>
      <c r="P934" s="50"/>
      <c r="Q934" s="52"/>
      <c r="W934" s="53"/>
      <c r="X934" s="53"/>
      <c r="Y934" s="51"/>
      <c r="Z934" s="51"/>
      <c r="AA934" s="52"/>
    </row>
    <row r="935" spans="4:27">
      <c r="D935" s="50"/>
      <c r="E935" s="50"/>
      <c r="F935" s="50"/>
      <c r="G935" s="50"/>
      <c r="H935" s="50"/>
      <c r="I935" s="50"/>
      <c r="J935" s="50"/>
      <c r="K935" s="51"/>
      <c r="L935" s="50"/>
      <c r="M935" s="50"/>
      <c r="N935" s="50"/>
      <c r="O935" s="50"/>
      <c r="P935" s="50"/>
      <c r="Q935" s="52"/>
      <c r="W935" s="53"/>
      <c r="X935" s="53"/>
      <c r="Y935" s="51"/>
      <c r="Z935" s="51"/>
      <c r="AA935" s="52"/>
    </row>
    <row r="936" spans="4:27">
      <c r="D936" s="50"/>
      <c r="E936" s="50"/>
      <c r="F936" s="50"/>
      <c r="G936" s="50"/>
      <c r="H936" s="50"/>
      <c r="I936" s="50"/>
      <c r="J936" s="50"/>
      <c r="K936" s="51"/>
      <c r="L936" s="50"/>
      <c r="M936" s="50"/>
      <c r="N936" s="50"/>
      <c r="O936" s="50"/>
      <c r="P936" s="50"/>
      <c r="Q936" s="52"/>
      <c r="W936" s="53"/>
      <c r="X936" s="53"/>
      <c r="Y936" s="51"/>
      <c r="Z936" s="51"/>
      <c r="AA936" s="52"/>
    </row>
    <row r="937" spans="4:27">
      <c r="D937" s="50"/>
      <c r="E937" s="50"/>
      <c r="F937" s="50"/>
      <c r="G937" s="50"/>
      <c r="H937" s="50"/>
      <c r="I937" s="50"/>
      <c r="J937" s="50"/>
      <c r="K937" s="51"/>
      <c r="L937" s="50"/>
      <c r="M937" s="50"/>
      <c r="N937" s="50"/>
      <c r="O937" s="50"/>
      <c r="P937" s="50"/>
      <c r="Q937" s="52"/>
      <c r="W937" s="53"/>
      <c r="X937" s="53"/>
      <c r="Y937" s="51"/>
      <c r="Z937" s="51"/>
      <c r="AA937" s="52"/>
    </row>
    <row r="938" spans="4:27">
      <c r="D938" s="50"/>
      <c r="E938" s="50"/>
      <c r="F938" s="50"/>
      <c r="G938" s="50"/>
      <c r="H938" s="50"/>
      <c r="I938" s="50"/>
      <c r="J938" s="50"/>
      <c r="K938" s="51"/>
      <c r="L938" s="50"/>
      <c r="M938" s="50"/>
      <c r="N938" s="50"/>
      <c r="O938" s="50"/>
      <c r="P938" s="50"/>
      <c r="Q938" s="52"/>
      <c r="W938" s="53"/>
      <c r="X938" s="53"/>
      <c r="Y938" s="51"/>
      <c r="Z938" s="51"/>
      <c r="AA938" s="52"/>
    </row>
    <row r="939" spans="4:27">
      <c r="D939" s="50"/>
      <c r="E939" s="50"/>
      <c r="F939" s="50"/>
      <c r="G939" s="50"/>
      <c r="H939" s="50"/>
      <c r="I939" s="50"/>
      <c r="J939" s="50"/>
      <c r="K939" s="51"/>
      <c r="L939" s="50"/>
      <c r="M939" s="50"/>
      <c r="N939" s="50"/>
      <c r="O939" s="50"/>
      <c r="P939" s="50"/>
      <c r="Q939" s="52"/>
      <c r="W939" s="53"/>
      <c r="X939" s="53"/>
      <c r="Y939" s="51"/>
      <c r="Z939" s="51"/>
      <c r="AA939" s="52"/>
    </row>
    <row r="940" spans="4:27">
      <c r="D940" s="50"/>
      <c r="E940" s="50"/>
      <c r="F940" s="50"/>
      <c r="G940" s="50"/>
      <c r="H940" s="50"/>
      <c r="I940" s="50"/>
      <c r="J940" s="50"/>
      <c r="K940" s="51"/>
      <c r="L940" s="50"/>
      <c r="M940" s="50"/>
      <c r="N940" s="50"/>
      <c r="O940" s="50"/>
      <c r="P940" s="50"/>
      <c r="Q940" s="52"/>
      <c r="W940" s="53"/>
      <c r="X940" s="53"/>
      <c r="Y940" s="51"/>
      <c r="Z940" s="51"/>
      <c r="AA940" s="52"/>
    </row>
    <row r="941" spans="4:27">
      <c r="D941" s="50"/>
      <c r="E941" s="50"/>
      <c r="F941" s="50"/>
      <c r="G941" s="50"/>
      <c r="H941" s="50"/>
      <c r="I941" s="50"/>
      <c r="J941" s="50"/>
      <c r="K941" s="51"/>
      <c r="L941" s="50"/>
      <c r="M941" s="50"/>
      <c r="N941" s="50"/>
      <c r="O941" s="50"/>
      <c r="P941" s="50"/>
      <c r="Q941" s="52"/>
      <c r="W941" s="53"/>
      <c r="X941" s="53"/>
      <c r="Y941" s="51"/>
      <c r="Z941" s="51"/>
      <c r="AA941" s="52"/>
    </row>
    <row r="942" spans="4:27">
      <c r="D942" s="50"/>
      <c r="E942" s="50"/>
      <c r="F942" s="50"/>
      <c r="G942" s="50"/>
      <c r="H942" s="50"/>
      <c r="I942" s="50"/>
      <c r="J942" s="50"/>
      <c r="K942" s="51"/>
      <c r="L942" s="50"/>
      <c r="M942" s="50"/>
      <c r="N942" s="50"/>
      <c r="O942" s="50"/>
      <c r="P942" s="50"/>
      <c r="Q942" s="52"/>
      <c r="W942" s="53"/>
      <c r="X942" s="53"/>
      <c r="Y942" s="51"/>
      <c r="Z942" s="51"/>
      <c r="AA942" s="52"/>
    </row>
    <row r="943" spans="4:27">
      <c r="D943" s="50"/>
      <c r="E943" s="50"/>
      <c r="F943" s="50"/>
      <c r="G943" s="50"/>
      <c r="H943" s="50"/>
      <c r="I943" s="50"/>
      <c r="J943" s="50"/>
      <c r="K943" s="51"/>
      <c r="L943" s="50"/>
      <c r="M943" s="50"/>
      <c r="N943" s="50"/>
      <c r="O943" s="50"/>
      <c r="P943" s="50"/>
      <c r="Q943" s="52"/>
      <c r="W943" s="53"/>
      <c r="X943" s="53"/>
      <c r="Y943" s="51"/>
      <c r="Z943" s="51"/>
      <c r="AA943" s="52"/>
    </row>
    <row r="944" spans="4:27">
      <c r="D944" s="50"/>
      <c r="E944" s="50"/>
      <c r="F944" s="50"/>
      <c r="G944" s="50"/>
      <c r="H944" s="50"/>
      <c r="I944" s="50"/>
      <c r="J944" s="50"/>
      <c r="K944" s="51"/>
      <c r="L944" s="50"/>
      <c r="M944" s="50"/>
      <c r="N944" s="50"/>
      <c r="O944" s="50"/>
      <c r="P944" s="50"/>
      <c r="Q944" s="52"/>
      <c r="W944" s="53"/>
      <c r="X944" s="53"/>
      <c r="Y944" s="51"/>
      <c r="Z944" s="51"/>
      <c r="AA944" s="52"/>
    </row>
    <row r="945" spans="4:27">
      <c r="D945" s="50"/>
      <c r="E945" s="50"/>
      <c r="F945" s="50"/>
      <c r="G945" s="50"/>
      <c r="H945" s="50"/>
      <c r="I945" s="50"/>
      <c r="J945" s="50"/>
      <c r="K945" s="51"/>
      <c r="L945" s="50"/>
      <c r="M945" s="50"/>
      <c r="N945" s="50"/>
      <c r="O945" s="50"/>
      <c r="P945" s="50"/>
      <c r="Q945" s="52"/>
      <c r="W945" s="53"/>
      <c r="X945" s="53"/>
      <c r="Y945" s="51"/>
      <c r="Z945" s="51"/>
      <c r="AA945" s="52"/>
    </row>
    <row r="946" spans="4:27">
      <c r="D946" s="50"/>
      <c r="E946" s="50"/>
      <c r="F946" s="50"/>
      <c r="G946" s="50"/>
      <c r="H946" s="50"/>
      <c r="I946" s="50"/>
      <c r="J946" s="50"/>
      <c r="K946" s="51"/>
      <c r="L946" s="50"/>
      <c r="M946" s="50"/>
      <c r="N946" s="50"/>
      <c r="O946" s="50"/>
      <c r="P946" s="50"/>
      <c r="Q946" s="52"/>
      <c r="W946" s="53"/>
      <c r="X946" s="53"/>
      <c r="Y946" s="51"/>
      <c r="Z946" s="51"/>
      <c r="AA946" s="52"/>
    </row>
    <row r="947" spans="4:27">
      <c r="D947" s="50"/>
      <c r="E947" s="50"/>
      <c r="F947" s="50"/>
      <c r="G947" s="50"/>
      <c r="H947" s="50"/>
      <c r="I947" s="50"/>
      <c r="J947" s="50"/>
      <c r="K947" s="51"/>
      <c r="L947" s="50"/>
      <c r="M947" s="50"/>
      <c r="N947" s="50"/>
      <c r="O947" s="50"/>
      <c r="P947" s="50"/>
      <c r="Q947" s="52"/>
      <c r="W947" s="53"/>
      <c r="X947" s="53"/>
      <c r="Y947" s="51"/>
      <c r="Z947" s="51"/>
      <c r="AA947" s="52"/>
    </row>
    <row r="948" spans="4:27">
      <c r="D948" s="50"/>
      <c r="E948" s="50"/>
      <c r="F948" s="50"/>
      <c r="G948" s="50"/>
      <c r="H948" s="50"/>
      <c r="I948" s="50"/>
      <c r="J948" s="50"/>
      <c r="K948" s="51"/>
      <c r="L948" s="50"/>
      <c r="M948" s="50"/>
      <c r="N948" s="50"/>
      <c r="O948" s="50"/>
      <c r="P948" s="50"/>
      <c r="Q948" s="52"/>
      <c r="W948" s="53"/>
      <c r="X948" s="53"/>
      <c r="Y948" s="51"/>
      <c r="Z948" s="51"/>
      <c r="AA948" s="52"/>
    </row>
    <row r="949" spans="4:27">
      <c r="D949" s="50"/>
      <c r="E949" s="50"/>
      <c r="F949" s="50"/>
      <c r="G949" s="50"/>
      <c r="H949" s="50"/>
      <c r="I949" s="50"/>
      <c r="J949" s="50"/>
      <c r="K949" s="51"/>
      <c r="L949" s="50"/>
      <c r="M949" s="50"/>
      <c r="N949" s="50"/>
      <c r="O949" s="50"/>
      <c r="P949" s="50"/>
      <c r="Q949" s="52"/>
      <c r="W949" s="53"/>
      <c r="X949" s="53"/>
      <c r="Y949" s="51"/>
      <c r="Z949" s="51"/>
      <c r="AA949" s="52"/>
    </row>
    <row r="950" spans="4:27">
      <c r="D950" s="50"/>
      <c r="E950" s="50"/>
      <c r="F950" s="50"/>
      <c r="G950" s="50"/>
      <c r="H950" s="50"/>
      <c r="I950" s="50"/>
      <c r="J950" s="50"/>
      <c r="K950" s="51"/>
      <c r="L950" s="50"/>
      <c r="M950" s="50"/>
      <c r="N950" s="50"/>
      <c r="O950" s="50"/>
      <c r="P950" s="50"/>
      <c r="Q950" s="52"/>
      <c r="W950" s="53"/>
      <c r="X950" s="53"/>
      <c r="Y950" s="51"/>
      <c r="Z950" s="51"/>
      <c r="AA950" s="52"/>
    </row>
    <row r="951" spans="4:27">
      <c r="D951" s="50"/>
      <c r="E951" s="50"/>
      <c r="F951" s="50"/>
      <c r="G951" s="50"/>
      <c r="H951" s="50"/>
      <c r="I951" s="50"/>
      <c r="J951" s="50"/>
      <c r="K951" s="51"/>
      <c r="L951" s="50"/>
      <c r="M951" s="50"/>
      <c r="N951" s="50"/>
      <c r="O951" s="50"/>
      <c r="P951" s="50"/>
      <c r="Q951" s="52"/>
      <c r="W951" s="53"/>
      <c r="X951" s="53"/>
      <c r="Y951" s="51"/>
      <c r="Z951" s="51"/>
      <c r="AA951" s="52"/>
    </row>
    <row r="952" spans="4:27">
      <c r="D952" s="50"/>
      <c r="E952" s="50"/>
      <c r="F952" s="50"/>
      <c r="G952" s="50"/>
      <c r="H952" s="50"/>
      <c r="I952" s="50"/>
      <c r="J952" s="50"/>
      <c r="K952" s="51"/>
      <c r="L952" s="50"/>
      <c r="M952" s="50"/>
      <c r="N952" s="50"/>
      <c r="O952" s="50"/>
      <c r="P952" s="50"/>
      <c r="Q952" s="52"/>
      <c r="W952" s="53"/>
      <c r="X952" s="53"/>
      <c r="Y952" s="51"/>
      <c r="Z952" s="51"/>
      <c r="AA952" s="52"/>
    </row>
    <row r="953" spans="4:27">
      <c r="D953" s="50"/>
      <c r="E953" s="50"/>
      <c r="F953" s="50"/>
      <c r="G953" s="50"/>
      <c r="H953" s="50"/>
      <c r="I953" s="50"/>
      <c r="J953" s="50"/>
      <c r="K953" s="51"/>
      <c r="L953" s="50"/>
      <c r="M953" s="50"/>
      <c r="N953" s="50"/>
      <c r="O953" s="50"/>
      <c r="P953" s="50"/>
      <c r="Q953" s="52"/>
      <c r="W953" s="53"/>
      <c r="X953" s="53"/>
      <c r="Y953" s="51"/>
      <c r="Z953" s="51"/>
      <c r="AA953" s="52"/>
    </row>
    <row r="954" spans="4:27">
      <c r="D954" s="50"/>
      <c r="E954" s="50"/>
      <c r="F954" s="50"/>
      <c r="G954" s="50"/>
      <c r="H954" s="50"/>
      <c r="I954" s="50"/>
      <c r="J954" s="50"/>
      <c r="K954" s="51"/>
      <c r="L954" s="50"/>
      <c r="M954" s="50"/>
      <c r="N954" s="50"/>
      <c r="O954" s="50"/>
      <c r="P954" s="50"/>
      <c r="Q954" s="52"/>
      <c r="W954" s="53"/>
      <c r="X954" s="53"/>
      <c r="Y954" s="51"/>
      <c r="Z954" s="51"/>
      <c r="AA954" s="52"/>
    </row>
    <row r="955" spans="4:27">
      <c r="D955" s="50"/>
      <c r="E955" s="50"/>
      <c r="F955" s="50"/>
      <c r="G955" s="50"/>
      <c r="H955" s="50"/>
      <c r="I955" s="50"/>
      <c r="J955" s="50"/>
      <c r="K955" s="51"/>
      <c r="L955" s="50"/>
      <c r="M955" s="50"/>
      <c r="N955" s="50"/>
      <c r="O955" s="50"/>
      <c r="P955" s="50"/>
      <c r="Q955" s="52"/>
      <c r="W955" s="53"/>
      <c r="X955" s="53"/>
      <c r="Y955" s="51"/>
      <c r="Z955" s="51"/>
      <c r="AA955" s="52"/>
    </row>
    <row r="956" spans="4:27">
      <c r="D956" s="50"/>
      <c r="E956" s="50"/>
      <c r="F956" s="50"/>
      <c r="G956" s="50"/>
      <c r="H956" s="50"/>
      <c r="I956" s="50"/>
      <c r="J956" s="50"/>
      <c r="K956" s="51"/>
      <c r="L956" s="50"/>
      <c r="M956" s="50"/>
      <c r="N956" s="50"/>
      <c r="O956" s="50"/>
      <c r="P956" s="50"/>
      <c r="Q956" s="52"/>
      <c r="W956" s="53"/>
      <c r="X956" s="53"/>
      <c r="Y956" s="51"/>
      <c r="Z956" s="51"/>
      <c r="AA956" s="52"/>
    </row>
    <row r="957" spans="4:27">
      <c r="D957" s="50"/>
      <c r="E957" s="50"/>
      <c r="F957" s="50"/>
      <c r="G957" s="50"/>
      <c r="H957" s="50"/>
      <c r="I957" s="50"/>
      <c r="J957" s="50"/>
      <c r="K957" s="51"/>
      <c r="L957" s="50"/>
      <c r="M957" s="50"/>
      <c r="N957" s="50"/>
      <c r="O957" s="50"/>
      <c r="P957" s="50"/>
      <c r="Q957" s="52"/>
      <c r="W957" s="53"/>
      <c r="X957" s="53"/>
      <c r="Y957" s="51"/>
      <c r="Z957" s="51"/>
      <c r="AA957" s="52"/>
    </row>
    <row r="958" spans="4:27">
      <c r="D958" s="50"/>
      <c r="E958" s="50"/>
      <c r="F958" s="50"/>
      <c r="G958" s="50"/>
      <c r="H958" s="50"/>
      <c r="I958" s="50"/>
      <c r="J958" s="50"/>
      <c r="K958" s="51"/>
      <c r="L958" s="50"/>
      <c r="M958" s="50"/>
      <c r="N958" s="50"/>
      <c r="O958" s="50"/>
      <c r="P958" s="50"/>
      <c r="Q958" s="52"/>
      <c r="W958" s="53"/>
      <c r="X958" s="53"/>
      <c r="Y958" s="51"/>
      <c r="Z958" s="51"/>
      <c r="AA958" s="52"/>
    </row>
    <row r="959" spans="4:27">
      <c r="D959" s="50"/>
      <c r="E959" s="50"/>
      <c r="F959" s="50"/>
      <c r="G959" s="50"/>
      <c r="H959" s="50"/>
      <c r="I959" s="50"/>
      <c r="J959" s="50"/>
      <c r="K959" s="51"/>
      <c r="L959" s="50"/>
      <c r="M959" s="50"/>
      <c r="N959" s="50"/>
      <c r="O959" s="50"/>
      <c r="P959" s="50"/>
      <c r="Q959" s="52"/>
      <c r="W959" s="53"/>
      <c r="X959" s="53"/>
      <c r="Y959" s="51"/>
      <c r="Z959" s="51"/>
      <c r="AA959" s="52"/>
    </row>
    <row r="960" spans="4:27">
      <c r="D960" s="50"/>
      <c r="E960" s="50"/>
      <c r="F960" s="50"/>
      <c r="G960" s="50"/>
      <c r="H960" s="50"/>
      <c r="I960" s="50"/>
      <c r="J960" s="50"/>
      <c r="K960" s="51"/>
      <c r="L960" s="50"/>
      <c r="M960" s="50"/>
      <c r="N960" s="50"/>
      <c r="O960" s="50"/>
      <c r="P960" s="50"/>
      <c r="Q960" s="52"/>
      <c r="W960" s="53"/>
      <c r="X960" s="53"/>
      <c r="Y960" s="51"/>
      <c r="Z960" s="51"/>
      <c r="AA960" s="52"/>
    </row>
    <row r="961" spans="4:27">
      <c r="D961" s="50"/>
      <c r="E961" s="50"/>
      <c r="F961" s="50"/>
      <c r="G961" s="50"/>
      <c r="H961" s="50"/>
      <c r="I961" s="50"/>
      <c r="J961" s="50"/>
      <c r="K961" s="51"/>
      <c r="L961" s="50"/>
      <c r="M961" s="50"/>
      <c r="N961" s="50"/>
      <c r="O961" s="50"/>
      <c r="P961" s="50"/>
      <c r="Q961" s="52"/>
      <c r="W961" s="53"/>
      <c r="X961" s="53"/>
      <c r="Y961" s="51"/>
      <c r="Z961" s="51"/>
      <c r="AA961" s="52"/>
    </row>
    <row r="962" spans="4:27">
      <c r="D962" s="50"/>
      <c r="E962" s="50"/>
      <c r="F962" s="50"/>
      <c r="G962" s="50"/>
      <c r="H962" s="50"/>
      <c r="I962" s="50"/>
      <c r="J962" s="50"/>
      <c r="K962" s="51"/>
      <c r="L962" s="50"/>
      <c r="M962" s="50"/>
      <c r="N962" s="50"/>
      <c r="O962" s="50"/>
      <c r="P962" s="50"/>
      <c r="Q962" s="52"/>
      <c r="W962" s="53"/>
      <c r="X962" s="53"/>
      <c r="Y962" s="51"/>
      <c r="Z962" s="51"/>
      <c r="AA962" s="52"/>
    </row>
    <row r="963" spans="4:27">
      <c r="D963" s="50"/>
      <c r="E963" s="50"/>
      <c r="F963" s="50"/>
      <c r="G963" s="50"/>
      <c r="H963" s="50"/>
      <c r="I963" s="50"/>
      <c r="J963" s="50"/>
      <c r="K963" s="51"/>
      <c r="L963" s="50"/>
      <c r="M963" s="50"/>
      <c r="N963" s="50"/>
      <c r="O963" s="50"/>
      <c r="P963" s="50"/>
      <c r="Q963" s="52"/>
      <c r="W963" s="53"/>
      <c r="X963" s="53"/>
      <c r="Y963" s="51"/>
      <c r="Z963" s="51"/>
      <c r="AA963" s="52"/>
    </row>
    <row r="964" spans="4:27">
      <c r="D964" s="50"/>
      <c r="E964" s="50"/>
      <c r="F964" s="50"/>
      <c r="G964" s="50"/>
      <c r="H964" s="50"/>
      <c r="I964" s="50"/>
      <c r="J964" s="50"/>
      <c r="K964" s="51"/>
      <c r="L964" s="50"/>
      <c r="M964" s="50"/>
      <c r="N964" s="50"/>
      <c r="O964" s="50"/>
      <c r="P964" s="50"/>
      <c r="Q964" s="52"/>
      <c r="W964" s="53"/>
      <c r="X964" s="53"/>
      <c r="Y964" s="51"/>
      <c r="Z964" s="51"/>
      <c r="AA964" s="52"/>
    </row>
    <row r="965" spans="4:27">
      <c r="D965" s="50"/>
      <c r="E965" s="50"/>
      <c r="F965" s="50"/>
      <c r="G965" s="50"/>
      <c r="H965" s="50"/>
      <c r="I965" s="50"/>
      <c r="J965" s="50"/>
      <c r="K965" s="51"/>
      <c r="L965" s="50"/>
      <c r="M965" s="50"/>
      <c r="N965" s="50"/>
      <c r="O965" s="50"/>
      <c r="P965" s="50"/>
      <c r="Q965" s="52"/>
      <c r="W965" s="53"/>
      <c r="X965" s="53"/>
      <c r="Y965" s="51"/>
      <c r="Z965" s="51"/>
      <c r="AA965" s="52"/>
    </row>
    <row r="966" spans="4:27">
      <c r="D966" s="50"/>
      <c r="E966" s="50"/>
      <c r="F966" s="50"/>
      <c r="G966" s="50"/>
      <c r="H966" s="50"/>
      <c r="I966" s="50"/>
      <c r="J966" s="50"/>
      <c r="K966" s="51"/>
      <c r="L966" s="50"/>
      <c r="M966" s="50"/>
      <c r="N966" s="50"/>
      <c r="O966" s="50"/>
      <c r="P966" s="50"/>
      <c r="Q966" s="52"/>
      <c r="W966" s="53"/>
      <c r="X966" s="53"/>
      <c r="Y966" s="51"/>
      <c r="Z966" s="51"/>
      <c r="AA966" s="52"/>
    </row>
    <row r="967" spans="4:27">
      <c r="D967" s="50"/>
      <c r="E967" s="50"/>
      <c r="F967" s="50"/>
      <c r="G967" s="50"/>
      <c r="H967" s="50"/>
      <c r="I967" s="50"/>
      <c r="J967" s="50"/>
      <c r="K967" s="51"/>
      <c r="L967" s="50"/>
      <c r="M967" s="50"/>
      <c r="N967" s="50"/>
      <c r="O967" s="50"/>
      <c r="P967" s="50"/>
      <c r="Q967" s="52"/>
      <c r="W967" s="53"/>
      <c r="X967" s="53"/>
      <c r="Y967" s="51"/>
      <c r="Z967" s="51"/>
      <c r="AA967" s="52"/>
    </row>
    <row r="968" spans="4:27">
      <c r="D968" s="50"/>
      <c r="E968" s="50"/>
      <c r="F968" s="50"/>
      <c r="G968" s="50"/>
      <c r="H968" s="50"/>
      <c r="I968" s="50"/>
      <c r="J968" s="50"/>
      <c r="K968" s="51"/>
      <c r="L968" s="50"/>
      <c r="M968" s="50"/>
      <c r="N968" s="50"/>
      <c r="O968" s="50"/>
      <c r="P968" s="50"/>
      <c r="Q968" s="52"/>
      <c r="W968" s="53"/>
      <c r="X968" s="53"/>
      <c r="Y968" s="51"/>
      <c r="Z968" s="51"/>
      <c r="AA968" s="52"/>
    </row>
    <row r="969" spans="4:27">
      <c r="D969" s="50"/>
      <c r="E969" s="50"/>
      <c r="F969" s="50"/>
      <c r="G969" s="50"/>
      <c r="H969" s="50"/>
      <c r="I969" s="50"/>
      <c r="J969" s="50"/>
      <c r="K969" s="51"/>
      <c r="L969" s="50"/>
      <c r="M969" s="50"/>
      <c r="N969" s="50"/>
      <c r="O969" s="50"/>
      <c r="P969" s="50"/>
      <c r="Q969" s="52"/>
      <c r="W969" s="53"/>
      <c r="X969" s="53"/>
      <c r="Y969" s="51"/>
      <c r="Z969" s="51"/>
      <c r="AA969" s="52"/>
    </row>
    <row r="970" spans="4:27">
      <c r="D970" s="50"/>
      <c r="E970" s="50"/>
      <c r="F970" s="50"/>
      <c r="G970" s="50"/>
      <c r="H970" s="50"/>
      <c r="I970" s="50"/>
      <c r="J970" s="50"/>
      <c r="K970" s="51"/>
      <c r="L970" s="50"/>
      <c r="M970" s="50"/>
      <c r="N970" s="50"/>
      <c r="O970" s="50"/>
      <c r="P970" s="50"/>
      <c r="Q970" s="52"/>
      <c r="W970" s="53"/>
      <c r="X970" s="53"/>
      <c r="Y970" s="51"/>
      <c r="Z970" s="51"/>
      <c r="AA970" s="52"/>
    </row>
    <row r="971" spans="4:27">
      <c r="D971" s="50"/>
      <c r="E971" s="50"/>
      <c r="F971" s="50"/>
      <c r="G971" s="50"/>
      <c r="H971" s="50"/>
      <c r="I971" s="50"/>
      <c r="J971" s="50"/>
      <c r="K971" s="51"/>
      <c r="L971" s="50"/>
      <c r="M971" s="50"/>
      <c r="N971" s="50"/>
      <c r="O971" s="50"/>
      <c r="P971" s="50"/>
      <c r="Q971" s="52"/>
      <c r="W971" s="53"/>
      <c r="X971" s="53"/>
      <c r="Y971" s="51"/>
      <c r="Z971" s="51"/>
      <c r="AA971" s="52"/>
    </row>
    <row r="972" spans="4:27">
      <c r="D972" s="50"/>
      <c r="E972" s="50"/>
      <c r="F972" s="50"/>
      <c r="G972" s="50"/>
      <c r="H972" s="50"/>
      <c r="I972" s="50"/>
      <c r="J972" s="50"/>
      <c r="K972" s="51"/>
      <c r="L972" s="50"/>
      <c r="M972" s="50"/>
      <c r="N972" s="50"/>
      <c r="O972" s="50"/>
      <c r="P972" s="50"/>
      <c r="Q972" s="52"/>
      <c r="W972" s="53"/>
      <c r="X972" s="53"/>
      <c r="Y972" s="51"/>
      <c r="Z972" s="51"/>
      <c r="AA972" s="52"/>
    </row>
    <row r="973" spans="4:27">
      <c r="D973" s="50"/>
      <c r="E973" s="50"/>
      <c r="F973" s="50"/>
      <c r="G973" s="50"/>
      <c r="H973" s="50"/>
      <c r="I973" s="50"/>
      <c r="J973" s="50"/>
      <c r="K973" s="51"/>
      <c r="L973" s="50"/>
      <c r="M973" s="50"/>
      <c r="N973" s="50"/>
      <c r="O973" s="50"/>
      <c r="P973" s="50"/>
      <c r="Q973" s="52"/>
      <c r="W973" s="53"/>
      <c r="X973" s="53"/>
      <c r="Y973" s="51"/>
      <c r="Z973" s="51"/>
      <c r="AA973" s="52"/>
    </row>
    <row r="974" spans="4:27">
      <c r="D974" s="50"/>
      <c r="E974" s="50"/>
      <c r="F974" s="50"/>
      <c r="G974" s="50"/>
      <c r="H974" s="50"/>
      <c r="I974" s="50"/>
      <c r="J974" s="50"/>
      <c r="K974" s="51"/>
      <c r="L974" s="50"/>
      <c r="M974" s="50"/>
      <c r="N974" s="50"/>
      <c r="O974" s="50"/>
      <c r="P974" s="50"/>
      <c r="Q974" s="52"/>
      <c r="W974" s="53"/>
      <c r="X974" s="53"/>
      <c r="Y974" s="51"/>
      <c r="Z974" s="51"/>
      <c r="AA974" s="52"/>
    </row>
    <row r="975" spans="4:27">
      <c r="D975" s="50"/>
      <c r="E975" s="50"/>
      <c r="F975" s="50"/>
      <c r="G975" s="50"/>
      <c r="H975" s="50"/>
      <c r="I975" s="50"/>
      <c r="J975" s="50"/>
      <c r="K975" s="51"/>
      <c r="L975" s="50"/>
      <c r="M975" s="50"/>
      <c r="N975" s="50"/>
      <c r="O975" s="50"/>
      <c r="P975" s="50"/>
      <c r="Q975" s="52"/>
      <c r="W975" s="53"/>
      <c r="X975" s="53"/>
      <c r="Y975" s="51"/>
      <c r="Z975" s="51"/>
      <c r="AA975" s="52"/>
    </row>
    <row r="976" spans="4:27">
      <c r="D976" s="50"/>
      <c r="E976" s="50"/>
      <c r="F976" s="50"/>
      <c r="G976" s="50"/>
      <c r="H976" s="50"/>
      <c r="I976" s="50"/>
      <c r="J976" s="50"/>
      <c r="K976" s="51"/>
      <c r="L976" s="50"/>
      <c r="M976" s="50"/>
      <c r="N976" s="50"/>
      <c r="O976" s="50"/>
      <c r="P976" s="50"/>
      <c r="Q976" s="52"/>
      <c r="W976" s="53"/>
      <c r="X976" s="53"/>
      <c r="Y976" s="51"/>
      <c r="Z976" s="51"/>
      <c r="AA976" s="52"/>
    </row>
    <row r="977" spans="4:27">
      <c r="D977" s="50"/>
      <c r="E977" s="50"/>
      <c r="F977" s="50"/>
      <c r="G977" s="50"/>
      <c r="H977" s="50"/>
      <c r="I977" s="50"/>
      <c r="J977" s="50"/>
      <c r="K977" s="51"/>
      <c r="L977" s="50"/>
      <c r="M977" s="50"/>
      <c r="N977" s="50"/>
      <c r="O977" s="50"/>
      <c r="P977" s="50"/>
      <c r="Q977" s="52"/>
      <c r="W977" s="53"/>
      <c r="X977" s="53"/>
      <c r="Y977" s="51"/>
      <c r="Z977" s="51"/>
      <c r="AA977" s="52"/>
    </row>
    <row r="978" spans="4:27">
      <c r="D978" s="50"/>
      <c r="E978" s="50"/>
      <c r="F978" s="50"/>
      <c r="G978" s="50"/>
      <c r="H978" s="50"/>
      <c r="I978" s="50"/>
      <c r="J978" s="50"/>
      <c r="K978" s="51"/>
      <c r="L978" s="50"/>
      <c r="M978" s="50"/>
      <c r="N978" s="50"/>
      <c r="O978" s="50"/>
      <c r="P978" s="50"/>
      <c r="Q978" s="52"/>
      <c r="W978" s="53"/>
      <c r="X978" s="53"/>
      <c r="Y978" s="51"/>
      <c r="Z978" s="51"/>
      <c r="AA978" s="52"/>
    </row>
    <row r="979" spans="4:27">
      <c r="D979" s="50"/>
      <c r="E979" s="50"/>
      <c r="F979" s="50"/>
      <c r="G979" s="50"/>
      <c r="H979" s="50"/>
      <c r="I979" s="50"/>
      <c r="J979" s="50"/>
      <c r="K979" s="51"/>
      <c r="L979" s="50"/>
      <c r="M979" s="50"/>
      <c r="N979" s="50"/>
      <c r="O979" s="50"/>
      <c r="P979" s="50"/>
      <c r="Q979" s="52"/>
      <c r="W979" s="53"/>
      <c r="X979" s="53"/>
      <c r="Y979" s="51"/>
      <c r="Z979" s="51"/>
      <c r="AA979" s="52"/>
    </row>
    <row r="980" spans="4:27">
      <c r="D980" s="50"/>
      <c r="E980" s="50"/>
      <c r="F980" s="50"/>
      <c r="G980" s="50"/>
      <c r="H980" s="50"/>
      <c r="I980" s="50"/>
      <c r="J980" s="50"/>
      <c r="K980" s="51"/>
      <c r="L980" s="50"/>
      <c r="M980" s="50"/>
      <c r="N980" s="50"/>
      <c r="O980" s="50"/>
      <c r="P980" s="50"/>
      <c r="Q980" s="52"/>
      <c r="W980" s="53"/>
      <c r="X980" s="53"/>
      <c r="Y980" s="51"/>
      <c r="Z980" s="51"/>
      <c r="AA980" s="52"/>
    </row>
    <row r="981" spans="4:27">
      <c r="D981" s="50"/>
      <c r="E981" s="50"/>
      <c r="F981" s="50"/>
      <c r="G981" s="50"/>
      <c r="H981" s="50"/>
      <c r="I981" s="50"/>
      <c r="J981" s="50"/>
      <c r="K981" s="51"/>
      <c r="L981" s="50"/>
      <c r="M981" s="50"/>
      <c r="N981" s="50"/>
      <c r="O981" s="50"/>
      <c r="P981" s="50"/>
      <c r="Q981" s="52"/>
      <c r="W981" s="53"/>
      <c r="X981" s="53"/>
      <c r="Y981" s="51"/>
      <c r="Z981" s="51"/>
      <c r="AA981" s="52"/>
    </row>
    <row r="982" spans="4:27">
      <c r="D982" s="50"/>
      <c r="E982" s="50"/>
      <c r="F982" s="50"/>
      <c r="G982" s="50"/>
      <c r="H982" s="50"/>
      <c r="I982" s="50"/>
      <c r="J982" s="50"/>
      <c r="K982" s="51"/>
      <c r="L982" s="50"/>
      <c r="M982" s="50"/>
      <c r="N982" s="50"/>
      <c r="O982" s="50"/>
      <c r="P982" s="50"/>
      <c r="Q982" s="52"/>
      <c r="W982" s="53"/>
      <c r="X982" s="53"/>
      <c r="Y982" s="51"/>
      <c r="Z982" s="51"/>
      <c r="AA982" s="52"/>
    </row>
    <row r="983" spans="4:27">
      <c r="D983" s="50"/>
      <c r="E983" s="50"/>
      <c r="F983" s="50"/>
      <c r="G983" s="50"/>
      <c r="H983" s="50"/>
      <c r="I983" s="50"/>
      <c r="J983" s="50"/>
      <c r="K983" s="51"/>
      <c r="L983" s="50"/>
      <c r="M983" s="50"/>
      <c r="N983" s="50"/>
      <c r="O983" s="50"/>
      <c r="P983" s="50"/>
      <c r="Q983" s="52"/>
      <c r="W983" s="53"/>
      <c r="X983" s="53"/>
      <c r="Y983" s="51"/>
      <c r="Z983" s="51"/>
      <c r="AA983" s="52"/>
    </row>
    <row r="984" spans="4:27">
      <c r="D984" s="50"/>
      <c r="E984" s="50"/>
      <c r="F984" s="50"/>
      <c r="G984" s="50"/>
      <c r="H984" s="50"/>
      <c r="I984" s="50"/>
      <c r="J984" s="50"/>
      <c r="K984" s="51"/>
      <c r="L984" s="50"/>
      <c r="M984" s="50"/>
      <c r="N984" s="50"/>
      <c r="O984" s="50"/>
      <c r="P984" s="50"/>
      <c r="Q984" s="52"/>
      <c r="W984" s="53"/>
      <c r="X984" s="53"/>
      <c r="Y984" s="51"/>
      <c r="Z984" s="51"/>
      <c r="AA984" s="52"/>
    </row>
    <row r="985" spans="4:27">
      <c r="D985" s="50"/>
      <c r="E985" s="50"/>
      <c r="F985" s="50"/>
      <c r="G985" s="50"/>
      <c r="H985" s="50"/>
      <c r="I985" s="50"/>
      <c r="J985" s="50"/>
      <c r="K985" s="51"/>
      <c r="L985" s="50"/>
      <c r="M985" s="50"/>
      <c r="N985" s="50"/>
      <c r="O985" s="50"/>
      <c r="P985" s="50"/>
      <c r="Q985" s="52"/>
      <c r="W985" s="53"/>
      <c r="X985" s="53"/>
      <c r="Y985" s="51"/>
      <c r="Z985" s="51"/>
      <c r="AA985" s="52"/>
    </row>
    <row r="986" spans="4:27">
      <c r="D986" s="50"/>
      <c r="E986" s="50"/>
      <c r="F986" s="50"/>
      <c r="G986" s="50"/>
      <c r="H986" s="50"/>
      <c r="I986" s="50"/>
      <c r="J986" s="50"/>
      <c r="K986" s="51"/>
      <c r="L986" s="50"/>
      <c r="M986" s="50"/>
      <c r="N986" s="50"/>
      <c r="O986" s="50"/>
      <c r="P986" s="50"/>
      <c r="Q986" s="52"/>
      <c r="W986" s="53"/>
      <c r="X986" s="53"/>
      <c r="Y986" s="51"/>
      <c r="Z986" s="51"/>
      <c r="AA986" s="52"/>
    </row>
    <row r="987" spans="4:27">
      <c r="D987" s="50"/>
      <c r="E987" s="50"/>
      <c r="F987" s="50"/>
      <c r="G987" s="50"/>
      <c r="H987" s="50"/>
      <c r="I987" s="50"/>
      <c r="J987" s="50"/>
      <c r="K987" s="51"/>
      <c r="L987" s="50"/>
      <c r="M987" s="50"/>
      <c r="N987" s="50"/>
      <c r="O987" s="50"/>
      <c r="P987" s="50"/>
      <c r="Q987" s="52"/>
      <c r="W987" s="53"/>
      <c r="X987" s="53"/>
      <c r="Y987" s="51"/>
      <c r="Z987" s="51"/>
      <c r="AA987" s="52"/>
    </row>
    <row r="988" spans="4:27">
      <c r="D988" s="50"/>
      <c r="E988" s="50"/>
      <c r="F988" s="50"/>
      <c r="G988" s="50"/>
      <c r="H988" s="50"/>
      <c r="I988" s="50"/>
      <c r="J988" s="50"/>
      <c r="K988" s="51"/>
      <c r="L988" s="50"/>
      <c r="M988" s="50"/>
      <c r="N988" s="50"/>
      <c r="O988" s="50"/>
      <c r="P988" s="50"/>
      <c r="Q988" s="52"/>
      <c r="W988" s="53"/>
      <c r="X988" s="53"/>
      <c r="Y988" s="51"/>
      <c r="Z988" s="51"/>
      <c r="AA988" s="52"/>
    </row>
    <row r="989" spans="4:27">
      <c r="D989" s="50"/>
      <c r="E989" s="50"/>
      <c r="F989" s="50"/>
      <c r="G989" s="50"/>
      <c r="H989" s="50"/>
      <c r="I989" s="50"/>
      <c r="J989" s="50"/>
      <c r="K989" s="51"/>
      <c r="L989" s="50"/>
      <c r="M989" s="50"/>
      <c r="N989" s="50"/>
      <c r="O989" s="50"/>
      <c r="P989" s="50"/>
      <c r="Q989" s="52"/>
      <c r="W989" s="53"/>
      <c r="X989" s="53"/>
      <c r="Y989" s="51"/>
      <c r="Z989" s="51"/>
      <c r="AA989" s="52"/>
    </row>
    <row r="990" spans="4:27">
      <c r="D990" s="50"/>
      <c r="E990" s="50"/>
      <c r="F990" s="50"/>
      <c r="G990" s="50"/>
      <c r="H990" s="50"/>
      <c r="I990" s="50"/>
      <c r="J990" s="50"/>
      <c r="K990" s="51"/>
      <c r="L990" s="50"/>
      <c r="M990" s="50"/>
      <c r="N990" s="50"/>
      <c r="O990" s="50"/>
      <c r="P990" s="50"/>
      <c r="Q990" s="52"/>
      <c r="W990" s="53"/>
      <c r="X990" s="53"/>
      <c r="Y990" s="51"/>
      <c r="Z990" s="51"/>
      <c r="AA990" s="52"/>
    </row>
    <row r="991" spans="4:27">
      <c r="D991" s="50"/>
      <c r="E991" s="50"/>
      <c r="F991" s="50"/>
      <c r="G991" s="50"/>
      <c r="H991" s="50"/>
      <c r="I991" s="50"/>
      <c r="J991" s="50"/>
      <c r="K991" s="51"/>
      <c r="L991" s="50"/>
      <c r="M991" s="50"/>
      <c r="N991" s="50"/>
      <c r="O991" s="50"/>
      <c r="P991" s="50"/>
      <c r="Q991" s="52"/>
      <c r="W991" s="53"/>
      <c r="X991" s="53"/>
      <c r="Y991" s="51"/>
      <c r="Z991" s="51"/>
      <c r="AA991" s="52"/>
    </row>
    <row r="992" spans="4:27">
      <c r="D992" s="50"/>
      <c r="E992" s="50"/>
      <c r="F992" s="50"/>
      <c r="G992" s="50"/>
      <c r="H992" s="50"/>
      <c r="I992" s="50"/>
      <c r="J992" s="50"/>
      <c r="K992" s="51"/>
      <c r="L992" s="50"/>
      <c r="M992" s="50"/>
      <c r="N992" s="50"/>
      <c r="O992" s="50"/>
      <c r="P992" s="50"/>
      <c r="Q992" s="52"/>
      <c r="W992" s="53"/>
      <c r="X992" s="53"/>
      <c r="Y992" s="51"/>
      <c r="Z992" s="51"/>
      <c r="AA992" s="52"/>
    </row>
    <row r="993" spans="4:27">
      <c r="D993" s="50"/>
      <c r="E993" s="50"/>
      <c r="F993" s="50"/>
      <c r="G993" s="50"/>
      <c r="H993" s="50"/>
      <c r="I993" s="50"/>
      <c r="J993" s="50"/>
      <c r="K993" s="51"/>
      <c r="L993" s="50"/>
      <c r="M993" s="50"/>
      <c r="N993" s="50"/>
      <c r="O993" s="50"/>
      <c r="P993" s="50"/>
      <c r="Q993" s="52"/>
      <c r="W993" s="53"/>
      <c r="X993" s="53"/>
      <c r="Y993" s="51"/>
      <c r="Z993" s="51"/>
      <c r="AA993" s="52"/>
    </row>
    <row r="994" spans="4:27">
      <c r="D994" s="50"/>
      <c r="E994" s="50"/>
      <c r="F994" s="50"/>
      <c r="G994" s="50"/>
      <c r="H994" s="50"/>
      <c r="I994" s="50"/>
      <c r="J994" s="50"/>
      <c r="K994" s="51"/>
      <c r="L994" s="50"/>
      <c r="M994" s="50"/>
      <c r="N994" s="50"/>
      <c r="O994" s="50"/>
      <c r="P994" s="50"/>
      <c r="Q994" s="52"/>
      <c r="W994" s="53"/>
      <c r="X994" s="53"/>
      <c r="Y994" s="51"/>
      <c r="Z994" s="51"/>
      <c r="AA994" s="52"/>
    </row>
    <row r="995" spans="4:27">
      <c r="D995" s="50"/>
      <c r="E995" s="50"/>
      <c r="F995" s="50"/>
      <c r="G995" s="50"/>
      <c r="H995" s="50"/>
      <c r="I995" s="50"/>
      <c r="J995" s="50"/>
      <c r="K995" s="51"/>
      <c r="L995" s="50"/>
      <c r="M995" s="50"/>
      <c r="N995" s="50"/>
      <c r="O995" s="50"/>
      <c r="P995" s="50"/>
      <c r="Q995" s="52"/>
      <c r="W995" s="53"/>
      <c r="X995" s="53"/>
      <c r="Y995" s="51"/>
      <c r="Z995" s="51"/>
      <c r="AA995" s="52"/>
    </row>
    <row r="996" spans="4:27">
      <c r="D996" s="50"/>
      <c r="E996" s="50"/>
      <c r="F996" s="50"/>
      <c r="G996" s="50"/>
      <c r="H996" s="50"/>
      <c r="I996" s="50"/>
      <c r="J996" s="50"/>
      <c r="K996" s="51"/>
      <c r="L996" s="50"/>
      <c r="M996" s="50"/>
      <c r="N996" s="50"/>
      <c r="O996" s="50"/>
      <c r="P996" s="50"/>
      <c r="Q996" s="52"/>
      <c r="W996" s="53"/>
      <c r="X996" s="53"/>
      <c r="Y996" s="51"/>
      <c r="Z996" s="51"/>
      <c r="AA996" s="52"/>
    </row>
    <row r="997" spans="4:27">
      <c r="D997" s="50"/>
      <c r="E997" s="50"/>
      <c r="F997" s="50"/>
      <c r="G997" s="50"/>
      <c r="H997" s="50"/>
      <c r="I997" s="50"/>
      <c r="J997" s="50"/>
      <c r="K997" s="51"/>
      <c r="L997" s="50"/>
      <c r="M997" s="50"/>
      <c r="N997" s="50"/>
      <c r="O997" s="50"/>
      <c r="P997" s="50"/>
      <c r="Q997" s="52"/>
      <c r="W997" s="53"/>
      <c r="X997" s="53"/>
      <c r="Y997" s="51"/>
      <c r="Z997" s="51"/>
      <c r="AA997" s="52"/>
    </row>
    <row r="998" spans="4:27">
      <c r="D998" s="50"/>
      <c r="E998" s="50"/>
      <c r="F998" s="50"/>
      <c r="G998" s="50"/>
      <c r="H998" s="50"/>
      <c r="I998" s="50"/>
      <c r="J998" s="50"/>
      <c r="K998" s="51"/>
      <c r="L998" s="50"/>
      <c r="M998" s="50"/>
      <c r="N998" s="50"/>
      <c r="O998" s="50"/>
      <c r="P998" s="50"/>
      <c r="Q998" s="52"/>
      <c r="W998" s="53"/>
      <c r="X998" s="53"/>
      <c r="Y998" s="51"/>
      <c r="Z998" s="51"/>
      <c r="AA998" s="52"/>
    </row>
    <row r="999" spans="4:27">
      <c r="D999" s="50"/>
      <c r="E999" s="50"/>
      <c r="F999" s="50"/>
      <c r="G999" s="50"/>
      <c r="H999" s="50"/>
      <c r="I999" s="50"/>
      <c r="J999" s="50"/>
      <c r="K999" s="51"/>
      <c r="L999" s="50"/>
      <c r="M999" s="50"/>
      <c r="N999" s="50"/>
      <c r="O999" s="50"/>
      <c r="P999" s="50"/>
      <c r="Q999" s="52"/>
      <c r="W999" s="53"/>
      <c r="X999" s="53"/>
      <c r="Y999" s="51"/>
      <c r="Z999" s="51"/>
      <c r="AA999" s="52"/>
    </row>
    <row r="1000" spans="4:27">
      <c r="D1000" s="50"/>
      <c r="E1000" s="50"/>
      <c r="F1000" s="50"/>
      <c r="G1000" s="50"/>
      <c r="H1000" s="50"/>
      <c r="I1000" s="50"/>
      <c r="J1000" s="50"/>
      <c r="K1000" s="51"/>
      <c r="L1000" s="50"/>
      <c r="M1000" s="50"/>
      <c r="N1000" s="50"/>
      <c r="O1000" s="50"/>
      <c r="P1000" s="50"/>
      <c r="Q1000" s="52"/>
      <c r="W1000" s="53"/>
      <c r="X1000" s="53"/>
      <c r="Y1000" s="51"/>
      <c r="Z1000" s="51"/>
      <c r="AA1000" s="52"/>
    </row>
    <row r="1001" spans="4:27">
      <c r="D1001" s="50"/>
      <c r="E1001" s="50"/>
      <c r="F1001" s="50"/>
      <c r="G1001" s="50"/>
      <c r="H1001" s="50"/>
      <c r="I1001" s="50"/>
      <c r="J1001" s="50"/>
      <c r="K1001" s="51"/>
      <c r="L1001" s="50"/>
      <c r="M1001" s="50"/>
      <c r="N1001" s="50"/>
      <c r="O1001" s="50"/>
      <c r="P1001" s="50"/>
      <c r="Q1001" s="52"/>
      <c r="W1001" s="53"/>
      <c r="X1001" s="53"/>
      <c r="Y1001" s="51"/>
      <c r="Z1001" s="51"/>
      <c r="AA1001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9"/>
  <sheetViews>
    <sheetView workbookViewId="0">
      <pane xSplit="2" ySplit="1" topLeftCell="C37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3" customWidth="1"/>
    <col min="4" max="5" width="23" customWidth="1"/>
    <col min="6" max="6" width="24" customWidth="1"/>
    <col min="7" max="10" width="23" customWidth="1"/>
    <col min="11" max="11" width="22.7265625" customWidth="1"/>
    <col min="12" max="12" width="20.26953125" customWidth="1"/>
    <col min="13" max="13" width="22.7265625" customWidth="1"/>
    <col min="14" max="14" width="20.26953125" customWidth="1"/>
    <col min="15" max="15" width="21.54296875" customWidth="1"/>
    <col min="16" max="16" width="19.2695312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476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56" t="s">
        <v>473</v>
      </c>
      <c r="Z1" s="56" t="s">
        <v>474</v>
      </c>
      <c r="AA1" s="57" t="s">
        <v>475</v>
      </c>
    </row>
    <row r="2" spans="1:27">
      <c r="A2" s="6">
        <v>2018</v>
      </c>
      <c r="B2" s="6" t="s">
        <v>133</v>
      </c>
      <c r="C2" s="7" t="s">
        <v>134</v>
      </c>
      <c r="D2" s="51">
        <v>35820328250826</v>
      </c>
      <c r="E2" s="51">
        <v>41436061933356</v>
      </c>
      <c r="F2" s="51">
        <v>114968614731327</v>
      </c>
      <c r="G2" s="51">
        <v>23235117344046</v>
      </c>
      <c r="H2" s="51">
        <v>45366918001290</v>
      </c>
      <c r="I2" s="51">
        <v>68602035345336</v>
      </c>
      <c r="J2" s="51">
        <v>46366579385991</v>
      </c>
      <c r="K2" s="8">
        <v>70000000000</v>
      </c>
      <c r="L2" s="50">
        <v>56045332632978</v>
      </c>
      <c r="M2" s="50">
        <v>37082460251259</v>
      </c>
      <c r="N2" s="50">
        <v>10515185697510</v>
      </c>
      <c r="O2" s="50">
        <v>5280332435460</v>
      </c>
      <c r="P2" s="50">
        <v>796583982267</v>
      </c>
      <c r="Q2" s="51">
        <v>2130</v>
      </c>
      <c r="R2" s="51">
        <f t="shared" ref="R2:R28" si="0">D2/G2</f>
        <v>1.5416461092246199</v>
      </c>
      <c r="S2" s="51">
        <f t="shared" ref="S2:S28" si="1">H2/J2</f>
        <v>0.97844004457652456</v>
      </c>
      <c r="T2" s="51">
        <f t="shared" ref="T2:T28" si="2">O2/F2</f>
        <v>4.5928468806897771E-2</v>
      </c>
      <c r="U2" s="51">
        <f t="shared" ref="U2:U28" si="3">O2/J2</f>
        <v>0.11388229421675598</v>
      </c>
      <c r="V2" s="51">
        <f t="shared" ref="V2:V28" si="4">O2/L2</f>
        <v>9.4215382216376833E-2</v>
      </c>
      <c r="W2" s="51">
        <f t="shared" ref="W2:W28" si="5">(P2/K2)/Q2</f>
        <v>5.3426155752313879E-3</v>
      </c>
      <c r="X2" s="51">
        <f t="shared" ref="X2:X28" si="6">P2/O2</f>
        <v>0.1508586802068656</v>
      </c>
      <c r="Y2" s="58">
        <f t="shared" ref="Y2:Y28" si="7">Q2/(O2/K2)</f>
        <v>28.236858535406025</v>
      </c>
      <c r="Z2" s="58">
        <f t="shared" ref="Z2:Z28" si="8">Q2/(J2/K2)</f>
        <v>3.2156782314860264</v>
      </c>
      <c r="AA2" s="59">
        <v>2</v>
      </c>
    </row>
    <row r="3" spans="1:27">
      <c r="A3" s="6">
        <v>2019</v>
      </c>
      <c r="B3" s="6" t="s">
        <v>133</v>
      </c>
      <c r="C3" s="7" t="s">
        <v>134</v>
      </c>
      <c r="D3" s="13">
        <v>30852713195881</v>
      </c>
      <c r="E3" s="13">
        <v>38195772167402</v>
      </c>
      <c r="F3" s="13">
        <v>102501986581556</v>
      </c>
      <c r="G3" s="13">
        <v>15615845389597</v>
      </c>
      <c r="H3" s="13">
        <v>41926124645178</v>
      </c>
      <c r="I3" s="13">
        <v>57541970034775</v>
      </c>
      <c r="J3" s="13">
        <v>44960016546781</v>
      </c>
      <c r="K3" s="8">
        <v>70000000000</v>
      </c>
      <c r="L3" s="9">
        <v>53501024525284</v>
      </c>
      <c r="M3" s="9">
        <v>36439368501116</v>
      </c>
      <c r="N3" s="9">
        <v>10330208510406</v>
      </c>
      <c r="O3" s="9">
        <v>1570551591695</v>
      </c>
      <c r="P3" s="9">
        <v>1353577596878</v>
      </c>
      <c r="Q3" s="51">
        <v>2170</v>
      </c>
      <c r="R3" s="51">
        <f t="shared" si="0"/>
        <v>1.9757312157069979</v>
      </c>
      <c r="S3" s="51">
        <f t="shared" si="1"/>
        <v>0.93252022275289359</v>
      </c>
      <c r="T3" s="51">
        <f t="shared" si="2"/>
        <v>1.5322157590042278E-2</v>
      </c>
      <c r="U3" s="51">
        <f t="shared" si="3"/>
        <v>3.4932184467966941E-2</v>
      </c>
      <c r="V3" s="51">
        <f t="shared" si="4"/>
        <v>2.9355542358871549E-2</v>
      </c>
      <c r="W3" s="51">
        <f t="shared" si="5"/>
        <v>8.9109782546280443E-3</v>
      </c>
      <c r="X3" s="51">
        <f t="shared" si="6"/>
        <v>0.8618485403699262</v>
      </c>
      <c r="Y3" s="58">
        <f t="shared" si="7"/>
        <v>96.717612336480869</v>
      </c>
      <c r="Z3" s="58">
        <f t="shared" si="8"/>
        <v>3.3785574754392651</v>
      </c>
      <c r="AA3" s="59">
        <v>2</v>
      </c>
    </row>
    <row r="4" spans="1:27">
      <c r="A4" s="6">
        <v>2020</v>
      </c>
      <c r="B4" s="6" t="s">
        <v>133</v>
      </c>
      <c r="C4" s="7" t="s">
        <v>134</v>
      </c>
      <c r="D4" s="13">
        <v>28291608511530</v>
      </c>
      <c r="E4" s="13">
        <v>38050883273585</v>
      </c>
      <c r="F4" s="13">
        <v>106266878101475</v>
      </c>
      <c r="G4" s="13">
        <v>16688406014280</v>
      </c>
      <c r="H4" s="13">
        <v>47892007037420</v>
      </c>
      <c r="I4" s="13">
        <v>64580413051700</v>
      </c>
      <c r="J4" s="13">
        <v>41686465049775</v>
      </c>
      <c r="K4" s="8">
        <v>70000000000</v>
      </c>
      <c r="L4" s="9">
        <v>40700486761025</v>
      </c>
      <c r="M4" s="9">
        <v>28648929334025</v>
      </c>
      <c r="N4" s="9">
        <v>8359448650280</v>
      </c>
      <c r="O4" s="9">
        <v>-2473389962225</v>
      </c>
      <c r="P4" s="9">
        <v>953146912445</v>
      </c>
      <c r="Q4" s="51">
        <v>1655</v>
      </c>
      <c r="R4" s="51">
        <f t="shared" si="0"/>
        <v>1.6952852469745359</v>
      </c>
      <c r="S4" s="51">
        <f t="shared" si="1"/>
        <v>1.1488622741274748</v>
      </c>
      <c r="T4" s="51">
        <f t="shared" si="2"/>
        <v>-2.3275267010885014E-2</v>
      </c>
      <c r="U4" s="51">
        <f t="shared" si="3"/>
        <v>-5.9333166275233259E-2</v>
      </c>
      <c r="V4" s="51">
        <f t="shared" si="4"/>
        <v>-6.0770525344024419E-2</v>
      </c>
      <c r="W4" s="51">
        <f t="shared" si="5"/>
        <v>8.2274226365558912E-3</v>
      </c>
      <c r="X4" s="51">
        <f t="shared" si="6"/>
        <v>-0.3853605484788063</v>
      </c>
      <c r="Y4" s="58">
        <f t="shared" si="7"/>
        <v>-46.838550236447233</v>
      </c>
      <c r="Z4" s="58">
        <f t="shared" si="8"/>
        <v>2.7790794892699902</v>
      </c>
      <c r="AA4" s="59">
        <v>2</v>
      </c>
    </row>
    <row r="5" spans="1:27">
      <c r="A5" s="6">
        <v>2018</v>
      </c>
      <c r="B5" s="6" t="s">
        <v>137</v>
      </c>
      <c r="C5" s="7" t="s">
        <v>138</v>
      </c>
      <c r="D5" s="13">
        <v>968326542522</v>
      </c>
      <c r="E5" s="13">
        <v>799069023234</v>
      </c>
      <c r="F5" s="13">
        <v>2767379051340</v>
      </c>
      <c r="G5" s="13">
        <v>258247232082</v>
      </c>
      <c r="H5" s="13">
        <v>601184420514</v>
      </c>
      <c r="I5" s="13">
        <v>859431652596</v>
      </c>
      <c r="J5" s="13">
        <v>1907947398744</v>
      </c>
      <c r="K5" s="8">
        <v>4227082500</v>
      </c>
      <c r="L5" s="9">
        <v>1710322585164</v>
      </c>
      <c r="M5" s="9">
        <v>1413357025509</v>
      </c>
      <c r="N5" s="9">
        <v>222397112736</v>
      </c>
      <c r="O5" s="9">
        <v>180054987318</v>
      </c>
      <c r="P5" s="9">
        <v>47384597871</v>
      </c>
      <c r="Q5" s="51">
        <v>472</v>
      </c>
      <c r="R5" s="51">
        <f t="shared" si="0"/>
        <v>3.7496105368305823</v>
      </c>
      <c r="S5" s="51">
        <f t="shared" si="1"/>
        <v>0.31509486105841239</v>
      </c>
      <c r="T5" s="51">
        <f t="shared" si="2"/>
        <v>6.5063362834525726E-2</v>
      </c>
      <c r="U5" s="51">
        <f t="shared" si="3"/>
        <v>9.4371043686282977E-2</v>
      </c>
      <c r="V5" s="51">
        <f t="shared" si="4"/>
        <v>0.10527545439665396</v>
      </c>
      <c r="W5" s="51">
        <f t="shared" si="5"/>
        <v>2.3749500319504537E-2</v>
      </c>
      <c r="X5" s="51">
        <f t="shared" si="6"/>
        <v>0.26316737223897485</v>
      </c>
      <c r="Y5" s="58">
        <f t="shared" si="7"/>
        <v>11.080964597088629</v>
      </c>
      <c r="Z5" s="58">
        <f t="shared" si="8"/>
        <v>1.0457221940780062</v>
      </c>
      <c r="AA5" s="59">
        <v>2</v>
      </c>
    </row>
    <row r="6" spans="1:27">
      <c r="A6" s="6">
        <v>2019</v>
      </c>
      <c r="B6" s="6" t="s">
        <v>137</v>
      </c>
      <c r="C6" s="7" t="s">
        <v>138</v>
      </c>
      <c r="D6" s="13">
        <v>984042226112</v>
      </c>
      <c r="E6" s="13">
        <v>803461591434</v>
      </c>
      <c r="F6" s="13">
        <v>2508297621585</v>
      </c>
      <c r="G6" s="13">
        <v>326901962935</v>
      </c>
      <c r="H6" s="13">
        <v>475724956855</v>
      </c>
      <c r="I6" s="13">
        <v>802626919790</v>
      </c>
      <c r="J6" s="13">
        <v>1705670701795</v>
      </c>
      <c r="K6" s="8">
        <v>4227082500</v>
      </c>
      <c r="L6" s="9">
        <v>1697756320356</v>
      </c>
      <c r="M6" s="9">
        <v>1460057977986</v>
      </c>
      <c r="N6" s="9">
        <v>215576318772</v>
      </c>
      <c r="O6" s="9">
        <v>88096225202</v>
      </c>
      <c r="P6" s="9">
        <v>32799770926</v>
      </c>
      <c r="Q6" s="51">
        <v>189</v>
      </c>
      <c r="R6" s="51">
        <f t="shared" si="0"/>
        <v>3.0102059261958711</v>
      </c>
      <c r="S6" s="51">
        <f t="shared" si="1"/>
        <v>0.2789078550474956</v>
      </c>
      <c r="T6" s="51">
        <f t="shared" si="2"/>
        <v>3.5121918724434209E-2</v>
      </c>
      <c r="U6" s="51">
        <f t="shared" si="3"/>
        <v>5.1649022938184963E-2</v>
      </c>
      <c r="V6" s="51">
        <f t="shared" si="4"/>
        <v>5.1889793691669031E-2</v>
      </c>
      <c r="W6" s="51">
        <f t="shared" si="5"/>
        <v>4.1055210423082002E-2</v>
      </c>
      <c r="X6" s="51">
        <f t="shared" si="6"/>
        <v>0.37231755220830237</v>
      </c>
      <c r="Y6" s="58">
        <f t="shared" si="7"/>
        <v>9.068704029805156</v>
      </c>
      <c r="Z6" s="58">
        <f t="shared" si="8"/>
        <v>0.46838970245501693</v>
      </c>
      <c r="AA6" s="59">
        <v>2</v>
      </c>
    </row>
    <row r="7" spans="1:27">
      <c r="A7" s="6">
        <v>2020</v>
      </c>
      <c r="B7" s="6" t="s">
        <v>137</v>
      </c>
      <c r="C7" s="7" t="s">
        <v>138</v>
      </c>
      <c r="D7" s="13">
        <v>2350514170095</v>
      </c>
      <c r="E7" s="13">
        <v>745978102870</v>
      </c>
      <c r="F7" s="13">
        <v>2350514155990</v>
      </c>
      <c r="G7" s="13">
        <v>307596000530</v>
      </c>
      <c r="H7" s="13">
        <v>304525088140</v>
      </c>
      <c r="I7" s="13">
        <v>612121088670</v>
      </c>
      <c r="J7" s="13">
        <v>1738393081425</v>
      </c>
      <c r="K7" s="8">
        <v>4227082500</v>
      </c>
      <c r="L7" s="9">
        <v>1393076432020</v>
      </c>
      <c r="M7" s="9">
        <v>1166087107185</v>
      </c>
      <c r="N7" s="9">
        <v>44814815045</v>
      </c>
      <c r="O7" s="9">
        <v>85004671115</v>
      </c>
      <c r="P7" s="9">
        <v>27326152490</v>
      </c>
      <c r="Q7" s="51">
        <v>252</v>
      </c>
      <c r="R7" s="51">
        <f t="shared" si="0"/>
        <v>7.6415628488178378</v>
      </c>
      <c r="S7" s="51">
        <f t="shared" si="1"/>
        <v>0.17517619656560871</v>
      </c>
      <c r="T7" s="51">
        <f t="shared" si="2"/>
        <v>3.6164288097723603E-2</v>
      </c>
      <c r="U7" s="51">
        <f t="shared" si="3"/>
        <v>4.8898417753319497E-2</v>
      </c>
      <c r="V7" s="51">
        <f t="shared" si="4"/>
        <v>6.1019387853501215E-2</v>
      </c>
      <c r="W7" s="51">
        <f t="shared" si="5"/>
        <v>2.5652944567690732E-2</v>
      </c>
      <c r="X7" s="51">
        <f t="shared" si="6"/>
        <v>0.32146648097763186</v>
      </c>
      <c r="Y7" s="58">
        <f t="shared" si="7"/>
        <v>12.531367700474867</v>
      </c>
      <c r="Z7" s="58">
        <f t="shared" si="8"/>
        <v>0.61276405283827484</v>
      </c>
      <c r="AA7" s="59">
        <v>2</v>
      </c>
    </row>
    <row r="8" spans="1:27">
      <c r="A8" s="6">
        <v>2018</v>
      </c>
      <c r="B8" s="6" t="s">
        <v>235</v>
      </c>
      <c r="C8" s="7" t="s">
        <v>236</v>
      </c>
      <c r="D8" s="13">
        <v>2254015683477</v>
      </c>
      <c r="E8" s="13">
        <v>672401254464</v>
      </c>
      <c r="F8" s="13">
        <v>2254015683477</v>
      </c>
      <c r="G8" s="13">
        <v>714813569289</v>
      </c>
      <c r="H8" s="13">
        <v>109402434495</v>
      </c>
      <c r="I8" s="13">
        <v>824216003784</v>
      </c>
      <c r="J8" s="13">
        <v>1429799679693</v>
      </c>
      <c r="K8" s="8">
        <v>3200000000</v>
      </c>
      <c r="L8" s="9">
        <v>1239476562819</v>
      </c>
      <c r="M8" s="9">
        <v>1055003147262</v>
      </c>
      <c r="N8" s="9">
        <v>289740496401</v>
      </c>
      <c r="O8" s="9">
        <v>83913832674</v>
      </c>
      <c r="P8" s="9">
        <v>0</v>
      </c>
      <c r="Q8" s="51">
        <v>4300</v>
      </c>
      <c r="R8" s="51">
        <f t="shared" si="0"/>
        <v>3.153291683758872</v>
      </c>
      <c r="S8" s="51">
        <f t="shared" si="1"/>
        <v>7.6515917613361323E-2</v>
      </c>
      <c r="T8" s="51">
        <f t="shared" si="2"/>
        <v>3.7228593079066861E-2</v>
      </c>
      <c r="U8" s="51">
        <f t="shared" si="3"/>
        <v>5.8689223298761396E-2</v>
      </c>
      <c r="V8" s="51">
        <f t="shared" si="4"/>
        <v>6.7701024118722197E-2</v>
      </c>
      <c r="W8" s="51">
        <f t="shared" si="5"/>
        <v>0</v>
      </c>
      <c r="X8" s="51">
        <f t="shared" si="6"/>
        <v>0</v>
      </c>
      <c r="Y8" s="58">
        <f t="shared" si="7"/>
        <v>163.97773241340008</v>
      </c>
      <c r="Z8" s="58">
        <f t="shared" si="8"/>
        <v>9.6237257536345826</v>
      </c>
      <c r="AA8" s="59">
        <v>2</v>
      </c>
    </row>
    <row r="9" spans="1:27">
      <c r="A9" s="6">
        <v>2019</v>
      </c>
      <c r="B9" s="6" t="s">
        <v>235</v>
      </c>
      <c r="C9" s="7" t="s">
        <v>236</v>
      </c>
      <c r="D9" s="13">
        <v>2395446398276</v>
      </c>
      <c r="E9" s="13">
        <v>617721642309</v>
      </c>
      <c r="F9" s="13">
        <v>2395446398276</v>
      </c>
      <c r="G9" s="13">
        <v>852416965550</v>
      </c>
      <c r="H9" s="13">
        <v>132771272903</v>
      </c>
      <c r="I9" s="13">
        <v>985188238453</v>
      </c>
      <c r="J9" s="13">
        <v>1410258159823</v>
      </c>
      <c r="K9" s="8">
        <v>3200000000</v>
      </c>
      <c r="L9" s="9">
        <v>1995615229813</v>
      </c>
      <c r="M9" s="9">
        <v>1631562719269</v>
      </c>
      <c r="N9" s="9">
        <v>314445540954</v>
      </c>
      <c r="O9" s="9">
        <v>22867965159</v>
      </c>
      <c r="P9" s="9">
        <v>252928695</v>
      </c>
      <c r="Q9" s="51">
        <v>3150</v>
      </c>
      <c r="R9" s="51">
        <f t="shared" si="0"/>
        <v>2.8101815133752064</v>
      </c>
      <c r="S9" s="51">
        <f t="shared" si="1"/>
        <v>9.4146785805276939E-2</v>
      </c>
      <c r="T9" s="51">
        <f t="shared" si="2"/>
        <v>9.5464315859699663E-3</v>
      </c>
      <c r="U9" s="51">
        <f t="shared" si="3"/>
        <v>1.621544608674353E-2</v>
      </c>
      <c r="V9" s="51">
        <f t="shared" si="4"/>
        <v>1.1459105351256943E-2</v>
      </c>
      <c r="W9" s="51">
        <f t="shared" si="5"/>
        <v>2.5092132440476188E-5</v>
      </c>
      <c r="X9" s="51">
        <f t="shared" si="6"/>
        <v>1.1060393578588975E-2</v>
      </c>
      <c r="Y9" s="58">
        <f t="shared" si="7"/>
        <v>440.79129602980345</v>
      </c>
      <c r="Z9" s="58">
        <f t="shared" si="8"/>
        <v>7.147627496277086</v>
      </c>
      <c r="AA9" s="59">
        <v>2</v>
      </c>
    </row>
    <row r="10" spans="1:27">
      <c r="A10" s="6">
        <v>2020</v>
      </c>
      <c r="B10" s="6" t="s">
        <v>235</v>
      </c>
      <c r="C10" s="7" t="s">
        <v>236</v>
      </c>
      <c r="D10" s="13">
        <v>1074198843445</v>
      </c>
      <c r="E10" s="13">
        <v>603761986100</v>
      </c>
      <c r="F10" s="13">
        <v>1839922465290</v>
      </c>
      <c r="G10" s="13">
        <v>321104528290</v>
      </c>
      <c r="H10" s="13">
        <v>117549095300</v>
      </c>
      <c r="I10" s="13">
        <v>438653623590</v>
      </c>
      <c r="J10" s="13">
        <v>1401268841700</v>
      </c>
      <c r="K10" s="8">
        <v>3200000000</v>
      </c>
      <c r="L10" s="9">
        <v>1779978175885</v>
      </c>
      <c r="M10" s="9">
        <v>1493795681105</v>
      </c>
      <c r="N10" s="9">
        <v>281118009900</v>
      </c>
      <c r="O10" s="9">
        <v>-43122327885</v>
      </c>
      <c r="P10" s="9">
        <v>81061435</v>
      </c>
      <c r="Q10" s="51">
        <v>3220</v>
      </c>
      <c r="R10" s="51">
        <f t="shared" si="0"/>
        <v>3.3453244934461215</v>
      </c>
      <c r="S10" s="51">
        <f t="shared" si="1"/>
        <v>8.3887610858021405E-2</v>
      </c>
      <c r="T10" s="51">
        <f t="shared" si="2"/>
        <v>-2.3437035363445741E-2</v>
      </c>
      <c r="U10" s="51">
        <f t="shared" si="3"/>
        <v>-3.077377202841718E-2</v>
      </c>
      <c r="V10" s="51">
        <f t="shared" si="4"/>
        <v>-2.4226323934314366E-2</v>
      </c>
      <c r="W10" s="51">
        <f t="shared" si="5"/>
        <v>7.8669870923913051E-6</v>
      </c>
      <c r="X10" s="51">
        <f t="shared" si="6"/>
        <v>-1.8798019257257451E-3</v>
      </c>
      <c r="Y10" s="58">
        <f t="shared" si="7"/>
        <v>-238.94813905870379</v>
      </c>
      <c r="Z10" s="58">
        <f t="shared" si="8"/>
        <v>7.3533355580070774</v>
      </c>
      <c r="AA10" s="59">
        <v>2</v>
      </c>
    </row>
    <row r="11" spans="1:27">
      <c r="A11" s="6">
        <v>2018</v>
      </c>
      <c r="B11" s="6" t="s">
        <v>239</v>
      </c>
      <c r="C11" s="7" t="s">
        <v>240</v>
      </c>
      <c r="D11" s="13">
        <v>3640720000000</v>
      </c>
      <c r="E11" s="8">
        <v>2197050000000</v>
      </c>
      <c r="F11" s="8">
        <v>6494070000000</v>
      </c>
      <c r="G11" s="8">
        <f t="shared" ref="G11:G13" si="9">I11-H11</f>
        <v>2579383000000</v>
      </c>
      <c r="H11" s="8">
        <v>999271000000</v>
      </c>
      <c r="I11" s="8">
        <v>3578654000000</v>
      </c>
      <c r="J11" s="8">
        <v>2915416000000</v>
      </c>
      <c r="K11" s="8">
        <v>17000000000</v>
      </c>
      <c r="L11" s="8">
        <v>4467590000000</v>
      </c>
      <c r="M11" s="8">
        <v>3935894000000</v>
      </c>
      <c r="N11" s="18">
        <f>110556000000+149591000000+257413000000+67212000000</f>
        <v>584772000000</v>
      </c>
      <c r="O11" s="10">
        <v>48741000000</v>
      </c>
      <c r="P11" s="49">
        <v>0</v>
      </c>
      <c r="Q11" s="51">
        <v>87</v>
      </c>
      <c r="R11" s="51">
        <f t="shared" si="0"/>
        <v>1.411469332006918</v>
      </c>
      <c r="S11" s="51">
        <f t="shared" si="1"/>
        <v>0.34275417298937783</v>
      </c>
      <c r="T11" s="51">
        <f t="shared" si="2"/>
        <v>7.5054626759489809E-3</v>
      </c>
      <c r="U11" s="51">
        <f t="shared" si="3"/>
        <v>1.6718368836557116E-2</v>
      </c>
      <c r="V11" s="51">
        <f t="shared" si="4"/>
        <v>1.0909908921812431E-2</v>
      </c>
      <c r="W11" s="51">
        <f t="shared" si="5"/>
        <v>0</v>
      </c>
      <c r="X11" s="51">
        <f t="shared" si="6"/>
        <v>0</v>
      </c>
      <c r="Y11" s="58">
        <f t="shared" si="7"/>
        <v>30.34406351941897</v>
      </c>
      <c r="Z11" s="58">
        <f t="shared" si="8"/>
        <v>0.50730324591756371</v>
      </c>
      <c r="AA11" s="59">
        <v>2</v>
      </c>
    </row>
    <row r="12" spans="1:27">
      <c r="A12" s="6">
        <v>2019</v>
      </c>
      <c r="B12" s="6" t="s">
        <v>239</v>
      </c>
      <c r="C12" s="7" t="s">
        <v>240</v>
      </c>
      <c r="D12" s="13">
        <v>3547289000000</v>
      </c>
      <c r="E12" s="8">
        <v>2128844000000</v>
      </c>
      <c r="F12" s="8">
        <v>6424507000000</v>
      </c>
      <c r="G12" s="8">
        <f t="shared" si="9"/>
        <v>2542901000000</v>
      </c>
      <c r="H12" s="8">
        <v>782940000000</v>
      </c>
      <c r="I12" s="8">
        <v>3325841000000</v>
      </c>
      <c r="J12" s="8">
        <v>3098666000000</v>
      </c>
      <c r="K12" s="8">
        <v>17000000000</v>
      </c>
      <c r="L12" s="8">
        <v>4885875000000</v>
      </c>
      <c r="M12" s="8">
        <v>4197484000000</v>
      </c>
      <c r="N12" s="10">
        <f>149742000000+147856000000+261675000000+19267000000</f>
        <v>578540000000</v>
      </c>
      <c r="O12" s="10">
        <v>185694000000</v>
      </c>
      <c r="P12" s="49">
        <v>0</v>
      </c>
      <c r="Q12" s="51">
        <v>184</v>
      </c>
      <c r="R12" s="51">
        <f t="shared" si="0"/>
        <v>1.3949772326960428</v>
      </c>
      <c r="S12" s="51">
        <f t="shared" si="1"/>
        <v>0.25267001993761184</v>
      </c>
      <c r="T12" s="51">
        <f t="shared" si="2"/>
        <v>2.8904007731643845E-2</v>
      </c>
      <c r="U12" s="51">
        <f t="shared" si="3"/>
        <v>5.9927078297564176E-2</v>
      </c>
      <c r="V12" s="51">
        <f t="shared" si="4"/>
        <v>3.8006293652621079E-2</v>
      </c>
      <c r="W12" s="51">
        <f t="shared" si="5"/>
        <v>0</v>
      </c>
      <c r="X12" s="51">
        <f t="shared" si="6"/>
        <v>0</v>
      </c>
      <c r="Y12" s="58">
        <f t="shared" si="7"/>
        <v>16.844916906308228</v>
      </c>
      <c r="Z12" s="58">
        <f t="shared" si="8"/>
        <v>1.0094666543602957</v>
      </c>
      <c r="AA12" s="59">
        <v>2</v>
      </c>
    </row>
    <row r="13" spans="1:27">
      <c r="A13" s="6">
        <v>2020</v>
      </c>
      <c r="B13" s="6" t="s">
        <v>239</v>
      </c>
      <c r="C13" s="7" t="s">
        <v>240</v>
      </c>
      <c r="D13" s="13">
        <v>3113612000000</v>
      </c>
      <c r="E13" s="13">
        <v>2197790000000</v>
      </c>
      <c r="F13" s="8">
        <v>6076604000000</v>
      </c>
      <c r="G13" s="8">
        <f t="shared" si="9"/>
        <v>2162323000000</v>
      </c>
      <c r="H13" s="8">
        <v>578941000000</v>
      </c>
      <c r="I13" s="8">
        <v>2741264000000</v>
      </c>
      <c r="J13" s="8">
        <v>3335340000000</v>
      </c>
      <c r="K13" s="8">
        <v>17000000000</v>
      </c>
      <c r="L13" s="8">
        <v>3775530000000</v>
      </c>
      <c r="M13" s="8">
        <v>3217408000000</v>
      </c>
      <c r="N13" s="10">
        <f>111101000000+130681000000+205664000000+27162000000</f>
        <v>474608000000</v>
      </c>
      <c r="O13" s="10">
        <v>175835000000</v>
      </c>
      <c r="P13" s="49">
        <v>0</v>
      </c>
      <c r="Q13" s="51">
        <v>160</v>
      </c>
      <c r="R13" s="51">
        <f t="shared" si="0"/>
        <v>1.4399384365795489</v>
      </c>
      <c r="S13" s="51">
        <f t="shared" si="1"/>
        <v>0.17357780616069127</v>
      </c>
      <c r="T13" s="51">
        <f t="shared" si="2"/>
        <v>2.8936392761483222E-2</v>
      </c>
      <c r="U13" s="51">
        <f t="shared" si="3"/>
        <v>5.2718763304490698E-2</v>
      </c>
      <c r="V13" s="51">
        <f t="shared" si="4"/>
        <v>4.657226932377706E-2</v>
      </c>
      <c r="W13" s="51">
        <f t="shared" si="5"/>
        <v>0</v>
      </c>
      <c r="X13" s="51">
        <f t="shared" si="6"/>
        <v>0</v>
      </c>
      <c r="Y13" s="58">
        <f t="shared" si="7"/>
        <v>15.469047686751784</v>
      </c>
      <c r="Z13" s="58">
        <f t="shared" si="8"/>
        <v>0.81550906354374675</v>
      </c>
      <c r="AA13" s="59">
        <v>2</v>
      </c>
    </row>
    <row r="14" spans="1:27">
      <c r="A14" s="6">
        <v>2018</v>
      </c>
      <c r="B14" s="6" t="s">
        <v>241</v>
      </c>
      <c r="C14" s="7" t="s">
        <v>242</v>
      </c>
      <c r="D14" s="13">
        <v>1633538255625</v>
      </c>
      <c r="E14" s="13">
        <v>438353322849</v>
      </c>
      <c r="F14" s="13">
        <v>2139961806972</v>
      </c>
      <c r="G14" s="13">
        <v>1485155286090</v>
      </c>
      <c r="H14" s="13">
        <v>31348266066</v>
      </c>
      <c r="I14" s="13">
        <v>1516503552156</v>
      </c>
      <c r="J14" s="13">
        <v>623458254816</v>
      </c>
      <c r="K14" s="8">
        <v>8000000000</v>
      </c>
      <c r="L14" s="9">
        <v>2362363017831</v>
      </c>
      <c r="M14" s="9">
        <v>2241184156263</v>
      </c>
      <c r="N14" s="9">
        <v>97572413241</v>
      </c>
      <c r="O14" s="9">
        <v>-22261091022</v>
      </c>
      <c r="P14" s="9">
        <v>0</v>
      </c>
      <c r="Q14" s="51">
        <v>3500</v>
      </c>
      <c r="R14" s="51">
        <f t="shared" si="0"/>
        <v>1.0999107439637852</v>
      </c>
      <c r="S14" s="51">
        <f t="shared" si="1"/>
        <v>5.0281259128170101E-2</v>
      </c>
      <c r="T14" s="51">
        <f t="shared" si="2"/>
        <v>-1.0402564638991836E-2</v>
      </c>
      <c r="U14" s="51">
        <f t="shared" si="3"/>
        <v>-3.5705824487911979E-2</v>
      </c>
      <c r="V14" s="51">
        <f t="shared" si="4"/>
        <v>-9.4232304070011163E-3</v>
      </c>
      <c r="W14" s="51">
        <f t="shared" si="5"/>
        <v>0</v>
      </c>
      <c r="X14" s="51">
        <f t="shared" si="6"/>
        <v>0</v>
      </c>
      <c r="Y14" s="58">
        <f t="shared" si="7"/>
        <v>-1257.7999870863653</v>
      </c>
      <c r="Z14" s="58">
        <f t="shared" si="8"/>
        <v>44.910785579803708</v>
      </c>
      <c r="AA14" s="59">
        <v>2</v>
      </c>
    </row>
    <row r="15" spans="1:27">
      <c r="A15" s="6">
        <v>2019</v>
      </c>
      <c r="B15" s="6" t="s">
        <v>241</v>
      </c>
      <c r="C15" s="7" t="s">
        <v>242</v>
      </c>
      <c r="D15" s="13">
        <v>1635991007928</v>
      </c>
      <c r="E15" s="13">
        <v>405386814321</v>
      </c>
      <c r="F15" s="13">
        <v>2108628483178</v>
      </c>
      <c r="G15" s="13">
        <v>1437911697143</v>
      </c>
      <c r="H15" s="13">
        <v>36286808974</v>
      </c>
      <c r="I15" s="13">
        <v>1474198506117</v>
      </c>
      <c r="J15" s="13">
        <v>634429977061</v>
      </c>
      <c r="K15" s="8">
        <v>8000000000</v>
      </c>
      <c r="L15" s="9">
        <v>2267048602389</v>
      </c>
      <c r="M15" s="9">
        <v>2120573320557</v>
      </c>
      <c r="N15" s="9">
        <v>101630628030</v>
      </c>
      <c r="O15" s="9">
        <v>37263938066</v>
      </c>
      <c r="P15" s="9">
        <v>0</v>
      </c>
      <c r="Q15" s="51">
        <v>675</v>
      </c>
      <c r="R15" s="51">
        <f t="shared" si="0"/>
        <v>1.1377548504394015</v>
      </c>
      <c r="S15" s="51">
        <f t="shared" si="1"/>
        <v>5.7195924351019514E-2</v>
      </c>
      <c r="T15" s="51">
        <f t="shared" si="2"/>
        <v>1.7672121174156768E-2</v>
      </c>
      <c r="U15" s="51">
        <f t="shared" si="3"/>
        <v>5.8736092891804037E-2</v>
      </c>
      <c r="V15" s="51">
        <f t="shared" si="4"/>
        <v>1.6437202990148302E-2</v>
      </c>
      <c r="W15" s="51">
        <f t="shared" si="5"/>
        <v>0</v>
      </c>
      <c r="X15" s="51">
        <f t="shared" si="6"/>
        <v>0</v>
      </c>
      <c r="Y15" s="58">
        <f t="shared" si="7"/>
        <v>144.9122202391973</v>
      </c>
      <c r="Z15" s="58">
        <f t="shared" si="8"/>
        <v>8.5115776291270571</v>
      </c>
      <c r="AA15" s="59">
        <v>2</v>
      </c>
    </row>
    <row r="16" spans="1:27">
      <c r="A16" s="6">
        <v>2020</v>
      </c>
      <c r="B16" s="6" t="s">
        <v>241</v>
      </c>
      <c r="C16" s="7" t="s">
        <v>242</v>
      </c>
      <c r="D16" s="13">
        <v>1398292277655</v>
      </c>
      <c r="E16" s="13">
        <v>385936891340</v>
      </c>
      <c r="F16" s="13">
        <v>1860803648340</v>
      </c>
      <c r="G16" s="13">
        <v>1134888102530</v>
      </c>
      <c r="H16" s="13">
        <v>43444020620</v>
      </c>
      <c r="I16" s="13">
        <v>1178332123150</v>
      </c>
      <c r="J16" s="13">
        <v>682471525190</v>
      </c>
      <c r="K16" s="8">
        <v>8000000000</v>
      </c>
      <c r="L16" s="9">
        <v>2041413970050</v>
      </c>
      <c r="M16" s="9">
        <v>1903450256890</v>
      </c>
      <c r="N16" s="9">
        <v>100600541405</v>
      </c>
      <c r="O16" s="9">
        <v>38338476085</v>
      </c>
      <c r="P16" s="9">
        <v>0</v>
      </c>
      <c r="Q16" s="51">
        <v>1445</v>
      </c>
      <c r="R16" s="51">
        <f t="shared" si="0"/>
        <v>1.2320970451076141</v>
      </c>
      <c r="S16" s="51">
        <f t="shared" si="1"/>
        <v>6.3656898517348681E-2</v>
      </c>
      <c r="T16" s="51">
        <f t="shared" si="2"/>
        <v>2.0603181920457476E-2</v>
      </c>
      <c r="U16" s="51">
        <f t="shared" si="3"/>
        <v>5.6175935068245628E-2</v>
      </c>
      <c r="V16" s="51">
        <f t="shared" si="4"/>
        <v>1.8780353542922498E-2</v>
      </c>
      <c r="W16" s="51">
        <f t="shared" si="5"/>
        <v>0</v>
      </c>
      <c r="X16" s="51">
        <f t="shared" si="6"/>
        <v>0</v>
      </c>
      <c r="Y16" s="58">
        <f t="shared" si="7"/>
        <v>301.52476520898728</v>
      </c>
      <c r="Z16" s="58">
        <f t="shared" si="8"/>
        <v>16.93843563184808</v>
      </c>
      <c r="AA16" s="59">
        <v>2</v>
      </c>
    </row>
    <row r="17" spans="1:27">
      <c r="A17" s="6">
        <v>2018</v>
      </c>
      <c r="B17" s="6" t="s">
        <v>243</v>
      </c>
      <c r="C17" s="7" t="s">
        <v>244</v>
      </c>
      <c r="D17" s="13">
        <v>448247260</v>
      </c>
      <c r="E17" s="8">
        <v>224257888000</v>
      </c>
      <c r="F17" s="13">
        <v>686777211000</v>
      </c>
      <c r="G17" s="8">
        <f t="shared" ref="G17:G19" si="10">I17-H17</f>
        <v>182749220000</v>
      </c>
      <c r="H17" s="8">
        <v>26239975000</v>
      </c>
      <c r="I17" s="8">
        <v>208989195000</v>
      </c>
      <c r="J17" s="8">
        <v>477788016000</v>
      </c>
      <c r="K17" s="8">
        <v>12000000000</v>
      </c>
      <c r="L17" s="10">
        <v>600986872000</v>
      </c>
      <c r="M17" s="10">
        <v>458091261000</v>
      </c>
      <c r="N17" s="10">
        <f>83109088000+762203000</f>
        <v>83871291000</v>
      </c>
      <c r="O17" s="12">
        <v>38735092000</v>
      </c>
      <c r="P17" s="49">
        <v>0</v>
      </c>
      <c r="Q17" s="51">
        <v>66</v>
      </c>
      <c r="R17" s="51">
        <f t="shared" si="0"/>
        <v>2.4527998532633956E-3</v>
      </c>
      <c r="S17" s="51">
        <f t="shared" si="1"/>
        <v>5.4919701041643537E-2</v>
      </c>
      <c r="T17" s="51">
        <f t="shared" si="2"/>
        <v>5.6401248293604198E-2</v>
      </c>
      <c r="U17" s="51">
        <f t="shared" si="3"/>
        <v>8.1071711099593588E-2</v>
      </c>
      <c r="V17" s="51">
        <f t="shared" si="4"/>
        <v>6.4452476093354666E-2</v>
      </c>
      <c r="W17" s="51">
        <f t="shared" si="5"/>
        <v>0</v>
      </c>
      <c r="X17" s="51">
        <f t="shared" si="6"/>
        <v>0</v>
      </c>
      <c r="Y17" s="58">
        <f t="shared" si="7"/>
        <v>20.44657593687915</v>
      </c>
      <c r="Z17" s="58">
        <f t="shared" si="8"/>
        <v>1.6576388973305685</v>
      </c>
      <c r="AA17" s="59">
        <v>2</v>
      </c>
    </row>
    <row r="18" spans="1:27">
      <c r="A18" s="6">
        <v>2019</v>
      </c>
      <c r="B18" s="6" t="s">
        <v>243</v>
      </c>
      <c r="C18" s="7" t="s">
        <v>244</v>
      </c>
      <c r="D18" s="13">
        <v>537425364</v>
      </c>
      <c r="E18" s="8">
        <v>228818788000</v>
      </c>
      <c r="F18" s="8">
        <v>779246858000</v>
      </c>
      <c r="G18" s="8">
        <f t="shared" si="10"/>
        <v>217673718000</v>
      </c>
      <c r="H18" s="8">
        <v>46972577000</v>
      </c>
      <c r="I18" s="8">
        <v>264646295000</v>
      </c>
      <c r="J18" s="8">
        <v>514600563000</v>
      </c>
      <c r="K18" s="8">
        <v>12000000000</v>
      </c>
      <c r="L18" s="10">
        <v>684464392000</v>
      </c>
      <c r="M18" s="10">
        <v>511519472000</v>
      </c>
      <c r="N18" s="10">
        <f>102044774000+1425442000</f>
        <v>103470216000</v>
      </c>
      <c r="O18" s="12">
        <v>42829128000</v>
      </c>
      <c r="P18" s="50">
        <v>6017384000</v>
      </c>
      <c r="Q18" s="51">
        <v>68</v>
      </c>
      <c r="R18" s="51">
        <f t="shared" si="0"/>
        <v>2.4689492555091102E-3</v>
      </c>
      <c r="S18" s="51">
        <f t="shared" si="1"/>
        <v>9.1279684433613811E-2</v>
      </c>
      <c r="T18" s="51">
        <f t="shared" si="2"/>
        <v>5.4962208137642563E-2</v>
      </c>
      <c r="U18" s="51">
        <f t="shared" si="3"/>
        <v>8.3227907389599967E-2</v>
      </c>
      <c r="V18" s="51">
        <f t="shared" si="4"/>
        <v>6.2573201032202125E-2</v>
      </c>
      <c r="W18" s="51">
        <f t="shared" si="5"/>
        <v>7.3742450980392154E-3</v>
      </c>
      <c r="X18" s="51">
        <f t="shared" si="6"/>
        <v>0.14049746705092853</v>
      </c>
      <c r="Y18" s="58">
        <f t="shared" si="7"/>
        <v>19.052454208266859</v>
      </c>
      <c r="Z18" s="58">
        <f t="shared" si="8"/>
        <v>1.5856958943902282</v>
      </c>
      <c r="AA18" s="59">
        <v>2</v>
      </c>
    </row>
    <row r="19" spans="1:27">
      <c r="A19" s="6">
        <v>2020</v>
      </c>
      <c r="B19" s="6" t="s">
        <v>243</v>
      </c>
      <c r="C19" s="7" t="s">
        <v>244</v>
      </c>
      <c r="D19" s="51">
        <v>579393962</v>
      </c>
      <c r="E19" s="8">
        <v>319819738000</v>
      </c>
      <c r="F19" s="8">
        <v>906846895000</v>
      </c>
      <c r="G19" s="8">
        <f t="shared" si="10"/>
        <v>266837335000</v>
      </c>
      <c r="H19" s="8">
        <v>52122162000</v>
      </c>
      <c r="I19" s="8">
        <v>318959497000</v>
      </c>
      <c r="J19" s="8">
        <v>587887398000</v>
      </c>
      <c r="K19" s="8">
        <v>12000000000</v>
      </c>
      <c r="L19" s="10">
        <v>890996866000</v>
      </c>
      <c r="M19" s="10">
        <v>699831445000</v>
      </c>
      <c r="N19" s="10">
        <f>111840300000+341413000</f>
        <v>112181713000</v>
      </c>
      <c r="O19" s="12">
        <v>44152245000</v>
      </c>
      <c r="P19" s="50">
        <v>12034736000</v>
      </c>
      <c r="Q19" s="51">
        <v>58</v>
      </c>
      <c r="R19" s="51">
        <f t="shared" si="0"/>
        <v>2.1713376878089419E-3</v>
      </c>
      <c r="S19" s="51">
        <f t="shared" si="1"/>
        <v>8.8660111064330041E-2</v>
      </c>
      <c r="T19" s="51">
        <f t="shared" si="2"/>
        <v>4.8687650852021716E-2</v>
      </c>
      <c r="U19" s="51">
        <f t="shared" si="3"/>
        <v>7.5103234310186728E-2</v>
      </c>
      <c r="V19" s="51">
        <f t="shared" si="4"/>
        <v>4.9553760158792745E-2</v>
      </c>
      <c r="W19" s="51">
        <f t="shared" si="5"/>
        <v>1.7291287356321839E-2</v>
      </c>
      <c r="X19" s="51">
        <f t="shared" si="6"/>
        <v>0.27257359167127287</v>
      </c>
      <c r="Y19" s="58">
        <f t="shared" si="7"/>
        <v>15.763637839933168</v>
      </c>
      <c r="Z19" s="58">
        <f t="shared" si="8"/>
        <v>1.1839001862734264</v>
      </c>
      <c r="AA19" s="59">
        <v>2</v>
      </c>
    </row>
    <row r="20" spans="1:27">
      <c r="A20" s="6">
        <v>2018</v>
      </c>
      <c r="B20" s="6" t="s">
        <v>387</v>
      </c>
      <c r="C20" s="7" t="s">
        <v>388</v>
      </c>
      <c r="D20" s="8">
        <v>4089272082471</v>
      </c>
      <c r="E20" s="8">
        <v>1399191392727</v>
      </c>
      <c r="F20" s="8">
        <v>17634327314985</v>
      </c>
      <c r="G20" s="8">
        <v>6994044023535</v>
      </c>
      <c r="H20" s="8">
        <v>5328040524390</v>
      </c>
      <c r="I20" s="8">
        <v>12322084547925</v>
      </c>
      <c r="J20" s="8">
        <v>5312242767060</v>
      </c>
      <c r="K20" s="8">
        <v>92000000000</v>
      </c>
      <c r="L20" s="10">
        <v>393305654277</v>
      </c>
      <c r="M20" s="10">
        <v>128270496888</v>
      </c>
      <c r="N20" s="10">
        <v>1426748344740</v>
      </c>
      <c r="O20" s="10">
        <v>316519688385</v>
      </c>
      <c r="P20" s="10">
        <v>0</v>
      </c>
      <c r="Q20" s="51">
        <v>50</v>
      </c>
      <c r="R20" s="51">
        <f t="shared" si="0"/>
        <v>0.58467920257730366</v>
      </c>
      <c r="S20" s="51">
        <f t="shared" si="1"/>
        <v>1.0029738394916661</v>
      </c>
      <c r="T20" s="51">
        <f t="shared" si="2"/>
        <v>1.7949065066748152E-2</v>
      </c>
      <c r="U20" s="51">
        <f t="shared" si="3"/>
        <v>5.9583061667976854E-2</v>
      </c>
      <c r="V20" s="51">
        <f t="shared" si="4"/>
        <v>0.80476770405665043</v>
      </c>
      <c r="W20" s="51">
        <f t="shared" si="5"/>
        <v>0</v>
      </c>
      <c r="X20" s="51">
        <f t="shared" si="6"/>
        <v>0</v>
      </c>
      <c r="Y20" s="58">
        <f t="shared" si="7"/>
        <v>14.533061192720407</v>
      </c>
      <c r="Z20" s="58">
        <f t="shared" si="8"/>
        <v>0.86592428127034138</v>
      </c>
      <c r="AA20" s="59">
        <v>2</v>
      </c>
    </row>
    <row r="21" spans="1:27">
      <c r="A21" s="6">
        <v>2019</v>
      </c>
      <c r="B21" s="6" t="s">
        <v>387</v>
      </c>
      <c r="C21" s="7" t="s">
        <v>388</v>
      </c>
      <c r="D21" s="51">
        <v>4871941173051</v>
      </c>
      <c r="E21" s="51">
        <v>1270778472835</v>
      </c>
      <c r="F21" s="51">
        <v>17425618108707</v>
      </c>
      <c r="G21" s="51">
        <v>4174579395048</v>
      </c>
      <c r="H21" s="51">
        <v>8198421378258</v>
      </c>
      <c r="I21" s="51">
        <v>12373000773306</v>
      </c>
      <c r="J21" s="51">
        <v>5052617335401</v>
      </c>
      <c r="K21" s="8">
        <v>92000000000</v>
      </c>
      <c r="L21" s="50">
        <v>985413740475</v>
      </c>
      <c r="M21" s="50">
        <v>177307046485</v>
      </c>
      <c r="N21" s="50">
        <v>950520923781</v>
      </c>
      <c r="O21" s="50">
        <v>381395703966</v>
      </c>
      <c r="P21" s="50">
        <v>0</v>
      </c>
      <c r="Q21" s="51">
        <v>50</v>
      </c>
      <c r="R21" s="51">
        <f t="shared" si="0"/>
        <v>1.167049590392323</v>
      </c>
      <c r="S21" s="51">
        <f t="shared" si="1"/>
        <v>1.622608805304931</v>
      </c>
      <c r="T21" s="51">
        <f t="shared" si="2"/>
        <v>2.1887068888272566E-2</v>
      </c>
      <c r="U21" s="51">
        <f t="shared" si="3"/>
        <v>7.5484779204188557E-2</v>
      </c>
      <c r="V21" s="51">
        <f t="shared" si="4"/>
        <v>0.38704118716890984</v>
      </c>
      <c r="W21" s="51">
        <f t="shared" si="5"/>
        <v>0</v>
      </c>
      <c r="X21" s="51">
        <f t="shared" si="6"/>
        <v>0</v>
      </c>
      <c r="Y21" s="58">
        <f t="shared" si="7"/>
        <v>12.060964379425924</v>
      </c>
      <c r="Z21" s="58">
        <f t="shared" si="8"/>
        <v>0.91041923317054885</v>
      </c>
      <c r="AA21" s="59">
        <v>2</v>
      </c>
    </row>
    <row r="22" spans="1:27">
      <c r="A22" s="6">
        <v>2020</v>
      </c>
      <c r="B22" s="6" t="s">
        <v>387</v>
      </c>
      <c r="C22" s="7" t="s">
        <v>388</v>
      </c>
      <c r="D22" s="51">
        <v>2743346826675</v>
      </c>
      <c r="E22" s="51">
        <v>1759004633295</v>
      </c>
      <c r="F22" s="51">
        <v>18952683723610</v>
      </c>
      <c r="G22" s="51">
        <v>7215807323270</v>
      </c>
      <c r="H22" s="51">
        <v>6298449154270</v>
      </c>
      <c r="I22" s="51">
        <v>13514256477540</v>
      </c>
      <c r="J22" s="51">
        <v>5438427246070</v>
      </c>
      <c r="K22" s="8">
        <v>92000000000</v>
      </c>
      <c r="L22" s="50">
        <v>1107410335395</v>
      </c>
      <c r="M22" s="50">
        <v>187898445735</v>
      </c>
      <c r="N22" s="50">
        <v>929563916645</v>
      </c>
      <c r="O22" s="50">
        <v>381477285280</v>
      </c>
      <c r="P22" s="50">
        <v>0</v>
      </c>
      <c r="Q22" s="51">
        <v>50</v>
      </c>
      <c r="R22" s="51">
        <f t="shared" si="0"/>
        <v>0.38018570948091679</v>
      </c>
      <c r="S22" s="51">
        <f t="shared" si="1"/>
        <v>1.1581379816787072</v>
      </c>
      <c r="T22" s="51">
        <f t="shared" si="2"/>
        <v>2.0127876919339968E-2</v>
      </c>
      <c r="U22" s="51">
        <f t="shared" si="3"/>
        <v>7.0144780470432697E-2</v>
      </c>
      <c r="V22" s="51">
        <f t="shared" si="4"/>
        <v>0.34447690534144387</v>
      </c>
      <c r="W22" s="51">
        <f t="shared" si="5"/>
        <v>0</v>
      </c>
      <c r="X22" s="51">
        <f t="shared" si="6"/>
        <v>0</v>
      </c>
      <c r="Y22" s="58">
        <f t="shared" si="7"/>
        <v>12.058385066423162</v>
      </c>
      <c r="Z22" s="58">
        <f t="shared" si="8"/>
        <v>0.84583277331219664</v>
      </c>
      <c r="AA22" s="59">
        <v>2</v>
      </c>
    </row>
    <row r="23" spans="1:27">
      <c r="A23" s="6">
        <v>2018</v>
      </c>
      <c r="B23" s="6" t="s">
        <v>391</v>
      </c>
      <c r="C23" s="7" t="s">
        <v>392</v>
      </c>
      <c r="D23" s="51">
        <v>5657327000000</v>
      </c>
      <c r="E23" s="8">
        <v>1735854000000</v>
      </c>
      <c r="F23" s="8">
        <v>5657327000000</v>
      </c>
      <c r="G23" s="8">
        <f t="shared" ref="G23:G25" si="11">I23-H23</f>
        <v>2116898000000</v>
      </c>
      <c r="H23" s="8">
        <v>240229000000</v>
      </c>
      <c r="I23" s="8">
        <v>2357127000000</v>
      </c>
      <c r="J23" s="8">
        <v>3300200000000</v>
      </c>
      <c r="K23" s="8">
        <v>22500000000</v>
      </c>
      <c r="L23" s="8">
        <v>6624774000000</v>
      </c>
      <c r="M23" s="8">
        <v>5972680000000</v>
      </c>
      <c r="N23" s="9">
        <f>2579000000+268740000000+90092000000</f>
        <v>361411000000</v>
      </c>
      <c r="O23" s="12">
        <v>276316000000</v>
      </c>
      <c r="P23" s="50">
        <v>37071000000</v>
      </c>
      <c r="Q23" s="51">
        <v>360</v>
      </c>
      <c r="R23" s="51">
        <f t="shared" si="0"/>
        <v>2.672460836563689</v>
      </c>
      <c r="S23" s="51">
        <f t="shared" si="1"/>
        <v>7.2792255014847582E-2</v>
      </c>
      <c r="T23" s="51">
        <f t="shared" si="2"/>
        <v>4.8842147537167285E-2</v>
      </c>
      <c r="U23" s="51">
        <f t="shared" si="3"/>
        <v>8.372704684564572E-2</v>
      </c>
      <c r="V23" s="51">
        <f t="shared" si="4"/>
        <v>4.1709498316470868E-2</v>
      </c>
      <c r="W23" s="51">
        <f t="shared" si="5"/>
        <v>4.5766666666666664E-3</v>
      </c>
      <c r="X23" s="51">
        <f t="shared" si="6"/>
        <v>0.1341616120673432</v>
      </c>
      <c r="Y23" s="58">
        <f t="shared" si="7"/>
        <v>29.314263379608853</v>
      </c>
      <c r="Z23" s="58">
        <f t="shared" si="8"/>
        <v>2.4543967032301075</v>
      </c>
      <c r="AA23" s="59">
        <v>2</v>
      </c>
    </row>
    <row r="24" spans="1:27">
      <c r="A24" s="6">
        <v>2019</v>
      </c>
      <c r="B24" s="6" t="s">
        <v>391</v>
      </c>
      <c r="C24" s="7" t="s">
        <v>392</v>
      </c>
      <c r="D24" s="13">
        <v>6805037000000</v>
      </c>
      <c r="E24" s="8">
        <v>1819321000000</v>
      </c>
      <c r="F24" s="8">
        <v>6805037000000</v>
      </c>
      <c r="G24" s="8">
        <f t="shared" si="11"/>
        <v>2504335000000</v>
      </c>
      <c r="H24" s="8">
        <v>724004000000</v>
      </c>
      <c r="I24" s="8">
        <v>3228339000000</v>
      </c>
      <c r="J24" s="8">
        <v>3576698000000</v>
      </c>
      <c r="K24" s="8">
        <v>22500000000</v>
      </c>
      <c r="L24" s="8">
        <v>8385122000000</v>
      </c>
      <c r="M24" s="8">
        <v>7514040000000</v>
      </c>
      <c r="N24" s="9">
        <f>4180000000+333221000000+40490000000+15705000000</f>
        <v>393596000000</v>
      </c>
      <c r="O24" s="12">
        <v>356477000000</v>
      </c>
      <c r="P24" s="50">
        <v>69079000000</v>
      </c>
      <c r="Q24" s="51">
        <v>306</v>
      </c>
      <c r="R24" s="51">
        <f t="shared" si="0"/>
        <v>2.7173029966038889</v>
      </c>
      <c r="S24" s="51">
        <f t="shared" si="1"/>
        <v>0.20242245780885051</v>
      </c>
      <c r="T24" s="51">
        <f t="shared" si="2"/>
        <v>5.2384285346281E-2</v>
      </c>
      <c r="U24" s="51">
        <f t="shared" si="3"/>
        <v>9.9666508047366598E-2</v>
      </c>
      <c r="V24" s="51">
        <f t="shared" si="4"/>
        <v>4.2513036781098711E-2</v>
      </c>
      <c r="W24" s="51">
        <f t="shared" si="5"/>
        <v>1.0033260711692084E-2</v>
      </c>
      <c r="X24" s="51">
        <f t="shared" si="6"/>
        <v>0.19378248807075912</v>
      </c>
      <c r="Y24" s="58">
        <f t="shared" si="7"/>
        <v>19.314009038451289</v>
      </c>
      <c r="Z24" s="58">
        <f t="shared" si="8"/>
        <v>1.9249598372577164</v>
      </c>
      <c r="AA24" s="59">
        <v>2</v>
      </c>
    </row>
    <row r="25" spans="1:27">
      <c r="A25" s="6">
        <v>2020</v>
      </c>
      <c r="B25" s="6" t="s">
        <v>391</v>
      </c>
      <c r="C25" s="7" t="s">
        <v>392</v>
      </c>
      <c r="D25" s="51">
        <v>4217325000000</v>
      </c>
      <c r="E25" s="8">
        <v>1811979000000</v>
      </c>
      <c r="F25" s="8">
        <v>7562822000000</v>
      </c>
      <c r="G25" s="8">
        <f t="shared" si="11"/>
        <v>2573467000000</v>
      </c>
      <c r="H25" s="8">
        <v>1248409000000</v>
      </c>
      <c r="I25" s="8">
        <v>3821876000000</v>
      </c>
      <c r="J25" s="8">
        <v>3740946000000</v>
      </c>
      <c r="K25" s="8">
        <v>22500000000</v>
      </c>
      <c r="L25" s="8">
        <v>7726945000000</v>
      </c>
      <c r="M25" s="8">
        <v>7726945000000</v>
      </c>
      <c r="N25" s="9">
        <f>2744000000+302482000000+132199000000</f>
        <v>437425000000</v>
      </c>
      <c r="O25" s="12">
        <v>249085000000</v>
      </c>
      <c r="P25" s="50">
        <v>69079000000</v>
      </c>
      <c r="Q25" s="51">
        <v>352</v>
      </c>
      <c r="R25" s="51">
        <f t="shared" si="0"/>
        <v>1.6387717425558594</v>
      </c>
      <c r="S25" s="51">
        <f t="shared" si="1"/>
        <v>0.33371478764996876</v>
      </c>
      <c r="T25" s="51">
        <f t="shared" si="2"/>
        <v>3.2935457161361197E-2</v>
      </c>
      <c r="U25" s="51">
        <f t="shared" si="3"/>
        <v>6.6583425689651768E-2</v>
      </c>
      <c r="V25" s="51">
        <f t="shared" si="4"/>
        <v>3.2235896593026094E-2</v>
      </c>
      <c r="W25" s="51">
        <f t="shared" si="5"/>
        <v>8.7220959595959591E-3</v>
      </c>
      <c r="X25" s="51">
        <f t="shared" si="6"/>
        <v>0.2773310315755666</v>
      </c>
      <c r="Y25" s="58">
        <f t="shared" si="7"/>
        <v>31.796374731517353</v>
      </c>
      <c r="Z25" s="58">
        <f t="shared" si="8"/>
        <v>2.117111554136307</v>
      </c>
      <c r="AA25" s="59">
        <v>2</v>
      </c>
    </row>
    <row r="26" spans="1:27">
      <c r="A26" s="6">
        <v>2018</v>
      </c>
      <c r="B26" s="6" t="s">
        <v>438</v>
      </c>
      <c r="C26" s="7" t="s">
        <v>439</v>
      </c>
      <c r="D26" s="51">
        <v>53144584947333</v>
      </c>
      <c r="E26" s="51">
        <v>9078886611954</v>
      </c>
      <c r="F26" s="51">
        <v>53144584947333</v>
      </c>
      <c r="G26" s="51">
        <v>9708395825025</v>
      </c>
      <c r="H26" s="51">
        <v>27113435866107</v>
      </c>
      <c r="I26" s="51">
        <v>36821831691132</v>
      </c>
      <c r="J26" s="51">
        <v>16322753256201</v>
      </c>
      <c r="K26" s="13">
        <v>17000000000</v>
      </c>
      <c r="L26" s="50">
        <v>42905188707381</v>
      </c>
      <c r="M26" s="50">
        <v>33619749716385</v>
      </c>
      <c r="N26" s="50">
        <v>3376167922827</v>
      </c>
      <c r="O26" s="50">
        <v>1417142358909</v>
      </c>
      <c r="P26" s="50">
        <v>0</v>
      </c>
      <c r="Q26" s="51">
        <v>2130</v>
      </c>
      <c r="R26" s="51">
        <f t="shared" si="0"/>
        <v>5.4740851017161889</v>
      </c>
      <c r="S26" s="51">
        <f t="shared" si="1"/>
        <v>1.6610822598697697</v>
      </c>
      <c r="T26" s="51">
        <f t="shared" si="2"/>
        <v>2.6665790321128806E-2</v>
      </c>
      <c r="U26" s="51">
        <f t="shared" si="3"/>
        <v>8.6820056436902202E-2</v>
      </c>
      <c r="V26" s="51">
        <f t="shared" si="4"/>
        <v>3.3029626523125126E-2</v>
      </c>
      <c r="W26" s="51">
        <f t="shared" si="5"/>
        <v>0</v>
      </c>
      <c r="X26" s="51">
        <f t="shared" si="6"/>
        <v>0</v>
      </c>
      <c r="Y26" s="58">
        <f t="shared" si="7"/>
        <v>25.551420273596651</v>
      </c>
      <c r="Z26" s="58">
        <f t="shared" si="8"/>
        <v>2.2183757501966679</v>
      </c>
      <c r="AA26" s="59">
        <v>2</v>
      </c>
    </row>
    <row r="27" spans="1:27">
      <c r="A27" s="6">
        <v>2019</v>
      </c>
      <c r="B27" s="6" t="s">
        <v>438</v>
      </c>
      <c r="C27" s="7" t="s">
        <v>439</v>
      </c>
      <c r="D27" s="51">
        <v>50268282766565</v>
      </c>
      <c r="E27" s="51">
        <v>9490045651683</v>
      </c>
      <c r="F27" s="51">
        <v>50268282766565</v>
      </c>
      <c r="G27" s="51">
        <v>9889326201536</v>
      </c>
      <c r="H27" s="51">
        <v>25841649160611</v>
      </c>
      <c r="I27" s="51">
        <v>35730975362147</v>
      </c>
      <c r="J27" s="51">
        <v>14537307404418</v>
      </c>
      <c r="K27" s="13">
        <v>17000000000</v>
      </c>
      <c r="L27" s="50">
        <v>38681984914420</v>
      </c>
      <c r="M27" s="50">
        <v>32750407793851</v>
      </c>
      <c r="N27" s="50">
        <v>3428721170543</v>
      </c>
      <c r="O27" s="50">
        <v>69399825034</v>
      </c>
      <c r="P27" s="50">
        <v>0</v>
      </c>
      <c r="Q27" s="51">
        <v>1195</v>
      </c>
      <c r="R27" s="51">
        <f t="shared" si="0"/>
        <v>5.0830847058879884</v>
      </c>
      <c r="S27" s="51">
        <f t="shared" si="1"/>
        <v>1.777609046965432</v>
      </c>
      <c r="T27" s="51">
        <f t="shared" si="2"/>
        <v>1.380588737361046E-3</v>
      </c>
      <c r="U27" s="51">
        <f t="shared" si="3"/>
        <v>4.7739119152772997E-3</v>
      </c>
      <c r="V27" s="51">
        <f t="shared" si="4"/>
        <v>1.7941123028598488E-3</v>
      </c>
      <c r="W27" s="51">
        <f t="shared" si="5"/>
        <v>0</v>
      </c>
      <c r="X27" s="51">
        <f t="shared" si="6"/>
        <v>0</v>
      </c>
      <c r="Y27" s="58">
        <f t="shared" si="7"/>
        <v>292.72408093316346</v>
      </c>
      <c r="Z27" s="58">
        <f t="shared" si="8"/>
        <v>1.3974389778554257</v>
      </c>
      <c r="AA27" s="59">
        <v>2</v>
      </c>
    </row>
    <row r="28" spans="1:27">
      <c r="A28" s="6">
        <v>2020</v>
      </c>
      <c r="B28" s="6" t="s">
        <v>438</v>
      </c>
      <c r="C28" s="7" t="s">
        <v>439</v>
      </c>
      <c r="D28" s="51">
        <v>49278678797985</v>
      </c>
      <c r="E28" s="51">
        <v>8660333505915</v>
      </c>
      <c r="F28" s="51">
        <v>49278678797985</v>
      </c>
      <c r="G28" s="51">
        <v>9982303924775</v>
      </c>
      <c r="H28" s="51">
        <v>27063145130840</v>
      </c>
      <c r="I28" s="51">
        <v>37045449055615</v>
      </c>
      <c r="J28" s="51">
        <v>12233229742370</v>
      </c>
      <c r="K28" s="13">
        <v>17000000000</v>
      </c>
      <c r="L28" s="50">
        <v>29299080126225</v>
      </c>
      <c r="M28" s="50">
        <v>25718122628380</v>
      </c>
      <c r="N28" s="50">
        <v>3632451919005</v>
      </c>
      <c r="O28" s="50">
        <v>-1459130852270</v>
      </c>
      <c r="P28" s="50">
        <v>0</v>
      </c>
      <c r="Q28" s="51">
        <v>1730</v>
      </c>
      <c r="R28" s="51">
        <f t="shared" si="0"/>
        <v>4.9366037308962953</v>
      </c>
      <c r="S28" s="51">
        <f t="shared" si="1"/>
        <v>2.2122649292775347</v>
      </c>
      <c r="T28" s="51">
        <f t="shared" si="2"/>
        <v>-2.9609780291627131E-2</v>
      </c>
      <c r="U28" s="51">
        <f t="shared" si="3"/>
        <v>-0.11927601156841479</v>
      </c>
      <c r="V28" s="51">
        <f t="shared" si="4"/>
        <v>-4.9801251301537015E-2</v>
      </c>
      <c r="W28" s="51">
        <f t="shared" si="5"/>
        <v>0</v>
      </c>
      <c r="X28" s="51">
        <f t="shared" si="6"/>
        <v>0</v>
      </c>
      <c r="Y28" s="58">
        <f t="shared" si="7"/>
        <v>-20.155834519053762</v>
      </c>
      <c r="Z28" s="58">
        <f t="shared" si="8"/>
        <v>2.4041075512657106</v>
      </c>
      <c r="AA28" s="59">
        <v>2</v>
      </c>
    </row>
    <row r="29" spans="1:27">
      <c r="K29" s="51"/>
      <c r="Q29" s="51"/>
      <c r="R29" s="51"/>
      <c r="S29" s="51"/>
      <c r="W29" s="53"/>
      <c r="X29" s="53"/>
      <c r="Y29" s="58"/>
      <c r="Z29" s="58"/>
      <c r="AA29" s="60"/>
    </row>
    <row r="30" spans="1:27">
      <c r="K30" s="51"/>
      <c r="Q30" s="51"/>
      <c r="R30" s="51"/>
      <c r="S30" s="51"/>
      <c r="W30" s="53"/>
      <c r="X30" s="53"/>
      <c r="Y30" s="58"/>
      <c r="Z30" s="58"/>
      <c r="AA30" s="60"/>
    </row>
    <row r="31" spans="1:27">
      <c r="K31" s="51"/>
      <c r="Q31" s="51"/>
      <c r="R31" s="51"/>
      <c r="S31" s="51"/>
      <c r="W31" s="53"/>
      <c r="X31" s="53"/>
      <c r="Y31" s="58"/>
      <c r="Z31" s="58"/>
      <c r="AA31" s="60"/>
    </row>
    <row r="32" spans="1:27">
      <c r="K32" s="51"/>
      <c r="Q32" s="51"/>
      <c r="R32" s="51"/>
      <c r="S32" s="51"/>
      <c r="W32" s="53"/>
      <c r="X32" s="53"/>
      <c r="Y32" s="58"/>
      <c r="Z32" s="58"/>
      <c r="AA32" s="60"/>
    </row>
    <row r="33" spans="4:27">
      <c r="K33" s="51"/>
      <c r="Q33" s="51"/>
      <c r="R33" s="51"/>
      <c r="S33" s="51"/>
      <c r="W33" s="53"/>
      <c r="X33" s="53"/>
      <c r="Y33" s="58"/>
      <c r="Z33" s="58"/>
      <c r="AA33" s="60"/>
    </row>
    <row r="34" spans="4:27">
      <c r="K34" s="51"/>
      <c r="Q34" s="51"/>
      <c r="R34" s="51"/>
      <c r="S34" s="51"/>
      <c r="W34" s="53"/>
      <c r="X34" s="53"/>
      <c r="Y34" s="58"/>
      <c r="Z34" s="58"/>
      <c r="AA34" s="60"/>
    </row>
    <row r="35" spans="4:27">
      <c r="D35" s="49"/>
      <c r="K35" s="51"/>
      <c r="Q35" s="51"/>
      <c r="R35" s="51"/>
      <c r="S35" s="51"/>
      <c r="W35" s="53"/>
      <c r="X35" s="53"/>
      <c r="Y35" s="58"/>
      <c r="Z35" s="58"/>
      <c r="AA35" s="60"/>
    </row>
    <row r="36" spans="4:27">
      <c r="K36" s="51"/>
      <c r="Q36" s="51"/>
      <c r="R36" s="51"/>
      <c r="S36" s="51"/>
      <c r="W36" s="53"/>
      <c r="X36" s="53"/>
      <c r="Y36" s="58"/>
      <c r="Z36" s="58"/>
      <c r="AA36" s="60"/>
    </row>
    <row r="37" spans="4:27">
      <c r="K37" s="51"/>
      <c r="Q37" s="51"/>
      <c r="R37" s="51"/>
      <c r="S37" s="51"/>
      <c r="W37" s="53"/>
      <c r="X37" s="53"/>
      <c r="Y37" s="58"/>
      <c r="Z37" s="58"/>
      <c r="AA37" s="60"/>
    </row>
    <row r="38" spans="4:27">
      <c r="K38" s="51"/>
      <c r="Q38" s="51"/>
      <c r="R38" s="51"/>
      <c r="S38" s="51"/>
      <c r="W38" s="53"/>
      <c r="X38" s="53"/>
      <c r="Y38" s="58"/>
      <c r="Z38" s="58"/>
      <c r="AA38" s="60"/>
    </row>
    <row r="39" spans="4:27">
      <c r="K39" s="51"/>
      <c r="Q39" s="51"/>
      <c r="R39" s="51"/>
      <c r="S39" s="51"/>
      <c r="W39" s="53"/>
      <c r="X39" s="53"/>
      <c r="Y39" s="58"/>
      <c r="Z39" s="58"/>
      <c r="AA39" s="60"/>
    </row>
    <row r="40" spans="4:27">
      <c r="K40" s="51"/>
      <c r="Q40" s="51"/>
      <c r="R40" s="51"/>
      <c r="S40" s="51"/>
      <c r="W40" s="53"/>
      <c r="X40" s="53"/>
      <c r="Y40" s="58"/>
      <c r="Z40" s="58"/>
      <c r="AA40" s="60"/>
    </row>
    <row r="41" spans="4:27">
      <c r="K41" s="51"/>
      <c r="Q41" s="51"/>
      <c r="R41" s="51"/>
      <c r="S41" s="51"/>
      <c r="W41" s="53"/>
      <c r="X41" s="53"/>
      <c r="Y41" s="58"/>
      <c r="Z41" s="58"/>
      <c r="AA41" s="60"/>
    </row>
    <row r="42" spans="4:27">
      <c r="K42" s="51"/>
      <c r="Q42" s="51"/>
      <c r="R42" s="51"/>
      <c r="S42" s="51"/>
      <c r="W42" s="53"/>
      <c r="X42" s="53"/>
      <c r="Y42" s="58"/>
      <c r="Z42" s="58"/>
      <c r="AA42" s="60"/>
    </row>
    <row r="43" spans="4:27">
      <c r="K43" s="51"/>
      <c r="Q43" s="51"/>
      <c r="R43" s="51"/>
      <c r="S43" s="51"/>
      <c r="W43" s="53"/>
      <c r="X43" s="53"/>
      <c r="Y43" s="58"/>
      <c r="Z43" s="58"/>
      <c r="AA43" s="60"/>
    </row>
    <row r="44" spans="4:27">
      <c r="K44" s="51"/>
      <c r="Q44" s="51"/>
      <c r="R44" s="51"/>
      <c r="S44" s="51"/>
      <c r="W44" s="53"/>
      <c r="X44" s="53"/>
      <c r="Y44" s="58"/>
      <c r="Z44" s="58"/>
      <c r="AA44" s="60"/>
    </row>
    <row r="45" spans="4:27">
      <c r="K45" s="51"/>
      <c r="Q45" s="51"/>
      <c r="R45" s="51"/>
      <c r="S45" s="51"/>
      <c r="W45" s="53"/>
      <c r="X45" s="53"/>
      <c r="Y45" s="58"/>
      <c r="Z45" s="58"/>
      <c r="AA45" s="60"/>
    </row>
    <row r="46" spans="4:27">
      <c r="K46" s="51"/>
      <c r="Q46" s="51"/>
      <c r="R46" s="51"/>
      <c r="S46" s="51"/>
      <c r="W46" s="53"/>
      <c r="X46" s="53"/>
      <c r="Y46" s="58"/>
      <c r="Z46" s="58"/>
      <c r="AA46" s="60"/>
    </row>
    <row r="47" spans="4:27">
      <c r="K47" s="51"/>
      <c r="Q47" s="51"/>
      <c r="R47" s="51"/>
      <c r="S47" s="51"/>
      <c r="W47" s="53"/>
      <c r="X47" s="53"/>
      <c r="Y47" s="58"/>
      <c r="Z47" s="58"/>
      <c r="AA47" s="60"/>
    </row>
    <row r="48" spans="4:27">
      <c r="K48" s="51"/>
      <c r="Q48" s="51"/>
      <c r="R48" s="51"/>
      <c r="S48" s="51"/>
      <c r="W48" s="53"/>
      <c r="X48" s="53"/>
      <c r="Y48" s="58"/>
      <c r="Z48" s="58"/>
      <c r="AA48" s="60"/>
    </row>
    <row r="49" spans="11:27">
      <c r="K49" s="51"/>
      <c r="Q49" s="51"/>
      <c r="R49" s="51"/>
      <c r="S49" s="51"/>
      <c r="W49" s="53"/>
      <c r="X49" s="53"/>
      <c r="Y49" s="58"/>
      <c r="Z49" s="58"/>
      <c r="AA49" s="60"/>
    </row>
    <row r="50" spans="11:27">
      <c r="K50" s="51"/>
      <c r="Q50" s="51"/>
      <c r="R50" s="51"/>
      <c r="S50" s="51"/>
      <c r="W50" s="53"/>
      <c r="X50" s="53"/>
      <c r="Y50" s="58"/>
      <c r="Z50" s="58"/>
      <c r="AA50" s="60"/>
    </row>
    <row r="51" spans="11:27">
      <c r="K51" s="51"/>
      <c r="Q51" s="51"/>
      <c r="R51" s="51"/>
      <c r="S51" s="51"/>
      <c r="W51" s="53"/>
      <c r="X51" s="53"/>
      <c r="Y51" s="58"/>
      <c r="Z51" s="58"/>
      <c r="AA51" s="60"/>
    </row>
    <row r="52" spans="11:27">
      <c r="K52" s="51"/>
      <c r="Q52" s="51"/>
      <c r="R52" s="51"/>
      <c r="S52" s="51"/>
      <c r="W52" s="53"/>
      <c r="X52" s="53"/>
      <c r="Y52" s="58"/>
      <c r="Z52" s="58"/>
      <c r="AA52" s="60"/>
    </row>
    <row r="53" spans="11:27">
      <c r="K53" s="51"/>
      <c r="Q53" s="51"/>
      <c r="R53" s="51"/>
      <c r="S53" s="51"/>
      <c r="W53" s="53"/>
      <c r="X53" s="53"/>
      <c r="Y53" s="58"/>
      <c r="Z53" s="58"/>
      <c r="AA53" s="60"/>
    </row>
    <row r="54" spans="11:27">
      <c r="K54" s="51"/>
      <c r="Q54" s="51"/>
      <c r="R54" s="51"/>
      <c r="S54" s="51"/>
      <c r="W54" s="53"/>
      <c r="X54" s="53"/>
      <c r="Y54" s="58"/>
      <c r="Z54" s="58"/>
      <c r="AA54" s="60"/>
    </row>
    <row r="55" spans="11:27">
      <c r="K55" s="51"/>
      <c r="Q55" s="51"/>
      <c r="R55" s="51"/>
      <c r="S55" s="51"/>
      <c r="W55" s="53"/>
      <c r="X55" s="53"/>
      <c r="Y55" s="58"/>
      <c r="Z55" s="58"/>
      <c r="AA55" s="60"/>
    </row>
    <row r="56" spans="11:27">
      <c r="K56" s="51"/>
      <c r="Q56" s="51"/>
      <c r="R56" s="51"/>
      <c r="S56" s="51"/>
      <c r="W56" s="53"/>
      <c r="X56" s="53"/>
      <c r="Y56" s="58"/>
      <c r="Z56" s="58"/>
      <c r="AA56" s="60"/>
    </row>
    <row r="57" spans="11:27">
      <c r="K57" s="51"/>
      <c r="Q57" s="51"/>
      <c r="R57" s="51"/>
      <c r="S57" s="51"/>
      <c r="W57" s="53"/>
      <c r="X57" s="53"/>
      <c r="Y57" s="58"/>
      <c r="Z57" s="58"/>
      <c r="AA57" s="60"/>
    </row>
    <row r="58" spans="11:27">
      <c r="K58" s="51"/>
      <c r="Q58" s="51"/>
      <c r="R58" s="51"/>
      <c r="S58" s="51"/>
      <c r="W58" s="53"/>
      <c r="X58" s="53"/>
      <c r="Y58" s="58"/>
      <c r="Z58" s="58"/>
      <c r="AA58" s="60"/>
    </row>
    <row r="59" spans="11:27">
      <c r="K59" s="51"/>
      <c r="Q59" s="51"/>
      <c r="R59" s="51"/>
      <c r="S59" s="51"/>
      <c r="W59" s="53"/>
      <c r="X59" s="53"/>
      <c r="Y59" s="58"/>
      <c r="Z59" s="58"/>
      <c r="AA59" s="60"/>
    </row>
    <row r="60" spans="11:27">
      <c r="K60" s="51"/>
      <c r="Q60" s="51"/>
      <c r="R60" s="51"/>
      <c r="S60" s="51"/>
      <c r="W60" s="53"/>
      <c r="X60" s="53"/>
      <c r="Y60" s="58"/>
      <c r="Z60" s="58"/>
      <c r="AA60" s="60"/>
    </row>
    <row r="61" spans="11:27">
      <c r="K61" s="51"/>
      <c r="Q61" s="51"/>
      <c r="R61" s="51"/>
      <c r="S61" s="51"/>
      <c r="W61" s="53"/>
      <c r="X61" s="53"/>
      <c r="Y61" s="58"/>
      <c r="Z61" s="58"/>
      <c r="AA61" s="60"/>
    </row>
    <row r="62" spans="11:27">
      <c r="K62" s="51"/>
      <c r="Q62" s="51"/>
      <c r="R62" s="51"/>
      <c r="S62" s="51"/>
      <c r="W62" s="53"/>
      <c r="X62" s="53"/>
      <c r="Y62" s="58"/>
      <c r="Z62" s="58"/>
      <c r="AA62" s="60"/>
    </row>
    <row r="63" spans="11:27">
      <c r="K63" s="51"/>
      <c r="Q63" s="51"/>
      <c r="R63" s="51"/>
      <c r="S63" s="51"/>
      <c r="W63" s="53"/>
      <c r="X63" s="53"/>
      <c r="Y63" s="58"/>
      <c r="Z63" s="58"/>
      <c r="AA63" s="60"/>
    </row>
    <row r="64" spans="11:27">
      <c r="K64" s="51"/>
      <c r="Q64" s="51"/>
      <c r="R64" s="51"/>
      <c r="S64" s="51"/>
      <c r="W64" s="53"/>
      <c r="X64" s="53"/>
      <c r="Y64" s="58"/>
      <c r="Z64" s="58"/>
      <c r="AA64" s="60"/>
    </row>
    <row r="65" spans="11:27">
      <c r="K65" s="51"/>
      <c r="Q65" s="51"/>
      <c r="R65" s="51"/>
      <c r="S65" s="51"/>
      <c r="W65" s="53"/>
      <c r="X65" s="53"/>
      <c r="Y65" s="58"/>
      <c r="Z65" s="58"/>
      <c r="AA65" s="60"/>
    </row>
    <row r="66" spans="11:27">
      <c r="K66" s="51"/>
      <c r="Q66" s="51"/>
      <c r="R66" s="51"/>
      <c r="S66" s="51"/>
      <c r="W66" s="53"/>
      <c r="X66" s="53"/>
      <c r="Y66" s="58"/>
      <c r="Z66" s="58"/>
      <c r="AA66" s="60"/>
    </row>
    <row r="67" spans="11:27">
      <c r="K67" s="51"/>
      <c r="Q67" s="51"/>
      <c r="R67" s="51"/>
      <c r="S67" s="51"/>
      <c r="W67" s="53"/>
      <c r="X67" s="53"/>
      <c r="Y67" s="58"/>
      <c r="Z67" s="58"/>
      <c r="AA67" s="60"/>
    </row>
    <row r="68" spans="11:27">
      <c r="K68" s="51"/>
      <c r="Q68" s="51"/>
      <c r="R68" s="51"/>
      <c r="S68" s="51"/>
      <c r="W68" s="53"/>
      <c r="X68" s="53"/>
      <c r="Y68" s="58"/>
      <c r="Z68" s="58"/>
      <c r="AA68" s="60"/>
    </row>
    <row r="69" spans="11:27">
      <c r="K69" s="51"/>
      <c r="Q69" s="51"/>
      <c r="R69" s="51"/>
      <c r="S69" s="51"/>
      <c r="W69" s="53"/>
      <c r="X69" s="53"/>
      <c r="Y69" s="58"/>
      <c r="Z69" s="58"/>
      <c r="AA69" s="60"/>
    </row>
    <row r="70" spans="11:27">
      <c r="K70" s="51"/>
      <c r="Q70" s="51"/>
      <c r="R70" s="51"/>
      <c r="S70" s="51"/>
      <c r="W70" s="53"/>
      <c r="X70" s="53"/>
      <c r="Y70" s="58"/>
      <c r="Z70" s="58"/>
      <c r="AA70" s="60"/>
    </row>
    <row r="71" spans="11:27">
      <c r="K71" s="51"/>
      <c r="Q71" s="51"/>
      <c r="R71" s="51"/>
      <c r="S71" s="51"/>
      <c r="W71" s="53"/>
      <c r="X71" s="53"/>
      <c r="Y71" s="58"/>
      <c r="Z71" s="58"/>
      <c r="AA71" s="60"/>
    </row>
    <row r="72" spans="11:27">
      <c r="K72" s="51"/>
      <c r="Q72" s="51"/>
      <c r="R72" s="51"/>
      <c r="S72" s="51"/>
      <c r="W72" s="53"/>
      <c r="X72" s="53"/>
      <c r="Y72" s="58"/>
      <c r="Z72" s="58"/>
      <c r="AA72" s="60"/>
    </row>
    <row r="73" spans="11:27">
      <c r="K73" s="51"/>
      <c r="Q73" s="51"/>
      <c r="R73" s="51"/>
      <c r="S73" s="51"/>
      <c r="W73" s="53"/>
      <c r="X73" s="53"/>
      <c r="Y73" s="58"/>
      <c r="Z73" s="58"/>
      <c r="AA73" s="60"/>
    </row>
    <row r="74" spans="11:27">
      <c r="K74" s="51"/>
      <c r="Q74" s="51"/>
      <c r="R74" s="51"/>
      <c r="S74" s="51"/>
      <c r="W74" s="53"/>
      <c r="X74" s="53"/>
      <c r="Y74" s="58"/>
      <c r="Z74" s="58"/>
      <c r="AA74" s="60"/>
    </row>
    <row r="75" spans="11:27">
      <c r="K75" s="51"/>
      <c r="Q75" s="51"/>
      <c r="R75" s="51"/>
      <c r="S75" s="51"/>
      <c r="W75" s="53"/>
      <c r="X75" s="53"/>
      <c r="Y75" s="58"/>
      <c r="Z75" s="58"/>
      <c r="AA75" s="60"/>
    </row>
    <row r="76" spans="11:27">
      <c r="K76" s="51"/>
      <c r="Q76" s="51"/>
      <c r="R76" s="51"/>
      <c r="S76" s="51"/>
      <c r="W76" s="53"/>
      <c r="X76" s="53"/>
      <c r="Y76" s="58"/>
      <c r="Z76" s="58"/>
      <c r="AA76" s="60"/>
    </row>
    <row r="77" spans="11:27">
      <c r="K77" s="51"/>
      <c r="Q77" s="51"/>
      <c r="R77" s="51"/>
      <c r="S77" s="51"/>
      <c r="W77" s="53"/>
      <c r="X77" s="53"/>
      <c r="Y77" s="58"/>
      <c r="Z77" s="58"/>
      <c r="AA77" s="60"/>
    </row>
    <row r="78" spans="11:27">
      <c r="K78" s="51"/>
      <c r="Q78" s="51"/>
      <c r="R78" s="51"/>
      <c r="S78" s="51"/>
      <c r="W78" s="53"/>
      <c r="X78" s="53"/>
      <c r="Y78" s="58"/>
      <c r="Z78" s="58"/>
      <c r="AA78" s="60"/>
    </row>
    <row r="79" spans="11:27">
      <c r="K79" s="51"/>
      <c r="Q79" s="51"/>
      <c r="R79" s="51"/>
      <c r="S79" s="51"/>
      <c r="W79" s="53"/>
      <c r="X79" s="53"/>
      <c r="Y79" s="58"/>
      <c r="Z79" s="58"/>
      <c r="AA79" s="60"/>
    </row>
    <row r="80" spans="11:27">
      <c r="K80" s="51"/>
      <c r="Q80" s="51"/>
      <c r="R80" s="51"/>
      <c r="S80" s="51"/>
      <c r="W80" s="53"/>
      <c r="X80" s="53"/>
      <c r="Y80" s="58"/>
      <c r="Z80" s="58"/>
      <c r="AA80" s="60"/>
    </row>
    <row r="81" spans="11:27">
      <c r="K81" s="51"/>
      <c r="Q81" s="51"/>
      <c r="R81" s="51"/>
      <c r="S81" s="51"/>
      <c r="W81" s="53"/>
      <c r="X81" s="53"/>
      <c r="Y81" s="58"/>
      <c r="Z81" s="58"/>
      <c r="AA81" s="60"/>
    </row>
    <row r="82" spans="11:27">
      <c r="K82" s="51"/>
      <c r="Q82" s="51"/>
      <c r="R82" s="51"/>
      <c r="S82" s="51"/>
      <c r="W82" s="53"/>
      <c r="X82" s="53"/>
      <c r="Y82" s="58"/>
      <c r="Z82" s="58"/>
      <c r="AA82" s="60"/>
    </row>
    <row r="83" spans="11:27">
      <c r="K83" s="51"/>
      <c r="Q83" s="51"/>
      <c r="R83" s="51"/>
      <c r="S83" s="51"/>
      <c r="W83" s="53"/>
      <c r="X83" s="53"/>
      <c r="Y83" s="58"/>
      <c r="Z83" s="58"/>
      <c r="AA83" s="60"/>
    </row>
    <row r="84" spans="11:27">
      <c r="K84" s="51"/>
      <c r="Q84" s="51"/>
      <c r="R84" s="51"/>
      <c r="S84" s="51"/>
      <c r="W84" s="53"/>
      <c r="X84" s="53"/>
      <c r="Y84" s="58"/>
      <c r="Z84" s="58"/>
      <c r="AA84" s="60"/>
    </row>
    <row r="85" spans="11:27">
      <c r="K85" s="51"/>
      <c r="Q85" s="51"/>
      <c r="R85" s="51"/>
      <c r="S85" s="51"/>
      <c r="W85" s="53"/>
      <c r="X85" s="53"/>
      <c r="Y85" s="58"/>
      <c r="Z85" s="58"/>
      <c r="AA85" s="60"/>
    </row>
    <row r="86" spans="11:27">
      <c r="K86" s="51"/>
      <c r="Q86" s="51"/>
      <c r="R86" s="51"/>
      <c r="S86" s="51"/>
      <c r="W86" s="53"/>
      <c r="X86" s="53"/>
      <c r="Y86" s="58"/>
      <c r="Z86" s="58"/>
      <c r="AA86" s="60"/>
    </row>
    <row r="87" spans="11:27">
      <c r="K87" s="51"/>
      <c r="Q87" s="51"/>
      <c r="R87" s="51"/>
      <c r="S87" s="51"/>
      <c r="W87" s="53"/>
      <c r="X87" s="53"/>
      <c r="Y87" s="58"/>
      <c r="Z87" s="58"/>
      <c r="AA87" s="60"/>
    </row>
    <row r="88" spans="11:27">
      <c r="K88" s="51"/>
      <c r="Q88" s="51"/>
      <c r="R88" s="51"/>
      <c r="S88" s="51"/>
      <c r="W88" s="53"/>
      <c r="X88" s="53"/>
      <c r="Y88" s="58"/>
      <c r="Z88" s="58"/>
      <c r="AA88" s="60"/>
    </row>
    <row r="89" spans="11:27">
      <c r="K89" s="51"/>
      <c r="Q89" s="51"/>
      <c r="R89" s="51"/>
      <c r="S89" s="51"/>
      <c r="W89" s="53"/>
      <c r="X89" s="53"/>
      <c r="Y89" s="58"/>
      <c r="Z89" s="58"/>
      <c r="AA89" s="60"/>
    </row>
    <row r="90" spans="11:27">
      <c r="K90" s="51"/>
      <c r="Q90" s="51"/>
      <c r="R90" s="51"/>
      <c r="S90" s="51"/>
      <c r="W90" s="53"/>
      <c r="X90" s="53"/>
      <c r="Y90" s="58"/>
      <c r="Z90" s="58"/>
      <c r="AA90" s="60"/>
    </row>
    <row r="91" spans="11:27">
      <c r="K91" s="51"/>
      <c r="Q91" s="51"/>
      <c r="R91" s="51"/>
      <c r="S91" s="51"/>
      <c r="W91" s="53"/>
      <c r="X91" s="53"/>
      <c r="Y91" s="58"/>
      <c r="Z91" s="58"/>
      <c r="AA91" s="60"/>
    </row>
    <row r="92" spans="11:27">
      <c r="K92" s="51"/>
      <c r="Q92" s="51"/>
      <c r="R92" s="51"/>
      <c r="S92" s="51"/>
      <c r="W92" s="53"/>
      <c r="X92" s="53"/>
      <c r="Y92" s="58"/>
      <c r="Z92" s="58"/>
      <c r="AA92" s="60"/>
    </row>
    <row r="93" spans="11:27">
      <c r="K93" s="51"/>
      <c r="Q93" s="51"/>
      <c r="R93" s="51"/>
      <c r="S93" s="51"/>
      <c r="W93" s="53"/>
      <c r="X93" s="53"/>
      <c r="Y93" s="58"/>
      <c r="Z93" s="58"/>
      <c r="AA93" s="60"/>
    </row>
    <row r="94" spans="11:27">
      <c r="K94" s="51"/>
      <c r="Q94" s="51"/>
      <c r="R94" s="51"/>
      <c r="S94" s="51"/>
      <c r="W94" s="53"/>
      <c r="X94" s="53"/>
      <c r="Y94" s="58"/>
      <c r="Z94" s="58"/>
      <c r="AA94" s="60"/>
    </row>
    <row r="95" spans="11:27">
      <c r="K95" s="51"/>
      <c r="Q95" s="51"/>
      <c r="R95" s="51"/>
      <c r="S95" s="51"/>
      <c r="W95" s="53"/>
      <c r="X95" s="53"/>
      <c r="Y95" s="58"/>
      <c r="Z95" s="58"/>
      <c r="AA95" s="60"/>
    </row>
    <row r="96" spans="11:27">
      <c r="K96" s="51"/>
      <c r="Q96" s="51"/>
      <c r="R96" s="51"/>
      <c r="S96" s="51"/>
      <c r="W96" s="53"/>
      <c r="X96" s="53"/>
      <c r="Y96" s="58"/>
      <c r="Z96" s="58"/>
      <c r="AA96" s="60"/>
    </row>
    <row r="97" spans="11:27">
      <c r="K97" s="51"/>
      <c r="Q97" s="51"/>
      <c r="R97" s="51"/>
      <c r="S97" s="51"/>
      <c r="W97" s="53"/>
      <c r="X97" s="53"/>
      <c r="Y97" s="58"/>
      <c r="Z97" s="58"/>
      <c r="AA97" s="60"/>
    </row>
    <row r="98" spans="11:27">
      <c r="K98" s="51"/>
      <c r="Q98" s="51"/>
      <c r="R98" s="51"/>
      <c r="S98" s="51"/>
      <c r="W98" s="53"/>
      <c r="X98" s="53"/>
      <c r="Y98" s="58"/>
      <c r="Z98" s="58"/>
      <c r="AA98" s="60"/>
    </row>
    <row r="99" spans="11:27">
      <c r="K99" s="51"/>
      <c r="Q99" s="51"/>
      <c r="R99" s="51"/>
      <c r="S99" s="51"/>
      <c r="W99" s="53"/>
      <c r="X99" s="53"/>
      <c r="Y99" s="58"/>
      <c r="Z99" s="58"/>
      <c r="AA99" s="60"/>
    </row>
    <row r="100" spans="11:27">
      <c r="K100" s="51"/>
      <c r="Q100" s="51"/>
      <c r="R100" s="51"/>
      <c r="S100" s="51"/>
      <c r="W100" s="53"/>
      <c r="X100" s="53"/>
      <c r="Y100" s="58"/>
      <c r="Z100" s="58"/>
      <c r="AA100" s="60"/>
    </row>
    <row r="101" spans="11:27">
      <c r="K101" s="51"/>
      <c r="Q101" s="51"/>
      <c r="R101" s="51"/>
      <c r="S101" s="51"/>
      <c r="W101" s="53"/>
      <c r="X101" s="53"/>
      <c r="Y101" s="58"/>
      <c r="Z101" s="58"/>
      <c r="AA101" s="60"/>
    </row>
    <row r="102" spans="11:27">
      <c r="K102" s="51"/>
      <c r="Q102" s="51"/>
      <c r="R102" s="51"/>
      <c r="S102" s="51"/>
      <c r="W102" s="53"/>
      <c r="X102" s="53"/>
      <c r="Y102" s="58"/>
      <c r="Z102" s="58"/>
      <c r="AA102" s="60"/>
    </row>
    <row r="103" spans="11:27">
      <c r="K103" s="51"/>
      <c r="Q103" s="51"/>
      <c r="R103" s="51"/>
      <c r="S103" s="51"/>
      <c r="W103" s="53"/>
      <c r="X103" s="53"/>
      <c r="Y103" s="58"/>
      <c r="Z103" s="58"/>
      <c r="AA103" s="60"/>
    </row>
    <row r="104" spans="11:27">
      <c r="K104" s="51"/>
      <c r="Q104" s="51"/>
      <c r="R104" s="51"/>
      <c r="S104" s="51"/>
      <c r="W104" s="53"/>
      <c r="X104" s="53"/>
      <c r="Y104" s="58"/>
      <c r="Z104" s="58"/>
      <c r="AA104" s="60"/>
    </row>
    <row r="105" spans="11:27">
      <c r="K105" s="51"/>
      <c r="Q105" s="51"/>
      <c r="R105" s="51"/>
      <c r="S105" s="51"/>
      <c r="W105" s="53"/>
      <c r="X105" s="53"/>
      <c r="Y105" s="58"/>
      <c r="Z105" s="58"/>
      <c r="AA105" s="60"/>
    </row>
    <row r="106" spans="11:27">
      <c r="K106" s="51"/>
      <c r="Q106" s="51"/>
      <c r="R106" s="51"/>
      <c r="S106" s="51"/>
      <c r="W106" s="53"/>
      <c r="X106" s="53"/>
      <c r="Y106" s="58"/>
      <c r="Z106" s="58"/>
      <c r="AA106" s="60"/>
    </row>
    <row r="107" spans="11:27">
      <c r="K107" s="51"/>
      <c r="Q107" s="51"/>
      <c r="R107" s="51"/>
      <c r="S107" s="51"/>
      <c r="W107" s="53"/>
      <c r="X107" s="53"/>
      <c r="Y107" s="58"/>
      <c r="Z107" s="58"/>
      <c r="AA107" s="60"/>
    </row>
    <row r="108" spans="11:27">
      <c r="K108" s="51"/>
      <c r="Q108" s="51"/>
      <c r="R108" s="51"/>
      <c r="S108" s="51"/>
      <c r="W108" s="53"/>
      <c r="X108" s="53"/>
      <c r="Y108" s="58"/>
      <c r="Z108" s="58"/>
      <c r="AA108" s="60"/>
    </row>
    <row r="109" spans="11:27">
      <c r="K109" s="51"/>
      <c r="Q109" s="51"/>
      <c r="R109" s="51"/>
      <c r="S109" s="51"/>
      <c r="W109" s="53"/>
      <c r="X109" s="53"/>
      <c r="Y109" s="58"/>
      <c r="Z109" s="58"/>
      <c r="AA109" s="60"/>
    </row>
    <row r="110" spans="11:27">
      <c r="K110" s="51"/>
      <c r="Q110" s="51"/>
      <c r="R110" s="51"/>
      <c r="S110" s="51"/>
      <c r="W110" s="53"/>
      <c r="X110" s="53"/>
      <c r="Y110" s="58"/>
      <c r="Z110" s="58"/>
      <c r="AA110" s="60"/>
    </row>
    <row r="111" spans="11:27">
      <c r="K111" s="51"/>
      <c r="Q111" s="51"/>
      <c r="R111" s="51"/>
      <c r="S111" s="51"/>
      <c r="W111" s="53"/>
      <c r="X111" s="53"/>
      <c r="Y111" s="58"/>
      <c r="Z111" s="58"/>
      <c r="AA111" s="60"/>
    </row>
    <row r="112" spans="11:27">
      <c r="K112" s="51"/>
      <c r="Q112" s="51"/>
      <c r="R112" s="51"/>
      <c r="S112" s="51"/>
      <c r="W112" s="53"/>
      <c r="X112" s="53"/>
      <c r="Y112" s="58"/>
      <c r="Z112" s="58"/>
      <c r="AA112" s="60"/>
    </row>
    <row r="113" spans="11:27">
      <c r="K113" s="51"/>
      <c r="Q113" s="51"/>
      <c r="R113" s="51"/>
      <c r="S113" s="51"/>
      <c r="W113" s="53"/>
      <c r="X113" s="53"/>
      <c r="Y113" s="58"/>
      <c r="Z113" s="58"/>
      <c r="AA113" s="60"/>
    </row>
    <row r="114" spans="11:27">
      <c r="K114" s="51"/>
      <c r="Q114" s="51"/>
      <c r="R114" s="51"/>
      <c r="S114" s="51"/>
      <c r="W114" s="53"/>
      <c r="X114" s="53"/>
      <c r="Y114" s="58"/>
      <c r="Z114" s="58"/>
      <c r="AA114" s="60"/>
    </row>
    <row r="115" spans="11:27">
      <c r="K115" s="51"/>
      <c r="Q115" s="51"/>
      <c r="R115" s="51"/>
      <c r="S115" s="51"/>
      <c r="W115" s="53"/>
      <c r="X115" s="53"/>
      <c r="Y115" s="58"/>
      <c r="Z115" s="58"/>
      <c r="AA115" s="60"/>
    </row>
    <row r="116" spans="11:27">
      <c r="K116" s="51"/>
      <c r="Q116" s="51"/>
      <c r="R116" s="51"/>
      <c r="S116" s="51"/>
      <c r="W116" s="53"/>
      <c r="X116" s="53"/>
      <c r="Y116" s="58"/>
      <c r="Z116" s="58"/>
      <c r="AA116" s="60"/>
    </row>
    <row r="117" spans="11:27">
      <c r="K117" s="51"/>
      <c r="Q117" s="51"/>
      <c r="R117" s="51"/>
      <c r="S117" s="51"/>
      <c r="W117" s="53"/>
      <c r="X117" s="53"/>
      <c r="Y117" s="58"/>
      <c r="Z117" s="58"/>
      <c r="AA117" s="60"/>
    </row>
    <row r="118" spans="11:27">
      <c r="K118" s="51"/>
      <c r="Q118" s="51"/>
      <c r="R118" s="51"/>
      <c r="S118" s="51"/>
      <c r="W118" s="53"/>
      <c r="X118" s="53"/>
      <c r="Y118" s="58"/>
      <c r="Z118" s="58"/>
      <c r="AA118" s="60"/>
    </row>
    <row r="119" spans="11:27">
      <c r="K119" s="51"/>
      <c r="Q119" s="51"/>
      <c r="R119" s="51"/>
      <c r="S119" s="51"/>
      <c r="W119" s="53"/>
      <c r="X119" s="53"/>
      <c r="Y119" s="58"/>
      <c r="Z119" s="58"/>
      <c r="AA119" s="60"/>
    </row>
    <row r="120" spans="11:27">
      <c r="K120" s="51"/>
      <c r="Q120" s="51"/>
      <c r="R120" s="51"/>
      <c r="S120" s="51"/>
      <c r="W120" s="53"/>
      <c r="X120" s="53"/>
      <c r="Y120" s="58"/>
      <c r="Z120" s="58"/>
      <c r="AA120" s="60"/>
    </row>
    <row r="121" spans="11:27">
      <c r="K121" s="51"/>
      <c r="Q121" s="51"/>
      <c r="R121" s="51"/>
      <c r="S121" s="51"/>
      <c r="W121" s="53"/>
      <c r="X121" s="53"/>
      <c r="Y121" s="58"/>
      <c r="Z121" s="58"/>
      <c r="AA121" s="60"/>
    </row>
    <row r="122" spans="11:27">
      <c r="K122" s="51"/>
      <c r="Q122" s="51"/>
      <c r="R122" s="51"/>
      <c r="S122" s="51"/>
      <c r="W122" s="53"/>
      <c r="X122" s="53"/>
      <c r="Y122" s="58"/>
      <c r="Z122" s="58"/>
      <c r="AA122" s="60"/>
    </row>
    <row r="123" spans="11:27">
      <c r="K123" s="51"/>
      <c r="Q123" s="51"/>
      <c r="R123" s="51"/>
      <c r="S123" s="51"/>
      <c r="W123" s="53"/>
      <c r="X123" s="53"/>
      <c r="Y123" s="58"/>
      <c r="Z123" s="58"/>
      <c r="AA123" s="60"/>
    </row>
    <row r="124" spans="11:27">
      <c r="K124" s="51"/>
      <c r="Q124" s="51"/>
      <c r="R124" s="51"/>
      <c r="S124" s="51"/>
      <c r="W124" s="53"/>
      <c r="X124" s="53"/>
      <c r="Y124" s="58"/>
      <c r="Z124" s="58"/>
      <c r="AA124" s="60"/>
    </row>
    <row r="125" spans="11:27">
      <c r="K125" s="51"/>
      <c r="Q125" s="51"/>
      <c r="R125" s="51"/>
      <c r="S125" s="51"/>
      <c r="W125" s="53"/>
      <c r="X125" s="53"/>
      <c r="Y125" s="58"/>
      <c r="Z125" s="58"/>
      <c r="AA125" s="60"/>
    </row>
    <row r="126" spans="11:27">
      <c r="K126" s="51"/>
      <c r="Q126" s="51"/>
      <c r="R126" s="51"/>
      <c r="S126" s="51"/>
      <c r="W126" s="53"/>
      <c r="X126" s="53"/>
      <c r="Y126" s="58"/>
      <c r="Z126" s="58"/>
      <c r="AA126" s="60"/>
    </row>
    <row r="127" spans="11:27">
      <c r="K127" s="51"/>
      <c r="Q127" s="51"/>
      <c r="R127" s="51"/>
      <c r="S127" s="51"/>
      <c r="W127" s="53"/>
      <c r="X127" s="53"/>
      <c r="Y127" s="58"/>
      <c r="Z127" s="58"/>
      <c r="AA127" s="60"/>
    </row>
    <row r="128" spans="11:27">
      <c r="K128" s="51"/>
      <c r="Q128" s="51"/>
      <c r="R128" s="51"/>
      <c r="S128" s="51"/>
      <c r="W128" s="53"/>
      <c r="X128" s="53"/>
      <c r="Y128" s="58"/>
      <c r="Z128" s="58"/>
      <c r="AA128" s="60"/>
    </row>
    <row r="129" spans="11:27">
      <c r="K129" s="51"/>
      <c r="Q129" s="51"/>
      <c r="R129" s="51"/>
      <c r="S129" s="51"/>
      <c r="W129" s="53"/>
      <c r="X129" s="53"/>
      <c r="Y129" s="58"/>
      <c r="Z129" s="58"/>
      <c r="AA129" s="60"/>
    </row>
    <row r="130" spans="11:27">
      <c r="K130" s="51"/>
      <c r="Q130" s="51"/>
      <c r="R130" s="51"/>
      <c r="S130" s="51"/>
      <c r="W130" s="53"/>
      <c r="X130" s="53"/>
      <c r="Y130" s="58"/>
      <c r="Z130" s="58"/>
      <c r="AA130" s="60"/>
    </row>
    <row r="131" spans="11:27">
      <c r="K131" s="51"/>
      <c r="Q131" s="51"/>
      <c r="R131" s="51"/>
      <c r="S131" s="51"/>
      <c r="W131" s="53"/>
      <c r="X131" s="53"/>
      <c r="Y131" s="58"/>
      <c r="Z131" s="58"/>
      <c r="AA131" s="60"/>
    </row>
    <row r="132" spans="11:27">
      <c r="K132" s="51"/>
      <c r="Q132" s="51"/>
      <c r="R132" s="51"/>
      <c r="S132" s="51"/>
      <c r="W132" s="53"/>
      <c r="X132" s="53"/>
      <c r="Y132" s="58"/>
      <c r="Z132" s="58"/>
      <c r="AA132" s="60"/>
    </row>
    <row r="133" spans="11:27">
      <c r="K133" s="51"/>
      <c r="Q133" s="51"/>
      <c r="R133" s="51"/>
      <c r="S133" s="51"/>
      <c r="W133" s="53"/>
      <c r="X133" s="53"/>
      <c r="Y133" s="58"/>
      <c r="Z133" s="58"/>
      <c r="AA133" s="60"/>
    </row>
    <row r="134" spans="11:27">
      <c r="K134" s="51"/>
      <c r="Q134" s="51"/>
      <c r="R134" s="51"/>
      <c r="S134" s="51"/>
      <c r="W134" s="53"/>
      <c r="X134" s="53"/>
      <c r="Y134" s="58"/>
      <c r="Z134" s="58"/>
      <c r="AA134" s="60"/>
    </row>
    <row r="135" spans="11:27">
      <c r="K135" s="51"/>
      <c r="Q135" s="51"/>
      <c r="R135" s="51"/>
      <c r="S135" s="51"/>
      <c r="W135" s="53"/>
      <c r="X135" s="53"/>
      <c r="Y135" s="58"/>
      <c r="Z135" s="58"/>
      <c r="AA135" s="60"/>
    </row>
    <row r="136" spans="11:27">
      <c r="K136" s="51"/>
      <c r="Q136" s="51"/>
      <c r="R136" s="51"/>
      <c r="S136" s="51"/>
      <c r="W136" s="53"/>
      <c r="X136" s="53"/>
      <c r="Y136" s="58"/>
      <c r="Z136" s="58"/>
      <c r="AA136" s="60"/>
    </row>
    <row r="137" spans="11:27">
      <c r="K137" s="51"/>
      <c r="Q137" s="51"/>
      <c r="R137" s="51"/>
      <c r="S137" s="51"/>
      <c r="W137" s="53"/>
      <c r="X137" s="53"/>
      <c r="Y137" s="58"/>
      <c r="Z137" s="58"/>
      <c r="AA137" s="60"/>
    </row>
    <row r="138" spans="11:27">
      <c r="K138" s="51"/>
      <c r="Q138" s="51"/>
      <c r="R138" s="51"/>
      <c r="S138" s="51"/>
      <c r="W138" s="53"/>
      <c r="X138" s="53"/>
      <c r="Y138" s="58"/>
      <c r="Z138" s="58"/>
      <c r="AA138" s="60"/>
    </row>
    <row r="139" spans="11:27">
      <c r="K139" s="51"/>
      <c r="Q139" s="51"/>
      <c r="R139" s="51"/>
      <c r="S139" s="51"/>
      <c r="W139" s="53"/>
      <c r="X139" s="53"/>
      <c r="Y139" s="58"/>
      <c r="Z139" s="58"/>
      <c r="AA139" s="60"/>
    </row>
    <row r="140" spans="11:27">
      <c r="K140" s="51"/>
      <c r="Q140" s="51"/>
      <c r="R140" s="51"/>
      <c r="S140" s="51"/>
      <c r="W140" s="53"/>
      <c r="X140" s="53"/>
      <c r="Y140" s="58"/>
      <c r="Z140" s="58"/>
      <c r="AA140" s="60"/>
    </row>
    <row r="141" spans="11:27">
      <c r="K141" s="51"/>
      <c r="Q141" s="51"/>
      <c r="R141" s="51"/>
      <c r="S141" s="51"/>
      <c r="W141" s="53"/>
      <c r="X141" s="53"/>
      <c r="Y141" s="58"/>
      <c r="Z141" s="58"/>
      <c r="AA141" s="60"/>
    </row>
    <row r="142" spans="11:27">
      <c r="K142" s="51"/>
      <c r="Q142" s="51"/>
      <c r="R142" s="51"/>
      <c r="S142" s="51"/>
      <c r="W142" s="53"/>
      <c r="X142" s="53"/>
      <c r="Y142" s="58"/>
      <c r="Z142" s="58"/>
      <c r="AA142" s="60"/>
    </row>
    <row r="143" spans="11:27">
      <c r="K143" s="51"/>
      <c r="Q143" s="51"/>
      <c r="R143" s="51"/>
      <c r="S143" s="51"/>
      <c r="W143" s="53"/>
      <c r="X143" s="53"/>
      <c r="Y143" s="58"/>
      <c r="Z143" s="58"/>
      <c r="AA143" s="60"/>
    </row>
    <row r="144" spans="11:27">
      <c r="K144" s="51"/>
      <c r="Q144" s="51"/>
      <c r="R144" s="51"/>
      <c r="S144" s="51"/>
      <c r="W144" s="53"/>
      <c r="X144" s="53"/>
      <c r="Y144" s="58"/>
      <c r="Z144" s="58"/>
      <c r="AA144" s="60"/>
    </row>
    <row r="145" spans="11:27">
      <c r="K145" s="51"/>
      <c r="Q145" s="51"/>
      <c r="R145" s="51"/>
      <c r="S145" s="51"/>
      <c r="W145" s="53"/>
      <c r="X145" s="53"/>
      <c r="Y145" s="58"/>
      <c r="Z145" s="58"/>
      <c r="AA145" s="60"/>
    </row>
    <row r="146" spans="11:27">
      <c r="K146" s="51"/>
      <c r="Q146" s="51"/>
      <c r="R146" s="51"/>
      <c r="S146" s="51"/>
      <c r="W146" s="53"/>
      <c r="X146" s="53"/>
      <c r="Y146" s="58"/>
      <c r="Z146" s="58"/>
      <c r="AA146" s="60"/>
    </row>
    <row r="147" spans="11:27">
      <c r="K147" s="51"/>
      <c r="Q147" s="51"/>
      <c r="R147" s="51"/>
      <c r="S147" s="51"/>
      <c r="W147" s="53"/>
      <c r="X147" s="53"/>
      <c r="Y147" s="58"/>
      <c r="Z147" s="58"/>
      <c r="AA147" s="60"/>
    </row>
    <row r="148" spans="11:27">
      <c r="K148" s="51"/>
      <c r="Q148" s="51"/>
      <c r="R148" s="51"/>
      <c r="S148" s="51"/>
      <c r="W148" s="53"/>
      <c r="X148" s="53"/>
      <c r="Y148" s="58"/>
      <c r="Z148" s="58"/>
      <c r="AA148" s="60"/>
    </row>
    <row r="149" spans="11:27">
      <c r="K149" s="51"/>
      <c r="Q149" s="51"/>
      <c r="R149" s="51"/>
      <c r="S149" s="51"/>
      <c r="W149" s="53"/>
      <c r="X149" s="53"/>
      <c r="Y149" s="58"/>
      <c r="Z149" s="58"/>
      <c r="AA149" s="60"/>
    </row>
    <row r="150" spans="11:27">
      <c r="K150" s="51"/>
      <c r="Q150" s="51"/>
      <c r="R150" s="51"/>
      <c r="S150" s="51"/>
      <c r="W150" s="53"/>
      <c r="X150" s="53"/>
      <c r="Y150" s="58"/>
      <c r="Z150" s="58"/>
      <c r="AA150" s="60"/>
    </row>
    <row r="151" spans="11:27">
      <c r="K151" s="51"/>
      <c r="Q151" s="51"/>
      <c r="R151" s="51"/>
      <c r="S151" s="51"/>
      <c r="W151" s="53"/>
      <c r="X151" s="53"/>
      <c r="Y151" s="58"/>
      <c r="Z151" s="58"/>
      <c r="AA151" s="60"/>
    </row>
    <row r="152" spans="11:27">
      <c r="K152" s="51"/>
      <c r="Q152" s="51"/>
      <c r="R152" s="51"/>
      <c r="S152" s="51"/>
      <c r="W152" s="53"/>
      <c r="X152" s="53"/>
      <c r="Y152" s="58"/>
      <c r="Z152" s="58"/>
      <c r="AA152" s="60"/>
    </row>
    <row r="153" spans="11:27">
      <c r="K153" s="51"/>
      <c r="Q153" s="51"/>
      <c r="R153" s="51"/>
      <c r="S153" s="51"/>
      <c r="W153" s="53"/>
      <c r="X153" s="53"/>
      <c r="Y153" s="58"/>
      <c r="Z153" s="58"/>
      <c r="AA153" s="60"/>
    </row>
    <row r="154" spans="11:27">
      <c r="K154" s="51"/>
      <c r="Q154" s="51"/>
      <c r="R154" s="51"/>
      <c r="S154" s="51"/>
      <c r="W154" s="53"/>
      <c r="X154" s="53"/>
      <c r="Y154" s="58"/>
      <c r="Z154" s="58"/>
      <c r="AA154" s="60"/>
    </row>
    <row r="155" spans="11:27">
      <c r="K155" s="51"/>
      <c r="Q155" s="51"/>
      <c r="R155" s="51"/>
      <c r="S155" s="51"/>
      <c r="W155" s="53"/>
      <c r="X155" s="53"/>
      <c r="Y155" s="58"/>
      <c r="Z155" s="58"/>
      <c r="AA155" s="60"/>
    </row>
    <row r="156" spans="11:27">
      <c r="K156" s="51"/>
      <c r="Q156" s="51"/>
      <c r="R156" s="51"/>
      <c r="S156" s="51"/>
      <c r="W156" s="53"/>
      <c r="X156" s="53"/>
      <c r="Y156" s="58"/>
      <c r="Z156" s="58"/>
      <c r="AA156" s="60"/>
    </row>
    <row r="157" spans="11:27">
      <c r="K157" s="51"/>
      <c r="Q157" s="51"/>
      <c r="R157" s="51"/>
      <c r="S157" s="51"/>
      <c r="W157" s="53"/>
      <c r="X157" s="53"/>
      <c r="Y157" s="58"/>
      <c r="Z157" s="58"/>
      <c r="AA157" s="60"/>
    </row>
    <row r="158" spans="11:27">
      <c r="K158" s="51"/>
      <c r="Q158" s="51"/>
      <c r="R158" s="51"/>
      <c r="S158" s="51"/>
      <c r="W158" s="53"/>
      <c r="X158" s="53"/>
      <c r="Y158" s="58"/>
      <c r="Z158" s="58"/>
      <c r="AA158" s="60"/>
    </row>
    <row r="159" spans="11:27">
      <c r="K159" s="51"/>
      <c r="Q159" s="51"/>
      <c r="R159" s="51"/>
      <c r="S159" s="51"/>
      <c r="W159" s="53"/>
      <c r="X159" s="53"/>
      <c r="Y159" s="58"/>
      <c r="Z159" s="58"/>
      <c r="AA159" s="60"/>
    </row>
    <row r="160" spans="11:27">
      <c r="K160" s="51"/>
      <c r="Q160" s="51"/>
      <c r="R160" s="51"/>
      <c r="S160" s="51"/>
      <c r="W160" s="53"/>
      <c r="X160" s="53"/>
      <c r="Y160" s="58"/>
      <c r="Z160" s="58"/>
      <c r="AA160" s="60"/>
    </row>
    <row r="161" spans="11:27">
      <c r="K161" s="51"/>
      <c r="Q161" s="51"/>
      <c r="R161" s="51"/>
      <c r="S161" s="51"/>
      <c r="W161" s="53"/>
      <c r="X161" s="53"/>
      <c r="Y161" s="58"/>
      <c r="Z161" s="58"/>
      <c r="AA161" s="60"/>
    </row>
    <row r="162" spans="11:27">
      <c r="K162" s="51"/>
      <c r="Q162" s="51"/>
      <c r="R162" s="51"/>
      <c r="S162" s="51"/>
      <c r="W162" s="53"/>
      <c r="X162" s="53"/>
      <c r="Y162" s="58"/>
      <c r="Z162" s="58"/>
      <c r="AA162" s="60"/>
    </row>
    <row r="163" spans="11:27">
      <c r="K163" s="51"/>
      <c r="Q163" s="51"/>
      <c r="R163" s="51"/>
      <c r="S163" s="51"/>
      <c r="W163" s="53"/>
      <c r="X163" s="53"/>
      <c r="Y163" s="58"/>
      <c r="Z163" s="58"/>
      <c r="AA163" s="60"/>
    </row>
    <row r="164" spans="11:27">
      <c r="K164" s="51"/>
      <c r="Q164" s="51"/>
      <c r="R164" s="51"/>
      <c r="S164" s="51"/>
      <c r="W164" s="53"/>
      <c r="X164" s="53"/>
      <c r="Y164" s="58"/>
      <c r="Z164" s="58"/>
      <c r="AA164" s="60"/>
    </row>
    <row r="165" spans="11:27">
      <c r="K165" s="51"/>
      <c r="Q165" s="51"/>
      <c r="R165" s="51"/>
      <c r="S165" s="51"/>
      <c r="W165" s="53"/>
      <c r="X165" s="53"/>
      <c r="Y165" s="58"/>
      <c r="Z165" s="58"/>
      <c r="AA165" s="60"/>
    </row>
    <row r="166" spans="11:27">
      <c r="K166" s="51"/>
      <c r="Q166" s="51"/>
      <c r="R166" s="51"/>
      <c r="S166" s="51"/>
      <c r="W166" s="53"/>
      <c r="X166" s="53"/>
      <c r="Y166" s="58"/>
      <c r="Z166" s="58"/>
      <c r="AA166" s="60"/>
    </row>
    <row r="167" spans="11:27">
      <c r="K167" s="51"/>
      <c r="Q167" s="51"/>
      <c r="R167" s="51"/>
      <c r="S167" s="51"/>
      <c r="W167" s="53"/>
      <c r="X167" s="53"/>
      <c r="Y167" s="58"/>
      <c r="Z167" s="58"/>
      <c r="AA167" s="60"/>
    </row>
    <row r="168" spans="11:27">
      <c r="K168" s="51"/>
      <c r="Q168" s="51"/>
      <c r="R168" s="51"/>
      <c r="S168" s="51"/>
      <c r="W168" s="53"/>
      <c r="X168" s="53"/>
      <c r="Y168" s="58"/>
      <c r="Z168" s="58"/>
      <c r="AA168" s="60"/>
    </row>
    <row r="169" spans="11:27">
      <c r="K169" s="51"/>
      <c r="Q169" s="51"/>
      <c r="R169" s="51"/>
      <c r="S169" s="51"/>
      <c r="W169" s="53"/>
      <c r="X169" s="53"/>
      <c r="Y169" s="58"/>
      <c r="Z169" s="58"/>
      <c r="AA169" s="60"/>
    </row>
    <row r="170" spans="11:27">
      <c r="K170" s="51"/>
      <c r="Q170" s="51"/>
      <c r="R170" s="51"/>
      <c r="S170" s="51"/>
      <c r="W170" s="53"/>
      <c r="X170" s="53"/>
      <c r="Y170" s="58"/>
      <c r="Z170" s="58"/>
      <c r="AA170" s="60"/>
    </row>
    <row r="171" spans="11:27">
      <c r="K171" s="51"/>
      <c r="Q171" s="51"/>
      <c r="R171" s="51"/>
      <c r="S171" s="51"/>
      <c r="W171" s="53"/>
      <c r="X171" s="53"/>
      <c r="Y171" s="58"/>
      <c r="Z171" s="58"/>
      <c r="AA171" s="60"/>
    </row>
    <row r="172" spans="11:27">
      <c r="K172" s="51"/>
      <c r="Q172" s="51"/>
      <c r="R172" s="51"/>
      <c r="S172" s="51"/>
      <c r="W172" s="53"/>
      <c r="X172" s="53"/>
      <c r="Y172" s="58"/>
      <c r="Z172" s="58"/>
      <c r="AA172" s="60"/>
    </row>
    <row r="173" spans="11:27">
      <c r="K173" s="51"/>
      <c r="Q173" s="51"/>
      <c r="R173" s="51"/>
      <c r="S173" s="51"/>
      <c r="W173" s="53"/>
      <c r="X173" s="53"/>
      <c r="Y173" s="58"/>
      <c r="Z173" s="58"/>
      <c r="AA173" s="60"/>
    </row>
    <row r="174" spans="11:27">
      <c r="K174" s="51"/>
      <c r="Q174" s="51"/>
      <c r="R174" s="51"/>
      <c r="S174" s="51"/>
      <c r="W174" s="53"/>
      <c r="X174" s="53"/>
      <c r="Y174" s="58"/>
      <c r="Z174" s="58"/>
      <c r="AA174" s="60"/>
    </row>
    <row r="175" spans="11:27">
      <c r="K175" s="51"/>
      <c r="Q175" s="51"/>
      <c r="R175" s="51"/>
      <c r="S175" s="51"/>
      <c r="W175" s="53"/>
      <c r="X175" s="53"/>
      <c r="Y175" s="58"/>
      <c r="Z175" s="58"/>
      <c r="AA175" s="60"/>
    </row>
    <row r="176" spans="11:27">
      <c r="K176" s="51"/>
      <c r="Q176" s="51"/>
      <c r="R176" s="51"/>
      <c r="S176" s="51"/>
      <c r="W176" s="53"/>
      <c r="X176" s="53"/>
      <c r="Y176" s="58"/>
      <c r="Z176" s="58"/>
      <c r="AA176" s="60"/>
    </row>
    <row r="177" spans="11:27">
      <c r="K177" s="51"/>
      <c r="Q177" s="51"/>
      <c r="R177" s="51"/>
      <c r="S177" s="51"/>
      <c r="W177" s="53"/>
      <c r="X177" s="53"/>
      <c r="Y177" s="58"/>
      <c r="Z177" s="58"/>
      <c r="AA177" s="60"/>
    </row>
    <row r="178" spans="11:27">
      <c r="K178" s="51"/>
      <c r="Q178" s="51"/>
      <c r="R178" s="51"/>
      <c r="S178" s="51"/>
      <c r="W178" s="53"/>
      <c r="X178" s="53"/>
      <c r="Y178" s="58"/>
      <c r="Z178" s="58"/>
      <c r="AA178" s="60"/>
    </row>
    <row r="179" spans="11:27">
      <c r="K179" s="51"/>
      <c r="Q179" s="51"/>
      <c r="R179" s="51"/>
      <c r="S179" s="51"/>
      <c r="W179" s="53"/>
      <c r="X179" s="53"/>
      <c r="Y179" s="58"/>
      <c r="Z179" s="58"/>
      <c r="AA179" s="60"/>
    </row>
    <row r="180" spans="11:27">
      <c r="K180" s="51"/>
      <c r="Q180" s="51"/>
      <c r="R180" s="51"/>
      <c r="S180" s="51"/>
      <c r="W180" s="53"/>
      <c r="X180" s="53"/>
      <c r="Y180" s="58"/>
      <c r="Z180" s="58"/>
      <c r="AA180" s="60"/>
    </row>
    <row r="181" spans="11:27">
      <c r="K181" s="51"/>
      <c r="Q181" s="51"/>
      <c r="R181" s="51"/>
      <c r="S181" s="51"/>
      <c r="W181" s="53"/>
      <c r="X181" s="53"/>
      <c r="Y181" s="58"/>
      <c r="Z181" s="58"/>
      <c r="AA181" s="60"/>
    </row>
    <row r="182" spans="11:27">
      <c r="K182" s="51"/>
      <c r="Q182" s="51"/>
      <c r="R182" s="51"/>
      <c r="S182" s="51"/>
      <c r="W182" s="53"/>
      <c r="X182" s="53"/>
      <c r="Y182" s="58"/>
      <c r="Z182" s="58"/>
      <c r="AA182" s="60"/>
    </row>
    <row r="183" spans="11:27">
      <c r="K183" s="51"/>
      <c r="Q183" s="51"/>
      <c r="R183" s="51"/>
      <c r="S183" s="51"/>
      <c r="W183" s="53"/>
      <c r="X183" s="53"/>
      <c r="Y183" s="58"/>
      <c r="Z183" s="58"/>
      <c r="AA183" s="60"/>
    </row>
    <row r="184" spans="11:27">
      <c r="K184" s="51"/>
      <c r="Q184" s="51"/>
      <c r="R184" s="51"/>
      <c r="S184" s="51"/>
      <c r="W184" s="53"/>
      <c r="X184" s="53"/>
      <c r="Y184" s="58"/>
      <c r="Z184" s="58"/>
      <c r="AA184" s="60"/>
    </row>
    <row r="185" spans="11:27">
      <c r="K185" s="51"/>
      <c r="Q185" s="51"/>
      <c r="R185" s="51"/>
      <c r="S185" s="51"/>
      <c r="W185" s="53"/>
      <c r="X185" s="53"/>
      <c r="Y185" s="58"/>
      <c r="Z185" s="58"/>
      <c r="AA185" s="60"/>
    </row>
    <row r="186" spans="11:27">
      <c r="K186" s="51"/>
      <c r="Q186" s="51"/>
      <c r="R186" s="51"/>
      <c r="S186" s="51"/>
      <c r="W186" s="53"/>
      <c r="X186" s="53"/>
      <c r="Y186" s="58"/>
      <c r="Z186" s="58"/>
      <c r="AA186" s="60"/>
    </row>
    <row r="187" spans="11:27">
      <c r="K187" s="51"/>
      <c r="Q187" s="51"/>
      <c r="R187" s="51"/>
      <c r="S187" s="51"/>
      <c r="W187" s="53"/>
      <c r="X187" s="53"/>
      <c r="Y187" s="58"/>
      <c r="Z187" s="58"/>
      <c r="AA187" s="60"/>
    </row>
    <row r="188" spans="11:27">
      <c r="K188" s="51"/>
      <c r="Q188" s="51"/>
      <c r="R188" s="51"/>
      <c r="S188" s="51"/>
      <c r="W188" s="53"/>
      <c r="X188" s="53"/>
      <c r="Y188" s="58"/>
      <c r="Z188" s="58"/>
      <c r="AA188" s="60"/>
    </row>
    <row r="189" spans="11:27">
      <c r="K189" s="51"/>
      <c r="Q189" s="51"/>
      <c r="R189" s="51"/>
      <c r="S189" s="51"/>
      <c r="W189" s="53"/>
      <c r="X189" s="53"/>
      <c r="Y189" s="58"/>
      <c r="Z189" s="58"/>
      <c r="AA189" s="60"/>
    </row>
    <row r="190" spans="11:27">
      <c r="K190" s="51"/>
      <c r="Q190" s="51"/>
      <c r="R190" s="51"/>
      <c r="S190" s="51"/>
      <c r="W190" s="53"/>
      <c r="X190" s="53"/>
      <c r="Y190" s="58"/>
      <c r="Z190" s="58"/>
      <c r="AA190" s="60"/>
    </row>
    <row r="191" spans="11:27">
      <c r="K191" s="51"/>
      <c r="Q191" s="51"/>
      <c r="R191" s="51"/>
      <c r="S191" s="51"/>
      <c r="W191" s="53"/>
      <c r="X191" s="53"/>
      <c r="Y191" s="58"/>
      <c r="Z191" s="58"/>
      <c r="AA191" s="60"/>
    </row>
    <row r="192" spans="11:27">
      <c r="K192" s="51"/>
      <c r="Q192" s="51"/>
      <c r="R192" s="51"/>
      <c r="S192" s="51"/>
      <c r="W192" s="53"/>
      <c r="X192" s="53"/>
      <c r="Y192" s="58"/>
      <c r="Z192" s="58"/>
      <c r="AA192" s="60"/>
    </row>
    <row r="193" spans="11:27">
      <c r="K193" s="51"/>
      <c r="Q193" s="51"/>
      <c r="R193" s="51"/>
      <c r="S193" s="51"/>
      <c r="W193" s="53"/>
      <c r="X193" s="53"/>
      <c r="Y193" s="58"/>
      <c r="Z193" s="58"/>
      <c r="AA193" s="60"/>
    </row>
    <row r="194" spans="11:27">
      <c r="K194" s="51"/>
      <c r="Q194" s="51"/>
      <c r="R194" s="51"/>
      <c r="S194" s="51"/>
      <c r="W194" s="53"/>
      <c r="X194" s="53"/>
      <c r="Y194" s="58"/>
      <c r="Z194" s="58"/>
      <c r="AA194" s="60"/>
    </row>
    <row r="195" spans="11:27">
      <c r="K195" s="51"/>
      <c r="Q195" s="51"/>
      <c r="R195" s="51"/>
      <c r="S195" s="51"/>
      <c r="W195" s="53"/>
      <c r="X195" s="53"/>
      <c r="Y195" s="58"/>
      <c r="Z195" s="58"/>
      <c r="AA195" s="60"/>
    </row>
    <row r="196" spans="11:27">
      <c r="K196" s="51"/>
      <c r="Q196" s="51"/>
      <c r="R196" s="51"/>
      <c r="S196" s="51"/>
      <c r="W196" s="53"/>
      <c r="X196" s="53"/>
      <c r="Y196" s="58"/>
      <c r="Z196" s="58"/>
      <c r="AA196" s="60"/>
    </row>
    <row r="197" spans="11:27">
      <c r="K197" s="51"/>
      <c r="Q197" s="51"/>
      <c r="R197" s="51"/>
      <c r="S197" s="51"/>
      <c r="W197" s="53"/>
      <c r="X197" s="53"/>
      <c r="Y197" s="58"/>
      <c r="Z197" s="58"/>
      <c r="AA197" s="60"/>
    </row>
    <row r="198" spans="11:27">
      <c r="K198" s="51"/>
      <c r="Q198" s="51"/>
      <c r="R198" s="51"/>
      <c r="S198" s="51"/>
      <c r="W198" s="53"/>
      <c r="X198" s="53"/>
      <c r="Y198" s="58"/>
      <c r="Z198" s="58"/>
      <c r="AA198" s="60"/>
    </row>
    <row r="199" spans="11:27">
      <c r="K199" s="51"/>
      <c r="Q199" s="51"/>
      <c r="R199" s="51"/>
      <c r="S199" s="51"/>
      <c r="W199" s="53"/>
      <c r="X199" s="53"/>
      <c r="Y199" s="58"/>
      <c r="Z199" s="58"/>
      <c r="AA199" s="60"/>
    </row>
    <row r="200" spans="11:27">
      <c r="K200" s="51"/>
      <c r="Q200" s="51"/>
      <c r="R200" s="51"/>
      <c r="S200" s="51"/>
      <c r="W200" s="53"/>
      <c r="X200" s="53"/>
      <c r="Y200" s="58"/>
      <c r="Z200" s="58"/>
      <c r="AA200" s="60"/>
    </row>
    <row r="201" spans="11:27">
      <c r="K201" s="51"/>
      <c r="Q201" s="51"/>
      <c r="R201" s="51"/>
      <c r="S201" s="51"/>
      <c r="W201" s="53"/>
      <c r="X201" s="53"/>
      <c r="Y201" s="58"/>
      <c r="Z201" s="58"/>
      <c r="AA201" s="60"/>
    </row>
    <row r="202" spans="11:27">
      <c r="K202" s="51"/>
      <c r="Q202" s="51"/>
      <c r="R202" s="51"/>
      <c r="S202" s="51"/>
      <c r="W202" s="53"/>
      <c r="X202" s="53"/>
      <c r="Y202" s="58"/>
      <c r="Z202" s="58"/>
      <c r="AA202" s="60"/>
    </row>
    <row r="203" spans="11:27">
      <c r="K203" s="51"/>
      <c r="Q203" s="51"/>
      <c r="R203" s="51"/>
      <c r="S203" s="51"/>
      <c r="W203" s="53"/>
      <c r="X203" s="53"/>
      <c r="Y203" s="58"/>
      <c r="Z203" s="58"/>
      <c r="AA203" s="60"/>
    </row>
    <row r="204" spans="11:27">
      <c r="K204" s="51"/>
      <c r="Q204" s="51"/>
      <c r="R204" s="51"/>
      <c r="S204" s="51"/>
      <c r="W204" s="53"/>
      <c r="X204" s="53"/>
      <c r="Y204" s="58"/>
      <c r="Z204" s="58"/>
      <c r="AA204" s="60"/>
    </row>
    <row r="205" spans="11:27">
      <c r="K205" s="51"/>
      <c r="Q205" s="51"/>
      <c r="R205" s="51"/>
      <c r="S205" s="51"/>
      <c r="W205" s="53"/>
      <c r="X205" s="53"/>
      <c r="Y205" s="58"/>
      <c r="Z205" s="58"/>
      <c r="AA205" s="60"/>
    </row>
    <row r="206" spans="11:27">
      <c r="K206" s="51"/>
      <c r="Q206" s="51"/>
      <c r="R206" s="51"/>
      <c r="S206" s="51"/>
      <c r="W206" s="53"/>
      <c r="X206" s="53"/>
      <c r="Y206" s="58"/>
      <c r="Z206" s="58"/>
      <c r="AA206" s="60"/>
    </row>
    <row r="207" spans="11:27">
      <c r="K207" s="51"/>
      <c r="Q207" s="51"/>
      <c r="R207" s="51"/>
      <c r="S207" s="51"/>
      <c r="W207" s="53"/>
      <c r="X207" s="53"/>
      <c r="Y207" s="58"/>
      <c r="Z207" s="58"/>
      <c r="AA207" s="60"/>
    </row>
    <row r="208" spans="11:27">
      <c r="K208" s="51"/>
      <c r="Q208" s="51"/>
      <c r="R208" s="51"/>
      <c r="S208" s="51"/>
      <c r="W208" s="53"/>
      <c r="X208" s="53"/>
      <c r="Y208" s="58"/>
      <c r="Z208" s="58"/>
      <c r="AA208" s="60"/>
    </row>
    <row r="209" spans="11:27">
      <c r="K209" s="51"/>
      <c r="Q209" s="51"/>
      <c r="R209" s="51"/>
      <c r="S209" s="51"/>
      <c r="W209" s="53"/>
      <c r="X209" s="53"/>
      <c r="Y209" s="58"/>
      <c r="Z209" s="58"/>
      <c r="AA209" s="60"/>
    </row>
    <row r="210" spans="11:27">
      <c r="K210" s="51"/>
      <c r="Q210" s="51"/>
      <c r="R210" s="51"/>
      <c r="S210" s="51"/>
      <c r="W210" s="53"/>
      <c r="X210" s="53"/>
      <c r="Y210" s="58"/>
      <c r="Z210" s="58"/>
      <c r="AA210" s="60"/>
    </row>
    <row r="211" spans="11:27">
      <c r="K211" s="51"/>
      <c r="Q211" s="51"/>
      <c r="R211" s="51"/>
      <c r="S211" s="51"/>
      <c r="W211" s="53"/>
      <c r="X211" s="53"/>
      <c r="Y211" s="58"/>
      <c r="Z211" s="58"/>
      <c r="AA211" s="60"/>
    </row>
    <row r="212" spans="11:27">
      <c r="K212" s="51"/>
      <c r="Q212" s="51"/>
      <c r="R212" s="51"/>
      <c r="S212" s="51"/>
      <c r="W212" s="53"/>
      <c r="X212" s="53"/>
      <c r="Y212" s="58"/>
      <c r="Z212" s="58"/>
      <c r="AA212" s="60"/>
    </row>
    <row r="213" spans="11:27">
      <c r="K213" s="51"/>
      <c r="Q213" s="51"/>
      <c r="R213" s="51"/>
      <c r="S213" s="51"/>
      <c r="W213" s="53"/>
      <c r="X213" s="53"/>
      <c r="Y213" s="58"/>
      <c r="Z213" s="58"/>
      <c r="AA213" s="60"/>
    </row>
    <row r="214" spans="11:27">
      <c r="K214" s="51"/>
      <c r="Q214" s="51"/>
      <c r="R214" s="51"/>
      <c r="S214" s="51"/>
      <c r="W214" s="53"/>
      <c r="X214" s="53"/>
      <c r="Y214" s="58"/>
      <c r="Z214" s="58"/>
      <c r="AA214" s="60"/>
    </row>
    <row r="215" spans="11:27">
      <c r="K215" s="51"/>
      <c r="Q215" s="51"/>
      <c r="R215" s="51"/>
      <c r="S215" s="51"/>
      <c r="W215" s="53"/>
      <c r="X215" s="53"/>
      <c r="Y215" s="58"/>
      <c r="Z215" s="58"/>
      <c r="AA215" s="60"/>
    </row>
    <row r="216" spans="11:27">
      <c r="K216" s="51"/>
      <c r="Q216" s="51"/>
      <c r="R216" s="51"/>
      <c r="S216" s="51"/>
      <c r="W216" s="53"/>
      <c r="X216" s="53"/>
      <c r="Y216" s="58"/>
      <c r="Z216" s="58"/>
      <c r="AA216" s="60"/>
    </row>
    <row r="217" spans="11:27">
      <c r="K217" s="51"/>
      <c r="Q217" s="51"/>
      <c r="R217" s="51"/>
      <c r="S217" s="51"/>
      <c r="W217" s="53"/>
      <c r="X217" s="53"/>
      <c r="Y217" s="58"/>
      <c r="Z217" s="58"/>
      <c r="AA217" s="60"/>
    </row>
    <row r="218" spans="11:27">
      <c r="K218" s="51"/>
      <c r="Q218" s="51"/>
      <c r="R218" s="51"/>
      <c r="S218" s="51"/>
      <c r="W218" s="53"/>
      <c r="X218" s="53"/>
      <c r="Y218" s="58"/>
      <c r="Z218" s="58"/>
      <c r="AA218" s="60"/>
    </row>
    <row r="219" spans="11:27">
      <c r="K219" s="51"/>
      <c r="Q219" s="51"/>
      <c r="R219" s="51"/>
      <c r="S219" s="51"/>
      <c r="W219" s="53"/>
      <c r="X219" s="53"/>
      <c r="Y219" s="58"/>
      <c r="Z219" s="58"/>
      <c r="AA219" s="60"/>
    </row>
    <row r="220" spans="11:27">
      <c r="K220" s="51"/>
      <c r="Q220" s="51"/>
      <c r="R220" s="51"/>
      <c r="S220" s="51"/>
      <c r="W220" s="53"/>
      <c r="X220" s="53"/>
      <c r="Y220" s="58"/>
      <c r="Z220" s="58"/>
      <c r="AA220" s="60"/>
    </row>
    <row r="221" spans="11:27">
      <c r="K221" s="51"/>
      <c r="Q221" s="51"/>
      <c r="R221" s="51"/>
      <c r="S221" s="51"/>
      <c r="W221" s="53"/>
      <c r="X221" s="53"/>
      <c r="Y221" s="58"/>
      <c r="Z221" s="58"/>
      <c r="AA221" s="60"/>
    </row>
    <row r="222" spans="11:27">
      <c r="K222" s="51"/>
      <c r="Q222" s="51"/>
      <c r="R222" s="51"/>
      <c r="S222" s="51"/>
      <c r="W222" s="53"/>
      <c r="X222" s="53"/>
      <c r="Y222" s="58"/>
      <c r="Z222" s="58"/>
      <c r="AA222" s="60"/>
    </row>
    <row r="223" spans="11:27">
      <c r="K223" s="51"/>
      <c r="Q223" s="51"/>
      <c r="R223" s="51"/>
      <c r="S223" s="51"/>
      <c r="W223" s="53"/>
      <c r="X223" s="53"/>
      <c r="Y223" s="58"/>
      <c r="Z223" s="58"/>
      <c r="AA223" s="60"/>
    </row>
    <row r="224" spans="11:27">
      <c r="K224" s="51"/>
      <c r="Q224" s="51"/>
      <c r="R224" s="51"/>
      <c r="S224" s="51"/>
      <c r="W224" s="53"/>
      <c r="X224" s="53"/>
      <c r="Y224" s="58"/>
      <c r="Z224" s="58"/>
      <c r="AA224" s="60"/>
    </row>
    <row r="225" spans="11:27">
      <c r="K225" s="51"/>
      <c r="Q225" s="51"/>
      <c r="R225" s="51"/>
      <c r="S225" s="51"/>
      <c r="W225" s="53"/>
      <c r="X225" s="53"/>
      <c r="Y225" s="58"/>
      <c r="Z225" s="58"/>
      <c r="AA225" s="60"/>
    </row>
    <row r="226" spans="11:27">
      <c r="K226" s="51"/>
      <c r="Q226" s="51"/>
      <c r="R226" s="51"/>
      <c r="S226" s="51"/>
      <c r="W226" s="53"/>
      <c r="X226" s="53"/>
      <c r="Y226" s="58"/>
      <c r="Z226" s="58"/>
      <c r="AA226" s="60"/>
    </row>
    <row r="227" spans="11:27">
      <c r="K227" s="51"/>
      <c r="Q227" s="51"/>
      <c r="R227" s="51"/>
      <c r="S227" s="51"/>
      <c r="W227" s="53"/>
      <c r="X227" s="53"/>
      <c r="Y227" s="58"/>
      <c r="Z227" s="58"/>
      <c r="AA227" s="60"/>
    </row>
    <row r="228" spans="11:27">
      <c r="K228" s="51"/>
      <c r="Q228" s="51"/>
      <c r="R228" s="51"/>
      <c r="S228" s="51"/>
      <c r="W228" s="53"/>
      <c r="X228" s="53"/>
      <c r="Y228" s="58"/>
      <c r="Z228" s="58"/>
      <c r="AA228" s="60"/>
    </row>
    <row r="229" spans="11:27">
      <c r="K229" s="51"/>
      <c r="Q229" s="51"/>
      <c r="R229" s="51"/>
      <c r="S229" s="51"/>
      <c r="W229" s="53"/>
      <c r="X229" s="53"/>
      <c r="Y229" s="58"/>
      <c r="Z229" s="58"/>
      <c r="AA229" s="60"/>
    </row>
    <row r="230" spans="11:27">
      <c r="K230" s="51"/>
      <c r="Q230" s="51"/>
      <c r="R230" s="51"/>
      <c r="S230" s="51"/>
      <c r="W230" s="53"/>
      <c r="X230" s="53"/>
      <c r="Y230" s="58"/>
      <c r="Z230" s="58"/>
      <c r="AA230" s="60"/>
    </row>
    <row r="231" spans="11:27">
      <c r="K231" s="51"/>
      <c r="Q231" s="51"/>
      <c r="R231" s="51"/>
      <c r="S231" s="51"/>
      <c r="W231" s="53"/>
      <c r="X231" s="53"/>
      <c r="Y231" s="58"/>
      <c r="Z231" s="58"/>
      <c r="AA231" s="60"/>
    </row>
    <row r="232" spans="11:27">
      <c r="K232" s="51"/>
      <c r="Q232" s="51"/>
      <c r="R232" s="51"/>
      <c r="S232" s="51"/>
      <c r="W232" s="53"/>
      <c r="X232" s="53"/>
      <c r="Y232" s="58"/>
      <c r="Z232" s="58"/>
      <c r="AA232" s="60"/>
    </row>
    <row r="233" spans="11:27">
      <c r="K233" s="51"/>
      <c r="Q233" s="51"/>
      <c r="R233" s="51"/>
      <c r="S233" s="51"/>
      <c r="W233" s="53"/>
      <c r="X233" s="53"/>
      <c r="Y233" s="58"/>
      <c r="Z233" s="58"/>
      <c r="AA233" s="60"/>
    </row>
    <row r="234" spans="11:27">
      <c r="K234" s="51"/>
      <c r="Q234" s="51"/>
      <c r="R234" s="51"/>
      <c r="S234" s="51"/>
      <c r="W234" s="53"/>
      <c r="X234" s="53"/>
      <c r="Y234" s="58"/>
      <c r="Z234" s="58"/>
      <c r="AA234" s="60"/>
    </row>
    <row r="235" spans="11:27">
      <c r="K235" s="51"/>
      <c r="Q235" s="51"/>
      <c r="R235" s="51"/>
      <c r="S235" s="51"/>
      <c r="W235" s="53"/>
      <c r="X235" s="53"/>
      <c r="Y235" s="58"/>
      <c r="Z235" s="58"/>
      <c r="AA235" s="60"/>
    </row>
    <row r="236" spans="11:27">
      <c r="K236" s="51"/>
      <c r="Q236" s="51"/>
      <c r="R236" s="51"/>
      <c r="S236" s="51"/>
      <c r="W236" s="53"/>
      <c r="X236" s="53"/>
      <c r="Y236" s="58"/>
      <c r="Z236" s="58"/>
      <c r="AA236" s="60"/>
    </row>
    <row r="237" spans="11:27">
      <c r="K237" s="51"/>
      <c r="Q237" s="51"/>
      <c r="R237" s="51"/>
      <c r="S237" s="51"/>
      <c r="W237" s="53"/>
      <c r="X237" s="53"/>
      <c r="Y237" s="58"/>
      <c r="Z237" s="58"/>
      <c r="AA237" s="60"/>
    </row>
    <row r="238" spans="11:27">
      <c r="K238" s="51"/>
      <c r="Q238" s="51"/>
      <c r="R238" s="51"/>
      <c r="S238" s="51"/>
      <c r="W238" s="53"/>
      <c r="X238" s="53"/>
      <c r="Y238" s="58"/>
      <c r="Z238" s="58"/>
      <c r="AA238" s="60"/>
    </row>
    <row r="239" spans="11:27">
      <c r="K239" s="51"/>
      <c r="Q239" s="51"/>
      <c r="R239" s="51"/>
      <c r="S239" s="51"/>
      <c r="W239" s="53"/>
      <c r="X239" s="53"/>
      <c r="Y239" s="58"/>
      <c r="Z239" s="58"/>
      <c r="AA239" s="60"/>
    </row>
    <row r="240" spans="11:27">
      <c r="K240" s="51"/>
      <c r="Q240" s="51"/>
      <c r="R240" s="51"/>
      <c r="S240" s="51"/>
      <c r="W240" s="53"/>
      <c r="X240" s="53"/>
      <c r="Y240" s="58"/>
      <c r="Z240" s="58"/>
      <c r="AA240" s="60"/>
    </row>
    <row r="241" spans="11:27">
      <c r="K241" s="51"/>
      <c r="Q241" s="51"/>
      <c r="R241" s="51"/>
      <c r="S241" s="51"/>
      <c r="W241" s="53"/>
      <c r="X241" s="53"/>
      <c r="Y241" s="58"/>
      <c r="Z241" s="58"/>
      <c r="AA241" s="60"/>
    </row>
    <row r="242" spans="11:27">
      <c r="K242" s="51"/>
      <c r="Q242" s="51"/>
      <c r="R242" s="51"/>
      <c r="S242" s="51"/>
      <c r="W242" s="53"/>
      <c r="X242" s="53"/>
      <c r="Y242" s="58"/>
      <c r="Z242" s="58"/>
      <c r="AA242" s="60"/>
    </row>
    <row r="243" spans="11:27">
      <c r="K243" s="51"/>
      <c r="Q243" s="51"/>
      <c r="R243" s="51"/>
      <c r="S243" s="51"/>
      <c r="W243" s="53"/>
      <c r="X243" s="53"/>
      <c r="Y243" s="58"/>
      <c r="Z243" s="58"/>
      <c r="AA243" s="60"/>
    </row>
    <row r="244" spans="11:27">
      <c r="K244" s="51"/>
      <c r="Q244" s="51"/>
      <c r="R244" s="51"/>
      <c r="S244" s="51"/>
      <c r="W244" s="53"/>
      <c r="X244" s="53"/>
      <c r="Y244" s="58"/>
      <c r="Z244" s="58"/>
      <c r="AA244" s="60"/>
    </row>
    <row r="245" spans="11:27">
      <c r="K245" s="51"/>
      <c r="Q245" s="51"/>
      <c r="R245" s="51"/>
      <c r="S245" s="51"/>
      <c r="W245" s="53"/>
      <c r="X245" s="53"/>
      <c r="Y245" s="58"/>
      <c r="Z245" s="58"/>
      <c r="AA245" s="60"/>
    </row>
    <row r="246" spans="11:27">
      <c r="K246" s="51"/>
      <c r="Q246" s="51"/>
      <c r="R246" s="51"/>
      <c r="S246" s="51"/>
      <c r="W246" s="53"/>
      <c r="X246" s="53"/>
      <c r="Y246" s="58"/>
      <c r="Z246" s="58"/>
      <c r="AA246" s="60"/>
    </row>
    <row r="247" spans="11:27">
      <c r="K247" s="51"/>
      <c r="Q247" s="51"/>
      <c r="R247" s="51"/>
      <c r="S247" s="51"/>
      <c r="W247" s="53"/>
      <c r="X247" s="53"/>
      <c r="Y247" s="58"/>
      <c r="Z247" s="58"/>
      <c r="AA247" s="60"/>
    </row>
    <row r="248" spans="11:27">
      <c r="K248" s="51"/>
      <c r="Q248" s="51"/>
      <c r="R248" s="51"/>
      <c r="S248" s="51"/>
      <c r="W248" s="53"/>
      <c r="X248" s="53"/>
      <c r="Y248" s="58"/>
      <c r="Z248" s="58"/>
      <c r="AA248" s="60"/>
    </row>
    <row r="249" spans="11:27">
      <c r="K249" s="51"/>
      <c r="Q249" s="51"/>
      <c r="R249" s="51"/>
      <c r="S249" s="51"/>
      <c r="W249" s="53"/>
      <c r="X249" s="53"/>
      <c r="Y249" s="58"/>
      <c r="Z249" s="58"/>
      <c r="AA249" s="60"/>
    </row>
    <row r="250" spans="11:27">
      <c r="K250" s="51"/>
      <c r="Q250" s="51"/>
      <c r="R250" s="51"/>
      <c r="S250" s="51"/>
      <c r="W250" s="53"/>
      <c r="X250" s="53"/>
      <c r="Y250" s="58"/>
      <c r="Z250" s="58"/>
      <c r="AA250" s="60"/>
    </row>
    <row r="251" spans="11:27">
      <c r="K251" s="51"/>
      <c r="Q251" s="51"/>
      <c r="R251" s="51"/>
      <c r="S251" s="51"/>
      <c r="W251" s="53"/>
      <c r="X251" s="53"/>
      <c r="Y251" s="58"/>
      <c r="Z251" s="58"/>
      <c r="AA251" s="60"/>
    </row>
    <row r="252" spans="11:27">
      <c r="K252" s="51"/>
      <c r="Q252" s="51"/>
      <c r="R252" s="51"/>
      <c r="S252" s="51"/>
      <c r="W252" s="53"/>
      <c r="X252" s="53"/>
      <c r="Y252" s="58"/>
      <c r="Z252" s="58"/>
      <c r="AA252" s="60"/>
    </row>
    <row r="253" spans="11:27">
      <c r="K253" s="51"/>
      <c r="Q253" s="51"/>
      <c r="R253" s="51"/>
      <c r="S253" s="51"/>
      <c r="W253" s="53"/>
      <c r="X253" s="53"/>
      <c r="Y253" s="58"/>
      <c r="Z253" s="58"/>
      <c r="AA253" s="60"/>
    </row>
    <row r="254" spans="11:27">
      <c r="K254" s="51"/>
      <c r="Q254" s="51"/>
      <c r="R254" s="51"/>
      <c r="S254" s="51"/>
      <c r="W254" s="53"/>
      <c r="X254" s="53"/>
      <c r="Y254" s="58"/>
      <c r="Z254" s="58"/>
      <c r="AA254" s="60"/>
    </row>
    <row r="255" spans="11:27">
      <c r="K255" s="51"/>
      <c r="Q255" s="51"/>
      <c r="R255" s="51"/>
      <c r="S255" s="51"/>
      <c r="W255" s="53"/>
      <c r="X255" s="53"/>
      <c r="Y255" s="58"/>
      <c r="Z255" s="58"/>
      <c r="AA255" s="60"/>
    </row>
    <row r="256" spans="11:27">
      <c r="K256" s="51"/>
      <c r="Q256" s="51"/>
      <c r="R256" s="51"/>
      <c r="S256" s="51"/>
      <c r="W256" s="53"/>
      <c r="X256" s="53"/>
      <c r="Y256" s="58"/>
      <c r="Z256" s="58"/>
      <c r="AA256" s="60"/>
    </row>
    <row r="257" spans="11:27">
      <c r="K257" s="51"/>
      <c r="Q257" s="51"/>
      <c r="R257" s="51"/>
      <c r="S257" s="51"/>
      <c r="W257" s="53"/>
      <c r="X257" s="53"/>
      <c r="Y257" s="58"/>
      <c r="Z257" s="58"/>
      <c r="AA257" s="60"/>
    </row>
    <row r="258" spans="11:27">
      <c r="K258" s="51"/>
      <c r="Q258" s="51"/>
      <c r="R258" s="51"/>
      <c r="S258" s="51"/>
      <c r="W258" s="53"/>
      <c r="X258" s="53"/>
      <c r="Y258" s="58"/>
      <c r="Z258" s="58"/>
      <c r="AA258" s="60"/>
    </row>
    <row r="259" spans="11:27">
      <c r="K259" s="51"/>
      <c r="Q259" s="51"/>
      <c r="R259" s="51"/>
      <c r="S259" s="51"/>
      <c r="W259" s="53"/>
      <c r="X259" s="53"/>
      <c r="Y259" s="58"/>
      <c r="Z259" s="58"/>
      <c r="AA259" s="60"/>
    </row>
    <row r="260" spans="11:27">
      <c r="K260" s="51"/>
      <c r="Q260" s="51"/>
      <c r="R260" s="51"/>
      <c r="S260" s="51"/>
      <c r="W260" s="53"/>
      <c r="X260" s="53"/>
      <c r="Y260" s="58"/>
      <c r="Z260" s="58"/>
      <c r="AA260" s="60"/>
    </row>
    <row r="261" spans="11:27">
      <c r="K261" s="51"/>
      <c r="Q261" s="51"/>
      <c r="R261" s="51"/>
      <c r="S261" s="51"/>
      <c r="W261" s="53"/>
      <c r="X261" s="53"/>
      <c r="Y261" s="58"/>
      <c r="Z261" s="58"/>
      <c r="AA261" s="60"/>
    </row>
    <row r="262" spans="11:27">
      <c r="K262" s="51"/>
      <c r="Q262" s="51"/>
      <c r="R262" s="51"/>
      <c r="S262" s="51"/>
      <c r="W262" s="53"/>
      <c r="X262" s="53"/>
      <c r="Y262" s="58"/>
      <c r="Z262" s="58"/>
      <c r="AA262" s="60"/>
    </row>
    <row r="263" spans="11:27">
      <c r="K263" s="51"/>
      <c r="Q263" s="51"/>
      <c r="R263" s="51"/>
      <c r="S263" s="51"/>
      <c r="W263" s="53"/>
      <c r="X263" s="53"/>
      <c r="Y263" s="58"/>
      <c r="Z263" s="58"/>
      <c r="AA263" s="60"/>
    </row>
    <row r="264" spans="11:27">
      <c r="K264" s="51"/>
      <c r="Q264" s="51"/>
      <c r="R264" s="51"/>
      <c r="S264" s="51"/>
      <c r="W264" s="53"/>
      <c r="X264" s="53"/>
      <c r="Y264" s="58"/>
      <c r="Z264" s="58"/>
      <c r="AA264" s="60"/>
    </row>
    <row r="265" spans="11:27">
      <c r="K265" s="51"/>
      <c r="Q265" s="51"/>
      <c r="R265" s="51"/>
      <c r="S265" s="51"/>
      <c r="W265" s="53"/>
      <c r="X265" s="53"/>
      <c r="Y265" s="58"/>
      <c r="Z265" s="58"/>
      <c r="AA265" s="60"/>
    </row>
    <row r="266" spans="11:27">
      <c r="K266" s="51"/>
      <c r="Q266" s="51"/>
      <c r="R266" s="51"/>
      <c r="S266" s="51"/>
      <c r="W266" s="53"/>
      <c r="X266" s="53"/>
      <c r="Y266" s="58"/>
      <c r="Z266" s="58"/>
      <c r="AA266" s="60"/>
    </row>
    <row r="267" spans="11:27">
      <c r="K267" s="51"/>
      <c r="Q267" s="51"/>
      <c r="R267" s="51"/>
      <c r="S267" s="51"/>
      <c r="W267" s="53"/>
      <c r="X267" s="53"/>
      <c r="Y267" s="58"/>
      <c r="Z267" s="58"/>
      <c r="AA267" s="60"/>
    </row>
    <row r="268" spans="11:27">
      <c r="K268" s="51"/>
      <c r="Q268" s="51"/>
      <c r="R268" s="51"/>
      <c r="S268" s="51"/>
      <c r="W268" s="53"/>
      <c r="X268" s="53"/>
      <c r="Y268" s="58"/>
      <c r="Z268" s="58"/>
      <c r="AA268" s="60"/>
    </row>
    <row r="269" spans="11:27">
      <c r="K269" s="51"/>
      <c r="Q269" s="51"/>
      <c r="R269" s="51"/>
      <c r="S269" s="51"/>
      <c r="W269" s="53"/>
      <c r="X269" s="53"/>
      <c r="Y269" s="58"/>
      <c r="Z269" s="58"/>
      <c r="AA269" s="60"/>
    </row>
    <row r="270" spans="11:27">
      <c r="K270" s="51"/>
      <c r="Q270" s="51"/>
      <c r="R270" s="51"/>
      <c r="S270" s="51"/>
      <c r="W270" s="53"/>
      <c r="X270" s="53"/>
      <c r="Y270" s="58"/>
      <c r="Z270" s="58"/>
      <c r="AA270" s="60"/>
    </row>
    <row r="271" spans="11:27">
      <c r="K271" s="51"/>
      <c r="Q271" s="51"/>
      <c r="R271" s="51"/>
      <c r="S271" s="51"/>
      <c r="W271" s="53"/>
      <c r="X271" s="53"/>
      <c r="Y271" s="58"/>
      <c r="Z271" s="58"/>
      <c r="AA271" s="60"/>
    </row>
    <row r="272" spans="11:27">
      <c r="K272" s="51"/>
      <c r="Q272" s="51"/>
      <c r="R272" s="51"/>
      <c r="S272" s="51"/>
      <c r="W272" s="53"/>
      <c r="X272" s="53"/>
      <c r="Y272" s="58"/>
      <c r="Z272" s="58"/>
      <c r="AA272" s="60"/>
    </row>
    <row r="273" spans="11:27">
      <c r="K273" s="51"/>
      <c r="Q273" s="51"/>
      <c r="R273" s="51"/>
      <c r="S273" s="51"/>
      <c r="W273" s="53"/>
      <c r="X273" s="53"/>
      <c r="Y273" s="58"/>
      <c r="Z273" s="58"/>
      <c r="AA273" s="60"/>
    </row>
    <row r="274" spans="11:27">
      <c r="K274" s="51"/>
      <c r="Q274" s="51"/>
      <c r="R274" s="51"/>
      <c r="S274" s="51"/>
      <c r="W274" s="53"/>
      <c r="X274" s="53"/>
      <c r="Y274" s="58"/>
      <c r="Z274" s="58"/>
      <c r="AA274" s="60"/>
    </row>
    <row r="275" spans="11:27">
      <c r="K275" s="51"/>
      <c r="Q275" s="51"/>
      <c r="R275" s="51"/>
      <c r="S275" s="51"/>
      <c r="W275" s="53"/>
      <c r="X275" s="53"/>
      <c r="Y275" s="58"/>
      <c r="Z275" s="58"/>
      <c r="AA275" s="60"/>
    </row>
    <row r="276" spans="11:27">
      <c r="K276" s="51"/>
      <c r="Q276" s="51"/>
      <c r="R276" s="51"/>
      <c r="S276" s="51"/>
      <c r="W276" s="53"/>
      <c r="X276" s="53"/>
      <c r="Y276" s="58"/>
      <c r="Z276" s="58"/>
      <c r="AA276" s="60"/>
    </row>
    <row r="277" spans="11:27">
      <c r="K277" s="51"/>
      <c r="Q277" s="51"/>
      <c r="R277" s="51"/>
      <c r="S277" s="51"/>
      <c r="W277" s="53"/>
      <c r="X277" s="53"/>
      <c r="Y277" s="58"/>
      <c r="Z277" s="58"/>
      <c r="AA277" s="60"/>
    </row>
    <row r="278" spans="11:27">
      <c r="K278" s="51"/>
      <c r="Q278" s="51"/>
      <c r="R278" s="51"/>
      <c r="S278" s="51"/>
      <c r="W278" s="53"/>
      <c r="X278" s="53"/>
      <c r="Y278" s="58"/>
      <c r="Z278" s="58"/>
      <c r="AA278" s="60"/>
    </row>
    <row r="279" spans="11:27">
      <c r="K279" s="51"/>
      <c r="Q279" s="51"/>
      <c r="R279" s="51"/>
      <c r="S279" s="51"/>
      <c r="W279" s="53"/>
      <c r="X279" s="53"/>
      <c r="Y279" s="58"/>
      <c r="Z279" s="58"/>
      <c r="AA279" s="60"/>
    </row>
    <row r="280" spans="11:27">
      <c r="K280" s="51"/>
      <c r="Q280" s="51"/>
      <c r="R280" s="51"/>
      <c r="S280" s="51"/>
      <c r="W280" s="53"/>
      <c r="X280" s="53"/>
      <c r="Y280" s="58"/>
      <c r="Z280" s="58"/>
      <c r="AA280" s="60"/>
    </row>
    <row r="281" spans="11:27">
      <c r="K281" s="51"/>
      <c r="Q281" s="51"/>
      <c r="R281" s="51"/>
      <c r="S281" s="51"/>
      <c r="W281" s="53"/>
      <c r="X281" s="53"/>
      <c r="Y281" s="58"/>
      <c r="Z281" s="58"/>
      <c r="AA281" s="60"/>
    </row>
    <row r="282" spans="11:27">
      <c r="K282" s="51"/>
      <c r="Q282" s="51"/>
      <c r="R282" s="51"/>
      <c r="S282" s="51"/>
      <c r="W282" s="53"/>
      <c r="X282" s="53"/>
      <c r="Y282" s="58"/>
      <c r="Z282" s="58"/>
      <c r="AA282" s="60"/>
    </row>
    <row r="283" spans="11:27">
      <c r="K283" s="51"/>
      <c r="Q283" s="51"/>
      <c r="R283" s="51"/>
      <c r="S283" s="51"/>
      <c r="W283" s="53"/>
      <c r="X283" s="53"/>
      <c r="Y283" s="58"/>
      <c r="Z283" s="58"/>
      <c r="AA283" s="60"/>
    </row>
    <row r="284" spans="11:27">
      <c r="K284" s="51"/>
      <c r="Q284" s="51"/>
      <c r="R284" s="51"/>
      <c r="S284" s="51"/>
      <c r="W284" s="53"/>
      <c r="X284" s="53"/>
      <c r="Y284" s="58"/>
      <c r="Z284" s="58"/>
      <c r="AA284" s="60"/>
    </row>
    <row r="285" spans="11:27">
      <c r="K285" s="51"/>
      <c r="Q285" s="51"/>
      <c r="R285" s="51"/>
      <c r="S285" s="51"/>
      <c r="W285" s="53"/>
      <c r="X285" s="53"/>
      <c r="Y285" s="58"/>
      <c r="Z285" s="58"/>
      <c r="AA285" s="60"/>
    </row>
    <row r="286" spans="11:27">
      <c r="K286" s="51"/>
      <c r="Q286" s="51"/>
      <c r="R286" s="51"/>
      <c r="S286" s="51"/>
      <c r="W286" s="53"/>
      <c r="X286" s="53"/>
      <c r="Y286" s="58"/>
      <c r="Z286" s="58"/>
      <c r="AA286" s="60"/>
    </row>
    <row r="287" spans="11:27">
      <c r="K287" s="51"/>
      <c r="Q287" s="51"/>
      <c r="R287" s="51"/>
      <c r="S287" s="51"/>
      <c r="W287" s="53"/>
      <c r="X287" s="53"/>
      <c r="Y287" s="58"/>
      <c r="Z287" s="58"/>
      <c r="AA287" s="60"/>
    </row>
    <row r="288" spans="11:27">
      <c r="K288" s="51"/>
      <c r="Q288" s="51"/>
      <c r="R288" s="51"/>
      <c r="S288" s="51"/>
      <c r="W288" s="53"/>
      <c r="X288" s="53"/>
      <c r="Y288" s="58"/>
      <c r="Z288" s="58"/>
      <c r="AA288" s="60"/>
    </row>
    <row r="289" spans="11:27">
      <c r="K289" s="51"/>
      <c r="Q289" s="51"/>
      <c r="R289" s="51"/>
      <c r="S289" s="51"/>
      <c r="W289" s="53"/>
      <c r="X289" s="53"/>
      <c r="Y289" s="58"/>
      <c r="Z289" s="58"/>
      <c r="AA289" s="60"/>
    </row>
    <row r="290" spans="11:27">
      <c r="K290" s="51"/>
      <c r="Q290" s="51"/>
      <c r="R290" s="51"/>
      <c r="S290" s="51"/>
      <c r="W290" s="53"/>
      <c r="X290" s="53"/>
      <c r="Y290" s="58"/>
      <c r="Z290" s="58"/>
      <c r="AA290" s="60"/>
    </row>
    <row r="291" spans="11:27">
      <c r="K291" s="51"/>
      <c r="Q291" s="51"/>
      <c r="R291" s="51"/>
      <c r="S291" s="51"/>
      <c r="W291" s="53"/>
      <c r="X291" s="53"/>
      <c r="Y291" s="58"/>
      <c r="Z291" s="58"/>
      <c r="AA291" s="60"/>
    </row>
    <row r="292" spans="11:27">
      <c r="K292" s="51"/>
      <c r="Q292" s="51"/>
      <c r="R292" s="51"/>
      <c r="S292" s="51"/>
      <c r="W292" s="53"/>
      <c r="X292" s="53"/>
      <c r="Y292" s="58"/>
      <c r="Z292" s="58"/>
      <c r="AA292" s="60"/>
    </row>
    <row r="293" spans="11:27">
      <c r="K293" s="51"/>
      <c r="Q293" s="51"/>
      <c r="R293" s="51"/>
      <c r="S293" s="51"/>
      <c r="W293" s="53"/>
      <c r="X293" s="53"/>
      <c r="Y293" s="58"/>
      <c r="Z293" s="58"/>
      <c r="AA293" s="60"/>
    </row>
    <row r="294" spans="11:27">
      <c r="K294" s="51"/>
      <c r="Q294" s="51"/>
      <c r="R294" s="51"/>
      <c r="S294" s="51"/>
      <c r="W294" s="53"/>
      <c r="X294" s="53"/>
      <c r="Y294" s="58"/>
      <c r="Z294" s="58"/>
      <c r="AA294" s="60"/>
    </row>
    <row r="295" spans="11:27">
      <c r="K295" s="51"/>
      <c r="Q295" s="51"/>
      <c r="R295" s="51"/>
      <c r="S295" s="51"/>
      <c r="W295" s="53"/>
      <c r="X295" s="53"/>
      <c r="Y295" s="58"/>
      <c r="Z295" s="58"/>
      <c r="AA295" s="60"/>
    </row>
    <row r="296" spans="11:27">
      <c r="K296" s="51"/>
      <c r="Q296" s="51"/>
      <c r="R296" s="51"/>
      <c r="S296" s="51"/>
      <c r="W296" s="53"/>
      <c r="X296" s="53"/>
      <c r="Y296" s="58"/>
      <c r="Z296" s="58"/>
      <c r="AA296" s="60"/>
    </row>
    <row r="297" spans="11:27">
      <c r="K297" s="51"/>
      <c r="Q297" s="51"/>
      <c r="R297" s="51"/>
      <c r="S297" s="51"/>
      <c r="W297" s="53"/>
      <c r="X297" s="53"/>
      <c r="Y297" s="58"/>
      <c r="Z297" s="58"/>
      <c r="AA297" s="60"/>
    </row>
    <row r="298" spans="11:27">
      <c r="K298" s="51"/>
      <c r="Q298" s="51"/>
      <c r="R298" s="51"/>
      <c r="S298" s="51"/>
      <c r="W298" s="53"/>
      <c r="X298" s="53"/>
      <c r="Y298" s="58"/>
      <c r="Z298" s="58"/>
      <c r="AA298" s="60"/>
    </row>
    <row r="299" spans="11:27">
      <c r="K299" s="51"/>
      <c r="Q299" s="51"/>
      <c r="R299" s="51"/>
      <c r="S299" s="51"/>
      <c r="W299" s="53"/>
      <c r="X299" s="53"/>
      <c r="Y299" s="58"/>
      <c r="Z299" s="58"/>
      <c r="AA299" s="60"/>
    </row>
    <row r="300" spans="11:27">
      <c r="K300" s="51"/>
      <c r="Q300" s="51"/>
      <c r="R300" s="51"/>
      <c r="S300" s="51"/>
      <c r="W300" s="53"/>
      <c r="X300" s="53"/>
      <c r="Y300" s="58"/>
      <c r="Z300" s="58"/>
      <c r="AA300" s="60"/>
    </row>
    <row r="301" spans="11:27">
      <c r="K301" s="51"/>
      <c r="Q301" s="51"/>
      <c r="R301" s="51"/>
      <c r="S301" s="51"/>
      <c r="W301" s="53"/>
      <c r="X301" s="53"/>
      <c r="Y301" s="58"/>
      <c r="Z301" s="58"/>
      <c r="AA301" s="60"/>
    </row>
    <row r="302" spans="11:27">
      <c r="K302" s="51"/>
      <c r="Q302" s="51"/>
      <c r="R302" s="51"/>
      <c r="S302" s="51"/>
      <c r="W302" s="53"/>
      <c r="X302" s="53"/>
      <c r="Y302" s="58"/>
      <c r="Z302" s="58"/>
      <c r="AA302" s="60"/>
    </row>
    <row r="303" spans="11:27">
      <c r="K303" s="51"/>
      <c r="Q303" s="51"/>
      <c r="R303" s="51"/>
      <c r="S303" s="51"/>
      <c r="W303" s="53"/>
      <c r="X303" s="53"/>
      <c r="Y303" s="58"/>
      <c r="Z303" s="58"/>
      <c r="AA303" s="60"/>
    </row>
    <row r="304" spans="11:27">
      <c r="K304" s="51"/>
      <c r="Q304" s="51"/>
      <c r="R304" s="51"/>
      <c r="S304" s="51"/>
      <c r="W304" s="53"/>
      <c r="X304" s="53"/>
      <c r="Y304" s="58"/>
      <c r="Z304" s="58"/>
      <c r="AA304" s="60"/>
    </row>
    <row r="305" spans="11:27">
      <c r="K305" s="51"/>
      <c r="Q305" s="51"/>
      <c r="R305" s="51"/>
      <c r="S305" s="51"/>
      <c r="W305" s="53"/>
      <c r="X305" s="53"/>
      <c r="Y305" s="58"/>
      <c r="Z305" s="58"/>
      <c r="AA305" s="60"/>
    </row>
    <row r="306" spans="11:27">
      <c r="K306" s="51"/>
      <c r="Q306" s="51"/>
      <c r="R306" s="51"/>
      <c r="S306" s="51"/>
      <c r="W306" s="53"/>
      <c r="X306" s="53"/>
      <c r="Y306" s="58"/>
      <c r="Z306" s="58"/>
      <c r="AA306" s="60"/>
    </row>
    <row r="307" spans="11:27">
      <c r="K307" s="51"/>
      <c r="Q307" s="51"/>
      <c r="R307" s="51"/>
      <c r="S307" s="51"/>
      <c r="W307" s="53"/>
      <c r="X307" s="53"/>
      <c r="Y307" s="58"/>
      <c r="Z307" s="58"/>
      <c r="AA307" s="60"/>
    </row>
    <row r="308" spans="11:27">
      <c r="K308" s="51"/>
      <c r="Q308" s="51"/>
      <c r="R308" s="51"/>
      <c r="S308" s="51"/>
      <c r="W308" s="53"/>
      <c r="X308" s="53"/>
      <c r="Y308" s="58"/>
      <c r="Z308" s="58"/>
      <c r="AA308" s="60"/>
    </row>
    <row r="309" spans="11:27">
      <c r="K309" s="51"/>
      <c r="Q309" s="51"/>
      <c r="R309" s="51"/>
      <c r="S309" s="51"/>
      <c r="W309" s="53"/>
      <c r="X309" s="53"/>
      <c r="Y309" s="58"/>
      <c r="Z309" s="58"/>
      <c r="AA309" s="60"/>
    </row>
    <row r="310" spans="11:27">
      <c r="K310" s="51"/>
      <c r="Q310" s="51"/>
      <c r="R310" s="51"/>
      <c r="S310" s="51"/>
      <c r="W310" s="53"/>
      <c r="X310" s="53"/>
      <c r="Y310" s="58"/>
      <c r="Z310" s="58"/>
      <c r="AA310" s="60"/>
    </row>
    <row r="311" spans="11:27">
      <c r="K311" s="51"/>
      <c r="Q311" s="51"/>
      <c r="R311" s="51"/>
      <c r="S311" s="51"/>
      <c r="W311" s="53"/>
      <c r="X311" s="53"/>
      <c r="Y311" s="58"/>
      <c r="Z311" s="58"/>
      <c r="AA311" s="60"/>
    </row>
    <row r="312" spans="11:27">
      <c r="K312" s="51"/>
      <c r="Q312" s="51"/>
      <c r="R312" s="51"/>
      <c r="S312" s="51"/>
      <c r="W312" s="53"/>
      <c r="X312" s="53"/>
      <c r="Y312" s="58"/>
      <c r="Z312" s="58"/>
      <c r="AA312" s="60"/>
    </row>
    <row r="313" spans="11:27">
      <c r="K313" s="51"/>
      <c r="Q313" s="51"/>
      <c r="R313" s="51"/>
      <c r="S313" s="51"/>
      <c r="W313" s="53"/>
      <c r="X313" s="53"/>
      <c r="Y313" s="58"/>
      <c r="Z313" s="58"/>
      <c r="AA313" s="60"/>
    </row>
    <row r="314" spans="11:27">
      <c r="K314" s="51"/>
      <c r="Q314" s="51"/>
      <c r="R314" s="51"/>
      <c r="S314" s="51"/>
      <c r="W314" s="53"/>
      <c r="X314" s="53"/>
      <c r="Y314" s="58"/>
      <c r="Z314" s="58"/>
      <c r="AA314" s="60"/>
    </row>
    <row r="315" spans="11:27">
      <c r="K315" s="51"/>
      <c r="Q315" s="51"/>
      <c r="R315" s="51"/>
      <c r="S315" s="51"/>
      <c r="W315" s="53"/>
      <c r="X315" s="53"/>
      <c r="Y315" s="58"/>
      <c r="Z315" s="58"/>
      <c r="AA315" s="60"/>
    </row>
    <row r="316" spans="11:27">
      <c r="K316" s="51"/>
      <c r="Q316" s="51"/>
      <c r="R316" s="51"/>
      <c r="S316" s="51"/>
      <c r="W316" s="53"/>
      <c r="X316" s="53"/>
      <c r="Y316" s="58"/>
      <c r="Z316" s="58"/>
      <c r="AA316" s="60"/>
    </row>
    <row r="317" spans="11:27">
      <c r="K317" s="51"/>
      <c r="Q317" s="51"/>
      <c r="R317" s="51"/>
      <c r="S317" s="51"/>
      <c r="W317" s="53"/>
      <c r="X317" s="53"/>
      <c r="Y317" s="58"/>
      <c r="Z317" s="58"/>
      <c r="AA317" s="60"/>
    </row>
    <row r="318" spans="11:27">
      <c r="K318" s="51"/>
      <c r="Q318" s="51"/>
      <c r="R318" s="51"/>
      <c r="S318" s="51"/>
      <c r="W318" s="53"/>
      <c r="X318" s="53"/>
      <c r="Y318" s="58"/>
      <c r="Z318" s="58"/>
      <c r="AA318" s="60"/>
    </row>
    <row r="319" spans="11:27">
      <c r="K319" s="51"/>
      <c r="Q319" s="51"/>
      <c r="R319" s="51"/>
      <c r="S319" s="51"/>
      <c r="W319" s="53"/>
      <c r="X319" s="53"/>
      <c r="Y319" s="58"/>
      <c r="Z319" s="58"/>
      <c r="AA319" s="60"/>
    </row>
    <row r="320" spans="11:27">
      <c r="K320" s="51"/>
      <c r="Q320" s="51"/>
      <c r="R320" s="51"/>
      <c r="S320" s="51"/>
      <c r="W320" s="53"/>
      <c r="X320" s="53"/>
      <c r="Y320" s="58"/>
      <c r="Z320" s="58"/>
      <c r="AA320" s="60"/>
    </row>
    <row r="321" spans="11:27">
      <c r="K321" s="51"/>
      <c r="Q321" s="51"/>
      <c r="R321" s="51"/>
      <c r="S321" s="51"/>
      <c r="W321" s="53"/>
      <c r="X321" s="53"/>
      <c r="Y321" s="58"/>
      <c r="Z321" s="58"/>
      <c r="AA321" s="60"/>
    </row>
    <row r="322" spans="11:27">
      <c r="K322" s="51"/>
      <c r="Q322" s="51"/>
      <c r="R322" s="51"/>
      <c r="S322" s="51"/>
      <c r="W322" s="53"/>
      <c r="X322" s="53"/>
      <c r="Y322" s="58"/>
      <c r="Z322" s="58"/>
      <c r="AA322" s="60"/>
    </row>
    <row r="323" spans="11:27">
      <c r="K323" s="51"/>
      <c r="Q323" s="51"/>
      <c r="R323" s="51"/>
      <c r="S323" s="51"/>
      <c r="W323" s="53"/>
      <c r="X323" s="53"/>
      <c r="Y323" s="58"/>
      <c r="Z323" s="58"/>
      <c r="AA323" s="60"/>
    </row>
    <row r="324" spans="11:27">
      <c r="K324" s="51"/>
      <c r="Q324" s="51"/>
      <c r="R324" s="51"/>
      <c r="S324" s="51"/>
      <c r="W324" s="53"/>
      <c r="X324" s="53"/>
      <c r="Y324" s="58"/>
      <c r="Z324" s="58"/>
      <c r="AA324" s="60"/>
    </row>
    <row r="325" spans="11:27">
      <c r="K325" s="51"/>
      <c r="Q325" s="51"/>
      <c r="R325" s="51"/>
      <c r="S325" s="51"/>
      <c r="W325" s="53"/>
      <c r="X325" s="53"/>
      <c r="Y325" s="58"/>
      <c r="Z325" s="58"/>
      <c r="AA325" s="60"/>
    </row>
    <row r="326" spans="11:27">
      <c r="K326" s="51"/>
      <c r="Q326" s="51"/>
      <c r="R326" s="51"/>
      <c r="S326" s="51"/>
      <c r="W326" s="53"/>
      <c r="X326" s="53"/>
      <c r="Y326" s="58"/>
      <c r="Z326" s="58"/>
      <c r="AA326" s="60"/>
    </row>
    <row r="327" spans="11:27">
      <c r="K327" s="51"/>
      <c r="Q327" s="51"/>
      <c r="R327" s="51"/>
      <c r="S327" s="51"/>
      <c r="W327" s="53"/>
      <c r="X327" s="53"/>
      <c r="Y327" s="58"/>
      <c r="Z327" s="58"/>
      <c r="AA327" s="60"/>
    </row>
    <row r="328" spans="11:27">
      <c r="K328" s="51"/>
      <c r="Q328" s="51"/>
      <c r="R328" s="51"/>
      <c r="S328" s="51"/>
      <c r="W328" s="53"/>
      <c r="X328" s="53"/>
      <c r="Y328" s="58"/>
      <c r="Z328" s="58"/>
      <c r="AA328" s="60"/>
    </row>
    <row r="329" spans="11:27">
      <c r="K329" s="51"/>
      <c r="Q329" s="51"/>
      <c r="R329" s="51"/>
      <c r="S329" s="51"/>
      <c r="W329" s="53"/>
      <c r="X329" s="53"/>
      <c r="Y329" s="58"/>
      <c r="Z329" s="58"/>
      <c r="AA329" s="60"/>
    </row>
    <row r="330" spans="11:27">
      <c r="K330" s="51"/>
      <c r="Q330" s="51"/>
      <c r="R330" s="51"/>
      <c r="S330" s="51"/>
      <c r="W330" s="53"/>
      <c r="X330" s="53"/>
      <c r="Y330" s="58"/>
      <c r="Z330" s="58"/>
      <c r="AA330" s="60"/>
    </row>
    <row r="331" spans="11:27">
      <c r="K331" s="51"/>
      <c r="Q331" s="51"/>
      <c r="R331" s="51"/>
      <c r="S331" s="51"/>
      <c r="W331" s="53"/>
      <c r="X331" s="53"/>
      <c r="Y331" s="58"/>
      <c r="Z331" s="58"/>
      <c r="AA331" s="60"/>
    </row>
    <row r="332" spans="11:27">
      <c r="K332" s="51"/>
      <c r="Q332" s="51"/>
      <c r="R332" s="51"/>
      <c r="S332" s="51"/>
      <c r="W332" s="53"/>
      <c r="X332" s="53"/>
      <c r="Y332" s="58"/>
      <c r="Z332" s="58"/>
      <c r="AA332" s="60"/>
    </row>
    <row r="333" spans="11:27">
      <c r="K333" s="51"/>
      <c r="Q333" s="51"/>
      <c r="R333" s="51"/>
      <c r="S333" s="51"/>
      <c r="W333" s="53"/>
      <c r="X333" s="53"/>
      <c r="Y333" s="58"/>
      <c r="Z333" s="58"/>
      <c r="AA333" s="60"/>
    </row>
    <row r="334" spans="11:27">
      <c r="K334" s="51"/>
      <c r="Q334" s="51"/>
      <c r="R334" s="51"/>
      <c r="S334" s="51"/>
      <c r="W334" s="53"/>
      <c r="X334" s="53"/>
      <c r="Y334" s="58"/>
      <c r="Z334" s="58"/>
      <c r="AA334" s="60"/>
    </row>
    <row r="335" spans="11:27">
      <c r="K335" s="51"/>
      <c r="Q335" s="51"/>
      <c r="R335" s="51"/>
      <c r="S335" s="51"/>
      <c r="W335" s="53"/>
      <c r="X335" s="53"/>
      <c r="Y335" s="58"/>
      <c r="Z335" s="58"/>
      <c r="AA335" s="60"/>
    </row>
    <row r="336" spans="11:27">
      <c r="K336" s="51"/>
      <c r="Q336" s="51"/>
      <c r="R336" s="51"/>
      <c r="S336" s="51"/>
      <c r="W336" s="53"/>
      <c r="X336" s="53"/>
      <c r="Y336" s="58"/>
      <c r="Z336" s="58"/>
      <c r="AA336" s="60"/>
    </row>
    <row r="337" spans="11:27">
      <c r="K337" s="51"/>
      <c r="Q337" s="51"/>
      <c r="R337" s="51"/>
      <c r="S337" s="51"/>
      <c r="W337" s="53"/>
      <c r="X337" s="53"/>
      <c r="Y337" s="58"/>
      <c r="Z337" s="58"/>
      <c r="AA337" s="60"/>
    </row>
    <row r="338" spans="11:27">
      <c r="K338" s="51"/>
      <c r="Q338" s="51"/>
      <c r="R338" s="51"/>
      <c r="S338" s="51"/>
      <c r="W338" s="53"/>
      <c r="X338" s="53"/>
      <c r="Y338" s="58"/>
      <c r="Z338" s="58"/>
      <c r="AA338" s="60"/>
    </row>
    <row r="339" spans="11:27">
      <c r="K339" s="51"/>
      <c r="Q339" s="51"/>
      <c r="R339" s="51"/>
      <c r="S339" s="51"/>
      <c r="W339" s="53"/>
      <c r="X339" s="53"/>
      <c r="Y339" s="58"/>
      <c r="Z339" s="58"/>
      <c r="AA339" s="60"/>
    </row>
    <row r="340" spans="11:27">
      <c r="K340" s="51"/>
      <c r="Q340" s="51"/>
      <c r="R340" s="51"/>
      <c r="S340" s="51"/>
      <c r="W340" s="53"/>
      <c r="X340" s="53"/>
      <c r="Y340" s="58"/>
      <c r="Z340" s="58"/>
      <c r="AA340" s="60"/>
    </row>
    <row r="341" spans="11:27">
      <c r="K341" s="51"/>
      <c r="Q341" s="51"/>
      <c r="R341" s="51"/>
      <c r="S341" s="51"/>
      <c r="W341" s="53"/>
      <c r="X341" s="53"/>
      <c r="Y341" s="58"/>
      <c r="Z341" s="58"/>
      <c r="AA341" s="60"/>
    </row>
    <row r="342" spans="11:27">
      <c r="K342" s="51"/>
      <c r="Q342" s="51"/>
      <c r="R342" s="51"/>
      <c r="S342" s="51"/>
      <c r="W342" s="53"/>
      <c r="X342" s="53"/>
      <c r="Y342" s="58"/>
      <c r="Z342" s="58"/>
      <c r="AA342" s="60"/>
    </row>
    <row r="343" spans="11:27">
      <c r="K343" s="51"/>
      <c r="Q343" s="51"/>
      <c r="R343" s="51"/>
      <c r="S343" s="51"/>
      <c r="W343" s="53"/>
      <c r="X343" s="53"/>
      <c r="Y343" s="58"/>
      <c r="Z343" s="58"/>
      <c r="AA343" s="60"/>
    </row>
    <row r="344" spans="11:27">
      <c r="K344" s="51"/>
      <c r="Q344" s="51"/>
      <c r="R344" s="51"/>
      <c r="S344" s="51"/>
      <c r="W344" s="53"/>
      <c r="X344" s="53"/>
      <c r="Y344" s="58"/>
      <c r="Z344" s="58"/>
      <c r="AA344" s="60"/>
    </row>
    <row r="345" spans="11:27">
      <c r="K345" s="51"/>
      <c r="Q345" s="51"/>
      <c r="R345" s="51"/>
      <c r="S345" s="51"/>
      <c r="W345" s="53"/>
      <c r="X345" s="53"/>
      <c r="Y345" s="58"/>
      <c r="Z345" s="58"/>
      <c r="AA345" s="60"/>
    </row>
    <row r="346" spans="11:27">
      <c r="K346" s="51"/>
      <c r="Q346" s="51"/>
      <c r="R346" s="51"/>
      <c r="S346" s="51"/>
      <c r="W346" s="53"/>
      <c r="X346" s="53"/>
      <c r="Y346" s="58"/>
      <c r="Z346" s="58"/>
      <c r="AA346" s="60"/>
    </row>
    <row r="347" spans="11:27">
      <c r="K347" s="51"/>
      <c r="Q347" s="51"/>
      <c r="R347" s="51"/>
      <c r="S347" s="51"/>
      <c r="W347" s="53"/>
      <c r="X347" s="53"/>
      <c r="Y347" s="58"/>
      <c r="Z347" s="58"/>
      <c r="AA347" s="60"/>
    </row>
    <row r="348" spans="11:27">
      <c r="K348" s="51"/>
      <c r="Q348" s="51"/>
      <c r="R348" s="51"/>
      <c r="S348" s="51"/>
      <c r="W348" s="53"/>
      <c r="X348" s="53"/>
      <c r="Y348" s="58"/>
      <c r="Z348" s="58"/>
      <c r="AA348" s="60"/>
    </row>
    <row r="349" spans="11:27">
      <c r="K349" s="51"/>
      <c r="Q349" s="51"/>
      <c r="R349" s="51"/>
      <c r="S349" s="51"/>
      <c r="W349" s="53"/>
      <c r="X349" s="53"/>
      <c r="Y349" s="58"/>
      <c r="Z349" s="58"/>
      <c r="AA349" s="60"/>
    </row>
    <row r="350" spans="11:27">
      <c r="K350" s="51"/>
      <c r="Q350" s="51"/>
      <c r="R350" s="51"/>
      <c r="S350" s="51"/>
      <c r="W350" s="53"/>
      <c r="X350" s="53"/>
      <c r="Y350" s="58"/>
      <c r="Z350" s="58"/>
      <c r="AA350" s="60"/>
    </row>
    <row r="351" spans="11:27">
      <c r="K351" s="51"/>
      <c r="Q351" s="51"/>
      <c r="R351" s="51"/>
      <c r="S351" s="51"/>
      <c r="W351" s="53"/>
      <c r="X351" s="53"/>
      <c r="Y351" s="58"/>
      <c r="Z351" s="58"/>
      <c r="AA351" s="60"/>
    </row>
    <row r="352" spans="11:27">
      <c r="K352" s="51"/>
      <c r="Q352" s="51"/>
      <c r="R352" s="51"/>
      <c r="S352" s="51"/>
      <c r="W352" s="53"/>
      <c r="X352" s="53"/>
      <c r="Y352" s="58"/>
      <c r="Z352" s="58"/>
      <c r="AA352" s="60"/>
    </row>
    <row r="353" spans="11:27">
      <c r="K353" s="51"/>
      <c r="Q353" s="51"/>
      <c r="R353" s="51"/>
      <c r="S353" s="51"/>
      <c r="W353" s="53"/>
      <c r="X353" s="53"/>
      <c r="Y353" s="58"/>
      <c r="Z353" s="58"/>
      <c r="AA353" s="60"/>
    </row>
    <row r="354" spans="11:27">
      <c r="K354" s="51"/>
      <c r="Q354" s="51"/>
      <c r="R354" s="51"/>
      <c r="S354" s="51"/>
      <c r="W354" s="53"/>
      <c r="X354" s="53"/>
      <c r="Y354" s="58"/>
      <c r="Z354" s="58"/>
      <c r="AA354" s="60"/>
    </row>
    <row r="355" spans="11:27">
      <c r="K355" s="51"/>
      <c r="Q355" s="51"/>
      <c r="R355" s="51"/>
      <c r="S355" s="51"/>
      <c r="W355" s="53"/>
      <c r="X355" s="53"/>
      <c r="Y355" s="58"/>
      <c r="Z355" s="58"/>
      <c r="AA355" s="60"/>
    </row>
    <row r="356" spans="11:27">
      <c r="K356" s="51"/>
      <c r="Q356" s="51"/>
      <c r="R356" s="51"/>
      <c r="S356" s="51"/>
      <c r="W356" s="53"/>
      <c r="X356" s="53"/>
      <c r="Y356" s="58"/>
      <c r="Z356" s="58"/>
      <c r="AA356" s="60"/>
    </row>
    <row r="357" spans="11:27">
      <c r="K357" s="51"/>
      <c r="Q357" s="51"/>
      <c r="R357" s="51"/>
      <c r="S357" s="51"/>
      <c r="W357" s="53"/>
      <c r="X357" s="53"/>
      <c r="Y357" s="58"/>
      <c r="Z357" s="58"/>
      <c r="AA357" s="60"/>
    </row>
    <row r="358" spans="11:27">
      <c r="K358" s="51"/>
      <c r="Q358" s="51"/>
      <c r="R358" s="51"/>
      <c r="S358" s="51"/>
      <c r="W358" s="53"/>
      <c r="X358" s="53"/>
      <c r="Y358" s="58"/>
      <c r="Z358" s="58"/>
      <c r="AA358" s="60"/>
    </row>
    <row r="359" spans="11:27">
      <c r="K359" s="51"/>
      <c r="Q359" s="51"/>
      <c r="R359" s="51"/>
      <c r="S359" s="51"/>
      <c r="W359" s="53"/>
      <c r="X359" s="53"/>
      <c r="Y359" s="58"/>
      <c r="Z359" s="58"/>
      <c r="AA359" s="60"/>
    </row>
    <row r="360" spans="11:27">
      <c r="K360" s="51"/>
      <c r="Q360" s="51"/>
      <c r="R360" s="51"/>
      <c r="S360" s="51"/>
      <c r="W360" s="53"/>
      <c r="X360" s="53"/>
      <c r="Y360" s="58"/>
      <c r="Z360" s="58"/>
      <c r="AA360" s="60"/>
    </row>
    <row r="361" spans="11:27">
      <c r="K361" s="51"/>
      <c r="Q361" s="51"/>
      <c r="R361" s="51"/>
      <c r="S361" s="51"/>
      <c r="W361" s="53"/>
      <c r="X361" s="53"/>
      <c r="Y361" s="58"/>
      <c r="Z361" s="58"/>
      <c r="AA361" s="60"/>
    </row>
    <row r="362" spans="11:27">
      <c r="K362" s="51"/>
      <c r="Q362" s="51"/>
      <c r="R362" s="51"/>
      <c r="S362" s="51"/>
      <c r="W362" s="53"/>
      <c r="X362" s="53"/>
      <c r="Y362" s="58"/>
      <c r="Z362" s="58"/>
      <c r="AA362" s="60"/>
    </row>
    <row r="363" spans="11:27">
      <c r="K363" s="51"/>
      <c r="Q363" s="51"/>
      <c r="R363" s="51"/>
      <c r="S363" s="51"/>
      <c r="W363" s="53"/>
      <c r="X363" s="53"/>
      <c r="Y363" s="58"/>
      <c r="Z363" s="58"/>
      <c r="AA363" s="60"/>
    </row>
    <row r="364" spans="11:27">
      <c r="K364" s="51"/>
      <c r="Q364" s="51"/>
      <c r="R364" s="51"/>
      <c r="S364" s="51"/>
      <c r="W364" s="53"/>
      <c r="X364" s="53"/>
      <c r="Y364" s="58"/>
      <c r="Z364" s="58"/>
      <c r="AA364" s="60"/>
    </row>
    <row r="365" spans="11:27">
      <c r="K365" s="51"/>
      <c r="Q365" s="51"/>
      <c r="R365" s="51"/>
      <c r="S365" s="51"/>
      <c r="W365" s="53"/>
      <c r="X365" s="53"/>
      <c r="Y365" s="58"/>
      <c r="Z365" s="58"/>
      <c r="AA365" s="60"/>
    </row>
    <row r="366" spans="11:27">
      <c r="K366" s="51"/>
      <c r="Q366" s="51"/>
      <c r="R366" s="51"/>
      <c r="S366" s="51"/>
      <c r="W366" s="53"/>
      <c r="X366" s="53"/>
      <c r="Y366" s="58"/>
      <c r="Z366" s="58"/>
      <c r="AA366" s="60"/>
    </row>
    <row r="367" spans="11:27">
      <c r="K367" s="51"/>
      <c r="Q367" s="51"/>
      <c r="R367" s="51"/>
      <c r="S367" s="51"/>
      <c r="W367" s="53"/>
      <c r="X367" s="53"/>
      <c r="Y367" s="58"/>
      <c r="Z367" s="58"/>
      <c r="AA367" s="60"/>
    </row>
    <row r="368" spans="11:27">
      <c r="K368" s="51"/>
      <c r="Q368" s="51"/>
      <c r="R368" s="51"/>
      <c r="S368" s="51"/>
      <c r="W368" s="53"/>
      <c r="X368" s="53"/>
      <c r="Y368" s="58"/>
      <c r="Z368" s="58"/>
      <c r="AA368" s="60"/>
    </row>
    <row r="369" spans="11:27">
      <c r="K369" s="51"/>
      <c r="Q369" s="51"/>
      <c r="R369" s="51"/>
      <c r="S369" s="51"/>
      <c r="W369" s="53"/>
      <c r="X369" s="53"/>
      <c r="Y369" s="58"/>
      <c r="Z369" s="58"/>
      <c r="AA369" s="60"/>
    </row>
    <row r="370" spans="11:27">
      <c r="K370" s="51"/>
      <c r="Q370" s="51"/>
      <c r="R370" s="51"/>
      <c r="S370" s="51"/>
      <c r="W370" s="53"/>
      <c r="X370" s="53"/>
      <c r="Y370" s="58"/>
      <c r="Z370" s="58"/>
      <c r="AA370" s="60"/>
    </row>
    <row r="371" spans="11:27">
      <c r="K371" s="51"/>
      <c r="Q371" s="51"/>
      <c r="R371" s="51"/>
      <c r="S371" s="51"/>
      <c r="W371" s="53"/>
      <c r="X371" s="53"/>
      <c r="Y371" s="58"/>
      <c r="Z371" s="58"/>
      <c r="AA371" s="60"/>
    </row>
    <row r="372" spans="11:27">
      <c r="K372" s="51"/>
      <c r="Q372" s="51"/>
      <c r="R372" s="51"/>
      <c r="S372" s="51"/>
      <c r="W372" s="53"/>
      <c r="X372" s="53"/>
      <c r="Y372" s="58"/>
      <c r="Z372" s="58"/>
      <c r="AA372" s="60"/>
    </row>
    <row r="373" spans="11:27">
      <c r="K373" s="51"/>
      <c r="Q373" s="51"/>
      <c r="R373" s="51"/>
      <c r="S373" s="51"/>
      <c r="W373" s="53"/>
      <c r="X373" s="53"/>
      <c r="Y373" s="58"/>
      <c r="Z373" s="58"/>
      <c r="AA373" s="60"/>
    </row>
    <row r="374" spans="11:27">
      <c r="K374" s="51"/>
      <c r="Q374" s="51"/>
      <c r="R374" s="51"/>
      <c r="S374" s="51"/>
      <c r="W374" s="53"/>
      <c r="X374" s="53"/>
      <c r="Y374" s="58"/>
      <c r="Z374" s="58"/>
      <c r="AA374" s="60"/>
    </row>
    <row r="375" spans="11:27">
      <c r="K375" s="51"/>
      <c r="Q375" s="51"/>
      <c r="R375" s="51"/>
      <c r="S375" s="51"/>
      <c r="W375" s="53"/>
      <c r="X375" s="53"/>
      <c r="Y375" s="58"/>
      <c r="Z375" s="58"/>
      <c r="AA375" s="60"/>
    </row>
    <row r="376" spans="11:27">
      <c r="K376" s="51"/>
      <c r="Q376" s="51"/>
      <c r="R376" s="51"/>
      <c r="S376" s="51"/>
      <c r="W376" s="53"/>
      <c r="X376" s="53"/>
      <c r="Y376" s="58"/>
      <c r="Z376" s="58"/>
      <c r="AA376" s="60"/>
    </row>
    <row r="377" spans="11:27">
      <c r="K377" s="51"/>
      <c r="Q377" s="51"/>
      <c r="R377" s="51"/>
      <c r="S377" s="51"/>
      <c r="W377" s="53"/>
      <c r="X377" s="53"/>
      <c r="Y377" s="58"/>
      <c r="Z377" s="58"/>
      <c r="AA377" s="60"/>
    </row>
    <row r="378" spans="11:27">
      <c r="K378" s="51"/>
      <c r="Q378" s="51"/>
      <c r="R378" s="51"/>
      <c r="S378" s="51"/>
      <c r="W378" s="53"/>
      <c r="X378" s="53"/>
      <c r="Y378" s="58"/>
      <c r="Z378" s="58"/>
      <c r="AA378" s="60"/>
    </row>
    <row r="379" spans="11:27">
      <c r="K379" s="51"/>
      <c r="Q379" s="51"/>
      <c r="R379" s="51"/>
      <c r="S379" s="51"/>
      <c r="W379" s="53"/>
      <c r="X379" s="53"/>
      <c r="Y379" s="58"/>
      <c r="Z379" s="58"/>
      <c r="AA379" s="60"/>
    </row>
    <row r="380" spans="11:27">
      <c r="K380" s="51"/>
      <c r="Q380" s="51"/>
      <c r="R380" s="51"/>
      <c r="S380" s="51"/>
      <c r="W380" s="53"/>
      <c r="X380" s="53"/>
      <c r="Y380" s="58"/>
      <c r="Z380" s="58"/>
      <c r="AA380" s="60"/>
    </row>
    <row r="381" spans="11:27">
      <c r="K381" s="51"/>
      <c r="Q381" s="51"/>
      <c r="R381" s="51"/>
      <c r="S381" s="51"/>
      <c r="W381" s="53"/>
      <c r="X381" s="53"/>
      <c r="Y381" s="58"/>
      <c r="Z381" s="58"/>
      <c r="AA381" s="60"/>
    </row>
    <row r="382" spans="11:27">
      <c r="K382" s="51"/>
      <c r="Q382" s="51"/>
      <c r="R382" s="51"/>
      <c r="S382" s="51"/>
      <c r="W382" s="53"/>
      <c r="X382" s="53"/>
      <c r="Y382" s="58"/>
      <c r="Z382" s="58"/>
      <c r="AA382" s="60"/>
    </row>
    <row r="383" spans="11:27">
      <c r="K383" s="51"/>
      <c r="Q383" s="51"/>
      <c r="R383" s="51"/>
      <c r="S383" s="51"/>
      <c r="W383" s="53"/>
      <c r="X383" s="53"/>
      <c r="Y383" s="58"/>
      <c r="Z383" s="58"/>
      <c r="AA383" s="60"/>
    </row>
    <row r="384" spans="11:27">
      <c r="K384" s="51"/>
      <c r="Q384" s="51"/>
      <c r="R384" s="51"/>
      <c r="S384" s="51"/>
      <c r="W384" s="53"/>
      <c r="X384" s="53"/>
      <c r="Y384" s="58"/>
      <c r="Z384" s="58"/>
      <c r="AA384" s="60"/>
    </row>
    <row r="385" spans="11:27">
      <c r="K385" s="51"/>
      <c r="Q385" s="51"/>
      <c r="R385" s="51"/>
      <c r="S385" s="51"/>
      <c r="W385" s="53"/>
      <c r="X385" s="53"/>
      <c r="Y385" s="58"/>
      <c r="Z385" s="58"/>
      <c r="AA385" s="60"/>
    </row>
    <row r="386" spans="11:27">
      <c r="K386" s="51"/>
      <c r="Q386" s="51"/>
      <c r="R386" s="51"/>
      <c r="S386" s="51"/>
      <c r="W386" s="53"/>
      <c r="X386" s="53"/>
      <c r="Y386" s="58"/>
      <c r="Z386" s="58"/>
      <c r="AA386" s="60"/>
    </row>
    <row r="387" spans="11:27">
      <c r="K387" s="51"/>
      <c r="Q387" s="51"/>
      <c r="R387" s="51"/>
      <c r="S387" s="51"/>
      <c r="W387" s="53"/>
      <c r="X387" s="53"/>
      <c r="Y387" s="58"/>
      <c r="Z387" s="58"/>
      <c r="AA387" s="60"/>
    </row>
    <row r="388" spans="11:27">
      <c r="K388" s="51"/>
      <c r="Q388" s="51"/>
      <c r="R388" s="51"/>
      <c r="S388" s="51"/>
      <c r="W388" s="53"/>
      <c r="X388" s="53"/>
      <c r="Y388" s="58"/>
      <c r="Z388" s="58"/>
      <c r="AA388" s="60"/>
    </row>
    <row r="389" spans="11:27">
      <c r="K389" s="51"/>
      <c r="Q389" s="51"/>
      <c r="R389" s="51"/>
      <c r="S389" s="51"/>
      <c r="W389" s="53"/>
      <c r="X389" s="53"/>
      <c r="Y389" s="58"/>
      <c r="Z389" s="58"/>
      <c r="AA389" s="60"/>
    </row>
    <row r="390" spans="11:27">
      <c r="K390" s="51"/>
      <c r="Q390" s="51"/>
      <c r="R390" s="51"/>
      <c r="S390" s="51"/>
      <c r="W390" s="53"/>
      <c r="X390" s="53"/>
      <c r="Y390" s="58"/>
      <c r="Z390" s="58"/>
      <c r="AA390" s="60"/>
    </row>
    <row r="391" spans="11:27">
      <c r="K391" s="51"/>
      <c r="Q391" s="51"/>
      <c r="R391" s="51"/>
      <c r="S391" s="51"/>
      <c r="W391" s="53"/>
      <c r="X391" s="53"/>
      <c r="Y391" s="58"/>
      <c r="Z391" s="58"/>
      <c r="AA391" s="60"/>
    </row>
    <row r="392" spans="11:27">
      <c r="K392" s="51"/>
      <c r="Q392" s="51"/>
      <c r="R392" s="51"/>
      <c r="S392" s="51"/>
      <c r="W392" s="53"/>
      <c r="X392" s="53"/>
      <c r="Y392" s="58"/>
      <c r="Z392" s="58"/>
      <c r="AA392" s="60"/>
    </row>
    <row r="393" spans="11:27">
      <c r="K393" s="51"/>
      <c r="Q393" s="51"/>
      <c r="R393" s="51"/>
      <c r="S393" s="51"/>
      <c r="W393" s="53"/>
      <c r="X393" s="53"/>
      <c r="Y393" s="58"/>
      <c r="Z393" s="58"/>
      <c r="AA393" s="60"/>
    </row>
    <row r="394" spans="11:27">
      <c r="K394" s="51"/>
      <c r="Q394" s="51"/>
      <c r="R394" s="51"/>
      <c r="S394" s="51"/>
      <c r="W394" s="53"/>
      <c r="X394" s="53"/>
      <c r="Y394" s="58"/>
      <c r="Z394" s="58"/>
      <c r="AA394" s="60"/>
    </row>
    <row r="395" spans="11:27">
      <c r="K395" s="51"/>
      <c r="Q395" s="51"/>
      <c r="R395" s="51"/>
      <c r="S395" s="51"/>
      <c r="W395" s="53"/>
      <c r="X395" s="53"/>
      <c r="Y395" s="58"/>
      <c r="Z395" s="58"/>
      <c r="AA395" s="60"/>
    </row>
    <row r="396" spans="11:27">
      <c r="K396" s="51"/>
      <c r="Q396" s="51"/>
      <c r="R396" s="51"/>
      <c r="S396" s="51"/>
      <c r="W396" s="53"/>
      <c r="X396" s="53"/>
      <c r="Y396" s="58"/>
      <c r="Z396" s="58"/>
      <c r="AA396" s="60"/>
    </row>
    <row r="397" spans="11:27">
      <c r="K397" s="51"/>
      <c r="Q397" s="51"/>
      <c r="R397" s="51"/>
      <c r="S397" s="51"/>
      <c r="W397" s="53"/>
      <c r="X397" s="53"/>
      <c r="Y397" s="58"/>
      <c r="Z397" s="58"/>
      <c r="AA397" s="60"/>
    </row>
    <row r="398" spans="11:27">
      <c r="K398" s="51"/>
      <c r="Q398" s="51"/>
      <c r="R398" s="51"/>
      <c r="S398" s="51"/>
      <c r="W398" s="53"/>
      <c r="X398" s="53"/>
      <c r="Y398" s="58"/>
      <c r="Z398" s="58"/>
      <c r="AA398" s="60"/>
    </row>
    <row r="399" spans="11:27">
      <c r="K399" s="51"/>
      <c r="Q399" s="51"/>
      <c r="R399" s="51"/>
      <c r="S399" s="51"/>
      <c r="W399" s="53"/>
      <c r="X399" s="53"/>
      <c r="Y399" s="58"/>
      <c r="Z399" s="58"/>
      <c r="AA399" s="60"/>
    </row>
    <row r="400" spans="11:27">
      <c r="K400" s="51"/>
      <c r="Q400" s="51"/>
      <c r="R400" s="51"/>
      <c r="S400" s="51"/>
      <c r="W400" s="53"/>
      <c r="X400" s="53"/>
      <c r="Y400" s="58"/>
      <c r="Z400" s="58"/>
      <c r="AA400" s="60"/>
    </row>
    <row r="401" spans="11:27">
      <c r="K401" s="51"/>
      <c r="Q401" s="51"/>
      <c r="R401" s="51"/>
      <c r="S401" s="51"/>
      <c r="W401" s="53"/>
      <c r="X401" s="53"/>
      <c r="Y401" s="58"/>
      <c r="Z401" s="58"/>
      <c r="AA401" s="60"/>
    </row>
    <row r="402" spans="11:27">
      <c r="K402" s="51"/>
      <c r="Q402" s="51"/>
      <c r="R402" s="51"/>
      <c r="S402" s="51"/>
      <c r="W402" s="53"/>
      <c r="X402" s="53"/>
      <c r="Y402" s="58"/>
      <c r="Z402" s="58"/>
      <c r="AA402" s="60"/>
    </row>
    <row r="403" spans="11:27">
      <c r="K403" s="51"/>
      <c r="Q403" s="51"/>
      <c r="R403" s="51"/>
      <c r="S403" s="51"/>
      <c r="W403" s="53"/>
      <c r="X403" s="53"/>
      <c r="Y403" s="58"/>
      <c r="Z403" s="58"/>
      <c r="AA403" s="60"/>
    </row>
    <row r="404" spans="11:27">
      <c r="K404" s="51"/>
      <c r="Q404" s="51"/>
      <c r="R404" s="51"/>
      <c r="S404" s="51"/>
      <c r="W404" s="53"/>
      <c r="X404" s="53"/>
      <c r="Y404" s="58"/>
      <c r="Z404" s="58"/>
      <c r="AA404" s="60"/>
    </row>
    <row r="405" spans="11:27">
      <c r="K405" s="51"/>
      <c r="Q405" s="51"/>
      <c r="R405" s="51"/>
      <c r="S405" s="51"/>
      <c r="W405" s="53"/>
      <c r="X405" s="53"/>
      <c r="Y405" s="58"/>
      <c r="Z405" s="58"/>
      <c r="AA405" s="60"/>
    </row>
    <row r="406" spans="11:27">
      <c r="K406" s="51"/>
      <c r="Q406" s="51"/>
      <c r="R406" s="51"/>
      <c r="S406" s="51"/>
      <c r="W406" s="53"/>
      <c r="X406" s="53"/>
      <c r="Y406" s="58"/>
      <c r="Z406" s="58"/>
      <c r="AA406" s="60"/>
    </row>
    <row r="407" spans="11:27">
      <c r="K407" s="51"/>
      <c r="Q407" s="51"/>
      <c r="R407" s="51"/>
      <c r="S407" s="51"/>
      <c r="W407" s="53"/>
      <c r="X407" s="53"/>
      <c r="Y407" s="58"/>
      <c r="Z407" s="58"/>
      <c r="AA407" s="60"/>
    </row>
    <row r="408" spans="11:27">
      <c r="K408" s="51"/>
      <c r="Q408" s="51"/>
      <c r="R408" s="51"/>
      <c r="S408" s="51"/>
      <c r="W408" s="53"/>
      <c r="X408" s="53"/>
      <c r="Y408" s="58"/>
      <c r="Z408" s="58"/>
      <c r="AA408" s="60"/>
    </row>
    <row r="409" spans="11:27">
      <c r="K409" s="51"/>
      <c r="Q409" s="51"/>
      <c r="R409" s="51"/>
      <c r="S409" s="51"/>
      <c r="W409" s="53"/>
      <c r="X409" s="53"/>
      <c r="Y409" s="58"/>
      <c r="Z409" s="58"/>
      <c r="AA409" s="60"/>
    </row>
    <row r="410" spans="11:27">
      <c r="K410" s="51"/>
      <c r="Q410" s="51"/>
      <c r="R410" s="51"/>
      <c r="S410" s="51"/>
      <c r="W410" s="53"/>
      <c r="X410" s="53"/>
      <c r="Y410" s="58"/>
      <c r="Z410" s="58"/>
      <c r="AA410" s="60"/>
    </row>
    <row r="411" spans="11:27">
      <c r="K411" s="51"/>
      <c r="Q411" s="51"/>
      <c r="R411" s="51"/>
      <c r="S411" s="51"/>
      <c r="W411" s="53"/>
      <c r="X411" s="53"/>
      <c r="Y411" s="58"/>
      <c r="Z411" s="58"/>
      <c r="AA411" s="60"/>
    </row>
    <row r="412" spans="11:27">
      <c r="K412" s="51"/>
      <c r="Q412" s="51"/>
      <c r="R412" s="51"/>
      <c r="S412" s="51"/>
      <c r="W412" s="53"/>
      <c r="X412" s="53"/>
      <c r="Y412" s="58"/>
      <c r="Z412" s="58"/>
      <c r="AA412" s="60"/>
    </row>
    <row r="413" spans="11:27">
      <c r="K413" s="51"/>
      <c r="Q413" s="51"/>
      <c r="R413" s="51"/>
      <c r="S413" s="51"/>
      <c r="W413" s="53"/>
      <c r="X413" s="53"/>
      <c r="Y413" s="58"/>
      <c r="Z413" s="58"/>
      <c r="AA413" s="60"/>
    </row>
    <row r="414" spans="11:27">
      <c r="K414" s="51"/>
      <c r="Q414" s="51"/>
      <c r="R414" s="51"/>
      <c r="S414" s="51"/>
      <c r="W414" s="53"/>
      <c r="X414" s="53"/>
      <c r="Y414" s="58"/>
      <c r="Z414" s="58"/>
      <c r="AA414" s="60"/>
    </row>
    <row r="415" spans="11:27">
      <c r="K415" s="51"/>
      <c r="Q415" s="51"/>
      <c r="R415" s="51"/>
      <c r="S415" s="51"/>
      <c r="W415" s="53"/>
      <c r="X415" s="53"/>
      <c r="Y415" s="58"/>
      <c r="Z415" s="58"/>
      <c r="AA415" s="60"/>
    </row>
    <row r="416" spans="11:27">
      <c r="K416" s="51"/>
      <c r="Q416" s="51"/>
      <c r="R416" s="51"/>
      <c r="S416" s="51"/>
      <c r="W416" s="53"/>
      <c r="X416" s="53"/>
      <c r="Y416" s="58"/>
      <c r="Z416" s="58"/>
      <c r="AA416" s="60"/>
    </row>
    <row r="417" spans="11:27">
      <c r="K417" s="51"/>
      <c r="Q417" s="51"/>
      <c r="R417" s="51"/>
      <c r="S417" s="51"/>
      <c r="W417" s="53"/>
      <c r="X417" s="53"/>
      <c r="Y417" s="58"/>
      <c r="Z417" s="58"/>
      <c r="AA417" s="60"/>
    </row>
    <row r="418" spans="11:27">
      <c r="K418" s="51"/>
      <c r="Q418" s="51"/>
      <c r="R418" s="51"/>
      <c r="S418" s="51"/>
      <c r="W418" s="53"/>
      <c r="X418" s="53"/>
      <c r="Y418" s="58"/>
      <c r="Z418" s="58"/>
      <c r="AA418" s="60"/>
    </row>
    <row r="419" spans="11:27">
      <c r="K419" s="51"/>
      <c r="Q419" s="51"/>
      <c r="R419" s="51"/>
      <c r="S419" s="51"/>
      <c r="W419" s="53"/>
      <c r="X419" s="53"/>
      <c r="Y419" s="58"/>
      <c r="Z419" s="58"/>
      <c r="AA419" s="60"/>
    </row>
    <row r="420" spans="11:27">
      <c r="K420" s="51"/>
      <c r="Q420" s="51"/>
      <c r="R420" s="51"/>
      <c r="S420" s="51"/>
      <c r="W420" s="53"/>
      <c r="X420" s="53"/>
      <c r="Y420" s="58"/>
      <c r="Z420" s="58"/>
      <c r="AA420" s="60"/>
    </row>
    <row r="421" spans="11:27">
      <c r="K421" s="51"/>
      <c r="Q421" s="51"/>
      <c r="R421" s="51"/>
      <c r="S421" s="51"/>
      <c r="W421" s="53"/>
      <c r="X421" s="53"/>
      <c r="Y421" s="58"/>
      <c r="Z421" s="58"/>
      <c r="AA421" s="60"/>
    </row>
    <row r="422" spans="11:27">
      <c r="K422" s="51"/>
      <c r="Q422" s="51"/>
      <c r="R422" s="51"/>
      <c r="S422" s="51"/>
      <c r="W422" s="53"/>
      <c r="X422" s="53"/>
      <c r="Y422" s="58"/>
      <c r="Z422" s="58"/>
      <c r="AA422" s="60"/>
    </row>
    <row r="423" spans="11:27">
      <c r="K423" s="51"/>
      <c r="Q423" s="51"/>
      <c r="R423" s="51"/>
      <c r="S423" s="51"/>
      <c r="W423" s="53"/>
      <c r="X423" s="53"/>
      <c r="Y423" s="58"/>
      <c r="Z423" s="58"/>
      <c r="AA423" s="60"/>
    </row>
    <row r="424" spans="11:27">
      <c r="K424" s="51"/>
      <c r="Q424" s="51"/>
      <c r="R424" s="51"/>
      <c r="S424" s="51"/>
      <c r="W424" s="53"/>
      <c r="X424" s="53"/>
      <c r="Y424" s="58"/>
      <c r="Z424" s="58"/>
      <c r="AA424" s="60"/>
    </row>
    <row r="425" spans="11:27">
      <c r="K425" s="51"/>
      <c r="Q425" s="51"/>
      <c r="R425" s="51"/>
      <c r="S425" s="51"/>
      <c r="W425" s="53"/>
      <c r="X425" s="53"/>
      <c r="Y425" s="58"/>
      <c r="Z425" s="58"/>
      <c r="AA425" s="60"/>
    </row>
    <row r="426" spans="11:27">
      <c r="K426" s="51"/>
      <c r="Q426" s="51"/>
      <c r="R426" s="51"/>
      <c r="S426" s="51"/>
      <c r="W426" s="53"/>
      <c r="X426" s="53"/>
      <c r="Y426" s="58"/>
      <c r="Z426" s="58"/>
      <c r="AA426" s="60"/>
    </row>
    <row r="427" spans="11:27">
      <c r="K427" s="51"/>
      <c r="Q427" s="51"/>
      <c r="R427" s="51"/>
      <c r="S427" s="51"/>
      <c r="W427" s="53"/>
      <c r="X427" s="53"/>
      <c r="Y427" s="58"/>
      <c r="Z427" s="58"/>
      <c r="AA427" s="60"/>
    </row>
    <row r="428" spans="11:27">
      <c r="K428" s="51"/>
      <c r="Q428" s="51"/>
      <c r="R428" s="51"/>
      <c r="S428" s="51"/>
      <c r="W428" s="53"/>
      <c r="X428" s="53"/>
      <c r="Y428" s="58"/>
      <c r="Z428" s="58"/>
      <c r="AA428" s="60"/>
    </row>
    <row r="429" spans="11:27">
      <c r="K429" s="51"/>
      <c r="Q429" s="51"/>
      <c r="R429" s="51"/>
      <c r="S429" s="51"/>
      <c r="W429" s="53"/>
      <c r="X429" s="53"/>
      <c r="Y429" s="58"/>
      <c r="Z429" s="58"/>
      <c r="AA429" s="60"/>
    </row>
    <row r="430" spans="11:27">
      <c r="K430" s="51"/>
      <c r="Q430" s="51"/>
      <c r="R430" s="51"/>
      <c r="S430" s="51"/>
      <c r="W430" s="53"/>
      <c r="X430" s="53"/>
      <c r="Y430" s="58"/>
      <c r="Z430" s="58"/>
      <c r="AA430" s="60"/>
    </row>
    <row r="431" spans="11:27">
      <c r="K431" s="51"/>
      <c r="Q431" s="51"/>
      <c r="R431" s="51"/>
      <c r="S431" s="51"/>
      <c r="W431" s="53"/>
      <c r="X431" s="53"/>
      <c r="Y431" s="58"/>
      <c r="Z431" s="58"/>
      <c r="AA431" s="60"/>
    </row>
    <row r="432" spans="11:27">
      <c r="K432" s="51"/>
      <c r="Q432" s="51"/>
      <c r="R432" s="51"/>
      <c r="S432" s="51"/>
      <c r="W432" s="53"/>
      <c r="X432" s="53"/>
      <c r="Y432" s="58"/>
      <c r="Z432" s="58"/>
      <c r="AA432" s="60"/>
    </row>
    <row r="433" spans="11:27">
      <c r="K433" s="51"/>
      <c r="Q433" s="51"/>
      <c r="R433" s="51"/>
      <c r="S433" s="51"/>
      <c r="W433" s="53"/>
      <c r="X433" s="53"/>
      <c r="Y433" s="58"/>
      <c r="Z433" s="58"/>
      <c r="AA433" s="60"/>
    </row>
    <row r="434" spans="11:27">
      <c r="K434" s="51"/>
      <c r="Q434" s="51"/>
      <c r="R434" s="51"/>
      <c r="S434" s="51"/>
      <c r="W434" s="53"/>
      <c r="X434" s="53"/>
      <c r="Y434" s="58"/>
      <c r="Z434" s="58"/>
      <c r="AA434" s="60"/>
    </row>
    <row r="435" spans="11:27">
      <c r="K435" s="51"/>
      <c r="Q435" s="51"/>
      <c r="R435" s="51"/>
      <c r="S435" s="51"/>
      <c r="W435" s="53"/>
      <c r="X435" s="53"/>
      <c r="Y435" s="58"/>
      <c r="Z435" s="58"/>
      <c r="AA435" s="60"/>
    </row>
    <row r="436" spans="11:27">
      <c r="K436" s="51"/>
      <c r="Q436" s="51"/>
      <c r="R436" s="51"/>
      <c r="S436" s="51"/>
      <c r="W436" s="53"/>
      <c r="X436" s="53"/>
      <c r="Y436" s="58"/>
      <c r="Z436" s="58"/>
      <c r="AA436" s="60"/>
    </row>
    <row r="437" spans="11:27">
      <c r="K437" s="51"/>
      <c r="Q437" s="51"/>
      <c r="R437" s="51"/>
      <c r="S437" s="51"/>
      <c r="W437" s="53"/>
      <c r="X437" s="53"/>
      <c r="Y437" s="58"/>
      <c r="Z437" s="58"/>
      <c r="AA437" s="60"/>
    </row>
    <row r="438" spans="11:27">
      <c r="K438" s="51"/>
      <c r="Q438" s="51"/>
      <c r="R438" s="51"/>
      <c r="S438" s="51"/>
      <c r="W438" s="53"/>
      <c r="X438" s="53"/>
      <c r="Y438" s="58"/>
      <c r="Z438" s="58"/>
      <c r="AA438" s="60"/>
    </row>
    <row r="439" spans="11:27">
      <c r="K439" s="51"/>
      <c r="Q439" s="51"/>
      <c r="R439" s="51"/>
      <c r="S439" s="51"/>
      <c r="W439" s="53"/>
      <c r="X439" s="53"/>
      <c r="Y439" s="58"/>
      <c r="Z439" s="58"/>
      <c r="AA439" s="60"/>
    </row>
    <row r="440" spans="11:27">
      <c r="K440" s="51"/>
      <c r="Q440" s="51"/>
      <c r="R440" s="51"/>
      <c r="S440" s="51"/>
      <c r="W440" s="53"/>
      <c r="X440" s="53"/>
      <c r="Y440" s="58"/>
      <c r="Z440" s="58"/>
      <c r="AA440" s="60"/>
    </row>
    <row r="441" spans="11:27">
      <c r="K441" s="51"/>
      <c r="Q441" s="51"/>
      <c r="R441" s="51"/>
      <c r="S441" s="51"/>
      <c r="W441" s="53"/>
      <c r="X441" s="53"/>
      <c r="Y441" s="58"/>
      <c r="Z441" s="58"/>
      <c r="AA441" s="60"/>
    </row>
    <row r="442" spans="11:27">
      <c r="K442" s="51"/>
      <c r="Q442" s="51"/>
      <c r="R442" s="51"/>
      <c r="S442" s="51"/>
      <c r="W442" s="53"/>
      <c r="X442" s="53"/>
      <c r="Y442" s="58"/>
      <c r="Z442" s="58"/>
      <c r="AA442" s="60"/>
    </row>
    <row r="443" spans="11:27">
      <c r="K443" s="51"/>
      <c r="Q443" s="51"/>
      <c r="R443" s="51"/>
      <c r="S443" s="51"/>
      <c r="W443" s="53"/>
      <c r="X443" s="53"/>
      <c r="Y443" s="58"/>
      <c r="Z443" s="58"/>
      <c r="AA443" s="60"/>
    </row>
    <row r="444" spans="11:27">
      <c r="K444" s="51"/>
      <c r="Q444" s="51"/>
      <c r="R444" s="51"/>
      <c r="S444" s="51"/>
      <c r="W444" s="53"/>
      <c r="X444" s="53"/>
      <c r="Y444" s="58"/>
      <c r="Z444" s="58"/>
      <c r="AA444" s="60"/>
    </row>
    <row r="445" spans="11:27">
      <c r="K445" s="51"/>
      <c r="Q445" s="51"/>
      <c r="R445" s="51"/>
      <c r="S445" s="51"/>
      <c r="W445" s="53"/>
      <c r="X445" s="53"/>
      <c r="Y445" s="58"/>
      <c r="Z445" s="58"/>
      <c r="AA445" s="60"/>
    </row>
    <row r="446" spans="11:27">
      <c r="K446" s="51"/>
      <c r="Q446" s="51"/>
      <c r="R446" s="51"/>
      <c r="S446" s="51"/>
      <c r="W446" s="53"/>
      <c r="X446" s="53"/>
      <c r="Y446" s="58"/>
      <c r="Z446" s="58"/>
      <c r="AA446" s="60"/>
    </row>
    <row r="447" spans="11:27">
      <c r="K447" s="51"/>
      <c r="Q447" s="51"/>
      <c r="R447" s="51"/>
      <c r="S447" s="51"/>
      <c r="W447" s="53"/>
      <c r="X447" s="53"/>
      <c r="Y447" s="58"/>
      <c r="Z447" s="58"/>
      <c r="AA447" s="60"/>
    </row>
    <row r="448" spans="11:27">
      <c r="K448" s="51"/>
      <c r="Q448" s="51"/>
      <c r="R448" s="51"/>
      <c r="S448" s="51"/>
      <c r="W448" s="53"/>
      <c r="X448" s="53"/>
      <c r="Y448" s="58"/>
      <c r="Z448" s="58"/>
      <c r="AA448" s="60"/>
    </row>
    <row r="449" spans="11:27">
      <c r="K449" s="51"/>
      <c r="Q449" s="51"/>
      <c r="R449" s="51"/>
      <c r="S449" s="51"/>
      <c r="W449" s="53"/>
      <c r="X449" s="53"/>
      <c r="Y449" s="58"/>
      <c r="Z449" s="58"/>
      <c r="AA449" s="60"/>
    </row>
    <row r="450" spans="11:27">
      <c r="K450" s="51"/>
      <c r="Q450" s="51"/>
      <c r="R450" s="51"/>
      <c r="S450" s="51"/>
      <c r="W450" s="53"/>
      <c r="X450" s="53"/>
      <c r="Y450" s="58"/>
      <c r="Z450" s="58"/>
      <c r="AA450" s="60"/>
    </row>
    <row r="451" spans="11:27">
      <c r="K451" s="51"/>
      <c r="Q451" s="51"/>
      <c r="R451" s="51"/>
      <c r="S451" s="51"/>
      <c r="W451" s="53"/>
      <c r="X451" s="53"/>
      <c r="Y451" s="58"/>
      <c r="Z451" s="58"/>
      <c r="AA451" s="60"/>
    </row>
    <row r="452" spans="11:27">
      <c r="K452" s="51"/>
      <c r="Q452" s="51"/>
      <c r="R452" s="51"/>
      <c r="S452" s="51"/>
      <c r="W452" s="53"/>
      <c r="X452" s="53"/>
      <c r="Y452" s="58"/>
      <c r="Z452" s="58"/>
      <c r="AA452" s="60"/>
    </row>
    <row r="453" spans="11:27">
      <c r="K453" s="51"/>
      <c r="Q453" s="51"/>
      <c r="R453" s="51"/>
      <c r="S453" s="51"/>
      <c r="W453" s="53"/>
      <c r="X453" s="53"/>
      <c r="Y453" s="58"/>
      <c r="Z453" s="58"/>
      <c r="AA453" s="60"/>
    </row>
    <row r="454" spans="11:27">
      <c r="K454" s="51"/>
      <c r="Q454" s="51"/>
      <c r="R454" s="51"/>
      <c r="S454" s="51"/>
      <c r="W454" s="53"/>
      <c r="X454" s="53"/>
      <c r="Y454" s="58"/>
      <c r="Z454" s="58"/>
      <c r="AA454" s="60"/>
    </row>
    <row r="455" spans="11:27">
      <c r="K455" s="51"/>
      <c r="Q455" s="51"/>
      <c r="R455" s="51"/>
      <c r="S455" s="51"/>
      <c r="W455" s="53"/>
      <c r="X455" s="53"/>
      <c r="Y455" s="58"/>
      <c r="Z455" s="58"/>
      <c r="AA455" s="60"/>
    </row>
    <row r="456" spans="11:27">
      <c r="K456" s="51"/>
      <c r="Q456" s="51"/>
      <c r="R456" s="51"/>
      <c r="S456" s="51"/>
      <c r="W456" s="53"/>
      <c r="X456" s="53"/>
      <c r="Y456" s="58"/>
      <c r="Z456" s="58"/>
      <c r="AA456" s="60"/>
    </row>
    <row r="457" spans="11:27">
      <c r="K457" s="51"/>
      <c r="Q457" s="51"/>
      <c r="R457" s="51"/>
      <c r="S457" s="51"/>
      <c r="W457" s="53"/>
      <c r="X457" s="53"/>
      <c r="Y457" s="58"/>
      <c r="Z457" s="58"/>
      <c r="AA457" s="60"/>
    </row>
    <row r="458" spans="11:27">
      <c r="K458" s="51"/>
      <c r="Q458" s="51"/>
      <c r="R458" s="51"/>
      <c r="S458" s="51"/>
      <c r="W458" s="53"/>
      <c r="X458" s="53"/>
      <c r="Y458" s="58"/>
      <c r="Z458" s="58"/>
      <c r="AA458" s="60"/>
    </row>
    <row r="459" spans="11:27">
      <c r="K459" s="51"/>
      <c r="Q459" s="51"/>
      <c r="R459" s="51"/>
      <c r="S459" s="51"/>
      <c r="W459" s="53"/>
      <c r="X459" s="53"/>
      <c r="Y459" s="58"/>
      <c r="Z459" s="58"/>
      <c r="AA459" s="60"/>
    </row>
    <row r="460" spans="11:27">
      <c r="K460" s="51"/>
      <c r="Q460" s="51"/>
      <c r="R460" s="51"/>
      <c r="S460" s="51"/>
      <c r="W460" s="53"/>
      <c r="X460" s="53"/>
      <c r="Y460" s="58"/>
      <c r="Z460" s="58"/>
      <c r="AA460" s="60"/>
    </row>
    <row r="461" spans="11:27">
      <c r="K461" s="51"/>
      <c r="Q461" s="51"/>
      <c r="R461" s="51"/>
      <c r="S461" s="51"/>
      <c r="W461" s="53"/>
      <c r="X461" s="53"/>
      <c r="Y461" s="58"/>
      <c r="Z461" s="58"/>
      <c r="AA461" s="60"/>
    </row>
    <row r="462" spans="11:27">
      <c r="K462" s="51"/>
      <c r="Q462" s="51"/>
      <c r="R462" s="51"/>
      <c r="S462" s="51"/>
      <c r="W462" s="53"/>
      <c r="X462" s="53"/>
      <c r="Y462" s="58"/>
      <c r="Z462" s="58"/>
      <c r="AA462" s="60"/>
    </row>
    <row r="463" spans="11:27">
      <c r="K463" s="51"/>
      <c r="Q463" s="51"/>
      <c r="R463" s="51"/>
      <c r="S463" s="51"/>
      <c r="W463" s="53"/>
      <c r="X463" s="53"/>
      <c r="Y463" s="58"/>
      <c r="Z463" s="58"/>
      <c r="AA463" s="60"/>
    </row>
    <row r="464" spans="11:27">
      <c r="K464" s="51"/>
      <c r="Q464" s="51"/>
      <c r="R464" s="51"/>
      <c r="S464" s="51"/>
      <c r="W464" s="53"/>
      <c r="X464" s="53"/>
      <c r="Y464" s="58"/>
      <c r="Z464" s="58"/>
      <c r="AA464" s="60"/>
    </row>
    <row r="465" spans="11:27">
      <c r="K465" s="51"/>
      <c r="Q465" s="51"/>
      <c r="R465" s="51"/>
      <c r="S465" s="51"/>
      <c r="W465" s="53"/>
      <c r="X465" s="53"/>
      <c r="Y465" s="58"/>
      <c r="Z465" s="58"/>
      <c r="AA465" s="60"/>
    </row>
    <row r="466" spans="11:27">
      <c r="K466" s="51"/>
      <c r="Q466" s="51"/>
      <c r="R466" s="51"/>
      <c r="S466" s="51"/>
      <c r="W466" s="53"/>
      <c r="X466" s="53"/>
      <c r="Y466" s="58"/>
      <c r="Z466" s="58"/>
      <c r="AA466" s="60"/>
    </row>
    <row r="467" spans="11:27">
      <c r="K467" s="51"/>
      <c r="Q467" s="51"/>
      <c r="R467" s="51"/>
      <c r="S467" s="51"/>
      <c r="W467" s="53"/>
      <c r="X467" s="53"/>
      <c r="Y467" s="58"/>
      <c r="Z467" s="58"/>
      <c r="AA467" s="60"/>
    </row>
    <row r="468" spans="11:27">
      <c r="K468" s="51"/>
      <c r="Q468" s="51"/>
      <c r="R468" s="51"/>
      <c r="S468" s="51"/>
      <c r="W468" s="53"/>
      <c r="X468" s="53"/>
      <c r="Y468" s="58"/>
      <c r="Z468" s="58"/>
      <c r="AA468" s="60"/>
    </row>
    <row r="469" spans="11:27">
      <c r="K469" s="51"/>
      <c r="Q469" s="51"/>
      <c r="R469" s="51"/>
      <c r="S469" s="51"/>
      <c r="W469" s="53"/>
      <c r="X469" s="53"/>
      <c r="Y469" s="58"/>
      <c r="Z469" s="58"/>
      <c r="AA469" s="60"/>
    </row>
    <row r="470" spans="11:27">
      <c r="K470" s="51"/>
      <c r="Q470" s="51"/>
      <c r="R470" s="51"/>
      <c r="S470" s="51"/>
      <c r="W470" s="53"/>
      <c r="X470" s="53"/>
      <c r="Y470" s="58"/>
      <c r="Z470" s="58"/>
      <c r="AA470" s="60"/>
    </row>
    <row r="471" spans="11:27">
      <c r="K471" s="51"/>
      <c r="Q471" s="51"/>
      <c r="R471" s="51"/>
      <c r="S471" s="51"/>
      <c r="W471" s="53"/>
      <c r="X471" s="53"/>
      <c r="Y471" s="58"/>
      <c r="Z471" s="58"/>
      <c r="AA471" s="60"/>
    </row>
    <row r="472" spans="11:27">
      <c r="K472" s="51"/>
      <c r="Q472" s="51"/>
      <c r="R472" s="51"/>
      <c r="S472" s="51"/>
      <c r="W472" s="53"/>
      <c r="X472" s="53"/>
      <c r="Y472" s="58"/>
      <c r="Z472" s="58"/>
      <c r="AA472" s="60"/>
    </row>
    <row r="473" spans="11:27">
      <c r="K473" s="51"/>
      <c r="Q473" s="51"/>
      <c r="R473" s="51"/>
      <c r="S473" s="51"/>
      <c r="W473" s="53"/>
      <c r="X473" s="53"/>
      <c r="Y473" s="58"/>
      <c r="Z473" s="58"/>
      <c r="AA473" s="60"/>
    </row>
    <row r="474" spans="11:27">
      <c r="K474" s="51"/>
      <c r="Q474" s="51"/>
      <c r="R474" s="51"/>
      <c r="S474" s="51"/>
      <c r="W474" s="53"/>
      <c r="X474" s="53"/>
      <c r="Y474" s="58"/>
      <c r="Z474" s="58"/>
      <c r="AA474" s="60"/>
    </row>
    <row r="475" spans="11:27">
      <c r="K475" s="51"/>
      <c r="Q475" s="51"/>
      <c r="R475" s="51"/>
      <c r="S475" s="51"/>
      <c r="W475" s="53"/>
      <c r="X475" s="53"/>
      <c r="Y475" s="58"/>
      <c r="Z475" s="58"/>
      <c r="AA475" s="60"/>
    </row>
    <row r="476" spans="11:27">
      <c r="K476" s="51"/>
      <c r="Q476" s="51"/>
      <c r="R476" s="51"/>
      <c r="S476" s="51"/>
      <c r="W476" s="53"/>
      <c r="X476" s="53"/>
      <c r="Y476" s="58"/>
      <c r="Z476" s="58"/>
      <c r="AA476" s="60"/>
    </row>
    <row r="477" spans="11:27">
      <c r="K477" s="51"/>
      <c r="Q477" s="51"/>
      <c r="R477" s="51"/>
      <c r="S477" s="51"/>
      <c r="W477" s="53"/>
      <c r="X477" s="53"/>
      <c r="Y477" s="58"/>
      <c r="Z477" s="58"/>
      <c r="AA477" s="60"/>
    </row>
    <row r="478" spans="11:27">
      <c r="K478" s="51"/>
      <c r="Q478" s="51"/>
      <c r="R478" s="51"/>
      <c r="S478" s="51"/>
      <c r="W478" s="53"/>
      <c r="X478" s="53"/>
      <c r="Y478" s="58"/>
      <c r="Z478" s="58"/>
      <c r="AA478" s="60"/>
    </row>
    <row r="479" spans="11:27">
      <c r="K479" s="51"/>
      <c r="Q479" s="51"/>
      <c r="R479" s="51"/>
      <c r="S479" s="51"/>
      <c r="W479" s="53"/>
      <c r="X479" s="53"/>
      <c r="Y479" s="58"/>
      <c r="Z479" s="58"/>
      <c r="AA479" s="60"/>
    </row>
    <row r="480" spans="11:27">
      <c r="K480" s="51"/>
      <c r="Q480" s="51"/>
      <c r="R480" s="51"/>
      <c r="S480" s="51"/>
      <c r="W480" s="53"/>
      <c r="X480" s="53"/>
      <c r="Y480" s="58"/>
      <c r="Z480" s="58"/>
      <c r="AA480" s="60"/>
    </row>
    <row r="481" spans="11:27">
      <c r="K481" s="51"/>
      <c r="Q481" s="51"/>
      <c r="R481" s="51"/>
      <c r="S481" s="51"/>
      <c r="W481" s="53"/>
      <c r="X481" s="53"/>
      <c r="Y481" s="58"/>
      <c r="Z481" s="58"/>
      <c r="AA481" s="60"/>
    </row>
    <row r="482" spans="11:27">
      <c r="K482" s="51"/>
      <c r="Q482" s="51"/>
      <c r="R482" s="51"/>
      <c r="S482" s="51"/>
      <c r="W482" s="53"/>
      <c r="X482" s="53"/>
      <c r="Y482" s="58"/>
      <c r="Z482" s="58"/>
      <c r="AA482" s="60"/>
    </row>
    <row r="483" spans="11:27">
      <c r="K483" s="51"/>
      <c r="Q483" s="51"/>
      <c r="R483" s="51"/>
      <c r="S483" s="51"/>
      <c r="W483" s="53"/>
      <c r="X483" s="53"/>
      <c r="Y483" s="58"/>
      <c r="Z483" s="58"/>
      <c r="AA483" s="60"/>
    </row>
    <row r="484" spans="11:27">
      <c r="K484" s="51"/>
      <c r="Q484" s="51"/>
      <c r="R484" s="51"/>
      <c r="S484" s="51"/>
      <c r="W484" s="53"/>
      <c r="X484" s="53"/>
      <c r="Y484" s="58"/>
      <c r="Z484" s="58"/>
      <c r="AA484" s="60"/>
    </row>
    <row r="485" spans="11:27">
      <c r="K485" s="51"/>
      <c r="Q485" s="51"/>
      <c r="R485" s="51"/>
      <c r="S485" s="51"/>
      <c r="W485" s="53"/>
      <c r="X485" s="53"/>
      <c r="Y485" s="58"/>
      <c r="Z485" s="58"/>
      <c r="AA485" s="60"/>
    </row>
    <row r="486" spans="11:27">
      <c r="K486" s="51"/>
      <c r="Q486" s="51"/>
      <c r="R486" s="51"/>
      <c r="S486" s="51"/>
      <c r="W486" s="53"/>
      <c r="X486" s="53"/>
      <c r="Y486" s="58"/>
      <c r="Z486" s="58"/>
      <c r="AA486" s="60"/>
    </row>
    <row r="487" spans="11:27">
      <c r="K487" s="51"/>
      <c r="Q487" s="51"/>
      <c r="R487" s="51"/>
      <c r="S487" s="51"/>
      <c r="W487" s="53"/>
      <c r="X487" s="53"/>
      <c r="Y487" s="58"/>
      <c r="Z487" s="58"/>
      <c r="AA487" s="60"/>
    </row>
    <row r="488" spans="11:27">
      <c r="K488" s="51"/>
      <c r="Q488" s="51"/>
      <c r="R488" s="51"/>
      <c r="S488" s="51"/>
      <c r="W488" s="53"/>
      <c r="X488" s="53"/>
      <c r="Y488" s="58"/>
      <c r="Z488" s="58"/>
      <c r="AA488" s="60"/>
    </row>
    <row r="489" spans="11:27">
      <c r="K489" s="51"/>
      <c r="Q489" s="51"/>
      <c r="R489" s="51"/>
      <c r="S489" s="51"/>
      <c r="W489" s="53"/>
      <c r="X489" s="53"/>
      <c r="Y489" s="58"/>
      <c r="Z489" s="58"/>
      <c r="AA489" s="60"/>
    </row>
    <row r="490" spans="11:27">
      <c r="K490" s="51"/>
      <c r="Q490" s="51"/>
      <c r="R490" s="51"/>
      <c r="S490" s="51"/>
      <c r="W490" s="53"/>
      <c r="X490" s="53"/>
      <c r="Y490" s="58"/>
      <c r="Z490" s="58"/>
      <c r="AA490" s="60"/>
    </row>
    <row r="491" spans="11:27">
      <c r="K491" s="51"/>
      <c r="Q491" s="51"/>
      <c r="R491" s="51"/>
      <c r="S491" s="51"/>
      <c r="W491" s="53"/>
      <c r="X491" s="53"/>
      <c r="Y491" s="58"/>
      <c r="Z491" s="58"/>
      <c r="AA491" s="60"/>
    </row>
    <row r="492" spans="11:27">
      <c r="K492" s="51"/>
      <c r="Q492" s="51"/>
      <c r="R492" s="51"/>
      <c r="S492" s="51"/>
      <c r="W492" s="53"/>
      <c r="X492" s="53"/>
      <c r="Y492" s="58"/>
      <c r="Z492" s="58"/>
      <c r="AA492" s="60"/>
    </row>
    <row r="493" spans="11:27">
      <c r="K493" s="51"/>
      <c r="Q493" s="51"/>
      <c r="R493" s="51"/>
      <c r="S493" s="51"/>
      <c r="W493" s="53"/>
      <c r="X493" s="53"/>
      <c r="Y493" s="58"/>
      <c r="Z493" s="58"/>
      <c r="AA493" s="60"/>
    </row>
    <row r="494" spans="11:27">
      <c r="K494" s="51"/>
      <c r="Q494" s="51"/>
      <c r="R494" s="51"/>
      <c r="S494" s="51"/>
      <c r="W494" s="53"/>
      <c r="X494" s="53"/>
      <c r="Y494" s="58"/>
      <c r="Z494" s="58"/>
      <c r="AA494" s="60"/>
    </row>
    <row r="495" spans="11:27">
      <c r="K495" s="51"/>
      <c r="Q495" s="51"/>
      <c r="R495" s="51"/>
      <c r="S495" s="51"/>
      <c r="W495" s="53"/>
      <c r="X495" s="53"/>
      <c r="Y495" s="58"/>
      <c r="Z495" s="58"/>
      <c r="AA495" s="60"/>
    </row>
    <row r="496" spans="11:27">
      <c r="K496" s="51"/>
      <c r="Q496" s="51"/>
      <c r="R496" s="51"/>
      <c r="S496" s="51"/>
      <c r="W496" s="53"/>
      <c r="X496" s="53"/>
      <c r="Y496" s="58"/>
      <c r="Z496" s="58"/>
      <c r="AA496" s="60"/>
    </row>
    <row r="497" spans="11:27">
      <c r="K497" s="51"/>
      <c r="Q497" s="51"/>
      <c r="R497" s="51"/>
      <c r="S497" s="51"/>
      <c r="W497" s="53"/>
      <c r="X497" s="53"/>
      <c r="Y497" s="58"/>
      <c r="Z497" s="58"/>
      <c r="AA497" s="60"/>
    </row>
    <row r="498" spans="11:27">
      <c r="K498" s="51"/>
      <c r="Q498" s="51"/>
      <c r="R498" s="51"/>
      <c r="S498" s="51"/>
      <c r="W498" s="53"/>
      <c r="X498" s="53"/>
      <c r="Y498" s="58"/>
      <c r="Z498" s="58"/>
      <c r="AA498" s="60"/>
    </row>
    <row r="499" spans="11:27">
      <c r="K499" s="51"/>
      <c r="Q499" s="51"/>
      <c r="R499" s="51"/>
      <c r="S499" s="51"/>
      <c r="W499" s="53"/>
      <c r="X499" s="53"/>
      <c r="Y499" s="58"/>
      <c r="Z499" s="58"/>
      <c r="AA499" s="60"/>
    </row>
    <row r="500" spans="11:27">
      <c r="K500" s="51"/>
      <c r="Q500" s="51"/>
      <c r="R500" s="51"/>
      <c r="S500" s="51"/>
      <c r="W500" s="53"/>
      <c r="X500" s="53"/>
      <c r="Y500" s="58"/>
      <c r="Z500" s="58"/>
      <c r="AA500" s="60"/>
    </row>
    <row r="501" spans="11:27">
      <c r="K501" s="51"/>
      <c r="Q501" s="51"/>
      <c r="R501" s="51"/>
      <c r="S501" s="51"/>
      <c r="W501" s="53"/>
      <c r="X501" s="53"/>
      <c r="Y501" s="58"/>
      <c r="Z501" s="58"/>
      <c r="AA501" s="60"/>
    </row>
    <row r="502" spans="11:27">
      <c r="K502" s="51"/>
      <c r="Q502" s="51"/>
      <c r="R502" s="51"/>
      <c r="S502" s="51"/>
      <c r="W502" s="53"/>
      <c r="X502" s="53"/>
      <c r="Y502" s="58"/>
      <c r="Z502" s="58"/>
      <c r="AA502" s="60"/>
    </row>
    <row r="503" spans="11:27">
      <c r="K503" s="51"/>
      <c r="Q503" s="51"/>
      <c r="R503" s="51"/>
      <c r="S503" s="51"/>
      <c r="W503" s="53"/>
      <c r="X503" s="53"/>
      <c r="Y503" s="58"/>
      <c r="Z503" s="58"/>
      <c r="AA503" s="60"/>
    </row>
    <row r="504" spans="11:27">
      <c r="K504" s="51"/>
      <c r="Q504" s="51"/>
      <c r="R504" s="51"/>
      <c r="S504" s="51"/>
      <c r="W504" s="53"/>
      <c r="X504" s="53"/>
      <c r="Y504" s="58"/>
      <c r="Z504" s="58"/>
      <c r="AA504" s="60"/>
    </row>
    <row r="505" spans="11:27">
      <c r="K505" s="51"/>
      <c r="Q505" s="51"/>
      <c r="R505" s="51"/>
      <c r="S505" s="51"/>
      <c r="W505" s="53"/>
      <c r="X505" s="53"/>
      <c r="Y505" s="58"/>
      <c r="Z505" s="58"/>
      <c r="AA505" s="60"/>
    </row>
    <row r="506" spans="11:27">
      <c r="K506" s="51"/>
      <c r="Q506" s="51"/>
      <c r="R506" s="51"/>
      <c r="S506" s="51"/>
      <c r="W506" s="53"/>
      <c r="X506" s="53"/>
      <c r="Y506" s="58"/>
      <c r="Z506" s="58"/>
      <c r="AA506" s="60"/>
    </row>
    <row r="507" spans="11:27">
      <c r="K507" s="51"/>
      <c r="Q507" s="51"/>
      <c r="R507" s="51"/>
      <c r="S507" s="51"/>
      <c r="W507" s="53"/>
      <c r="X507" s="53"/>
      <c r="Y507" s="58"/>
      <c r="Z507" s="58"/>
      <c r="AA507" s="60"/>
    </row>
    <row r="508" spans="11:27">
      <c r="K508" s="51"/>
      <c r="Q508" s="51"/>
      <c r="R508" s="51"/>
      <c r="S508" s="51"/>
      <c r="W508" s="53"/>
      <c r="X508" s="53"/>
      <c r="Y508" s="58"/>
      <c r="Z508" s="58"/>
      <c r="AA508" s="60"/>
    </row>
    <row r="509" spans="11:27">
      <c r="K509" s="51"/>
      <c r="Q509" s="51"/>
      <c r="R509" s="51"/>
      <c r="S509" s="51"/>
      <c r="W509" s="53"/>
      <c r="X509" s="53"/>
      <c r="Y509" s="58"/>
      <c r="Z509" s="58"/>
      <c r="AA509" s="60"/>
    </row>
    <row r="510" spans="11:27">
      <c r="K510" s="51"/>
      <c r="Q510" s="51"/>
      <c r="R510" s="51"/>
      <c r="S510" s="51"/>
      <c r="W510" s="53"/>
      <c r="X510" s="53"/>
      <c r="Y510" s="58"/>
      <c r="Z510" s="58"/>
      <c r="AA510" s="60"/>
    </row>
    <row r="511" spans="11:27">
      <c r="K511" s="51"/>
      <c r="Q511" s="51"/>
      <c r="R511" s="51"/>
      <c r="S511" s="51"/>
      <c r="W511" s="53"/>
      <c r="X511" s="53"/>
      <c r="Y511" s="58"/>
      <c r="Z511" s="58"/>
      <c r="AA511" s="60"/>
    </row>
    <row r="512" spans="11:27">
      <c r="K512" s="51"/>
      <c r="Q512" s="51"/>
      <c r="R512" s="51"/>
      <c r="S512" s="51"/>
      <c r="W512" s="53"/>
      <c r="X512" s="53"/>
      <c r="Y512" s="58"/>
      <c r="Z512" s="58"/>
      <c r="AA512" s="60"/>
    </row>
    <row r="513" spans="11:27">
      <c r="K513" s="51"/>
      <c r="Q513" s="51"/>
      <c r="R513" s="51"/>
      <c r="S513" s="51"/>
      <c r="W513" s="53"/>
      <c r="X513" s="53"/>
      <c r="Y513" s="58"/>
      <c r="Z513" s="58"/>
      <c r="AA513" s="60"/>
    </row>
    <row r="514" spans="11:27">
      <c r="K514" s="51"/>
      <c r="Q514" s="51"/>
      <c r="R514" s="51"/>
      <c r="S514" s="51"/>
      <c r="W514" s="53"/>
      <c r="X514" s="53"/>
      <c r="Y514" s="58"/>
      <c r="Z514" s="58"/>
      <c r="AA514" s="60"/>
    </row>
    <row r="515" spans="11:27">
      <c r="K515" s="51"/>
      <c r="Q515" s="51"/>
      <c r="R515" s="51"/>
      <c r="S515" s="51"/>
      <c r="W515" s="53"/>
      <c r="X515" s="53"/>
      <c r="Y515" s="58"/>
      <c r="Z515" s="58"/>
      <c r="AA515" s="60"/>
    </row>
    <row r="516" spans="11:27">
      <c r="K516" s="51"/>
      <c r="Q516" s="51"/>
      <c r="R516" s="51"/>
      <c r="S516" s="51"/>
      <c r="W516" s="53"/>
      <c r="X516" s="53"/>
      <c r="Y516" s="58"/>
      <c r="Z516" s="58"/>
      <c r="AA516" s="60"/>
    </row>
    <row r="517" spans="11:27">
      <c r="K517" s="51"/>
      <c r="Q517" s="51"/>
      <c r="R517" s="51"/>
      <c r="S517" s="51"/>
      <c r="W517" s="53"/>
      <c r="X517" s="53"/>
      <c r="Y517" s="58"/>
      <c r="Z517" s="58"/>
      <c r="AA517" s="60"/>
    </row>
    <row r="518" spans="11:27">
      <c r="K518" s="51"/>
      <c r="Q518" s="51"/>
      <c r="R518" s="51"/>
      <c r="S518" s="51"/>
      <c r="W518" s="53"/>
      <c r="X518" s="53"/>
      <c r="Y518" s="58"/>
      <c r="Z518" s="58"/>
      <c r="AA518" s="60"/>
    </row>
    <row r="519" spans="11:27">
      <c r="K519" s="51"/>
      <c r="Q519" s="51"/>
      <c r="R519" s="51"/>
      <c r="S519" s="51"/>
      <c r="W519" s="53"/>
      <c r="X519" s="53"/>
      <c r="Y519" s="58"/>
      <c r="Z519" s="58"/>
      <c r="AA519" s="60"/>
    </row>
    <row r="520" spans="11:27">
      <c r="K520" s="51"/>
      <c r="Q520" s="51"/>
      <c r="R520" s="51"/>
      <c r="S520" s="51"/>
      <c r="W520" s="53"/>
      <c r="X520" s="53"/>
      <c r="Y520" s="58"/>
      <c r="Z520" s="58"/>
      <c r="AA520" s="60"/>
    </row>
    <row r="521" spans="11:27">
      <c r="K521" s="51"/>
      <c r="Q521" s="51"/>
      <c r="R521" s="51"/>
      <c r="S521" s="51"/>
      <c r="W521" s="53"/>
      <c r="X521" s="53"/>
      <c r="Y521" s="58"/>
      <c r="Z521" s="58"/>
      <c r="AA521" s="60"/>
    </row>
    <row r="522" spans="11:27">
      <c r="K522" s="51"/>
      <c r="Q522" s="51"/>
      <c r="R522" s="51"/>
      <c r="S522" s="51"/>
      <c r="W522" s="53"/>
      <c r="X522" s="53"/>
      <c r="Y522" s="58"/>
      <c r="Z522" s="58"/>
      <c r="AA522" s="60"/>
    </row>
    <row r="523" spans="11:27">
      <c r="K523" s="51"/>
      <c r="Q523" s="51"/>
      <c r="R523" s="51"/>
      <c r="S523" s="51"/>
      <c r="W523" s="53"/>
      <c r="X523" s="53"/>
      <c r="Y523" s="58"/>
      <c r="Z523" s="58"/>
      <c r="AA523" s="60"/>
    </row>
    <row r="524" spans="11:27">
      <c r="K524" s="51"/>
      <c r="Q524" s="51"/>
      <c r="R524" s="51"/>
      <c r="S524" s="51"/>
      <c r="W524" s="53"/>
      <c r="X524" s="53"/>
      <c r="Y524" s="58"/>
      <c r="Z524" s="58"/>
      <c r="AA524" s="60"/>
    </row>
    <row r="525" spans="11:27">
      <c r="K525" s="51"/>
      <c r="Q525" s="51"/>
      <c r="R525" s="51"/>
      <c r="S525" s="51"/>
      <c r="W525" s="53"/>
      <c r="X525" s="53"/>
      <c r="Y525" s="58"/>
      <c r="Z525" s="58"/>
      <c r="AA525" s="60"/>
    </row>
    <row r="526" spans="11:27">
      <c r="K526" s="51"/>
      <c r="Q526" s="51"/>
      <c r="R526" s="51"/>
      <c r="S526" s="51"/>
      <c r="W526" s="53"/>
      <c r="X526" s="53"/>
      <c r="Y526" s="58"/>
      <c r="Z526" s="58"/>
      <c r="AA526" s="60"/>
    </row>
    <row r="527" spans="11:27">
      <c r="K527" s="51"/>
      <c r="Q527" s="51"/>
      <c r="R527" s="51"/>
      <c r="S527" s="51"/>
      <c r="W527" s="53"/>
      <c r="X527" s="53"/>
      <c r="Y527" s="58"/>
      <c r="Z527" s="58"/>
      <c r="AA527" s="60"/>
    </row>
    <row r="528" spans="11:27">
      <c r="K528" s="51"/>
      <c r="Q528" s="51"/>
      <c r="R528" s="51"/>
      <c r="S528" s="51"/>
      <c r="W528" s="53"/>
      <c r="X528" s="53"/>
      <c r="Y528" s="58"/>
      <c r="Z528" s="58"/>
      <c r="AA528" s="60"/>
    </row>
    <row r="529" spans="11:27">
      <c r="K529" s="51"/>
      <c r="Q529" s="51"/>
      <c r="R529" s="51"/>
      <c r="S529" s="51"/>
      <c r="W529" s="53"/>
      <c r="X529" s="53"/>
      <c r="Y529" s="58"/>
      <c r="Z529" s="58"/>
      <c r="AA529" s="60"/>
    </row>
    <row r="530" spans="11:27">
      <c r="K530" s="51"/>
      <c r="Q530" s="51"/>
      <c r="R530" s="51"/>
      <c r="S530" s="51"/>
      <c r="W530" s="53"/>
      <c r="X530" s="53"/>
      <c r="Y530" s="58"/>
      <c r="Z530" s="58"/>
      <c r="AA530" s="60"/>
    </row>
    <row r="531" spans="11:27">
      <c r="K531" s="51"/>
      <c r="Q531" s="51"/>
      <c r="R531" s="51"/>
      <c r="S531" s="51"/>
      <c r="W531" s="53"/>
      <c r="X531" s="53"/>
      <c r="Y531" s="58"/>
      <c r="Z531" s="58"/>
      <c r="AA531" s="60"/>
    </row>
    <row r="532" spans="11:27">
      <c r="K532" s="51"/>
      <c r="Q532" s="51"/>
      <c r="R532" s="51"/>
      <c r="S532" s="51"/>
      <c r="W532" s="53"/>
      <c r="X532" s="53"/>
      <c r="Y532" s="58"/>
      <c r="Z532" s="58"/>
      <c r="AA532" s="60"/>
    </row>
    <row r="533" spans="11:27">
      <c r="K533" s="51"/>
      <c r="Q533" s="51"/>
      <c r="R533" s="51"/>
      <c r="S533" s="51"/>
      <c r="W533" s="53"/>
      <c r="X533" s="53"/>
      <c r="Y533" s="58"/>
      <c r="Z533" s="58"/>
      <c r="AA533" s="60"/>
    </row>
    <row r="534" spans="11:27">
      <c r="K534" s="51"/>
      <c r="Q534" s="51"/>
      <c r="R534" s="51"/>
      <c r="S534" s="51"/>
      <c r="W534" s="53"/>
      <c r="X534" s="53"/>
      <c r="Y534" s="58"/>
      <c r="Z534" s="58"/>
      <c r="AA534" s="60"/>
    </row>
    <row r="535" spans="11:27">
      <c r="K535" s="51"/>
      <c r="Q535" s="51"/>
      <c r="R535" s="51"/>
      <c r="S535" s="51"/>
      <c r="W535" s="53"/>
      <c r="X535" s="53"/>
      <c r="Y535" s="58"/>
      <c r="Z535" s="58"/>
      <c r="AA535" s="60"/>
    </row>
    <row r="536" spans="11:27">
      <c r="K536" s="51"/>
      <c r="Q536" s="51"/>
      <c r="R536" s="51"/>
      <c r="S536" s="51"/>
      <c r="W536" s="53"/>
      <c r="X536" s="53"/>
      <c r="Y536" s="58"/>
      <c r="Z536" s="58"/>
      <c r="AA536" s="60"/>
    </row>
    <row r="537" spans="11:27">
      <c r="K537" s="51"/>
      <c r="Q537" s="51"/>
      <c r="R537" s="51"/>
      <c r="S537" s="51"/>
      <c r="W537" s="53"/>
      <c r="X537" s="53"/>
      <c r="Y537" s="58"/>
      <c r="Z537" s="58"/>
      <c r="AA537" s="60"/>
    </row>
    <row r="538" spans="11:27">
      <c r="K538" s="51"/>
      <c r="Q538" s="51"/>
      <c r="R538" s="51"/>
      <c r="S538" s="51"/>
      <c r="W538" s="53"/>
      <c r="X538" s="53"/>
      <c r="Y538" s="58"/>
      <c r="Z538" s="58"/>
      <c r="AA538" s="60"/>
    </row>
    <row r="539" spans="11:27">
      <c r="K539" s="51"/>
      <c r="Q539" s="51"/>
      <c r="R539" s="51"/>
      <c r="S539" s="51"/>
      <c r="W539" s="53"/>
      <c r="X539" s="53"/>
      <c r="Y539" s="58"/>
      <c r="Z539" s="58"/>
      <c r="AA539" s="60"/>
    </row>
    <row r="540" spans="11:27">
      <c r="K540" s="51"/>
      <c r="Q540" s="51"/>
      <c r="R540" s="51"/>
      <c r="S540" s="51"/>
      <c r="W540" s="53"/>
      <c r="X540" s="53"/>
      <c r="Y540" s="58"/>
      <c r="Z540" s="58"/>
      <c r="AA540" s="60"/>
    </row>
    <row r="541" spans="11:27">
      <c r="K541" s="51"/>
      <c r="Q541" s="51"/>
      <c r="R541" s="51"/>
      <c r="S541" s="51"/>
      <c r="W541" s="53"/>
      <c r="X541" s="53"/>
      <c r="Y541" s="58"/>
      <c r="Z541" s="58"/>
      <c r="AA541" s="60"/>
    </row>
    <row r="542" spans="11:27">
      <c r="K542" s="51"/>
      <c r="Q542" s="51"/>
      <c r="R542" s="51"/>
      <c r="S542" s="51"/>
      <c r="W542" s="53"/>
      <c r="X542" s="53"/>
      <c r="Y542" s="58"/>
      <c r="Z542" s="58"/>
      <c r="AA542" s="60"/>
    </row>
    <row r="543" spans="11:27">
      <c r="K543" s="51"/>
      <c r="Q543" s="51"/>
      <c r="R543" s="51"/>
      <c r="S543" s="51"/>
      <c r="W543" s="53"/>
      <c r="X543" s="53"/>
      <c r="Y543" s="58"/>
      <c r="Z543" s="58"/>
      <c r="AA543" s="60"/>
    </row>
    <row r="544" spans="11:27">
      <c r="K544" s="51"/>
      <c r="Q544" s="51"/>
      <c r="R544" s="51"/>
      <c r="S544" s="51"/>
      <c r="W544" s="53"/>
      <c r="X544" s="53"/>
      <c r="Y544" s="58"/>
      <c r="Z544" s="58"/>
      <c r="AA544" s="60"/>
    </row>
    <row r="545" spans="11:27">
      <c r="K545" s="51"/>
      <c r="Q545" s="51"/>
      <c r="R545" s="51"/>
      <c r="S545" s="51"/>
      <c r="W545" s="53"/>
      <c r="X545" s="53"/>
      <c r="Y545" s="58"/>
      <c r="Z545" s="58"/>
      <c r="AA545" s="60"/>
    </row>
    <row r="546" spans="11:27">
      <c r="K546" s="51"/>
      <c r="Q546" s="51"/>
      <c r="R546" s="51"/>
      <c r="S546" s="51"/>
      <c r="W546" s="53"/>
      <c r="X546" s="53"/>
      <c r="Y546" s="58"/>
      <c r="Z546" s="58"/>
      <c r="AA546" s="60"/>
    </row>
    <row r="547" spans="11:27">
      <c r="K547" s="51"/>
      <c r="Q547" s="51"/>
      <c r="R547" s="51"/>
      <c r="S547" s="51"/>
      <c r="W547" s="53"/>
      <c r="X547" s="53"/>
      <c r="Y547" s="58"/>
      <c r="Z547" s="58"/>
      <c r="AA547" s="60"/>
    </row>
    <row r="548" spans="11:27">
      <c r="K548" s="51"/>
      <c r="Q548" s="51"/>
      <c r="R548" s="51"/>
      <c r="S548" s="51"/>
      <c r="W548" s="53"/>
      <c r="X548" s="53"/>
      <c r="Y548" s="58"/>
      <c r="Z548" s="58"/>
      <c r="AA548" s="60"/>
    </row>
    <row r="549" spans="11:27">
      <c r="K549" s="51"/>
      <c r="Q549" s="51"/>
      <c r="R549" s="51"/>
      <c r="S549" s="51"/>
      <c r="W549" s="53"/>
      <c r="X549" s="53"/>
      <c r="Y549" s="58"/>
      <c r="Z549" s="58"/>
      <c r="AA549" s="60"/>
    </row>
    <row r="550" spans="11:27">
      <c r="K550" s="51"/>
      <c r="Q550" s="51"/>
      <c r="R550" s="51"/>
      <c r="S550" s="51"/>
      <c r="W550" s="53"/>
      <c r="X550" s="53"/>
      <c r="Y550" s="58"/>
      <c r="Z550" s="58"/>
      <c r="AA550" s="60"/>
    </row>
    <row r="551" spans="11:27">
      <c r="K551" s="51"/>
      <c r="Q551" s="51"/>
      <c r="R551" s="51"/>
      <c r="S551" s="51"/>
      <c r="W551" s="53"/>
      <c r="X551" s="53"/>
      <c r="Y551" s="58"/>
      <c r="Z551" s="58"/>
      <c r="AA551" s="60"/>
    </row>
    <row r="552" spans="11:27">
      <c r="K552" s="51"/>
      <c r="Q552" s="51"/>
      <c r="R552" s="51"/>
      <c r="S552" s="51"/>
      <c r="W552" s="53"/>
      <c r="X552" s="53"/>
      <c r="Y552" s="58"/>
      <c r="Z552" s="58"/>
      <c r="AA552" s="60"/>
    </row>
    <row r="553" spans="11:27">
      <c r="K553" s="51"/>
      <c r="Q553" s="51"/>
      <c r="R553" s="51"/>
      <c r="S553" s="51"/>
      <c r="W553" s="53"/>
      <c r="X553" s="53"/>
      <c r="Y553" s="58"/>
      <c r="Z553" s="58"/>
      <c r="AA553" s="60"/>
    </row>
    <row r="554" spans="11:27">
      <c r="K554" s="51"/>
      <c r="Q554" s="51"/>
      <c r="R554" s="51"/>
      <c r="S554" s="51"/>
      <c r="W554" s="53"/>
      <c r="X554" s="53"/>
      <c r="Y554" s="58"/>
      <c r="Z554" s="58"/>
      <c r="AA554" s="60"/>
    </row>
    <row r="555" spans="11:27">
      <c r="K555" s="51"/>
      <c r="Q555" s="51"/>
      <c r="R555" s="51"/>
      <c r="S555" s="51"/>
      <c r="W555" s="53"/>
      <c r="X555" s="53"/>
      <c r="Y555" s="58"/>
      <c r="Z555" s="58"/>
      <c r="AA555" s="60"/>
    </row>
    <row r="556" spans="11:27">
      <c r="K556" s="51"/>
      <c r="Q556" s="51"/>
      <c r="R556" s="51"/>
      <c r="S556" s="51"/>
      <c r="W556" s="53"/>
      <c r="X556" s="53"/>
      <c r="Y556" s="58"/>
      <c r="Z556" s="58"/>
      <c r="AA556" s="60"/>
    </row>
    <row r="557" spans="11:27">
      <c r="K557" s="51"/>
      <c r="Q557" s="51"/>
      <c r="R557" s="51"/>
      <c r="S557" s="51"/>
      <c r="W557" s="53"/>
      <c r="X557" s="53"/>
      <c r="Y557" s="58"/>
      <c r="Z557" s="58"/>
      <c r="AA557" s="60"/>
    </row>
    <row r="558" spans="11:27">
      <c r="K558" s="51"/>
      <c r="Q558" s="51"/>
      <c r="R558" s="51"/>
      <c r="S558" s="51"/>
      <c r="W558" s="53"/>
      <c r="X558" s="53"/>
      <c r="Y558" s="58"/>
      <c r="Z558" s="58"/>
      <c r="AA558" s="60"/>
    </row>
    <row r="559" spans="11:27">
      <c r="K559" s="51"/>
      <c r="Q559" s="51"/>
      <c r="R559" s="51"/>
      <c r="S559" s="51"/>
      <c r="W559" s="53"/>
      <c r="X559" s="53"/>
      <c r="Y559" s="58"/>
      <c r="Z559" s="58"/>
      <c r="AA559" s="60"/>
    </row>
    <row r="560" spans="11:27">
      <c r="K560" s="51"/>
      <c r="Q560" s="51"/>
      <c r="R560" s="51"/>
      <c r="S560" s="51"/>
      <c r="W560" s="53"/>
      <c r="X560" s="53"/>
      <c r="Y560" s="58"/>
      <c r="Z560" s="58"/>
      <c r="AA560" s="60"/>
    </row>
    <row r="561" spans="11:27">
      <c r="K561" s="51"/>
      <c r="Q561" s="51"/>
      <c r="R561" s="51"/>
      <c r="S561" s="51"/>
      <c r="W561" s="53"/>
      <c r="X561" s="53"/>
      <c r="Y561" s="58"/>
      <c r="Z561" s="58"/>
      <c r="AA561" s="60"/>
    </row>
    <row r="562" spans="11:27">
      <c r="K562" s="51"/>
      <c r="Q562" s="51"/>
      <c r="R562" s="51"/>
      <c r="S562" s="51"/>
      <c r="W562" s="53"/>
      <c r="X562" s="53"/>
      <c r="Y562" s="58"/>
      <c r="Z562" s="58"/>
      <c r="AA562" s="60"/>
    </row>
    <row r="563" spans="11:27">
      <c r="K563" s="51"/>
      <c r="Q563" s="51"/>
      <c r="R563" s="51"/>
      <c r="S563" s="51"/>
      <c r="W563" s="53"/>
      <c r="X563" s="53"/>
      <c r="Y563" s="58"/>
      <c r="Z563" s="58"/>
      <c r="AA563" s="60"/>
    </row>
    <row r="564" spans="11:27">
      <c r="K564" s="51"/>
      <c r="Q564" s="51"/>
      <c r="R564" s="51"/>
      <c r="S564" s="51"/>
      <c r="W564" s="53"/>
      <c r="X564" s="53"/>
      <c r="Y564" s="58"/>
      <c r="Z564" s="58"/>
      <c r="AA564" s="60"/>
    </row>
    <row r="565" spans="11:27">
      <c r="K565" s="51"/>
      <c r="Q565" s="51"/>
      <c r="R565" s="51"/>
      <c r="S565" s="51"/>
      <c r="W565" s="53"/>
      <c r="X565" s="53"/>
      <c r="Y565" s="58"/>
      <c r="Z565" s="58"/>
      <c r="AA565" s="60"/>
    </row>
    <row r="566" spans="11:27">
      <c r="K566" s="51"/>
      <c r="Q566" s="51"/>
      <c r="R566" s="51"/>
      <c r="S566" s="51"/>
      <c r="W566" s="53"/>
      <c r="X566" s="53"/>
      <c r="Y566" s="58"/>
      <c r="Z566" s="58"/>
      <c r="AA566" s="60"/>
    </row>
    <row r="567" spans="11:27">
      <c r="K567" s="51"/>
      <c r="Q567" s="51"/>
      <c r="R567" s="51"/>
      <c r="S567" s="51"/>
      <c r="W567" s="53"/>
      <c r="X567" s="53"/>
      <c r="Y567" s="58"/>
      <c r="Z567" s="58"/>
      <c r="AA567" s="60"/>
    </row>
    <row r="568" spans="11:27">
      <c r="K568" s="51"/>
      <c r="Q568" s="51"/>
      <c r="R568" s="51"/>
      <c r="S568" s="51"/>
      <c r="W568" s="53"/>
      <c r="X568" s="53"/>
      <c r="Y568" s="58"/>
      <c r="Z568" s="58"/>
      <c r="AA568" s="60"/>
    </row>
    <row r="569" spans="11:27">
      <c r="K569" s="51"/>
      <c r="Q569" s="51"/>
      <c r="R569" s="51"/>
      <c r="S569" s="51"/>
      <c r="W569" s="53"/>
      <c r="X569" s="53"/>
      <c r="Y569" s="58"/>
      <c r="Z569" s="58"/>
      <c r="AA569" s="60"/>
    </row>
    <row r="570" spans="11:27">
      <c r="K570" s="51"/>
      <c r="Q570" s="51"/>
      <c r="R570" s="51"/>
      <c r="S570" s="51"/>
      <c r="W570" s="53"/>
      <c r="X570" s="53"/>
      <c r="Y570" s="58"/>
      <c r="Z570" s="58"/>
      <c r="AA570" s="60"/>
    </row>
    <row r="571" spans="11:27">
      <c r="K571" s="51"/>
      <c r="Q571" s="51"/>
      <c r="R571" s="51"/>
      <c r="S571" s="51"/>
      <c r="W571" s="53"/>
      <c r="X571" s="53"/>
      <c r="Y571" s="58"/>
      <c r="Z571" s="58"/>
      <c r="AA571" s="60"/>
    </row>
    <row r="572" spans="11:27">
      <c r="K572" s="51"/>
      <c r="Q572" s="51"/>
      <c r="R572" s="51"/>
      <c r="S572" s="51"/>
      <c r="W572" s="53"/>
      <c r="X572" s="53"/>
      <c r="Y572" s="58"/>
      <c r="Z572" s="58"/>
      <c r="AA572" s="60"/>
    </row>
    <row r="573" spans="11:27">
      <c r="K573" s="51"/>
      <c r="Q573" s="51"/>
      <c r="R573" s="51"/>
      <c r="S573" s="51"/>
      <c r="W573" s="53"/>
      <c r="X573" s="53"/>
      <c r="Y573" s="58"/>
      <c r="Z573" s="58"/>
      <c r="AA573" s="60"/>
    </row>
    <row r="574" spans="11:27">
      <c r="K574" s="51"/>
      <c r="Q574" s="51"/>
      <c r="R574" s="51"/>
      <c r="S574" s="51"/>
      <c r="W574" s="53"/>
      <c r="X574" s="53"/>
      <c r="Y574" s="58"/>
      <c r="Z574" s="58"/>
      <c r="AA574" s="60"/>
    </row>
    <row r="575" spans="11:27">
      <c r="K575" s="51"/>
      <c r="Q575" s="51"/>
      <c r="R575" s="51"/>
      <c r="S575" s="51"/>
      <c r="W575" s="53"/>
      <c r="X575" s="53"/>
      <c r="Y575" s="58"/>
      <c r="Z575" s="58"/>
      <c r="AA575" s="60"/>
    </row>
    <row r="576" spans="11:27">
      <c r="K576" s="51"/>
      <c r="Q576" s="51"/>
      <c r="R576" s="51"/>
      <c r="S576" s="51"/>
      <c r="W576" s="53"/>
      <c r="X576" s="53"/>
      <c r="Y576" s="58"/>
      <c r="Z576" s="58"/>
      <c r="AA576" s="60"/>
    </row>
    <row r="577" spans="11:27">
      <c r="K577" s="51"/>
      <c r="Q577" s="51"/>
      <c r="R577" s="51"/>
      <c r="S577" s="51"/>
      <c r="W577" s="53"/>
      <c r="X577" s="53"/>
      <c r="Y577" s="58"/>
      <c r="Z577" s="58"/>
      <c r="AA577" s="60"/>
    </row>
    <row r="578" spans="11:27">
      <c r="K578" s="51"/>
      <c r="Q578" s="51"/>
      <c r="R578" s="51"/>
      <c r="S578" s="51"/>
      <c r="W578" s="53"/>
      <c r="X578" s="53"/>
      <c r="Y578" s="58"/>
      <c r="Z578" s="58"/>
      <c r="AA578" s="60"/>
    </row>
    <row r="579" spans="11:27">
      <c r="K579" s="51"/>
      <c r="Q579" s="51"/>
      <c r="R579" s="51"/>
      <c r="S579" s="51"/>
      <c r="W579" s="53"/>
      <c r="X579" s="53"/>
      <c r="Y579" s="58"/>
      <c r="Z579" s="58"/>
      <c r="AA579" s="60"/>
    </row>
    <row r="580" spans="11:27">
      <c r="K580" s="51"/>
      <c r="Q580" s="51"/>
      <c r="R580" s="51"/>
      <c r="S580" s="51"/>
      <c r="W580" s="53"/>
      <c r="X580" s="53"/>
      <c r="Y580" s="58"/>
      <c r="Z580" s="58"/>
      <c r="AA580" s="60"/>
    </row>
    <row r="581" spans="11:27">
      <c r="K581" s="51"/>
      <c r="Q581" s="51"/>
      <c r="R581" s="51"/>
      <c r="S581" s="51"/>
      <c r="W581" s="53"/>
      <c r="X581" s="53"/>
      <c r="Y581" s="58"/>
      <c r="Z581" s="58"/>
      <c r="AA581" s="60"/>
    </row>
    <row r="582" spans="11:27">
      <c r="K582" s="51"/>
      <c r="Q582" s="51"/>
      <c r="R582" s="51"/>
      <c r="S582" s="51"/>
      <c r="W582" s="53"/>
      <c r="X582" s="53"/>
      <c r="Y582" s="58"/>
      <c r="Z582" s="58"/>
      <c r="AA582" s="60"/>
    </row>
    <row r="583" spans="11:27">
      <c r="K583" s="51"/>
      <c r="Q583" s="51"/>
      <c r="R583" s="51"/>
      <c r="S583" s="51"/>
      <c r="W583" s="53"/>
      <c r="X583" s="53"/>
      <c r="Y583" s="58"/>
      <c r="Z583" s="58"/>
      <c r="AA583" s="60"/>
    </row>
    <row r="584" spans="11:27">
      <c r="K584" s="51"/>
      <c r="Q584" s="51"/>
      <c r="R584" s="51"/>
      <c r="S584" s="51"/>
      <c r="W584" s="53"/>
      <c r="X584" s="53"/>
      <c r="Y584" s="58"/>
      <c r="Z584" s="58"/>
      <c r="AA584" s="60"/>
    </row>
    <row r="585" spans="11:27">
      <c r="K585" s="51"/>
      <c r="Q585" s="51"/>
      <c r="R585" s="51"/>
      <c r="S585" s="51"/>
      <c r="W585" s="53"/>
      <c r="X585" s="53"/>
      <c r="Y585" s="58"/>
      <c r="Z585" s="58"/>
      <c r="AA585" s="60"/>
    </row>
    <row r="586" spans="11:27">
      <c r="K586" s="51"/>
      <c r="Q586" s="51"/>
      <c r="R586" s="51"/>
      <c r="S586" s="51"/>
      <c r="W586" s="53"/>
      <c r="X586" s="53"/>
      <c r="Y586" s="58"/>
      <c r="Z586" s="58"/>
      <c r="AA586" s="60"/>
    </row>
    <row r="587" spans="11:27">
      <c r="K587" s="51"/>
      <c r="Q587" s="51"/>
      <c r="R587" s="51"/>
      <c r="S587" s="51"/>
      <c r="W587" s="53"/>
      <c r="X587" s="53"/>
      <c r="Y587" s="58"/>
      <c r="Z587" s="58"/>
      <c r="AA587" s="60"/>
    </row>
    <row r="588" spans="11:27">
      <c r="K588" s="51"/>
      <c r="Q588" s="51"/>
      <c r="R588" s="51"/>
      <c r="S588" s="51"/>
      <c r="W588" s="53"/>
      <c r="X588" s="53"/>
      <c r="Y588" s="58"/>
      <c r="Z588" s="58"/>
      <c r="AA588" s="60"/>
    </row>
    <row r="589" spans="11:27">
      <c r="K589" s="51"/>
      <c r="Q589" s="51"/>
      <c r="R589" s="51"/>
      <c r="S589" s="51"/>
      <c r="W589" s="53"/>
      <c r="X589" s="53"/>
      <c r="Y589" s="58"/>
      <c r="Z589" s="58"/>
      <c r="AA589" s="60"/>
    </row>
    <row r="590" spans="11:27">
      <c r="K590" s="51"/>
      <c r="Q590" s="51"/>
      <c r="R590" s="51"/>
      <c r="S590" s="51"/>
      <c r="W590" s="53"/>
      <c r="X590" s="53"/>
      <c r="Y590" s="58"/>
      <c r="Z590" s="58"/>
      <c r="AA590" s="60"/>
    </row>
    <row r="591" spans="11:27">
      <c r="K591" s="51"/>
      <c r="Q591" s="51"/>
      <c r="R591" s="51"/>
      <c r="S591" s="51"/>
      <c r="W591" s="53"/>
      <c r="X591" s="53"/>
      <c r="Y591" s="58"/>
      <c r="Z591" s="58"/>
      <c r="AA591" s="60"/>
    </row>
    <row r="592" spans="11:27">
      <c r="K592" s="51"/>
      <c r="Q592" s="51"/>
      <c r="R592" s="51"/>
      <c r="S592" s="51"/>
      <c r="W592" s="53"/>
      <c r="X592" s="53"/>
      <c r="Y592" s="58"/>
      <c r="Z592" s="58"/>
      <c r="AA592" s="60"/>
    </row>
    <row r="593" spans="11:27">
      <c r="K593" s="51"/>
      <c r="Q593" s="51"/>
      <c r="R593" s="51"/>
      <c r="S593" s="51"/>
      <c r="W593" s="53"/>
      <c r="X593" s="53"/>
      <c r="Y593" s="58"/>
      <c r="Z593" s="58"/>
      <c r="AA593" s="60"/>
    </row>
    <row r="594" spans="11:27">
      <c r="K594" s="51"/>
      <c r="Q594" s="51"/>
      <c r="R594" s="51"/>
      <c r="S594" s="51"/>
      <c r="W594" s="53"/>
      <c r="X594" s="53"/>
      <c r="Y594" s="58"/>
      <c r="Z594" s="58"/>
      <c r="AA594" s="60"/>
    </row>
    <row r="595" spans="11:27">
      <c r="K595" s="51"/>
      <c r="Q595" s="51"/>
      <c r="R595" s="51"/>
      <c r="S595" s="51"/>
      <c r="W595" s="53"/>
      <c r="X595" s="53"/>
      <c r="Y595" s="58"/>
      <c r="Z595" s="58"/>
      <c r="AA595" s="60"/>
    </row>
    <row r="596" spans="11:27">
      <c r="K596" s="51"/>
      <c r="Q596" s="51"/>
      <c r="R596" s="51"/>
      <c r="S596" s="51"/>
      <c r="W596" s="53"/>
      <c r="X596" s="53"/>
      <c r="Y596" s="58"/>
      <c r="Z596" s="58"/>
      <c r="AA596" s="60"/>
    </row>
    <row r="597" spans="11:27">
      <c r="K597" s="51"/>
      <c r="Q597" s="51"/>
      <c r="R597" s="51"/>
      <c r="S597" s="51"/>
      <c r="W597" s="53"/>
      <c r="X597" s="53"/>
      <c r="Y597" s="58"/>
      <c r="Z597" s="58"/>
      <c r="AA597" s="60"/>
    </row>
    <row r="598" spans="11:27">
      <c r="K598" s="51"/>
      <c r="Q598" s="51"/>
      <c r="R598" s="51"/>
      <c r="S598" s="51"/>
      <c r="W598" s="53"/>
      <c r="X598" s="53"/>
      <c r="Y598" s="58"/>
      <c r="Z598" s="58"/>
      <c r="AA598" s="60"/>
    </row>
    <row r="599" spans="11:27">
      <c r="K599" s="51"/>
      <c r="Q599" s="51"/>
      <c r="R599" s="51"/>
      <c r="S599" s="51"/>
      <c r="W599" s="53"/>
      <c r="X599" s="53"/>
      <c r="Y599" s="58"/>
      <c r="Z599" s="58"/>
      <c r="AA599" s="60"/>
    </row>
    <row r="600" spans="11:27">
      <c r="K600" s="51"/>
      <c r="Q600" s="51"/>
      <c r="R600" s="51"/>
      <c r="S600" s="51"/>
      <c r="W600" s="53"/>
      <c r="X600" s="53"/>
      <c r="Y600" s="58"/>
      <c r="Z600" s="58"/>
      <c r="AA600" s="60"/>
    </row>
    <row r="601" spans="11:27">
      <c r="K601" s="51"/>
      <c r="Q601" s="51"/>
      <c r="R601" s="51"/>
      <c r="S601" s="51"/>
      <c r="W601" s="53"/>
      <c r="X601" s="53"/>
      <c r="Y601" s="58"/>
      <c r="Z601" s="58"/>
      <c r="AA601" s="60"/>
    </row>
    <row r="602" spans="11:27">
      <c r="K602" s="51"/>
      <c r="Q602" s="51"/>
      <c r="R602" s="51"/>
      <c r="S602" s="51"/>
      <c r="W602" s="53"/>
      <c r="X602" s="53"/>
      <c r="Y602" s="58"/>
      <c r="Z602" s="58"/>
      <c r="AA602" s="60"/>
    </row>
    <row r="603" spans="11:27">
      <c r="K603" s="51"/>
      <c r="Q603" s="51"/>
      <c r="R603" s="51"/>
      <c r="S603" s="51"/>
      <c r="W603" s="53"/>
      <c r="X603" s="53"/>
      <c r="Y603" s="58"/>
      <c r="Z603" s="58"/>
      <c r="AA603" s="60"/>
    </row>
    <row r="604" spans="11:27">
      <c r="K604" s="51"/>
      <c r="Q604" s="51"/>
      <c r="R604" s="51"/>
      <c r="S604" s="51"/>
      <c r="W604" s="53"/>
      <c r="X604" s="53"/>
      <c r="Y604" s="58"/>
      <c r="Z604" s="58"/>
      <c r="AA604" s="60"/>
    </row>
    <row r="605" spans="11:27">
      <c r="K605" s="51"/>
      <c r="Q605" s="51"/>
      <c r="R605" s="51"/>
      <c r="S605" s="51"/>
      <c r="W605" s="53"/>
      <c r="X605" s="53"/>
      <c r="Y605" s="58"/>
      <c r="Z605" s="58"/>
      <c r="AA605" s="60"/>
    </row>
    <row r="606" spans="11:27">
      <c r="K606" s="51"/>
      <c r="Q606" s="51"/>
      <c r="R606" s="51"/>
      <c r="S606" s="51"/>
      <c r="W606" s="53"/>
      <c r="X606" s="53"/>
      <c r="Y606" s="58"/>
      <c r="Z606" s="58"/>
      <c r="AA606" s="60"/>
    </row>
    <row r="607" spans="11:27">
      <c r="K607" s="51"/>
      <c r="Q607" s="51"/>
      <c r="R607" s="51"/>
      <c r="S607" s="51"/>
      <c r="W607" s="53"/>
      <c r="X607" s="53"/>
      <c r="Y607" s="58"/>
      <c r="Z607" s="58"/>
      <c r="AA607" s="60"/>
    </row>
    <row r="608" spans="11:27">
      <c r="K608" s="51"/>
      <c r="Q608" s="51"/>
      <c r="R608" s="51"/>
      <c r="S608" s="51"/>
      <c r="W608" s="53"/>
      <c r="X608" s="53"/>
      <c r="Y608" s="58"/>
      <c r="Z608" s="58"/>
      <c r="AA608" s="60"/>
    </row>
    <row r="609" spans="11:27">
      <c r="K609" s="51"/>
      <c r="Q609" s="51"/>
      <c r="R609" s="51"/>
      <c r="S609" s="51"/>
      <c r="W609" s="53"/>
      <c r="X609" s="53"/>
      <c r="Y609" s="58"/>
      <c r="Z609" s="58"/>
      <c r="AA609" s="60"/>
    </row>
    <row r="610" spans="11:27">
      <c r="K610" s="51"/>
      <c r="Q610" s="51"/>
      <c r="R610" s="51"/>
      <c r="S610" s="51"/>
      <c r="W610" s="53"/>
      <c r="X610" s="53"/>
      <c r="Y610" s="58"/>
      <c r="Z610" s="58"/>
      <c r="AA610" s="60"/>
    </row>
    <row r="611" spans="11:27">
      <c r="K611" s="51"/>
      <c r="Q611" s="51"/>
      <c r="R611" s="51"/>
      <c r="S611" s="51"/>
      <c r="W611" s="53"/>
      <c r="X611" s="53"/>
      <c r="Y611" s="58"/>
      <c r="Z611" s="58"/>
      <c r="AA611" s="60"/>
    </row>
    <row r="612" spans="11:27">
      <c r="K612" s="51"/>
      <c r="Q612" s="51"/>
      <c r="R612" s="51"/>
      <c r="S612" s="51"/>
      <c r="W612" s="53"/>
      <c r="X612" s="53"/>
      <c r="Y612" s="58"/>
      <c r="Z612" s="58"/>
      <c r="AA612" s="60"/>
    </row>
    <row r="613" spans="11:27">
      <c r="K613" s="51"/>
      <c r="Q613" s="51"/>
      <c r="R613" s="51"/>
      <c r="S613" s="51"/>
      <c r="W613" s="53"/>
      <c r="X613" s="53"/>
      <c r="Y613" s="58"/>
      <c r="Z613" s="58"/>
      <c r="AA613" s="60"/>
    </row>
    <row r="614" spans="11:27">
      <c r="K614" s="51"/>
      <c r="Q614" s="51"/>
      <c r="R614" s="51"/>
      <c r="S614" s="51"/>
      <c r="W614" s="53"/>
      <c r="X614" s="53"/>
      <c r="Y614" s="58"/>
      <c r="Z614" s="58"/>
      <c r="AA614" s="60"/>
    </row>
    <row r="615" spans="11:27">
      <c r="K615" s="51"/>
      <c r="Q615" s="51"/>
      <c r="R615" s="51"/>
      <c r="S615" s="51"/>
      <c r="W615" s="53"/>
      <c r="X615" s="53"/>
      <c r="Y615" s="58"/>
      <c r="Z615" s="58"/>
      <c r="AA615" s="60"/>
    </row>
    <row r="616" spans="11:27">
      <c r="K616" s="51"/>
      <c r="Q616" s="51"/>
      <c r="R616" s="51"/>
      <c r="S616" s="51"/>
      <c r="W616" s="53"/>
      <c r="X616" s="53"/>
      <c r="Y616" s="58"/>
      <c r="Z616" s="58"/>
      <c r="AA616" s="60"/>
    </row>
    <row r="617" spans="11:27">
      <c r="K617" s="51"/>
      <c r="Q617" s="51"/>
      <c r="R617" s="51"/>
      <c r="S617" s="51"/>
      <c r="W617" s="53"/>
      <c r="X617" s="53"/>
      <c r="Y617" s="58"/>
      <c r="Z617" s="58"/>
      <c r="AA617" s="60"/>
    </row>
    <row r="618" spans="11:27">
      <c r="K618" s="51"/>
      <c r="Q618" s="51"/>
      <c r="R618" s="51"/>
      <c r="S618" s="51"/>
      <c r="W618" s="53"/>
      <c r="X618" s="53"/>
      <c r="Y618" s="58"/>
      <c r="Z618" s="58"/>
      <c r="AA618" s="60"/>
    </row>
    <row r="619" spans="11:27">
      <c r="K619" s="51"/>
      <c r="Q619" s="51"/>
      <c r="R619" s="51"/>
      <c r="S619" s="51"/>
      <c r="W619" s="53"/>
      <c r="X619" s="53"/>
      <c r="Y619" s="58"/>
      <c r="Z619" s="58"/>
      <c r="AA619" s="60"/>
    </row>
    <row r="620" spans="11:27">
      <c r="K620" s="51"/>
      <c r="Q620" s="51"/>
      <c r="R620" s="51"/>
      <c r="S620" s="51"/>
      <c r="W620" s="53"/>
      <c r="X620" s="53"/>
      <c r="Y620" s="58"/>
      <c r="Z620" s="58"/>
      <c r="AA620" s="60"/>
    </row>
    <row r="621" spans="11:27">
      <c r="K621" s="51"/>
      <c r="Q621" s="51"/>
      <c r="R621" s="51"/>
      <c r="S621" s="51"/>
      <c r="W621" s="53"/>
      <c r="X621" s="53"/>
      <c r="Y621" s="58"/>
      <c r="Z621" s="58"/>
      <c r="AA621" s="60"/>
    </row>
    <row r="622" spans="11:27">
      <c r="K622" s="51"/>
      <c r="Q622" s="51"/>
      <c r="R622" s="51"/>
      <c r="S622" s="51"/>
      <c r="W622" s="53"/>
      <c r="X622" s="53"/>
      <c r="Y622" s="58"/>
      <c r="Z622" s="58"/>
      <c r="AA622" s="60"/>
    </row>
    <row r="623" spans="11:27">
      <c r="K623" s="51"/>
      <c r="Q623" s="51"/>
      <c r="R623" s="51"/>
      <c r="S623" s="51"/>
      <c r="W623" s="53"/>
      <c r="X623" s="53"/>
      <c r="Y623" s="58"/>
      <c r="Z623" s="58"/>
      <c r="AA623" s="60"/>
    </row>
    <row r="624" spans="11:27">
      <c r="K624" s="51"/>
      <c r="Q624" s="51"/>
      <c r="R624" s="51"/>
      <c r="S624" s="51"/>
      <c r="W624" s="53"/>
      <c r="X624" s="53"/>
      <c r="Y624" s="58"/>
      <c r="Z624" s="58"/>
      <c r="AA624" s="60"/>
    </row>
    <row r="625" spans="11:27">
      <c r="K625" s="51"/>
      <c r="Q625" s="51"/>
      <c r="R625" s="51"/>
      <c r="S625" s="51"/>
      <c r="W625" s="53"/>
      <c r="X625" s="53"/>
      <c r="Y625" s="58"/>
      <c r="Z625" s="58"/>
      <c r="AA625" s="60"/>
    </row>
    <row r="626" spans="11:27">
      <c r="K626" s="51"/>
      <c r="Q626" s="51"/>
      <c r="R626" s="51"/>
      <c r="S626" s="51"/>
      <c r="W626" s="53"/>
      <c r="X626" s="53"/>
      <c r="Y626" s="58"/>
      <c r="Z626" s="58"/>
      <c r="AA626" s="60"/>
    </row>
    <row r="627" spans="11:27">
      <c r="K627" s="51"/>
      <c r="Q627" s="51"/>
      <c r="R627" s="51"/>
      <c r="S627" s="51"/>
      <c r="W627" s="53"/>
      <c r="X627" s="53"/>
      <c r="Y627" s="58"/>
      <c r="Z627" s="58"/>
      <c r="AA627" s="60"/>
    </row>
    <row r="628" spans="11:27">
      <c r="K628" s="51"/>
      <c r="Q628" s="51"/>
      <c r="R628" s="51"/>
      <c r="S628" s="51"/>
      <c r="W628" s="53"/>
      <c r="X628" s="53"/>
      <c r="Y628" s="58"/>
      <c r="Z628" s="58"/>
      <c r="AA628" s="60"/>
    </row>
    <row r="629" spans="11:27">
      <c r="K629" s="51"/>
      <c r="Q629" s="51"/>
      <c r="R629" s="51"/>
      <c r="S629" s="51"/>
      <c r="W629" s="53"/>
      <c r="X629" s="53"/>
      <c r="Y629" s="58"/>
      <c r="Z629" s="58"/>
      <c r="AA629" s="60"/>
    </row>
    <row r="630" spans="11:27">
      <c r="K630" s="51"/>
      <c r="Q630" s="51"/>
      <c r="R630" s="51"/>
      <c r="S630" s="51"/>
      <c r="W630" s="53"/>
      <c r="X630" s="53"/>
      <c r="Y630" s="58"/>
      <c r="Z630" s="58"/>
      <c r="AA630" s="60"/>
    </row>
    <row r="631" spans="11:27">
      <c r="K631" s="51"/>
      <c r="Q631" s="51"/>
      <c r="R631" s="51"/>
      <c r="S631" s="51"/>
      <c r="W631" s="53"/>
      <c r="X631" s="53"/>
      <c r="Y631" s="58"/>
      <c r="Z631" s="58"/>
      <c r="AA631" s="60"/>
    </row>
    <row r="632" spans="11:27">
      <c r="K632" s="51"/>
      <c r="Q632" s="51"/>
      <c r="R632" s="51"/>
      <c r="S632" s="51"/>
      <c r="W632" s="53"/>
      <c r="X632" s="53"/>
      <c r="Y632" s="58"/>
      <c r="Z632" s="58"/>
      <c r="AA632" s="60"/>
    </row>
    <row r="633" spans="11:27">
      <c r="K633" s="51"/>
      <c r="Q633" s="51"/>
      <c r="R633" s="51"/>
      <c r="S633" s="51"/>
      <c r="W633" s="53"/>
      <c r="X633" s="53"/>
      <c r="Y633" s="58"/>
      <c r="Z633" s="58"/>
      <c r="AA633" s="60"/>
    </row>
    <row r="634" spans="11:27">
      <c r="K634" s="51"/>
      <c r="Q634" s="51"/>
      <c r="R634" s="51"/>
      <c r="S634" s="51"/>
      <c r="W634" s="53"/>
      <c r="X634" s="53"/>
      <c r="Y634" s="58"/>
      <c r="Z634" s="58"/>
      <c r="AA634" s="60"/>
    </row>
    <row r="635" spans="11:27">
      <c r="K635" s="51"/>
      <c r="Q635" s="51"/>
      <c r="R635" s="51"/>
      <c r="S635" s="51"/>
      <c r="W635" s="53"/>
      <c r="X635" s="53"/>
      <c r="Y635" s="58"/>
      <c r="Z635" s="58"/>
      <c r="AA635" s="60"/>
    </row>
    <row r="636" spans="11:27">
      <c r="K636" s="51"/>
      <c r="Q636" s="51"/>
      <c r="R636" s="51"/>
      <c r="S636" s="51"/>
      <c r="W636" s="53"/>
      <c r="X636" s="53"/>
      <c r="Y636" s="58"/>
      <c r="Z636" s="58"/>
      <c r="AA636" s="60"/>
    </row>
    <row r="637" spans="11:27">
      <c r="K637" s="51"/>
      <c r="Q637" s="51"/>
      <c r="R637" s="51"/>
      <c r="S637" s="51"/>
      <c r="W637" s="53"/>
      <c r="X637" s="53"/>
      <c r="Y637" s="58"/>
      <c r="Z637" s="58"/>
      <c r="AA637" s="60"/>
    </row>
    <row r="638" spans="11:27">
      <c r="K638" s="51"/>
      <c r="Q638" s="51"/>
      <c r="R638" s="51"/>
      <c r="S638" s="51"/>
      <c r="W638" s="53"/>
      <c r="X638" s="53"/>
      <c r="Y638" s="58"/>
      <c r="Z638" s="58"/>
      <c r="AA638" s="60"/>
    </row>
    <row r="639" spans="11:27">
      <c r="K639" s="51"/>
      <c r="Q639" s="51"/>
      <c r="R639" s="51"/>
      <c r="S639" s="51"/>
      <c r="W639" s="53"/>
      <c r="X639" s="53"/>
      <c r="Y639" s="58"/>
      <c r="Z639" s="58"/>
      <c r="AA639" s="60"/>
    </row>
    <row r="640" spans="11:27">
      <c r="K640" s="51"/>
      <c r="Q640" s="51"/>
      <c r="R640" s="51"/>
      <c r="S640" s="51"/>
      <c r="W640" s="53"/>
      <c r="X640" s="53"/>
      <c r="Y640" s="58"/>
      <c r="Z640" s="58"/>
      <c r="AA640" s="60"/>
    </row>
    <row r="641" spans="11:27">
      <c r="K641" s="51"/>
      <c r="Q641" s="51"/>
      <c r="R641" s="51"/>
      <c r="S641" s="51"/>
      <c r="W641" s="53"/>
      <c r="X641" s="53"/>
      <c r="Y641" s="58"/>
      <c r="Z641" s="58"/>
      <c r="AA641" s="60"/>
    </row>
    <row r="642" spans="11:27">
      <c r="K642" s="51"/>
      <c r="Q642" s="51"/>
      <c r="R642" s="51"/>
      <c r="S642" s="51"/>
      <c r="W642" s="53"/>
      <c r="X642" s="53"/>
      <c r="Y642" s="58"/>
      <c r="Z642" s="58"/>
      <c r="AA642" s="60"/>
    </row>
    <row r="643" spans="11:27">
      <c r="K643" s="51"/>
      <c r="Q643" s="51"/>
      <c r="R643" s="51"/>
      <c r="S643" s="51"/>
      <c r="W643" s="53"/>
      <c r="X643" s="53"/>
      <c r="Y643" s="58"/>
      <c r="Z643" s="58"/>
      <c r="AA643" s="60"/>
    </row>
    <row r="644" spans="11:27">
      <c r="K644" s="51"/>
      <c r="Q644" s="51"/>
      <c r="R644" s="51"/>
      <c r="S644" s="51"/>
      <c r="W644" s="53"/>
      <c r="X644" s="53"/>
      <c r="Y644" s="58"/>
      <c r="Z644" s="58"/>
      <c r="AA644" s="60"/>
    </row>
    <row r="645" spans="11:27">
      <c r="K645" s="51"/>
      <c r="Q645" s="51"/>
      <c r="R645" s="51"/>
      <c r="S645" s="51"/>
      <c r="W645" s="53"/>
      <c r="X645" s="53"/>
      <c r="Y645" s="58"/>
      <c r="Z645" s="58"/>
      <c r="AA645" s="60"/>
    </row>
    <row r="646" spans="11:27">
      <c r="K646" s="51"/>
      <c r="Q646" s="51"/>
      <c r="R646" s="51"/>
      <c r="S646" s="51"/>
      <c r="W646" s="53"/>
      <c r="X646" s="53"/>
      <c r="Y646" s="58"/>
      <c r="Z646" s="58"/>
      <c r="AA646" s="60"/>
    </row>
    <row r="647" spans="11:27">
      <c r="K647" s="51"/>
      <c r="Q647" s="51"/>
      <c r="R647" s="51"/>
      <c r="S647" s="51"/>
      <c r="W647" s="53"/>
      <c r="X647" s="53"/>
      <c r="Y647" s="58"/>
      <c r="Z647" s="58"/>
      <c r="AA647" s="60"/>
    </row>
    <row r="648" spans="11:27">
      <c r="K648" s="51"/>
      <c r="Q648" s="51"/>
      <c r="R648" s="51"/>
      <c r="S648" s="51"/>
      <c r="W648" s="53"/>
      <c r="X648" s="53"/>
      <c r="Y648" s="58"/>
      <c r="Z648" s="58"/>
      <c r="AA648" s="60"/>
    </row>
    <row r="649" spans="11:27">
      <c r="K649" s="51"/>
      <c r="Q649" s="51"/>
      <c r="R649" s="51"/>
      <c r="S649" s="51"/>
      <c r="W649" s="53"/>
      <c r="X649" s="53"/>
      <c r="Y649" s="58"/>
      <c r="Z649" s="58"/>
      <c r="AA649" s="60"/>
    </row>
    <row r="650" spans="11:27">
      <c r="K650" s="51"/>
      <c r="Q650" s="51"/>
      <c r="R650" s="51"/>
      <c r="S650" s="51"/>
      <c r="W650" s="53"/>
      <c r="X650" s="53"/>
      <c r="Y650" s="58"/>
      <c r="Z650" s="58"/>
      <c r="AA650" s="60"/>
    </row>
    <row r="651" spans="11:27">
      <c r="K651" s="51"/>
      <c r="Q651" s="51"/>
      <c r="R651" s="51"/>
      <c r="S651" s="51"/>
      <c r="W651" s="53"/>
      <c r="X651" s="53"/>
      <c r="Y651" s="58"/>
      <c r="Z651" s="58"/>
      <c r="AA651" s="60"/>
    </row>
    <row r="652" spans="11:27">
      <c r="K652" s="51"/>
      <c r="Q652" s="51"/>
      <c r="R652" s="51"/>
      <c r="S652" s="51"/>
      <c r="W652" s="53"/>
      <c r="X652" s="53"/>
      <c r="Y652" s="58"/>
      <c r="Z652" s="58"/>
      <c r="AA652" s="60"/>
    </row>
    <row r="653" spans="11:27">
      <c r="K653" s="51"/>
      <c r="Q653" s="51"/>
      <c r="R653" s="51"/>
      <c r="S653" s="51"/>
      <c r="W653" s="53"/>
      <c r="X653" s="53"/>
      <c r="Y653" s="58"/>
      <c r="Z653" s="58"/>
      <c r="AA653" s="60"/>
    </row>
    <row r="654" spans="11:27">
      <c r="K654" s="51"/>
      <c r="Q654" s="51"/>
      <c r="R654" s="51"/>
      <c r="S654" s="51"/>
      <c r="W654" s="53"/>
      <c r="X654" s="53"/>
      <c r="Y654" s="58"/>
      <c r="Z654" s="58"/>
      <c r="AA654" s="60"/>
    </row>
    <row r="655" spans="11:27">
      <c r="K655" s="51"/>
      <c r="Q655" s="51"/>
      <c r="R655" s="51"/>
      <c r="S655" s="51"/>
      <c r="W655" s="53"/>
      <c r="X655" s="53"/>
      <c r="Y655" s="58"/>
      <c r="Z655" s="58"/>
      <c r="AA655" s="60"/>
    </row>
    <row r="656" spans="11:27">
      <c r="K656" s="51"/>
      <c r="Q656" s="51"/>
      <c r="R656" s="51"/>
      <c r="S656" s="51"/>
      <c r="W656" s="53"/>
      <c r="X656" s="53"/>
      <c r="Y656" s="58"/>
      <c r="Z656" s="58"/>
      <c r="AA656" s="60"/>
    </row>
    <row r="657" spans="11:27">
      <c r="K657" s="51"/>
      <c r="Q657" s="51"/>
      <c r="R657" s="51"/>
      <c r="S657" s="51"/>
      <c r="W657" s="53"/>
      <c r="X657" s="53"/>
      <c r="Y657" s="58"/>
      <c r="Z657" s="58"/>
      <c r="AA657" s="60"/>
    </row>
    <row r="658" spans="11:27">
      <c r="K658" s="51"/>
      <c r="Q658" s="51"/>
      <c r="R658" s="51"/>
      <c r="S658" s="51"/>
      <c r="W658" s="53"/>
      <c r="X658" s="53"/>
      <c r="Y658" s="58"/>
      <c r="Z658" s="58"/>
      <c r="AA658" s="60"/>
    </row>
    <row r="659" spans="11:27">
      <c r="K659" s="51"/>
      <c r="Q659" s="51"/>
      <c r="R659" s="51"/>
      <c r="S659" s="51"/>
      <c r="W659" s="53"/>
      <c r="X659" s="53"/>
      <c r="Y659" s="58"/>
      <c r="Z659" s="58"/>
      <c r="AA659" s="60"/>
    </row>
    <row r="660" spans="11:27">
      <c r="K660" s="51"/>
      <c r="Q660" s="51"/>
      <c r="R660" s="51"/>
      <c r="S660" s="51"/>
      <c r="W660" s="53"/>
      <c r="X660" s="53"/>
      <c r="Y660" s="58"/>
      <c r="Z660" s="58"/>
      <c r="AA660" s="60"/>
    </row>
    <row r="661" spans="11:27">
      <c r="K661" s="51"/>
      <c r="Q661" s="51"/>
      <c r="R661" s="51"/>
      <c r="S661" s="51"/>
      <c r="W661" s="53"/>
      <c r="X661" s="53"/>
      <c r="Y661" s="58"/>
      <c r="Z661" s="58"/>
      <c r="AA661" s="60"/>
    </row>
    <row r="662" spans="11:27">
      <c r="K662" s="51"/>
      <c r="Q662" s="51"/>
      <c r="R662" s="51"/>
      <c r="S662" s="51"/>
      <c r="W662" s="53"/>
      <c r="X662" s="53"/>
      <c r="Y662" s="58"/>
      <c r="Z662" s="58"/>
      <c r="AA662" s="60"/>
    </row>
    <row r="663" spans="11:27">
      <c r="K663" s="51"/>
      <c r="Q663" s="51"/>
      <c r="R663" s="51"/>
      <c r="S663" s="51"/>
      <c r="W663" s="53"/>
      <c r="X663" s="53"/>
      <c r="Y663" s="58"/>
      <c r="Z663" s="58"/>
      <c r="AA663" s="60"/>
    </row>
    <row r="664" spans="11:27">
      <c r="K664" s="51"/>
      <c r="Q664" s="51"/>
      <c r="R664" s="51"/>
      <c r="S664" s="51"/>
      <c r="W664" s="53"/>
      <c r="X664" s="53"/>
      <c r="Y664" s="58"/>
      <c r="Z664" s="58"/>
      <c r="AA664" s="60"/>
    </row>
    <row r="665" spans="11:27">
      <c r="K665" s="51"/>
      <c r="Q665" s="51"/>
      <c r="R665" s="51"/>
      <c r="S665" s="51"/>
      <c r="W665" s="53"/>
      <c r="X665" s="53"/>
      <c r="Y665" s="58"/>
      <c r="Z665" s="58"/>
      <c r="AA665" s="60"/>
    </row>
    <row r="666" spans="11:27">
      <c r="K666" s="51"/>
      <c r="Q666" s="51"/>
      <c r="R666" s="51"/>
      <c r="S666" s="51"/>
      <c r="W666" s="53"/>
      <c r="X666" s="53"/>
      <c r="Y666" s="58"/>
      <c r="Z666" s="58"/>
      <c r="AA666" s="60"/>
    </row>
    <row r="667" spans="11:27">
      <c r="K667" s="51"/>
      <c r="Q667" s="51"/>
      <c r="R667" s="51"/>
      <c r="S667" s="51"/>
      <c r="W667" s="53"/>
      <c r="X667" s="53"/>
      <c r="Y667" s="58"/>
      <c r="Z667" s="58"/>
      <c r="AA667" s="60"/>
    </row>
    <row r="668" spans="11:27">
      <c r="K668" s="51"/>
      <c r="Q668" s="51"/>
      <c r="R668" s="51"/>
      <c r="S668" s="51"/>
      <c r="W668" s="53"/>
      <c r="X668" s="53"/>
      <c r="Y668" s="58"/>
      <c r="Z668" s="58"/>
      <c r="AA668" s="60"/>
    </row>
    <row r="669" spans="11:27">
      <c r="K669" s="51"/>
      <c r="Q669" s="51"/>
      <c r="R669" s="51"/>
      <c r="S669" s="51"/>
      <c r="W669" s="53"/>
      <c r="X669" s="53"/>
      <c r="Y669" s="58"/>
      <c r="Z669" s="58"/>
      <c r="AA669" s="60"/>
    </row>
    <row r="670" spans="11:27">
      <c r="K670" s="51"/>
      <c r="Q670" s="51"/>
      <c r="R670" s="51"/>
      <c r="S670" s="51"/>
      <c r="W670" s="53"/>
      <c r="X670" s="53"/>
      <c r="Y670" s="58"/>
      <c r="Z670" s="58"/>
      <c r="AA670" s="60"/>
    </row>
    <row r="671" spans="11:27">
      <c r="K671" s="51"/>
      <c r="Q671" s="51"/>
      <c r="R671" s="51"/>
      <c r="S671" s="51"/>
      <c r="W671" s="53"/>
      <c r="X671" s="53"/>
      <c r="Y671" s="58"/>
      <c r="Z671" s="58"/>
      <c r="AA671" s="60"/>
    </row>
    <row r="672" spans="11:27">
      <c r="K672" s="51"/>
      <c r="Q672" s="51"/>
      <c r="R672" s="51"/>
      <c r="S672" s="51"/>
      <c r="W672" s="53"/>
      <c r="X672" s="53"/>
      <c r="Y672" s="58"/>
      <c r="Z672" s="58"/>
      <c r="AA672" s="60"/>
    </row>
    <row r="673" spans="11:27">
      <c r="K673" s="51"/>
      <c r="Q673" s="51"/>
      <c r="R673" s="51"/>
      <c r="S673" s="51"/>
      <c r="W673" s="53"/>
      <c r="X673" s="53"/>
      <c r="Y673" s="58"/>
      <c r="Z673" s="58"/>
      <c r="AA673" s="60"/>
    </row>
    <row r="674" spans="11:27">
      <c r="K674" s="51"/>
      <c r="Q674" s="51"/>
      <c r="R674" s="51"/>
      <c r="S674" s="51"/>
      <c r="W674" s="53"/>
      <c r="X674" s="53"/>
      <c r="Y674" s="58"/>
      <c r="Z674" s="58"/>
      <c r="AA674" s="60"/>
    </row>
    <row r="675" spans="11:27">
      <c r="K675" s="51"/>
      <c r="Q675" s="51"/>
      <c r="R675" s="51"/>
      <c r="S675" s="51"/>
      <c r="W675" s="53"/>
      <c r="X675" s="53"/>
      <c r="Y675" s="58"/>
      <c r="Z675" s="58"/>
      <c r="AA675" s="60"/>
    </row>
    <row r="676" spans="11:27">
      <c r="K676" s="51"/>
      <c r="Q676" s="51"/>
      <c r="R676" s="51"/>
      <c r="S676" s="51"/>
      <c r="W676" s="53"/>
      <c r="X676" s="53"/>
      <c r="Y676" s="58"/>
      <c r="Z676" s="58"/>
      <c r="AA676" s="60"/>
    </row>
    <row r="677" spans="11:27">
      <c r="K677" s="51"/>
      <c r="Q677" s="51"/>
      <c r="R677" s="51"/>
      <c r="S677" s="51"/>
      <c r="W677" s="53"/>
      <c r="X677" s="53"/>
      <c r="Y677" s="58"/>
      <c r="Z677" s="58"/>
      <c r="AA677" s="60"/>
    </row>
    <row r="678" spans="11:27">
      <c r="K678" s="51"/>
      <c r="Q678" s="51"/>
      <c r="R678" s="51"/>
      <c r="S678" s="51"/>
      <c r="W678" s="53"/>
      <c r="X678" s="53"/>
      <c r="Y678" s="58"/>
      <c r="Z678" s="58"/>
      <c r="AA678" s="60"/>
    </row>
    <row r="679" spans="11:27">
      <c r="K679" s="51"/>
      <c r="Q679" s="51"/>
      <c r="R679" s="51"/>
      <c r="S679" s="51"/>
      <c r="W679" s="53"/>
      <c r="X679" s="53"/>
      <c r="Y679" s="58"/>
      <c r="Z679" s="58"/>
      <c r="AA679" s="60"/>
    </row>
    <row r="680" spans="11:27">
      <c r="K680" s="51"/>
      <c r="Q680" s="51"/>
      <c r="R680" s="51"/>
      <c r="S680" s="51"/>
      <c r="W680" s="53"/>
      <c r="X680" s="53"/>
      <c r="Y680" s="58"/>
      <c r="Z680" s="58"/>
      <c r="AA680" s="60"/>
    </row>
    <row r="681" spans="11:27">
      <c r="K681" s="51"/>
      <c r="Q681" s="51"/>
      <c r="R681" s="51"/>
      <c r="S681" s="51"/>
      <c r="W681" s="53"/>
      <c r="X681" s="53"/>
      <c r="Y681" s="58"/>
      <c r="Z681" s="58"/>
      <c r="AA681" s="60"/>
    </row>
    <row r="682" spans="11:27">
      <c r="K682" s="51"/>
      <c r="Q682" s="51"/>
      <c r="R682" s="51"/>
      <c r="S682" s="51"/>
      <c r="W682" s="53"/>
      <c r="X682" s="53"/>
      <c r="Y682" s="58"/>
      <c r="Z682" s="58"/>
      <c r="AA682" s="60"/>
    </row>
    <row r="683" spans="11:27">
      <c r="K683" s="51"/>
      <c r="Q683" s="51"/>
      <c r="R683" s="51"/>
      <c r="S683" s="51"/>
      <c r="W683" s="53"/>
      <c r="X683" s="53"/>
      <c r="Y683" s="58"/>
      <c r="Z683" s="58"/>
      <c r="AA683" s="60"/>
    </row>
    <row r="684" spans="11:27">
      <c r="K684" s="51"/>
      <c r="Q684" s="51"/>
      <c r="R684" s="51"/>
      <c r="S684" s="51"/>
      <c r="W684" s="53"/>
      <c r="X684" s="53"/>
      <c r="Y684" s="58"/>
      <c r="Z684" s="58"/>
      <c r="AA684" s="60"/>
    </row>
    <row r="685" spans="11:27">
      <c r="K685" s="51"/>
      <c r="Q685" s="51"/>
      <c r="R685" s="51"/>
      <c r="S685" s="51"/>
      <c r="W685" s="53"/>
      <c r="X685" s="53"/>
      <c r="Y685" s="58"/>
      <c r="Z685" s="58"/>
      <c r="AA685" s="60"/>
    </row>
    <row r="686" spans="11:27">
      <c r="K686" s="51"/>
      <c r="Q686" s="51"/>
      <c r="R686" s="51"/>
      <c r="S686" s="51"/>
      <c r="W686" s="53"/>
      <c r="X686" s="53"/>
      <c r="Y686" s="58"/>
      <c r="Z686" s="58"/>
      <c r="AA686" s="60"/>
    </row>
    <row r="687" spans="11:27">
      <c r="K687" s="51"/>
      <c r="Q687" s="51"/>
      <c r="R687" s="51"/>
      <c r="S687" s="51"/>
      <c r="W687" s="53"/>
      <c r="X687" s="53"/>
      <c r="Y687" s="58"/>
      <c r="Z687" s="58"/>
      <c r="AA687" s="60"/>
    </row>
    <row r="688" spans="11:27">
      <c r="K688" s="51"/>
      <c r="Q688" s="51"/>
      <c r="R688" s="51"/>
      <c r="S688" s="51"/>
      <c r="W688" s="53"/>
      <c r="X688" s="53"/>
      <c r="Y688" s="58"/>
      <c r="Z688" s="58"/>
      <c r="AA688" s="60"/>
    </row>
    <row r="689" spans="11:27">
      <c r="K689" s="51"/>
      <c r="Q689" s="51"/>
      <c r="R689" s="51"/>
      <c r="S689" s="51"/>
      <c r="W689" s="53"/>
      <c r="X689" s="53"/>
      <c r="Y689" s="58"/>
      <c r="Z689" s="58"/>
      <c r="AA689" s="60"/>
    </row>
    <row r="690" spans="11:27">
      <c r="K690" s="51"/>
      <c r="Q690" s="51"/>
      <c r="R690" s="51"/>
      <c r="S690" s="51"/>
      <c r="W690" s="53"/>
      <c r="X690" s="53"/>
      <c r="Y690" s="58"/>
      <c r="Z690" s="58"/>
      <c r="AA690" s="60"/>
    </row>
    <row r="691" spans="11:27">
      <c r="K691" s="51"/>
      <c r="Q691" s="51"/>
      <c r="R691" s="51"/>
      <c r="S691" s="51"/>
      <c r="W691" s="53"/>
      <c r="X691" s="53"/>
      <c r="Y691" s="58"/>
      <c r="Z691" s="58"/>
      <c r="AA691" s="60"/>
    </row>
    <row r="692" spans="11:27">
      <c r="K692" s="51"/>
      <c r="Q692" s="51"/>
      <c r="R692" s="51"/>
      <c r="S692" s="51"/>
      <c r="W692" s="53"/>
      <c r="X692" s="53"/>
      <c r="Y692" s="58"/>
      <c r="Z692" s="58"/>
      <c r="AA692" s="60"/>
    </row>
    <row r="693" spans="11:27">
      <c r="K693" s="51"/>
      <c r="Q693" s="51"/>
      <c r="R693" s="51"/>
      <c r="S693" s="51"/>
      <c r="W693" s="53"/>
      <c r="X693" s="53"/>
      <c r="Y693" s="58"/>
      <c r="Z693" s="58"/>
      <c r="AA693" s="60"/>
    </row>
    <row r="694" spans="11:27">
      <c r="K694" s="51"/>
      <c r="Q694" s="51"/>
      <c r="R694" s="51"/>
      <c r="S694" s="51"/>
      <c r="W694" s="53"/>
      <c r="X694" s="53"/>
      <c r="Y694" s="58"/>
      <c r="Z694" s="58"/>
      <c r="AA694" s="60"/>
    </row>
    <row r="695" spans="11:27">
      <c r="K695" s="51"/>
      <c r="Q695" s="51"/>
      <c r="R695" s="51"/>
      <c r="S695" s="51"/>
      <c r="W695" s="53"/>
      <c r="X695" s="53"/>
      <c r="Y695" s="58"/>
      <c r="Z695" s="58"/>
      <c r="AA695" s="60"/>
    </row>
    <row r="696" spans="11:27">
      <c r="K696" s="51"/>
      <c r="Q696" s="51"/>
      <c r="R696" s="51"/>
      <c r="S696" s="51"/>
      <c r="W696" s="53"/>
      <c r="X696" s="53"/>
      <c r="Y696" s="58"/>
      <c r="Z696" s="58"/>
      <c r="AA696" s="60"/>
    </row>
    <row r="697" spans="11:27">
      <c r="K697" s="51"/>
      <c r="Q697" s="51"/>
      <c r="R697" s="51"/>
      <c r="S697" s="51"/>
      <c r="W697" s="53"/>
      <c r="X697" s="53"/>
      <c r="Y697" s="58"/>
      <c r="Z697" s="58"/>
      <c r="AA697" s="60"/>
    </row>
    <row r="698" spans="11:27">
      <c r="K698" s="51"/>
      <c r="Q698" s="51"/>
      <c r="R698" s="51"/>
      <c r="S698" s="51"/>
      <c r="W698" s="53"/>
      <c r="X698" s="53"/>
      <c r="Y698" s="58"/>
      <c r="Z698" s="58"/>
      <c r="AA698" s="60"/>
    </row>
    <row r="699" spans="11:27">
      <c r="K699" s="51"/>
      <c r="Q699" s="51"/>
      <c r="R699" s="51"/>
      <c r="S699" s="51"/>
      <c r="W699" s="53"/>
      <c r="X699" s="53"/>
      <c r="Y699" s="58"/>
      <c r="Z699" s="58"/>
      <c r="AA699" s="60"/>
    </row>
    <row r="700" spans="11:27">
      <c r="K700" s="51"/>
      <c r="Q700" s="51"/>
      <c r="R700" s="51"/>
      <c r="S700" s="51"/>
      <c r="W700" s="53"/>
      <c r="X700" s="53"/>
      <c r="Y700" s="58"/>
      <c r="Z700" s="58"/>
      <c r="AA700" s="60"/>
    </row>
    <row r="701" spans="11:27">
      <c r="K701" s="51"/>
      <c r="Q701" s="51"/>
      <c r="R701" s="51"/>
      <c r="S701" s="51"/>
      <c r="W701" s="53"/>
      <c r="X701" s="53"/>
      <c r="Y701" s="58"/>
      <c r="Z701" s="58"/>
      <c r="AA701" s="60"/>
    </row>
    <row r="702" spans="11:27">
      <c r="K702" s="51"/>
      <c r="Q702" s="51"/>
      <c r="R702" s="51"/>
      <c r="S702" s="51"/>
      <c r="W702" s="53"/>
      <c r="X702" s="53"/>
      <c r="Y702" s="58"/>
      <c r="Z702" s="58"/>
      <c r="AA702" s="60"/>
    </row>
    <row r="703" spans="11:27">
      <c r="K703" s="51"/>
      <c r="Q703" s="51"/>
      <c r="R703" s="51"/>
      <c r="S703" s="51"/>
      <c r="W703" s="53"/>
      <c r="X703" s="53"/>
      <c r="Y703" s="58"/>
      <c r="Z703" s="58"/>
      <c r="AA703" s="60"/>
    </row>
    <row r="704" spans="11:27">
      <c r="K704" s="51"/>
      <c r="Q704" s="51"/>
      <c r="R704" s="51"/>
      <c r="S704" s="51"/>
      <c r="W704" s="53"/>
      <c r="X704" s="53"/>
      <c r="Y704" s="58"/>
      <c r="Z704" s="58"/>
      <c r="AA704" s="60"/>
    </row>
    <row r="705" spans="11:27">
      <c r="K705" s="51"/>
      <c r="Q705" s="51"/>
      <c r="R705" s="51"/>
      <c r="S705" s="51"/>
      <c r="W705" s="53"/>
      <c r="X705" s="53"/>
      <c r="Y705" s="58"/>
      <c r="Z705" s="58"/>
      <c r="AA705" s="60"/>
    </row>
    <row r="706" spans="11:27">
      <c r="K706" s="51"/>
      <c r="Q706" s="51"/>
      <c r="R706" s="51"/>
      <c r="S706" s="51"/>
      <c r="W706" s="53"/>
      <c r="X706" s="53"/>
      <c r="Y706" s="58"/>
      <c r="Z706" s="58"/>
      <c r="AA706" s="60"/>
    </row>
    <row r="707" spans="11:27">
      <c r="K707" s="51"/>
      <c r="Q707" s="51"/>
      <c r="R707" s="51"/>
      <c r="S707" s="51"/>
      <c r="W707" s="53"/>
      <c r="X707" s="53"/>
      <c r="Y707" s="58"/>
      <c r="Z707" s="58"/>
      <c r="AA707" s="60"/>
    </row>
    <row r="708" spans="11:27">
      <c r="K708" s="51"/>
      <c r="Q708" s="51"/>
      <c r="R708" s="51"/>
      <c r="S708" s="51"/>
      <c r="W708" s="53"/>
      <c r="X708" s="53"/>
      <c r="Y708" s="58"/>
      <c r="Z708" s="58"/>
      <c r="AA708" s="60"/>
    </row>
    <row r="709" spans="11:27">
      <c r="K709" s="51"/>
      <c r="Q709" s="51"/>
      <c r="R709" s="51"/>
      <c r="S709" s="51"/>
      <c r="W709" s="53"/>
      <c r="X709" s="53"/>
      <c r="Y709" s="58"/>
      <c r="Z709" s="58"/>
      <c r="AA709" s="60"/>
    </row>
    <row r="710" spans="11:27">
      <c r="K710" s="51"/>
      <c r="Q710" s="51"/>
      <c r="R710" s="51"/>
      <c r="S710" s="51"/>
      <c r="W710" s="53"/>
      <c r="X710" s="53"/>
      <c r="Y710" s="58"/>
      <c r="Z710" s="58"/>
      <c r="AA710" s="60"/>
    </row>
    <row r="711" spans="11:27">
      <c r="K711" s="51"/>
      <c r="Q711" s="51"/>
      <c r="R711" s="51"/>
      <c r="S711" s="51"/>
      <c r="W711" s="53"/>
      <c r="X711" s="53"/>
      <c r="Y711" s="58"/>
      <c r="Z711" s="58"/>
      <c r="AA711" s="60"/>
    </row>
    <row r="712" spans="11:27">
      <c r="K712" s="51"/>
      <c r="Q712" s="51"/>
      <c r="R712" s="51"/>
      <c r="S712" s="51"/>
      <c r="W712" s="53"/>
      <c r="X712" s="53"/>
      <c r="Y712" s="58"/>
      <c r="Z712" s="58"/>
      <c r="AA712" s="60"/>
    </row>
    <row r="713" spans="11:27">
      <c r="K713" s="51"/>
      <c r="Q713" s="51"/>
      <c r="R713" s="51"/>
      <c r="S713" s="51"/>
      <c r="W713" s="53"/>
      <c r="X713" s="53"/>
      <c r="Y713" s="58"/>
      <c r="Z713" s="58"/>
      <c r="AA713" s="60"/>
    </row>
    <row r="714" spans="11:27">
      <c r="K714" s="51"/>
      <c r="Q714" s="51"/>
      <c r="R714" s="51"/>
      <c r="S714" s="51"/>
      <c r="W714" s="53"/>
      <c r="X714" s="53"/>
      <c r="Y714" s="58"/>
      <c r="Z714" s="58"/>
      <c r="AA714" s="60"/>
    </row>
    <row r="715" spans="11:27">
      <c r="K715" s="51"/>
      <c r="Q715" s="51"/>
      <c r="R715" s="51"/>
      <c r="S715" s="51"/>
      <c r="W715" s="53"/>
      <c r="X715" s="53"/>
      <c r="Y715" s="58"/>
      <c r="Z715" s="58"/>
      <c r="AA715" s="60"/>
    </row>
    <row r="716" spans="11:27">
      <c r="K716" s="51"/>
      <c r="Q716" s="51"/>
      <c r="R716" s="51"/>
      <c r="S716" s="51"/>
      <c r="W716" s="53"/>
      <c r="X716" s="53"/>
      <c r="Y716" s="58"/>
      <c r="Z716" s="58"/>
      <c r="AA716" s="60"/>
    </row>
    <row r="717" spans="11:27">
      <c r="K717" s="51"/>
      <c r="Q717" s="51"/>
      <c r="R717" s="51"/>
      <c r="S717" s="51"/>
      <c r="W717" s="53"/>
      <c r="X717" s="53"/>
      <c r="Y717" s="58"/>
      <c r="Z717" s="58"/>
      <c r="AA717" s="60"/>
    </row>
    <row r="718" spans="11:27">
      <c r="K718" s="51"/>
      <c r="Q718" s="51"/>
      <c r="R718" s="51"/>
      <c r="S718" s="51"/>
      <c r="W718" s="53"/>
      <c r="X718" s="53"/>
      <c r="Y718" s="58"/>
      <c r="Z718" s="58"/>
      <c r="AA718" s="60"/>
    </row>
    <row r="719" spans="11:27">
      <c r="K719" s="51"/>
      <c r="Q719" s="51"/>
      <c r="R719" s="51"/>
      <c r="S719" s="51"/>
      <c r="W719" s="53"/>
      <c r="X719" s="53"/>
      <c r="Y719" s="58"/>
      <c r="Z719" s="58"/>
      <c r="AA719" s="60"/>
    </row>
    <row r="720" spans="11:27">
      <c r="K720" s="51"/>
      <c r="Q720" s="51"/>
      <c r="R720" s="51"/>
      <c r="S720" s="51"/>
      <c r="W720" s="53"/>
      <c r="X720" s="53"/>
      <c r="Y720" s="58"/>
      <c r="Z720" s="58"/>
      <c r="AA720" s="60"/>
    </row>
    <row r="721" spans="11:27">
      <c r="K721" s="51"/>
      <c r="Q721" s="51"/>
      <c r="R721" s="51"/>
      <c r="S721" s="51"/>
      <c r="W721" s="53"/>
      <c r="X721" s="53"/>
      <c r="Y721" s="58"/>
      <c r="Z721" s="58"/>
      <c r="AA721" s="60"/>
    </row>
    <row r="722" spans="11:27">
      <c r="K722" s="51"/>
      <c r="Q722" s="51"/>
      <c r="R722" s="51"/>
      <c r="S722" s="51"/>
      <c r="W722" s="53"/>
      <c r="X722" s="53"/>
      <c r="Y722" s="58"/>
      <c r="Z722" s="58"/>
      <c r="AA722" s="60"/>
    </row>
    <row r="723" spans="11:27">
      <c r="K723" s="51"/>
      <c r="Q723" s="51"/>
      <c r="R723" s="51"/>
      <c r="S723" s="51"/>
      <c r="W723" s="53"/>
      <c r="X723" s="53"/>
      <c r="Y723" s="58"/>
      <c r="Z723" s="58"/>
      <c r="AA723" s="60"/>
    </row>
    <row r="724" spans="11:27">
      <c r="K724" s="51"/>
      <c r="Q724" s="51"/>
      <c r="R724" s="51"/>
      <c r="S724" s="51"/>
      <c r="W724" s="53"/>
      <c r="X724" s="53"/>
      <c r="Y724" s="58"/>
      <c r="Z724" s="58"/>
      <c r="AA724" s="60"/>
    </row>
    <row r="725" spans="11:27">
      <c r="K725" s="51"/>
      <c r="Q725" s="51"/>
      <c r="R725" s="51"/>
      <c r="S725" s="51"/>
      <c r="W725" s="53"/>
      <c r="X725" s="53"/>
      <c r="Y725" s="58"/>
      <c r="Z725" s="58"/>
      <c r="AA725" s="60"/>
    </row>
    <row r="726" spans="11:27">
      <c r="K726" s="51"/>
      <c r="Q726" s="51"/>
      <c r="R726" s="51"/>
      <c r="S726" s="51"/>
      <c r="W726" s="53"/>
      <c r="X726" s="53"/>
      <c r="Y726" s="58"/>
      <c r="Z726" s="58"/>
      <c r="AA726" s="60"/>
    </row>
    <row r="727" spans="11:27">
      <c r="K727" s="51"/>
      <c r="Q727" s="51"/>
      <c r="R727" s="51"/>
      <c r="S727" s="51"/>
      <c r="W727" s="53"/>
      <c r="X727" s="53"/>
      <c r="Y727" s="58"/>
      <c r="Z727" s="58"/>
      <c r="AA727" s="60"/>
    </row>
    <row r="728" spans="11:27">
      <c r="K728" s="51"/>
      <c r="Q728" s="51"/>
      <c r="R728" s="51"/>
      <c r="S728" s="51"/>
      <c r="W728" s="53"/>
      <c r="X728" s="53"/>
      <c r="Y728" s="58"/>
      <c r="Z728" s="58"/>
      <c r="AA728" s="60"/>
    </row>
    <row r="729" spans="11:27">
      <c r="K729" s="51"/>
      <c r="Q729" s="51"/>
      <c r="R729" s="51"/>
      <c r="S729" s="51"/>
      <c r="W729" s="53"/>
      <c r="X729" s="53"/>
      <c r="Y729" s="58"/>
      <c r="Z729" s="58"/>
      <c r="AA729" s="60"/>
    </row>
    <row r="730" spans="11:27">
      <c r="K730" s="51"/>
      <c r="Q730" s="51"/>
      <c r="R730" s="51"/>
      <c r="S730" s="51"/>
      <c r="W730" s="53"/>
      <c r="X730" s="53"/>
      <c r="Y730" s="58"/>
      <c r="Z730" s="58"/>
      <c r="AA730" s="60"/>
    </row>
    <row r="731" spans="11:27">
      <c r="K731" s="51"/>
      <c r="Q731" s="51"/>
      <c r="R731" s="51"/>
      <c r="S731" s="51"/>
      <c r="W731" s="53"/>
      <c r="X731" s="53"/>
      <c r="Y731" s="58"/>
      <c r="Z731" s="58"/>
      <c r="AA731" s="60"/>
    </row>
    <row r="732" spans="11:27">
      <c r="K732" s="51"/>
      <c r="Q732" s="51"/>
      <c r="R732" s="51"/>
      <c r="S732" s="51"/>
      <c r="W732" s="53"/>
      <c r="X732" s="53"/>
      <c r="Y732" s="58"/>
      <c r="Z732" s="58"/>
      <c r="AA732" s="60"/>
    </row>
    <row r="733" spans="11:27">
      <c r="K733" s="51"/>
      <c r="Q733" s="51"/>
      <c r="R733" s="51"/>
      <c r="S733" s="51"/>
      <c r="W733" s="53"/>
      <c r="X733" s="53"/>
      <c r="Y733" s="58"/>
      <c r="Z733" s="58"/>
      <c r="AA733" s="60"/>
    </row>
    <row r="734" spans="11:27">
      <c r="K734" s="51"/>
      <c r="Q734" s="51"/>
      <c r="R734" s="51"/>
      <c r="S734" s="51"/>
      <c r="W734" s="53"/>
      <c r="X734" s="53"/>
      <c r="Y734" s="58"/>
      <c r="Z734" s="58"/>
      <c r="AA734" s="60"/>
    </row>
    <row r="735" spans="11:27">
      <c r="K735" s="51"/>
      <c r="Q735" s="51"/>
      <c r="R735" s="51"/>
      <c r="S735" s="51"/>
      <c r="W735" s="53"/>
      <c r="X735" s="53"/>
      <c r="Y735" s="58"/>
      <c r="Z735" s="58"/>
      <c r="AA735" s="60"/>
    </row>
    <row r="736" spans="11:27">
      <c r="K736" s="51"/>
      <c r="Q736" s="51"/>
      <c r="R736" s="51"/>
      <c r="S736" s="51"/>
      <c r="W736" s="53"/>
      <c r="X736" s="53"/>
      <c r="Y736" s="58"/>
      <c r="Z736" s="58"/>
      <c r="AA736" s="60"/>
    </row>
    <row r="737" spans="11:27">
      <c r="K737" s="51"/>
      <c r="Q737" s="51"/>
      <c r="R737" s="51"/>
      <c r="S737" s="51"/>
      <c r="W737" s="53"/>
      <c r="X737" s="53"/>
      <c r="Y737" s="58"/>
      <c r="Z737" s="58"/>
      <c r="AA737" s="60"/>
    </row>
    <row r="738" spans="11:27">
      <c r="K738" s="51"/>
      <c r="Q738" s="51"/>
      <c r="R738" s="51"/>
      <c r="S738" s="51"/>
      <c r="W738" s="53"/>
      <c r="X738" s="53"/>
      <c r="Y738" s="58"/>
      <c r="Z738" s="58"/>
      <c r="AA738" s="60"/>
    </row>
    <row r="739" spans="11:27">
      <c r="K739" s="51"/>
      <c r="Q739" s="51"/>
      <c r="R739" s="51"/>
      <c r="S739" s="51"/>
      <c r="W739" s="53"/>
      <c r="X739" s="53"/>
      <c r="Y739" s="58"/>
      <c r="Z739" s="58"/>
      <c r="AA739" s="60"/>
    </row>
    <row r="740" spans="11:27">
      <c r="K740" s="51"/>
      <c r="Q740" s="51"/>
      <c r="R740" s="51"/>
      <c r="S740" s="51"/>
      <c r="W740" s="53"/>
      <c r="X740" s="53"/>
      <c r="Y740" s="58"/>
      <c r="Z740" s="58"/>
      <c r="AA740" s="60"/>
    </row>
    <row r="741" spans="11:27">
      <c r="K741" s="51"/>
      <c r="Q741" s="51"/>
      <c r="R741" s="51"/>
      <c r="S741" s="51"/>
      <c r="W741" s="53"/>
      <c r="X741" s="53"/>
      <c r="Y741" s="58"/>
      <c r="Z741" s="58"/>
      <c r="AA741" s="60"/>
    </row>
    <row r="742" spans="11:27">
      <c r="K742" s="51"/>
      <c r="Q742" s="51"/>
      <c r="R742" s="51"/>
      <c r="S742" s="51"/>
      <c r="W742" s="53"/>
      <c r="X742" s="53"/>
      <c r="Y742" s="58"/>
      <c r="Z742" s="58"/>
      <c r="AA742" s="60"/>
    </row>
    <row r="743" spans="11:27">
      <c r="K743" s="51"/>
      <c r="Q743" s="51"/>
      <c r="R743" s="51"/>
      <c r="S743" s="51"/>
      <c r="W743" s="53"/>
      <c r="X743" s="53"/>
      <c r="Y743" s="58"/>
      <c r="Z743" s="58"/>
      <c r="AA743" s="60"/>
    </row>
    <row r="744" spans="11:27">
      <c r="K744" s="51"/>
      <c r="Q744" s="51"/>
      <c r="R744" s="51"/>
      <c r="S744" s="51"/>
      <c r="W744" s="53"/>
      <c r="X744" s="53"/>
      <c r="Y744" s="58"/>
      <c r="Z744" s="58"/>
      <c r="AA744" s="60"/>
    </row>
    <row r="745" spans="11:27">
      <c r="K745" s="51"/>
      <c r="Q745" s="51"/>
      <c r="R745" s="51"/>
      <c r="S745" s="51"/>
      <c r="W745" s="53"/>
      <c r="X745" s="53"/>
      <c r="Y745" s="58"/>
      <c r="Z745" s="58"/>
      <c r="AA745" s="60"/>
    </row>
    <row r="746" spans="11:27">
      <c r="K746" s="51"/>
      <c r="Q746" s="51"/>
      <c r="R746" s="51"/>
      <c r="S746" s="51"/>
      <c r="W746" s="53"/>
      <c r="X746" s="53"/>
      <c r="Y746" s="58"/>
      <c r="Z746" s="58"/>
      <c r="AA746" s="60"/>
    </row>
    <row r="747" spans="11:27">
      <c r="K747" s="51"/>
      <c r="Q747" s="51"/>
      <c r="R747" s="51"/>
      <c r="S747" s="51"/>
      <c r="W747" s="53"/>
      <c r="X747" s="53"/>
      <c r="Y747" s="58"/>
      <c r="Z747" s="58"/>
      <c r="AA747" s="60"/>
    </row>
    <row r="748" spans="11:27">
      <c r="K748" s="51"/>
      <c r="Q748" s="51"/>
      <c r="R748" s="51"/>
      <c r="S748" s="51"/>
      <c r="W748" s="53"/>
      <c r="X748" s="53"/>
      <c r="Y748" s="58"/>
      <c r="Z748" s="58"/>
      <c r="AA748" s="60"/>
    </row>
    <row r="749" spans="11:27">
      <c r="K749" s="51"/>
      <c r="Q749" s="51"/>
      <c r="R749" s="51"/>
      <c r="S749" s="51"/>
      <c r="W749" s="53"/>
      <c r="X749" s="53"/>
      <c r="Y749" s="58"/>
      <c r="Z749" s="58"/>
      <c r="AA749" s="60"/>
    </row>
    <row r="750" spans="11:27">
      <c r="K750" s="51"/>
      <c r="Q750" s="51"/>
      <c r="R750" s="51"/>
      <c r="S750" s="51"/>
      <c r="W750" s="53"/>
      <c r="X750" s="53"/>
      <c r="Y750" s="58"/>
      <c r="Z750" s="58"/>
      <c r="AA750" s="60"/>
    </row>
    <row r="751" spans="11:27">
      <c r="K751" s="51"/>
      <c r="Q751" s="51"/>
      <c r="R751" s="51"/>
      <c r="S751" s="51"/>
      <c r="W751" s="53"/>
      <c r="X751" s="53"/>
      <c r="Y751" s="58"/>
      <c r="Z751" s="58"/>
      <c r="AA751" s="60"/>
    </row>
    <row r="752" spans="11:27">
      <c r="K752" s="51"/>
      <c r="Q752" s="51"/>
      <c r="R752" s="51"/>
      <c r="S752" s="51"/>
      <c r="W752" s="53"/>
      <c r="X752" s="53"/>
      <c r="Y752" s="58"/>
      <c r="Z752" s="58"/>
      <c r="AA752" s="60"/>
    </row>
    <row r="753" spans="11:27">
      <c r="K753" s="51"/>
      <c r="Q753" s="51"/>
      <c r="R753" s="51"/>
      <c r="S753" s="51"/>
      <c r="W753" s="53"/>
      <c r="X753" s="53"/>
      <c r="Y753" s="58"/>
      <c r="Z753" s="58"/>
      <c r="AA753" s="60"/>
    </row>
    <row r="754" spans="11:27">
      <c r="K754" s="51"/>
      <c r="Q754" s="51"/>
      <c r="R754" s="51"/>
      <c r="S754" s="51"/>
      <c r="W754" s="53"/>
      <c r="X754" s="53"/>
      <c r="Y754" s="58"/>
      <c r="Z754" s="58"/>
      <c r="AA754" s="60"/>
    </row>
    <row r="755" spans="11:27">
      <c r="K755" s="51"/>
      <c r="Q755" s="51"/>
      <c r="R755" s="51"/>
      <c r="S755" s="51"/>
      <c r="W755" s="53"/>
      <c r="X755" s="53"/>
      <c r="Y755" s="58"/>
      <c r="Z755" s="58"/>
      <c r="AA755" s="60"/>
    </row>
    <row r="756" spans="11:27">
      <c r="K756" s="51"/>
      <c r="Q756" s="51"/>
      <c r="R756" s="51"/>
      <c r="S756" s="51"/>
      <c r="W756" s="53"/>
      <c r="X756" s="53"/>
      <c r="Y756" s="58"/>
      <c r="Z756" s="58"/>
      <c r="AA756" s="60"/>
    </row>
    <row r="757" spans="11:27">
      <c r="K757" s="51"/>
      <c r="Q757" s="51"/>
      <c r="R757" s="51"/>
      <c r="S757" s="51"/>
      <c r="W757" s="53"/>
      <c r="X757" s="53"/>
      <c r="Y757" s="58"/>
      <c r="Z757" s="58"/>
      <c r="AA757" s="60"/>
    </row>
    <row r="758" spans="11:27">
      <c r="K758" s="51"/>
      <c r="Q758" s="51"/>
      <c r="R758" s="51"/>
      <c r="S758" s="51"/>
      <c r="W758" s="53"/>
      <c r="X758" s="53"/>
      <c r="Y758" s="58"/>
      <c r="Z758" s="58"/>
      <c r="AA758" s="60"/>
    </row>
    <row r="759" spans="11:27">
      <c r="K759" s="51"/>
      <c r="Q759" s="51"/>
      <c r="R759" s="51"/>
      <c r="S759" s="51"/>
      <c r="W759" s="53"/>
      <c r="X759" s="53"/>
      <c r="Y759" s="58"/>
      <c r="Z759" s="58"/>
      <c r="AA759" s="60"/>
    </row>
    <row r="760" spans="11:27">
      <c r="K760" s="51"/>
      <c r="Q760" s="51"/>
      <c r="R760" s="51"/>
      <c r="S760" s="51"/>
      <c r="W760" s="53"/>
      <c r="X760" s="53"/>
      <c r="Y760" s="58"/>
      <c r="Z760" s="58"/>
      <c r="AA760" s="60"/>
    </row>
    <row r="761" spans="11:27">
      <c r="K761" s="51"/>
      <c r="Q761" s="51"/>
      <c r="R761" s="51"/>
      <c r="S761" s="51"/>
      <c r="W761" s="53"/>
      <c r="X761" s="53"/>
      <c r="Y761" s="58"/>
      <c r="Z761" s="58"/>
      <c r="AA761" s="60"/>
    </row>
    <row r="762" spans="11:27">
      <c r="K762" s="51"/>
      <c r="Q762" s="51"/>
      <c r="R762" s="51"/>
      <c r="S762" s="51"/>
      <c r="W762" s="53"/>
      <c r="X762" s="53"/>
      <c r="Y762" s="58"/>
      <c r="Z762" s="58"/>
      <c r="AA762" s="60"/>
    </row>
    <row r="763" spans="11:27">
      <c r="K763" s="51"/>
      <c r="Q763" s="51"/>
      <c r="R763" s="51"/>
      <c r="S763" s="51"/>
      <c r="W763" s="53"/>
      <c r="X763" s="53"/>
      <c r="Y763" s="58"/>
      <c r="Z763" s="58"/>
      <c r="AA763" s="60"/>
    </row>
    <row r="764" spans="11:27">
      <c r="K764" s="51"/>
      <c r="Q764" s="51"/>
      <c r="R764" s="51"/>
      <c r="S764" s="51"/>
      <c r="W764" s="53"/>
      <c r="X764" s="53"/>
      <c r="Y764" s="58"/>
      <c r="Z764" s="58"/>
      <c r="AA764" s="60"/>
    </row>
    <row r="765" spans="11:27">
      <c r="K765" s="51"/>
      <c r="Q765" s="51"/>
      <c r="R765" s="51"/>
      <c r="S765" s="51"/>
      <c r="W765" s="53"/>
      <c r="X765" s="53"/>
      <c r="Y765" s="58"/>
      <c r="Z765" s="58"/>
      <c r="AA765" s="60"/>
    </row>
    <row r="766" spans="11:27">
      <c r="K766" s="51"/>
      <c r="Q766" s="51"/>
      <c r="R766" s="51"/>
      <c r="S766" s="51"/>
      <c r="W766" s="53"/>
      <c r="X766" s="53"/>
      <c r="Y766" s="58"/>
      <c r="Z766" s="58"/>
      <c r="AA766" s="60"/>
    </row>
    <row r="767" spans="11:27">
      <c r="K767" s="51"/>
      <c r="Q767" s="51"/>
      <c r="R767" s="51"/>
      <c r="S767" s="51"/>
      <c r="W767" s="53"/>
      <c r="X767" s="53"/>
      <c r="Y767" s="58"/>
      <c r="Z767" s="58"/>
      <c r="AA767" s="60"/>
    </row>
    <row r="768" spans="11:27">
      <c r="K768" s="51"/>
      <c r="Q768" s="51"/>
      <c r="R768" s="51"/>
      <c r="S768" s="51"/>
      <c r="W768" s="53"/>
      <c r="X768" s="53"/>
      <c r="Y768" s="58"/>
      <c r="Z768" s="58"/>
      <c r="AA768" s="60"/>
    </row>
    <row r="769" spans="11:27">
      <c r="K769" s="51"/>
      <c r="Q769" s="51"/>
      <c r="R769" s="51"/>
      <c r="S769" s="51"/>
      <c r="W769" s="53"/>
      <c r="X769" s="53"/>
      <c r="Y769" s="58"/>
      <c r="Z769" s="58"/>
      <c r="AA769" s="60"/>
    </row>
    <row r="770" spans="11:27">
      <c r="K770" s="51"/>
      <c r="Q770" s="51"/>
      <c r="R770" s="51"/>
      <c r="S770" s="51"/>
      <c r="W770" s="53"/>
      <c r="X770" s="53"/>
      <c r="Y770" s="58"/>
      <c r="Z770" s="58"/>
      <c r="AA770" s="60"/>
    </row>
    <row r="771" spans="11:27">
      <c r="K771" s="51"/>
      <c r="Q771" s="51"/>
      <c r="R771" s="51"/>
      <c r="S771" s="51"/>
      <c r="W771" s="53"/>
      <c r="X771" s="53"/>
      <c r="Y771" s="58"/>
      <c r="Z771" s="58"/>
      <c r="AA771" s="60"/>
    </row>
    <row r="772" spans="11:27">
      <c r="K772" s="51"/>
      <c r="Q772" s="51"/>
      <c r="R772" s="51"/>
      <c r="S772" s="51"/>
      <c r="W772" s="53"/>
      <c r="X772" s="53"/>
      <c r="Y772" s="58"/>
      <c r="Z772" s="58"/>
      <c r="AA772" s="60"/>
    </row>
    <row r="773" spans="11:27">
      <c r="K773" s="51"/>
      <c r="Q773" s="51"/>
      <c r="R773" s="51"/>
      <c r="S773" s="51"/>
      <c r="W773" s="53"/>
      <c r="X773" s="53"/>
      <c r="Y773" s="58"/>
      <c r="Z773" s="58"/>
      <c r="AA773" s="60"/>
    </row>
    <row r="774" spans="11:27">
      <c r="K774" s="51"/>
      <c r="Q774" s="51"/>
      <c r="R774" s="51"/>
      <c r="S774" s="51"/>
      <c r="W774" s="53"/>
      <c r="X774" s="53"/>
      <c r="Y774" s="58"/>
      <c r="Z774" s="58"/>
      <c r="AA774" s="60"/>
    </row>
    <row r="775" spans="11:27">
      <c r="K775" s="51"/>
      <c r="Q775" s="51"/>
      <c r="R775" s="51"/>
      <c r="S775" s="51"/>
      <c r="W775" s="53"/>
      <c r="X775" s="53"/>
      <c r="Y775" s="58"/>
      <c r="Z775" s="58"/>
      <c r="AA775" s="60"/>
    </row>
    <row r="776" spans="11:27">
      <c r="K776" s="51"/>
      <c r="Q776" s="51"/>
      <c r="R776" s="51"/>
      <c r="S776" s="51"/>
      <c r="W776" s="53"/>
      <c r="X776" s="53"/>
      <c r="Y776" s="58"/>
      <c r="Z776" s="58"/>
      <c r="AA776" s="60"/>
    </row>
    <row r="777" spans="11:27">
      <c r="K777" s="51"/>
      <c r="Q777" s="51"/>
      <c r="R777" s="51"/>
      <c r="S777" s="51"/>
      <c r="W777" s="53"/>
      <c r="X777" s="53"/>
      <c r="Y777" s="58"/>
      <c r="Z777" s="58"/>
      <c r="AA777" s="60"/>
    </row>
    <row r="778" spans="11:27">
      <c r="K778" s="51"/>
      <c r="Q778" s="51"/>
      <c r="R778" s="51"/>
      <c r="S778" s="51"/>
      <c r="W778" s="53"/>
      <c r="X778" s="53"/>
      <c r="Y778" s="58"/>
      <c r="Z778" s="58"/>
      <c r="AA778" s="60"/>
    </row>
    <row r="779" spans="11:27">
      <c r="K779" s="51"/>
      <c r="Q779" s="51"/>
      <c r="R779" s="51"/>
      <c r="S779" s="51"/>
      <c r="W779" s="53"/>
      <c r="X779" s="53"/>
      <c r="Y779" s="58"/>
      <c r="Z779" s="58"/>
      <c r="AA779" s="60"/>
    </row>
    <row r="780" spans="11:27">
      <c r="K780" s="51"/>
      <c r="Q780" s="51"/>
      <c r="R780" s="51"/>
      <c r="S780" s="51"/>
      <c r="W780" s="53"/>
      <c r="X780" s="53"/>
      <c r="Y780" s="58"/>
      <c r="Z780" s="58"/>
      <c r="AA780" s="60"/>
    </row>
    <row r="781" spans="11:27">
      <c r="K781" s="51"/>
      <c r="Q781" s="51"/>
      <c r="R781" s="51"/>
      <c r="S781" s="51"/>
      <c r="W781" s="53"/>
      <c r="X781" s="53"/>
      <c r="Y781" s="58"/>
      <c r="Z781" s="58"/>
      <c r="AA781" s="60"/>
    </row>
    <row r="782" spans="11:27">
      <c r="K782" s="51"/>
      <c r="Q782" s="51"/>
      <c r="R782" s="51"/>
      <c r="S782" s="51"/>
      <c r="W782" s="53"/>
      <c r="X782" s="53"/>
      <c r="Y782" s="58"/>
      <c r="Z782" s="58"/>
      <c r="AA782" s="60"/>
    </row>
    <row r="783" spans="11:27">
      <c r="K783" s="51"/>
      <c r="Q783" s="51"/>
      <c r="R783" s="51"/>
      <c r="S783" s="51"/>
      <c r="W783" s="53"/>
      <c r="X783" s="53"/>
      <c r="Y783" s="58"/>
      <c r="Z783" s="58"/>
      <c r="AA783" s="60"/>
    </row>
    <row r="784" spans="11:27">
      <c r="K784" s="51"/>
      <c r="Q784" s="51"/>
      <c r="R784" s="51"/>
      <c r="S784" s="51"/>
      <c r="W784" s="53"/>
      <c r="X784" s="53"/>
      <c r="Y784" s="58"/>
      <c r="Z784" s="58"/>
      <c r="AA784" s="60"/>
    </row>
    <row r="785" spans="11:27">
      <c r="K785" s="51"/>
      <c r="Q785" s="51"/>
      <c r="R785" s="51"/>
      <c r="S785" s="51"/>
      <c r="W785" s="53"/>
      <c r="X785" s="53"/>
      <c r="Y785" s="58"/>
      <c r="Z785" s="58"/>
      <c r="AA785" s="60"/>
    </row>
    <row r="786" spans="11:27">
      <c r="K786" s="51"/>
      <c r="Q786" s="51"/>
      <c r="R786" s="51"/>
      <c r="S786" s="51"/>
      <c r="W786" s="53"/>
      <c r="X786" s="53"/>
      <c r="Y786" s="58"/>
      <c r="Z786" s="58"/>
      <c r="AA786" s="60"/>
    </row>
    <row r="787" spans="11:27">
      <c r="K787" s="51"/>
      <c r="Q787" s="51"/>
      <c r="R787" s="51"/>
      <c r="S787" s="51"/>
      <c r="W787" s="53"/>
      <c r="X787" s="53"/>
      <c r="Y787" s="58"/>
      <c r="Z787" s="58"/>
      <c r="AA787" s="60"/>
    </row>
    <row r="788" spans="11:27">
      <c r="K788" s="51"/>
      <c r="Q788" s="51"/>
      <c r="R788" s="51"/>
      <c r="S788" s="51"/>
      <c r="W788" s="53"/>
      <c r="X788" s="53"/>
      <c r="Y788" s="58"/>
      <c r="Z788" s="58"/>
      <c r="AA788" s="60"/>
    </row>
    <row r="789" spans="11:27">
      <c r="K789" s="51"/>
      <c r="Q789" s="51"/>
      <c r="R789" s="51"/>
      <c r="S789" s="51"/>
      <c r="W789" s="53"/>
      <c r="X789" s="53"/>
      <c r="Y789" s="58"/>
      <c r="Z789" s="58"/>
      <c r="AA789" s="60"/>
    </row>
    <row r="790" spans="11:27">
      <c r="K790" s="51"/>
      <c r="Q790" s="51"/>
      <c r="R790" s="51"/>
      <c r="S790" s="51"/>
      <c r="W790" s="53"/>
      <c r="X790" s="53"/>
      <c r="Y790" s="58"/>
      <c r="Z790" s="58"/>
      <c r="AA790" s="60"/>
    </row>
    <row r="791" spans="11:27">
      <c r="K791" s="51"/>
      <c r="Q791" s="51"/>
      <c r="R791" s="51"/>
      <c r="S791" s="51"/>
      <c r="W791" s="53"/>
      <c r="X791" s="53"/>
      <c r="Y791" s="58"/>
      <c r="Z791" s="58"/>
      <c r="AA791" s="60"/>
    </row>
    <row r="792" spans="11:27">
      <c r="K792" s="51"/>
      <c r="Q792" s="51"/>
      <c r="R792" s="51"/>
      <c r="S792" s="51"/>
      <c r="W792" s="53"/>
      <c r="X792" s="53"/>
      <c r="Y792" s="58"/>
      <c r="Z792" s="58"/>
      <c r="AA792" s="60"/>
    </row>
    <row r="793" spans="11:27">
      <c r="K793" s="51"/>
      <c r="Q793" s="51"/>
      <c r="R793" s="51"/>
      <c r="S793" s="51"/>
      <c r="W793" s="53"/>
      <c r="X793" s="53"/>
      <c r="Y793" s="58"/>
      <c r="Z793" s="58"/>
      <c r="AA793" s="60"/>
    </row>
    <row r="794" spans="11:27">
      <c r="K794" s="51"/>
      <c r="Q794" s="51"/>
      <c r="R794" s="51"/>
      <c r="S794" s="51"/>
      <c r="W794" s="53"/>
      <c r="X794" s="53"/>
      <c r="Y794" s="58"/>
      <c r="Z794" s="58"/>
      <c r="AA794" s="60"/>
    </row>
    <row r="795" spans="11:27">
      <c r="K795" s="51"/>
      <c r="Q795" s="51"/>
      <c r="R795" s="51"/>
      <c r="S795" s="51"/>
      <c r="W795" s="53"/>
      <c r="X795" s="53"/>
      <c r="Y795" s="58"/>
      <c r="Z795" s="58"/>
      <c r="AA795" s="60"/>
    </row>
    <row r="796" spans="11:27">
      <c r="K796" s="51"/>
      <c r="Q796" s="51"/>
      <c r="R796" s="51"/>
      <c r="S796" s="51"/>
      <c r="W796" s="53"/>
      <c r="X796" s="53"/>
      <c r="Y796" s="58"/>
      <c r="Z796" s="58"/>
      <c r="AA796" s="60"/>
    </row>
    <row r="797" spans="11:27">
      <c r="K797" s="51"/>
      <c r="Q797" s="51"/>
      <c r="R797" s="51"/>
      <c r="S797" s="51"/>
      <c r="W797" s="53"/>
      <c r="X797" s="53"/>
      <c r="Y797" s="58"/>
      <c r="Z797" s="58"/>
      <c r="AA797" s="60"/>
    </row>
    <row r="798" spans="11:27">
      <c r="K798" s="51"/>
      <c r="Q798" s="51"/>
      <c r="R798" s="51"/>
      <c r="S798" s="51"/>
      <c r="W798" s="53"/>
      <c r="X798" s="53"/>
      <c r="Y798" s="58"/>
      <c r="Z798" s="58"/>
      <c r="AA798" s="60"/>
    </row>
    <row r="799" spans="11:27">
      <c r="K799" s="51"/>
      <c r="Q799" s="51"/>
      <c r="R799" s="51"/>
      <c r="S799" s="51"/>
      <c r="W799" s="53"/>
      <c r="X799" s="53"/>
      <c r="Y799" s="58"/>
      <c r="Z799" s="58"/>
      <c r="AA799" s="60"/>
    </row>
    <row r="800" spans="11:27">
      <c r="K800" s="51"/>
      <c r="Q800" s="51"/>
      <c r="R800" s="51"/>
      <c r="S800" s="51"/>
      <c r="W800" s="53"/>
      <c r="X800" s="53"/>
      <c r="Y800" s="58"/>
      <c r="Z800" s="58"/>
      <c r="AA800" s="60"/>
    </row>
    <row r="801" spans="11:27">
      <c r="K801" s="51"/>
      <c r="Q801" s="51"/>
      <c r="R801" s="51"/>
      <c r="S801" s="51"/>
      <c r="W801" s="53"/>
      <c r="X801" s="53"/>
      <c r="Y801" s="58"/>
      <c r="Z801" s="58"/>
      <c r="AA801" s="60"/>
    </row>
    <row r="802" spans="11:27">
      <c r="K802" s="51"/>
      <c r="Q802" s="51"/>
      <c r="R802" s="51"/>
      <c r="S802" s="51"/>
      <c r="W802" s="53"/>
      <c r="X802" s="53"/>
      <c r="Y802" s="58"/>
      <c r="Z802" s="58"/>
      <c r="AA802" s="60"/>
    </row>
    <row r="803" spans="11:27">
      <c r="K803" s="51"/>
      <c r="Q803" s="51"/>
      <c r="R803" s="51"/>
      <c r="S803" s="51"/>
      <c r="W803" s="53"/>
      <c r="X803" s="53"/>
      <c r="Y803" s="58"/>
      <c r="Z803" s="58"/>
      <c r="AA803" s="60"/>
    </row>
    <row r="804" spans="11:27">
      <c r="K804" s="51"/>
      <c r="Q804" s="51"/>
      <c r="R804" s="51"/>
      <c r="S804" s="51"/>
      <c r="W804" s="53"/>
      <c r="X804" s="53"/>
      <c r="Y804" s="58"/>
      <c r="Z804" s="58"/>
      <c r="AA804" s="60"/>
    </row>
    <row r="805" spans="11:27">
      <c r="K805" s="51"/>
      <c r="Q805" s="51"/>
      <c r="R805" s="51"/>
      <c r="S805" s="51"/>
      <c r="W805" s="53"/>
      <c r="X805" s="53"/>
      <c r="Y805" s="58"/>
      <c r="Z805" s="58"/>
      <c r="AA805" s="60"/>
    </row>
    <row r="806" spans="11:27">
      <c r="K806" s="51"/>
      <c r="Q806" s="51"/>
      <c r="R806" s="51"/>
      <c r="S806" s="51"/>
      <c r="W806" s="53"/>
      <c r="X806" s="53"/>
      <c r="Y806" s="58"/>
      <c r="Z806" s="58"/>
      <c r="AA806" s="60"/>
    </row>
    <row r="807" spans="11:27">
      <c r="K807" s="51"/>
      <c r="Q807" s="51"/>
      <c r="R807" s="51"/>
      <c r="S807" s="51"/>
      <c r="W807" s="53"/>
      <c r="X807" s="53"/>
      <c r="Y807" s="58"/>
      <c r="Z807" s="58"/>
      <c r="AA807" s="60"/>
    </row>
    <row r="808" spans="11:27">
      <c r="K808" s="51"/>
      <c r="Q808" s="51"/>
      <c r="R808" s="51"/>
      <c r="S808" s="51"/>
      <c r="W808" s="53"/>
      <c r="X808" s="53"/>
      <c r="Y808" s="58"/>
      <c r="Z808" s="58"/>
      <c r="AA808" s="60"/>
    </row>
    <row r="809" spans="11:27">
      <c r="K809" s="51"/>
      <c r="Q809" s="51"/>
      <c r="R809" s="51"/>
      <c r="S809" s="51"/>
      <c r="W809" s="53"/>
      <c r="X809" s="53"/>
      <c r="Y809" s="58"/>
      <c r="Z809" s="58"/>
      <c r="AA809" s="60"/>
    </row>
    <row r="810" spans="11:27">
      <c r="K810" s="51"/>
      <c r="Q810" s="51"/>
      <c r="R810" s="51"/>
      <c r="S810" s="51"/>
      <c r="W810" s="53"/>
      <c r="X810" s="53"/>
      <c r="Y810" s="58"/>
      <c r="Z810" s="58"/>
      <c r="AA810" s="60"/>
    </row>
    <row r="811" spans="11:27">
      <c r="K811" s="51"/>
      <c r="Q811" s="51"/>
      <c r="R811" s="51"/>
      <c r="S811" s="51"/>
      <c r="W811" s="53"/>
      <c r="X811" s="53"/>
      <c r="Y811" s="58"/>
      <c r="Z811" s="58"/>
      <c r="AA811" s="60"/>
    </row>
    <row r="812" spans="11:27">
      <c r="K812" s="51"/>
      <c r="Q812" s="51"/>
      <c r="R812" s="51"/>
      <c r="S812" s="51"/>
      <c r="W812" s="53"/>
      <c r="X812" s="53"/>
      <c r="Y812" s="58"/>
      <c r="Z812" s="58"/>
      <c r="AA812" s="60"/>
    </row>
    <row r="813" spans="11:27">
      <c r="K813" s="51"/>
      <c r="Q813" s="51"/>
      <c r="R813" s="51"/>
      <c r="S813" s="51"/>
      <c r="W813" s="53"/>
      <c r="X813" s="53"/>
      <c r="Y813" s="58"/>
      <c r="Z813" s="58"/>
      <c r="AA813" s="60"/>
    </row>
    <row r="814" spans="11:27">
      <c r="K814" s="51"/>
      <c r="Q814" s="51"/>
      <c r="R814" s="51"/>
      <c r="S814" s="51"/>
      <c r="W814" s="53"/>
      <c r="X814" s="53"/>
      <c r="Y814" s="58"/>
      <c r="Z814" s="58"/>
      <c r="AA814" s="60"/>
    </row>
    <row r="815" spans="11:27">
      <c r="K815" s="51"/>
      <c r="Q815" s="51"/>
      <c r="R815" s="51"/>
      <c r="S815" s="51"/>
      <c r="W815" s="53"/>
      <c r="X815" s="53"/>
      <c r="Y815" s="58"/>
      <c r="Z815" s="58"/>
      <c r="AA815" s="60"/>
    </row>
    <row r="816" spans="11:27">
      <c r="K816" s="51"/>
      <c r="Q816" s="51"/>
      <c r="R816" s="51"/>
      <c r="S816" s="51"/>
      <c r="W816" s="53"/>
      <c r="X816" s="53"/>
      <c r="Y816" s="58"/>
      <c r="Z816" s="58"/>
      <c r="AA816" s="60"/>
    </row>
    <row r="817" spans="11:27">
      <c r="K817" s="51"/>
      <c r="Q817" s="51"/>
      <c r="R817" s="51"/>
      <c r="S817" s="51"/>
      <c r="W817" s="53"/>
      <c r="X817" s="53"/>
      <c r="Y817" s="58"/>
      <c r="Z817" s="58"/>
      <c r="AA817" s="60"/>
    </row>
    <row r="818" spans="11:27">
      <c r="K818" s="51"/>
      <c r="Q818" s="51"/>
      <c r="R818" s="51"/>
      <c r="S818" s="51"/>
      <c r="W818" s="53"/>
      <c r="X818" s="53"/>
      <c r="Y818" s="58"/>
      <c r="Z818" s="58"/>
      <c r="AA818" s="60"/>
    </row>
    <row r="819" spans="11:27">
      <c r="K819" s="51"/>
      <c r="Q819" s="51"/>
      <c r="R819" s="51"/>
      <c r="S819" s="51"/>
      <c r="W819" s="53"/>
      <c r="X819" s="53"/>
      <c r="Y819" s="58"/>
      <c r="Z819" s="58"/>
      <c r="AA819" s="60"/>
    </row>
    <row r="820" spans="11:27">
      <c r="K820" s="51"/>
      <c r="Q820" s="51"/>
      <c r="R820" s="51"/>
      <c r="S820" s="51"/>
      <c r="W820" s="53"/>
      <c r="X820" s="53"/>
      <c r="Y820" s="58"/>
      <c r="Z820" s="58"/>
      <c r="AA820" s="60"/>
    </row>
    <row r="821" spans="11:27">
      <c r="K821" s="51"/>
      <c r="Q821" s="51"/>
      <c r="R821" s="51"/>
      <c r="S821" s="51"/>
      <c r="W821" s="53"/>
      <c r="X821" s="53"/>
      <c r="Y821" s="58"/>
      <c r="Z821" s="58"/>
      <c r="AA821" s="60"/>
    </row>
    <row r="822" spans="11:27">
      <c r="K822" s="51"/>
      <c r="Q822" s="51"/>
      <c r="R822" s="51"/>
      <c r="S822" s="51"/>
      <c r="W822" s="53"/>
      <c r="X822" s="53"/>
      <c r="Y822" s="58"/>
      <c r="Z822" s="58"/>
      <c r="AA822" s="60"/>
    </row>
    <row r="823" spans="11:27">
      <c r="K823" s="51"/>
      <c r="Q823" s="51"/>
      <c r="R823" s="51"/>
      <c r="S823" s="51"/>
      <c r="W823" s="53"/>
      <c r="X823" s="53"/>
      <c r="Y823" s="58"/>
      <c r="Z823" s="58"/>
      <c r="AA823" s="60"/>
    </row>
    <row r="824" spans="11:27">
      <c r="K824" s="51"/>
      <c r="Q824" s="51"/>
      <c r="R824" s="51"/>
      <c r="S824" s="51"/>
      <c r="W824" s="53"/>
      <c r="X824" s="53"/>
      <c r="Y824" s="58"/>
      <c r="Z824" s="58"/>
      <c r="AA824" s="60"/>
    </row>
    <row r="825" spans="11:27">
      <c r="K825" s="51"/>
      <c r="Q825" s="51"/>
      <c r="R825" s="51"/>
      <c r="S825" s="51"/>
      <c r="W825" s="53"/>
      <c r="X825" s="53"/>
      <c r="Y825" s="58"/>
      <c r="Z825" s="58"/>
      <c r="AA825" s="60"/>
    </row>
    <row r="826" spans="11:27">
      <c r="K826" s="51"/>
      <c r="Q826" s="51"/>
      <c r="R826" s="51"/>
      <c r="S826" s="51"/>
      <c r="W826" s="53"/>
      <c r="X826" s="53"/>
      <c r="Y826" s="58"/>
      <c r="Z826" s="58"/>
      <c r="AA826" s="60"/>
    </row>
    <row r="827" spans="11:27">
      <c r="K827" s="51"/>
      <c r="Q827" s="51"/>
      <c r="R827" s="51"/>
      <c r="S827" s="51"/>
      <c r="W827" s="53"/>
      <c r="X827" s="53"/>
      <c r="Y827" s="58"/>
      <c r="Z827" s="58"/>
      <c r="AA827" s="60"/>
    </row>
    <row r="828" spans="11:27">
      <c r="K828" s="51"/>
      <c r="Q828" s="51"/>
      <c r="R828" s="51"/>
      <c r="S828" s="51"/>
      <c r="W828" s="53"/>
      <c r="X828" s="53"/>
      <c r="Y828" s="58"/>
      <c r="Z828" s="58"/>
      <c r="AA828" s="60"/>
    </row>
    <row r="829" spans="11:27">
      <c r="K829" s="51"/>
      <c r="Q829" s="51"/>
      <c r="R829" s="51"/>
      <c r="S829" s="51"/>
      <c r="W829" s="53"/>
      <c r="X829" s="53"/>
      <c r="Y829" s="58"/>
      <c r="Z829" s="58"/>
      <c r="AA829" s="60"/>
    </row>
    <row r="830" spans="11:27">
      <c r="K830" s="51"/>
      <c r="Q830" s="51"/>
      <c r="R830" s="51"/>
      <c r="S830" s="51"/>
      <c r="W830" s="53"/>
      <c r="X830" s="53"/>
      <c r="Y830" s="58"/>
      <c r="Z830" s="58"/>
      <c r="AA830" s="60"/>
    </row>
    <row r="831" spans="11:27">
      <c r="K831" s="51"/>
      <c r="Q831" s="51"/>
      <c r="R831" s="51"/>
      <c r="S831" s="51"/>
      <c r="W831" s="53"/>
      <c r="X831" s="53"/>
      <c r="Y831" s="58"/>
      <c r="Z831" s="58"/>
      <c r="AA831" s="60"/>
    </row>
    <row r="832" spans="11:27">
      <c r="K832" s="51"/>
      <c r="Q832" s="51"/>
      <c r="R832" s="51"/>
      <c r="S832" s="51"/>
      <c r="W832" s="53"/>
      <c r="X832" s="53"/>
      <c r="Y832" s="58"/>
      <c r="Z832" s="58"/>
      <c r="AA832" s="60"/>
    </row>
    <row r="833" spans="11:27">
      <c r="K833" s="51"/>
      <c r="Q833" s="51"/>
      <c r="R833" s="51"/>
      <c r="S833" s="51"/>
      <c r="W833" s="53"/>
      <c r="X833" s="53"/>
      <c r="Y833" s="58"/>
      <c r="Z833" s="58"/>
      <c r="AA833" s="60"/>
    </row>
    <row r="834" spans="11:27">
      <c r="K834" s="51"/>
      <c r="Q834" s="51"/>
      <c r="R834" s="51"/>
      <c r="S834" s="51"/>
      <c r="W834" s="53"/>
      <c r="X834" s="53"/>
      <c r="Y834" s="58"/>
      <c r="Z834" s="58"/>
      <c r="AA834" s="60"/>
    </row>
    <row r="835" spans="11:27">
      <c r="K835" s="51"/>
      <c r="Q835" s="51"/>
      <c r="R835" s="51"/>
      <c r="S835" s="51"/>
      <c r="W835" s="53"/>
      <c r="X835" s="53"/>
      <c r="Y835" s="58"/>
      <c r="Z835" s="58"/>
      <c r="AA835" s="60"/>
    </row>
    <row r="836" spans="11:27">
      <c r="K836" s="51"/>
      <c r="Q836" s="51"/>
      <c r="R836" s="51"/>
      <c r="S836" s="51"/>
      <c r="W836" s="53"/>
      <c r="X836" s="53"/>
      <c r="Y836" s="58"/>
      <c r="Z836" s="58"/>
      <c r="AA836" s="60"/>
    </row>
    <row r="837" spans="11:27">
      <c r="K837" s="51"/>
      <c r="Q837" s="51"/>
      <c r="R837" s="51"/>
      <c r="S837" s="51"/>
      <c r="W837" s="53"/>
      <c r="X837" s="53"/>
      <c r="Y837" s="58"/>
      <c r="Z837" s="58"/>
      <c r="AA837" s="60"/>
    </row>
    <row r="838" spans="11:27">
      <c r="K838" s="51"/>
      <c r="Q838" s="51"/>
      <c r="R838" s="51"/>
      <c r="S838" s="51"/>
      <c r="W838" s="53"/>
      <c r="X838" s="53"/>
      <c r="Y838" s="58"/>
      <c r="Z838" s="58"/>
      <c r="AA838" s="60"/>
    </row>
    <row r="839" spans="11:27">
      <c r="K839" s="51"/>
      <c r="Q839" s="51"/>
      <c r="R839" s="51"/>
      <c r="S839" s="51"/>
      <c r="W839" s="53"/>
      <c r="X839" s="53"/>
      <c r="Y839" s="58"/>
      <c r="Z839" s="58"/>
      <c r="AA839" s="60"/>
    </row>
    <row r="840" spans="11:27">
      <c r="K840" s="51"/>
      <c r="Q840" s="51"/>
      <c r="R840" s="51"/>
      <c r="S840" s="51"/>
      <c r="W840" s="53"/>
      <c r="X840" s="53"/>
      <c r="Y840" s="58"/>
      <c r="Z840" s="58"/>
      <c r="AA840" s="60"/>
    </row>
    <row r="841" spans="11:27">
      <c r="K841" s="51"/>
      <c r="Q841" s="51"/>
      <c r="R841" s="51"/>
      <c r="S841" s="51"/>
      <c r="W841" s="53"/>
      <c r="X841" s="53"/>
      <c r="Y841" s="58"/>
      <c r="Z841" s="58"/>
      <c r="AA841" s="60"/>
    </row>
    <row r="842" spans="11:27">
      <c r="K842" s="51"/>
      <c r="Q842" s="51"/>
      <c r="R842" s="51"/>
      <c r="S842" s="51"/>
      <c r="W842" s="53"/>
      <c r="X842" s="53"/>
      <c r="Y842" s="58"/>
      <c r="Z842" s="58"/>
      <c r="AA842" s="60"/>
    </row>
    <row r="843" spans="11:27">
      <c r="K843" s="51"/>
      <c r="Q843" s="51"/>
      <c r="R843" s="51"/>
      <c r="S843" s="51"/>
      <c r="W843" s="53"/>
      <c r="X843" s="53"/>
      <c r="Y843" s="58"/>
      <c r="Z843" s="58"/>
      <c r="AA843" s="60"/>
    </row>
    <row r="844" spans="11:27">
      <c r="K844" s="51"/>
      <c r="Q844" s="51"/>
      <c r="R844" s="51"/>
      <c r="S844" s="51"/>
      <c r="W844" s="53"/>
      <c r="X844" s="53"/>
      <c r="Y844" s="58"/>
      <c r="Z844" s="58"/>
      <c r="AA844" s="60"/>
    </row>
    <row r="845" spans="11:27">
      <c r="K845" s="51"/>
      <c r="Q845" s="51"/>
      <c r="R845" s="51"/>
      <c r="S845" s="51"/>
      <c r="W845" s="53"/>
      <c r="X845" s="53"/>
      <c r="Y845" s="58"/>
      <c r="Z845" s="58"/>
      <c r="AA845" s="60"/>
    </row>
    <row r="846" spans="11:27">
      <c r="K846" s="51"/>
      <c r="Q846" s="51"/>
      <c r="R846" s="51"/>
      <c r="S846" s="51"/>
      <c r="W846" s="53"/>
      <c r="X846" s="53"/>
      <c r="Y846" s="58"/>
      <c r="Z846" s="58"/>
      <c r="AA846" s="60"/>
    </row>
    <row r="847" spans="11:27">
      <c r="K847" s="51"/>
      <c r="Q847" s="51"/>
      <c r="R847" s="51"/>
      <c r="S847" s="51"/>
      <c r="W847" s="53"/>
      <c r="X847" s="53"/>
      <c r="Y847" s="58"/>
      <c r="Z847" s="58"/>
      <c r="AA847" s="60"/>
    </row>
    <row r="848" spans="11:27">
      <c r="K848" s="51"/>
      <c r="Q848" s="51"/>
      <c r="R848" s="51"/>
      <c r="S848" s="51"/>
      <c r="W848" s="53"/>
      <c r="X848" s="53"/>
      <c r="Y848" s="58"/>
      <c r="Z848" s="58"/>
      <c r="AA848" s="60"/>
    </row>
    <row r="849" spans="11:27">
      <c r="K849" s="51"/>
      <c r="Q849" s="51"/>
      <c r="R849" s="51"/>
      <c r="S849" s="51"/>
      <c r="W849" s="53"/>
      <c r="X849" s="53"/>
      <c r="Y849" s="58"/>
      <c r="Z849" s="58"/>
      <c r="AA849" s="60"/>
    </row>
    <row r="850" spans="11:27">
      <c r="K850" s="51"/>
      <c r="Q850" s="51"/>
      <c r="R850" s="51"/>
      <c r="S850" s="51"/>
      <c r="W850" s="53"/>
      <c r="X850" s="53"/>
      <c r="Y850" s="58"/>
      <c r="Z850" s="58"/>
      <c r="AA850" s="60"/>
    </row>
    <row r="851" spans="11:27">
      <c r="K851" s="51"/>
      <c r="Q851" s="51"/>
      <c r="R851" s="51"/>
      <c r="S851" s="51"/>
      <c r="W851" s="53"/>
      <c r="X851" s="53"/>
      <c r="Y851" s="58"/>
      <c r="Z851" s="58"/>
      <c r="AA851" s="60"/>
    </row>
    <row r="852" spans="11:27">
      <c r="K852" s="51"/>
      <c r="Q852" s="51"/>
      <c r="R852" s="51"/>
      <c r="S852" s="51"/>
      <c r="W852" s="53"/>
      <c r="X852" s="53"/>
      <c r="Y852" s="58"/>
      <c r="Z852" s="58"/>
      <c r="AA852" s="60"/>
    </row>
    <row r="853" spans="11:27">
      <c r="K853" s="51"/>
      <c r="Q853" s="51"/>
      <c r="R853" s="51"/>
      <c r="S853" s="51"/>
      <c r="W853" s="53"/>
      <c r="X853" s="53"/>
      <c r="Y853" s="58"/>
      <c r="Z853" s="58"/>
      <c r="AA853" s="60"/>
    </row>
    <row r="854" spans="11:27">
      <c r="K854" s="51"/>
      <c r="Q854" s="51"/>
      <c r="R854" s="51"/>
      <c r="S854" s="51"/>
      <c r="W854" s="53"/>
      <c r="X854" s="53"/>
      <c r="Y854" s="58"/>
      <c r="Z854" s="58"/>
      <c r="AA854" s="60"/>
    </row>
    <row r="855" spans="11:27">
      <c r="K855" s="51"/>
      <c r="Q855" s="51"/>
      <c r="R855" s="51"/>
      <c r="S855" s="51"/>
      <c r="W855" s="53"/>
      <c r="X855" s="53"/>
      <c r="Y855" s="58"/>
      <c r="Z855" s="58"/>
      <c r="AA855" s="60"/>
    </row>
    <row r="856" spans="11:27">
      <c r="K856" s="51"/>
      <c r="Q856" s="51"/>
      <c r="R856" s="51"/>
      <c r="S856" s="51"/>
      <c r="W856" s="53"/>
      <c r="X856" s="53"/>
      <c r="Y856" s="58"/>
      <c r="Z856" s="58"/>
      <c r="AA856" s="60"/>
    </row>
    <row r="857" spans="11:27">
      <c r="K857" s="51"/>
      <c r="Q857" s="51"/>
      <c r="R857" s="51"/>
      <c r="S857" s="51"/>
      <c r="W857" s="53"/>
      <c r="X857" s="53"/>
      <c r="Y857" s="58"/>
      <c r="Z857" s="58"/>
      <c r="AA857" s="60"/>
    </row>
    <row r="858" spans="11:27">
      <c r="K858" s="51"/>
      <c r="Q858" s="51"/>
      <c r="R858" s="51"/>
      <c r="S858" s="51"/>
      <c r="W858" s="53"/>
      <c r="X858" s="53"/>
      <c r="Y858" s="58"/>
      <c r="Z858" s="58"/>
      <c r="AA858" s="60"/>
    </row>
    <row r="859" spans="11:27">
      <c r="K859" s="51"/>
      <c r="Q859" s="51"/>
      <c r="R859" s="51"/>
      <c r="S859" s="51"/>
      <c r="W859" s="53"/>
      <c r="X859" s="53"/>
      <c r="Y859" s="58"/>
      <c r="Z859" s="58"/>
      <c r="AA859" s="60"/>
    </row>
    <row r="860" spans="11:27">
      <c r="K860" s="51"/>
      <c r="Q860" s="51"/>
      <c r="R860" s="51"/>
      <c r="S860" s="51"/>
      <c r="W860" s="53"/>
      <c r="X860" s="53"/>
      <c r="Y860" s="58"/>
      <c r="Z860" s="58"/>
      <c r="AA860" s="60"/>
    </row>
    <row r="861" spans="11:27">
      <c r="K861" s="51"/>
      <c r="Q861" s="51"/>
      <c r="R861" s="51"/>
      <c r="S861" s="51"/>
      <c r="W861" s="53"/>
      <c r="X861" s="53"/>
      <c r="Y861" s="58"/>
      <c r="Z861" s="58"/>
      <c r="AA861" s="60"/>
    </row>
    <row r="862" spans="11:27">
      <c r="K862" s="51"/>
      <c r="Q862" s="51"/>
      <c r="R862" s="51"/>
      <c r="S862" s="51"/>
      <c r="W862" s="53"/>
      <c r="X862" s="53"/>
      <c r="Y862" s="58"/>
      <c r="Z862" s="58"/>
      <c r="AA862" s="60"/>
    </row>
    <row r="863" spans="11:27">
      <c r="K863" s="51"/>
      <c r="Q863" s="51"/>
      <c r="R863" s="51"/>
      <c r="S863" s="51"/>
      <c r="W863" s="53"/>
      <c r="X863" s="53"/>
      <c r="Y863" s="58"/>
      <c r="Z863" s="58"/>
      <c r="AA863" s="60"/>
    </row>
    <row r="864" spans="11:27">
      <c r="K864" s="51"/>
      <c r="Q864" s="51"/>
      <c r="R864" s="51"/>
      <c r="S864" s="51"/>
      <c r="W864" s="53"/>
      <c r="X864" s="53"/>
      <c r="Y864" s="58"/>
      <c r="Z864" s="58"/>
      <c r="AA864" s="60"/>
    </row>
    <row r="865" spans="11:27">
      <c r="K865" s="51"/>
      <c r="Q865" s="51"/>
      <c r="R865" s="51"/>
      <c r="S865" s="51"/>
      <c r="W865" s="53"/>
      <c r="X865" s="53"/>
      <c r="Y865" s="58"/>
      <c r="Z865" s="58"/>
      <c r="AA865" s="60"/>
    </row>
    <row r="866" spans="11:27">
      <c r="K866" s="51"/>
      <c r="Q866" s="51"/>
      <c r="R866" s="51"/>
      <c r="S866" s="51"/>
      <c r="W866" s="53"/>
      <c r="X866" s="53"/>
      <c r="Y866" s="58"/>
      <c r="Z866" s="58"/>
      <c r="AA866" s="60"/>
    </row>
    <row r="867" spans="11:27">
      <c r="K867" s="51"/>
      <c r="Q867" s="51"/>
      <c r="R867" s="51"/>
      <c r="S867" s="51"/>
      <c r="W867" s="53"/>
      <c r="X867" s="53"/>
      <c r="Y867" s="58"/>
      <c r="Z867" s="58"/>
      <c r="AA867" s="60"/>
    </row>
    <row r="868" spans="11:27">
      <c r="K868" s="51"/>
      <c r="Q868" s="51"/>
      <c r="R868" s="51"/>
      <c r="S868" s="51"/>
      <c r="W868" s="53"/>
      <c r="X868" s="53"/>
      <c r="Y868" s="58"/>
      <c r="Z868" s="58"/>
      <c r="AA868" s="60"/>
    </row>
    <row r="869" spans="11:27">
      <c r="K869" s="51"/>
      <c r="Q869" s="51"/>
      <c r="R869" s="51"/>
      <c r="S869" s="51"/>
      <c r="W869" s="53"/>
      <c r="X869" s="53"/>
      <c r="Y869" s="58"/>
      <c r="Z869" s="58"/>
      <c r="AA869" s="60"/>
    </row>
    <row r="870" spans="11:27">
      <c r="K870" s="51"/>
      <c r="Q870" s="51"/>
      <c r="R870" s="51"/>
      <c r="S870" s="51"/>
      <c r="W870" s="53"/>
      <c r="X870" s="53"/>
      <c r="Y870" s="58"/>
      <c r="Z870" s="58"/>
      <c r="AA870" s="60"/>
    </row>
    <row r="871" spans="11:27">
      <c r="K871" s="51"/>
      <c r="Q871" s="51"/>
      <c r="R871" s="51"/>
      <c r="S871" s="51"/>
      <c r="W871" s="53"/>
      <c r="X871" s="53"/>
      <c r="Y871" s="58"/>
      <c r="Z871" s="58"/>
      <c r="AA871" s="60"/>
    </row>
    <row r="872" spans="11:27">
      <c r="K872" s="51"/>
      <c r="Q872" s="51"/>
      <c r="R872" s="51"/>
      <c r="S872" s="51"/>
      <c r="W872" s="53"/>
      <c r="X872" s="53"/>
      <c r="Y872" s="58"/>
      <c r="Z872" s="58"/>
      <c r="AA872" s="60"/>
    </row>
    <row r="873" spans="11:27">
      <c r="K873" s="51"/>
      <c r="Q873" s="51"/>
      <c r="R873" s="51"/>
      <c r="S873" s="51"/>
      <c r="W873" s="53"/>
      <c r="X873" s="53"/>
      <c r="Y873" s="58"/>
      <c r="Z873" s="58"/>
      <c r="AA873" s="60"/>
    </row>
    <row r="874" spans="11:27">
      <c r="K874" s="51"/>
      <c r="Q874" s="51"/>
      <c r="R874" s="51"/>
      <c r="S874" s="51"/>
      <c r="W874" s="53"/>
      <c r="X874" s="53"/>
      <c r="Y874" s="58"/>
      <c r="Z874" s="58"/>
      <c r="AA874" s="60"/>
    </row>
    <row r="875" spans="11:27">
      <c r="K875" s="51"/>
      <c r="Q875" s="51"/>
      <c r="R875" s="51"/>
      <c r="S875" s="51"/>
      <c r="W875" s="53"/>
      <c r="X875" s="53"/>
      <c r="Y875" s="58"/>
      <c r="Z875" s="58"/>
      <c r="AA875" s="60"/>
    </row>
    <row r="876" spans="11:27">
      <c r="K876" s="51"/>
      <c r="Q876" s="51"/>
      <c r="R876" s="51"/>
      <c r="S876" s="51"/>
      <c r="W876" s="53"/>
      <c r="X876" s="53"/>
      <c r="Y876" s="58"/>
      <c r="Z876" s="58"/>
      <c r="AA876" s="60"/>
    </row>
    <row r="877" spans="11:27">
      <c r="K877" s="51"/>
      <c r="Q877" s="51"/>
      <c r="R877" s="51"/>
      <c r="S877" s="51"/>
      <c r="W877" s="53"/>
      <c r="X877" s="53"/>
      <c r="Y877" s="58"/>
      <c r="Z877" s="58"/>
      <c r="AA877" s="60"/>
    </row>
    <row r="878" spans="11:27">
      <c r="K878" s="51"/>
      <c r="Q878" s="51"/>
      <c r="R878" s="51"/>
      <c r="S878" s="51"/>
      <c r="W878" s="53"/>
      <c r="X878" s="53"/>
      <c r="Y878" s="58"/>
      <c r="Z878" s="58"/>
      <c r="AA878" s="60"/>
    </row>
    <row r="879" spans="11:27">
      <c r="K879" s="51"/>
      <c r="Q879" s="51"/>
      <c r="R879" s="51"/>
      <c r="S879" s="51"/>
      <c r="W879" s="53"/>
      <c r="X879" s="53"/>
      <c r="Y879" s="58"/>
      <c r="Z879" s="58"/>
      <c r="AA879" s="60"/>
    </row>
    <row r="880" spans="11:27">
      <c r="K880" s="51"/>
      <c r="Q880" s="51"/>
      <c r="R880" s="51"/>
      <c r="S880" s="51"/>
      <c r="W880" s="53"/>
      <c r="X880" s="53"/>
      <c r="Y880" s="58"/>
      <c r="Z880" s="58"/>
      <c r="AA880" s="60"/>
    </row>
    <row r="881" spans="11:27">
      <c r="K881" s="51"/>
      <c r="Q881" s="51"/>
      <c r="R881" s="51"/>
      <c r="S881" s="51"/>
      <c r="W881" s="53"/>
      <c r="X881" s="53"/>
      <c r="Y881" s="58"/>
      <c r="Z881" s="58"/>
      <c r="AA881" s="60"/>
    </row>
    <row r="882" spans="11:27">
      <c r="K882" s="51"/>
      <c r="Q882" s="51"/>
      <c r="R882" s="51"/>
      <c r="S882" s="51"/>
      <c r="W882" s="53"/>
      <c r="X882" s="53"/>
      <c r="Y882" s="58"/>
      <c r="Z882" s="58"/>
      <c r="AA882" s="60"/>
    </row>
    <row r="883" spans="11:27">
      <c r="K883" s="51"/>
      <c r="Q883" s="51"/>
      <c r="R883" s="51"/>
      <c r="S883" s="51"/>
      <c r="W883" s="53"/>
      <c r="X883" s="53"/>
      <c r="Y883" s="58"/>
      <c r="Z883" s="58"/>
      <c r="AA883" s="60"/>
    </row>
    <row r="884" spans="11:27">
      <c r="K884" s="51"/>
      <c r="Q884" s="51"/>
      <c r="R884" s="51"/>
      <c r="S884" s="51"/>
      <c r="W884" s="53"/>
      <c r="X884" s="53"/>
      <c r="Y884" s="58"/>
      <c r="Z884" s="58"/>
      <c r="AA884" s="60"/>
    </row>
    <row r="885" spans="11:27">
      <c r="K885" s="51"/>
      <c r="Q885" s="51"/>
      <c r="R885" s="51"/>
      <c r="S885" s="51"/>
      <c r="W885" s="53"/>
      <c r="X885" s="53"/>
      <c r="Y885" s="58"/>
      <c r="Z885" s="58"/>
      <c r="AA885" s="60"/>
    </row>
    <row r="886" spans="11:27">
      <c r="K886" s="51"/>
      <c r="Q886" s="51"/>
      <c r="R886" s="51"/>
      <c r="S886" s="51"/>
      <c r="W886" s="53"/>
      <c r="X886" s="53"/>
      <c r="Y886" s="58"/>
      <c r="Z886" s="58"/>
      <c r="AA886" s="60"/>
    </row>
    <row r="887" spans="11:27">
      <c r="K887" s="51"/>
      <c r="Q887" s="51"/>
      <c r="R887" s="51"/>
      <c r="S887" s="51"/>
      <c r="W887" s="53"/>
      <c r="X887" s="53"/>
      <c r="Y887" s="58"/>
      <c r="Z887" s="58"/>
      <c r="AA887" s="60"/>
    </row>
    <row r="888" spans="11:27">
      <c r="K888" s="51"/>
      <c r="Q888" s="51"/>
      <c r="R888" s="51"/>
      <c r="S888" s="51"/>
      <c r="W888" s="53"/>
      <c r="X888" s="53"/>
      <c r="Y888" s="58"/>
      <c r="Z888" s="58"/>
      <c r="AA888" s="60"/>
    </row>
    <row r="889" spans="11:27">
      <c r="K889" s="51"/>
      <c r="Q889" s="51"/>
      <c r="R889" s="51"/>
      <c r="S889" s="51"/>
      <c r="W889" s="53"/>
      <c r="X889" s="53"/>
      <c r="Y889" s="58"/>
      <c r="Z889" s="58"/>
      <c r="AA889" s="60"/>
    </row>
    <row r="890" spans="11:27">
      <c r="K890" s="51"/>
      <c r="Q890" s="51"/>
      <c r="R890" s="51"/>
      <c r="S890" s="51"/>
      <c r="W890" s="53"/>
      <c r="X890" s="53"/>
      <c r="Y890" s="58"/>
      <c r="Z890" s="58"/>
      <c r="AA890" s="60"/>
    </row>
    <row r="891" spans="11:27">
      <c r="K891" s="51"/>
      <c r="Q891" s="51"/>
      <c r="R891" s="51"/>
      <c r="S891" s="51"/>
      <c r="W891" s="53"/>
      <c r="X891" s="53"/>
      <c r="Y891" s="58"/>
      <c r="Z891" s="58"/>
      <c r="AA891" s="60"/>
    </row>
    <row r="892" spans="11:27">
      <c r="K892" s="51"/>
      <c r="Q892" s="51"/>
      <c r="R892" s="51"/>
      <c r="S892" s="51"/>
      <c r="W892" s="53"/>
      <c r="X892" s="53"/>
      <c r="Y892" s="58"/>
      <c r="Z892" s="58"/>
      <c r="AA892" s="60"/>
    </row>
    <row r="893" spans="11:27">
      <c r="K893" s="51"/>
      <c r="Q893" s="51"/>
      <c r="R893" s="51"/>
      <c r="S893" s="51"/>
      <c r="W893" s="53"/>
      <c r="X893" s="53"/>
      <c r="Y893" s="58"/>
      <c r="Z893" s="58"/>
      <c r="AA893" s="60"/>
    </row>
    <row r="894" spans="11:27">
      <c r="K894" s="51"/>
      <c r="Q894" s="51"/>
      <c r="R894" s="51"/>
      <c r="S894" s="51"/>
      <c r="W894" s="53"/>
      <c r="X894" s="53"/>
      <c r="Y894" s="58"/>
      <c r="Z894" s="58"/>
      <c r="AA894" s="60"/>
    </row>
    <row r="895" spans="11:27">
      <c r="K895" s="51"/>
      <c r="Q895" s="51"/>
      <c r="R895" s="51"/>
      <c r="S895" s="51"/>
      <c r="W895" s="53"/>
      <c r="X895" s="53"/>
      <c r="Y895" s="58"/>
      <c r="Z895" s="58"/>
      <c r="AA895" s="60"/>
    </row>
    <row r="896" spans="11:27">
      <c r="K896" s="51"/>
      <c r="Q896" s="51"/>
      <c r="R896" s="51"/>
      <c r="S896" s="51"/>
      <c r="W896" s="53"/>
      <c r="X896" s="53"/>
      <c r="Y896" s="58"/>
      <c r="Z896" s="58"/>
      <c r="AA896" s="60"/>
    </row>
    <row r="897" spans="11:27">
      <c r="K897" s="51"/>
      <c r="Q897" s="51"/>
      <c r="R897" s="51"/>
      <c r="S897" s="51"/>
      <c r="W897" s="53"/>
      <c r="X897" s="53"/>
      <c r="Y897" s="58"/>
      <c r="Z897" s="58"/>
      <c r="AA897" s="60"/>
    </row>
    <row r="898" spans="11:27">
      <c r="K898" s="51"/>
      <c r="Q898" s="51"/>
      <c r="R898" s="51"/>
      <c r="S898" s="51"/>
      <c r="W898" s="53"/>
      <c r="X898" s="53"/>
      <c r="Y898" s="58"/>
      <c r="Z898" s="58"/>
      <c r="AA898" s="60"/>
    </row>
    <row r="899" spans="11:27">
      <c r="K899" s="51"/>
      <c r="Q899" s="51"/>
      <c r="R899" s="51"/>
      <c r="S899" s="51"/>
      <c r="W899" s="53"/>
      <c r="X899" s="53"/>
      <c r="Y899" s="58"/>
      <c r="Z899" s="58"/>
      <c r="AA899" s="60"/>
    </row>
    <row r="900" spans="11:27">
      <c r="K900" s="51"/>
      <c r="Q900" s="51"/>
      <c r="R900" s="51"/>
      <c r="S900" s="51"/>
      <c r="W900" s="53"/>
      <c r="X900" s="53"/>
      <c r="Y900" s="58"/>
      <c r="Z900" s="58"/>
      <c r="AA900" s="60"/>
    </row>
    <row r="901" spans="11:27">
      <c r="K901" s="51"/>
      <c r="Q901" s="51"/>
      <c r="R901" s="51"/>
      <c r="S901" s="51"/>
      <c r="W901" s="53"/>
      <c r="X901" s="53"/>
      <c r="Y901" s="58"/>
      <c r="Z901" s="58"/>
      <c r="AA901" s="60"/>
    </row>
    <row r="902" spans="11:27">
      <c r="K902" s="51"/>
      <c r="Q902" s="51"/>
      <c r="R902" s="51"/>
      <c r="S902" s="51"/>
      <c r="W902" s="53"/>
      <c r="X902" s="53"/>
      <c r="Y902" s="58"/>
      <c r="Z902" s="58"/>
      <c r="AA902" s="60"/>
    </row>
    <row r="903" spans="11:27">
      <c r="K903" s="51"/>
      <c r="Q903" s="51"/>
      <c r="R903" s="51"/>
      <c r="S903" s="51"/>
      <c r="W903" s="53"/>
      <c r="X903" s="53"/>
      <c r="Y903" s="58"/>
      <c r="Z903" s="58"/>
      <c r="AA903" s="60"/>
    </row>
    <row r="904" spans="11:27">
      <c r="K904" s="51"/>
      <c r="Q904" s="51"/>
      <c r="R904" s="51"/>
      <c r="S904" s="51"/>
      <c r="W904" s="53"/>
      <c r="X904" s="53"/>
      <c r="Y904" s="58"/>
      <c r="Z904" s="58"/>
      <c r="AA904" s="60"/>
    </row>
    <row r="905" spans="11:27">
      <c r="K905" s="51"/>
      <c r="Q905" s="51"/>
      <c r="R905" s="51"/>
      <c r="S905" s="51"/>
      <c r="W905" s="53"/>
      <c r="X905" s="53"/>
      <c r="Y905" s="58"/>
      <c r="Z905" s="58"/>
      <c r="AA905" s="60"/>
    </row>
    <row r="906" spans="11:27">
      <c r="K906" s="51"/>
      <c r="Q906" s="51"/>
      <c r="R906" s="51"/>
      <c r="S906" s="51"/>
      <c r="W906" s="53"/>
      <c r="X906" s="53"/>
      <c r="Y906" s="58"/>
      <c r="Z906" s="58"/>
      <c r="AA906" s="60"/>
    </row>
    <row r="907" spans="11:27">
      <c r="K907" s="51"/>
      <c r="Q907" s="51"/>
      <c r="R907" s="51"/>
      <c r="S907" s="51"/>
      <c r="W907" s="53"/>
      <c r="X907" s="53"/>
      <c r="Y907" s="58"/>
      <c r="Z907" s="58"/>
      <c r="AA907" s="60"/>
    </row>
    <row r="908" spans="11:27">
      <c r="K908" s="51"/>
      <c r="Q908" s="51"/>
      <c r="R908" s="51"/>
      <c r="S908" s="51"/>
      <c r="W908" s="53"/>
      <c r="X908" s="53"/>
      <c r="Y908" s="58"/>
      <c r="Z908" s="58"/>
      <c r="AA908" s="60"/>
    </row>
    <row r="909" spans="11:27">
      <c r="K909" s="51"/>
      <c r="Q909" s="51"/>
      <c r="R909" s="51"/>
      <c r="S909" s="51"/>
      <c r="W909" s="53"/>
      <c r="X909" s="53"/>
      <c r="Y909" s="58"/>
      <c r="Z909" s="58"/>
      <c r="AA909" s="60"/>
    </row>
    <row r="910" spans="11:27">
      <c r="K910" s="51"/>
      <c r="Q910" s="51"/>
      <c r="R910" s="51"/>
      <c r="S910" s="51"/>
      <c r="W910" s="53"/>
      <c r="X910" s="53"/>
      <c r="Y910" s="58"/>
      <c r="Z910" s="58"/>
      <c r="AA910" s="60"/>
    </row>
    <row r="911" spans="11:27">
      <c r="K911" s="51"/>
      <c r="Q911" s="51"/>
      <c r="R911" s="51"/>
      <c r="S911" s="51"/>
      <c r="W911" s="53"/>
      <c r="X911" s="53"/>
      <c r="Y911" s="58"/>
      <c r="Z911" s="58"/>
      <c r="AA911" s="60"/>
    </row>
    <row r="912" spans="11:27">
      <c r="K912" s="51"/>
      <c r="Q912" s="51"/>
      <c r="R912" s="51"/>
      <c r="S912" s="51"/>
      <c r="W912" s="53"/>
      <c r="X912" s="53"/>
      <c r="Y912" s="58"/>
      <c r="Z912" s="58"/>
      <c r="AA912" s="60"/>
    </row>
    <row r="913" spans="11:27">
      <c r="K913" s="51"/>
      <c r="Q913" s="51"/>
      <c r="R913" s="51"/>
      <c r="S913" s="51"/>
      <c r="W913" s="53"/>
      <c r="X913" s="53"/>
      <c r="Y913" s="58"/>
      <c r="Z913" s="58"/>
      <c r="AA913" s="60"/>
    </row>
    <row r="914" spans="11:27">
      <c r="K914" s="51"/>
      <c r="Q914" s="51"/>
      <c r="R914" s="51"/>
      <c r="S914" s="51"/>
      <c r="W914" s="53"/>
      <c r="X914" s="53"/>
      <c r="Y914" s="58"/>
      <c r="Z914" s="58"/>
      <c r="AA914" s="60"/>
    </row>
    <row r="915" spans="11:27">
      <c r="K915" s="51"/>
      <c r="Q915" s="51"/>
      <c r="R915" s="51"/>
      <c r="S915" s="51"/>
      <c r="W915" s="53"/>
      <c r="X915" s="53"/>
      <c r="Y915" s="58"/>
      <c r="Z915" s="58"/>
      <c r="AA915" s="60"/>
    </row>
    <row r="916" spans="11:27">
      <c r="K916" s="51"/>
      <c r="Q916" s="51"/>
      <c r="R916" s="51"/>
      <c r="S916" s="51"/>
      <c r="W916" s="53"/>
      <c r="X916" s="53"/>
      <c r="Y916" s="58"/>
      <c r="Z916" s="58"/>
      <c r="AA916" s="60"/>
    </row>
    <row r="917" spans="11:27">
      <c r="K917" s="51"/>
      <c r="Q917" s="51"/>
      <c r="R917" s="51"/>
      <c r="S917" s="51"/>
      <c r="W917" s="53"/>
      <c r="X917" s="53"/>
      <c r="Y917" s="58"/>
      <c r="Z917" s="58"/>
      <c r="AA917" s="60"/>
    </row>
    <row r="918" spans="11:27">
      <c r="K918" s="51"/>
      <c r="Q918" s="51"/>
      <c r="R918" s="51"/>
      <c r="S918" s="51"/>
      <c r="W918" s="53"/>
      <c r="X918" s="53"/>
      <c r="Y918" s="58"/>
      <c r="Z918" s="58"/>
      <c r="AA918" s="60"/>
    </row>
    <row r="919" spans="11:27">
      <c r="K919" s="51"/>
      <c r="Q919" s="51"/>
      <c r="R919" s="51"/>
      <c r="S919" s="51"/>
      <c r="W919" s="53"/>
      <c r="X919" s="53"/>
      <c r="Y919" s="58"/>
      <c r="Z919" s="58"/>
      <c r="AA919" s="60"/>
    </row>
    <row r="920" spans="11:27">
      <c r="K920" s="51"/>
      <c r="Q920" s="51"/>
      <c r="R920" s="51"/>
      <c r="S920" s="51"/>
      <c r="W920" s="53"/>
      <c r="X920" s="53"/>
      <c r="Y920" s="58"/>
      <c r="Z920" s="58"/>
      <c r="AA920" s="60"/>
    </row>
    <row r="921" spans="11:27">
      <c r="K921" s="51"/>
      <c r="Q921" s="51"/>
      <c r="R921" s="51"/>
      <c r="S921" s="51"/>
      <c r="W921" s="53"/>
      <c r="X921" s="53"/>
      <c r="Y921" s="58"/>
      <c r="Z921" s="58"/>
      <c r="AA921" s="60"/>
    </row>
    <row r="922" spans="11:27">
      <c r="K922" s="51"/>
      <c r="Q922" s="51"/>
      <c r="R922" s="51"/>
      <c r="S922" s="51"/>
      <c r="W922" s="53"/>
      <c r="X922" s="53"/>
      <c r="Y922" s="58"/>
      <c r="Z922" s="58"/>
      <c r="AA922" s="60"/>
    </row>
    <row r="923" spans="11:27">
      <c r="K923" s="51"/>
      <c r="Q923" s="51"/>
      <c r="R923" s="51"/>
      <c r="S923" s="51"/>
      <c r="W923" s="53"/>
      <c r="X923" s="53"/>
      <c r="Y923" s="58"/>
      <c r="Z923" s="58"/>
      <c r="AA923" s="60"/>
    </row>
    <row r="924" spans="11:27">
      <c r="K924" s="51"/>
      <c r="Q924" s="51"/>
      <c r="R924" s="51"/>
      <c r="S924" s="51"/>
      <c r="W924" s="53"/>
      <c r="X924" s="53"/>
      <c r="Y924" s="58"/>
      <c r="Z924" s="58"/>
      <c r="AA924" s="60"/>
    </row>
    <row r="925" spans="11:27">
      <c r="K925" s="51"/>
      <c r="Q925" s="51"/>
      <c r="R925" s="51"/>
      <c r="S925" s="51"/>
      <c r="W925" s="53"/>
      <c r="X925" s="53"/>
      <c r="Y925" s="58"/>
      <c r="Z925" s="58"/>
      <c r="AA925" s="60"/>
    </row>
    <row r="926" spans="11:27">
      <c r="K926" s="51"/>
      <c r="Q926" s="51"/>
      <c r="R926" s="51"/>
      <c r="S926" s="51"/>
      <c r="W926" s="53"/>
      <c r="X926" s="53"/>
      <c r="Y926" s="58"/>
      <c r="Z926" s="58"/>
      <c r="AA926" s="60"/>
    </row>
    <row r="927" spans="11:27">
      <c r="K927" s="51"/>
      <c r="Q927" s="51"/>
      <c r="R927" s="51"/>
      <c r="S927" s="51"/>
      <c r="W927" s="53"/>
      <c r="X927" s="53"/>
      <c r="Y927" s="58"/>
      <c r="Z927" s="58"/>
      <c r="AA927" s="60"/>
    </row>
    <row r="928" spans="11:27">
      <c r="K928" s="51"/>
      <c r="Q928" s="51"/>
      <c r="R928" s="51"/>
      <c r="S928" s="51"/>
      <c r="W928" s="53"/>
      <c r="X928" s="53"/>
      <c r="Y928" s="58"/>
      <c r="Z928" s="58"/>
      <c r="AA928" s="60"/>
    </row>
    <row r="929" spans="11:27">
      <c r="K929" s="51"/>
      <c r="Q929" s="51"/>
      <c r="R929" s="51"/>
      <c r="S929" s="51"/>
      <c r="W929" s="53"/>
      <c r="X929" s="53"/>
      <c r="Y929" s="58"/>
      <c r="Z929" s="58"/>
      <c r="AA929" s="60"/>
    </row>
    <row r="930" spans="11:27">
      <c r="K930" s="51"/>
      <c r="Q930" s="51"/>
      <c r="R930" s="51"/>
      <c r="S930" s="51"/>
      <c r="W930" s="53"/>
      <c r="X930" s="53"/>
      <c r="Y930" s="58"/>
      <c r="Z930" s="58"/>
      <c r="AA930" s="60"/>
    </row>
    <row r="931" spans="11:27">
      <c r="K931" s="51"/>
      <c r="Q931" s="51"/>
      <c r="R931" s="51"/>
      <c r="S931" s="51"/>
      <c r="W931" s="53"/>
      <c r="X931" s="53"/>
      <c r="Y931" s="58"/>
      <c r="Z931" s="58"/>
      <c r="AA931" s="60"/>
    </row>
    <row r="932" spans="11:27">
      <c r="K932" s="51"/>
      <c r="Q932" s="51"/>
      <c r="R932" s="51"/>
      <c r="S932" s="51"/>
      <c r="W932" s="53"/>
      <c r="X932" s="53"/>
      <c r="Y932" s="58"/>
      <c r="Z932" s="58"/>
      <c r="AA932" s="60"/>
    </row>
    <row r="933" spans="11:27">
      <c r="K933" s="51"/>
      <c r="Q933" s="51"/>
      <c r="R933" s="51"/>
      <c r="S933" s="51"/>
      <c r="W933" s="53"/>
      <c r="X933" s="53"/>
      <c r="Y933" s="58"/>
      <c r="Z933" s="58"/>
      <c r="AA933" s="60"/>
    </row>
    <row r="934" spans="11:27">
      <c r="K934" s="51"/>
      <c r="Q934" s="51"/>
      <c r="R934" s="51"/>
      <c r="S934" s="51"/>
      <c r="W934" s="53"/>
      <c r="X934" s="53"/>
      <c r="Y934" s="58"/>
      <c r="Z934" s="58"/>
      <c r="AA934" s="60"/>
    </row>
    <row r="935" spans="11:27">
      <c r="K935" s="51"/>
      <c r="Q935" s="51"/>
      <c r="R935" s="51"/>
      <c r="S935" s="51"/>
      <c r="W935" s="53"/>
      <c r="X935" s="53"/>
      <c r="Y935" s="58"/>
      <c r="Z935" s="58"/>
      <c r="AA935" s="60"/>
    </row>
    <row r="936" spans="11:27">
      <c r="K936" s="51"/>
      <c r="Q936" s="51"/>
      <c r="R936" s="51"/>
      <c r="S936" s="51"/>
      <c r="W936" s="53"/>
      <c r="X936" s="53"/>
      <c r="Y936" s="58"/>
      <c r="Z936" s="58"/>
      <c r="AA936" s="60"/>
    </row>
    <row r="937" spans="11:27">
      <c r="K937" s="51"/>
      <c r="Q937" s="51"/>
      <c r="R937" s="51"/>
      <c r="S937" s="51"/>
      <c r="W937" s="53"/>
      <c r="X937" s="53"/>
      <c r="Y937" s="58"/>
      <c r="Z937" s="58"/>
      <c r="AA937" s="60"/>
    </row>
    <row r="938" spans="11:27">
      <c r="K938" s="51"/>
      <c r="Q938" s="51"/>
      <c r="R938" s="51"/>
      <c r="S938" s="51"/>
      <c r="W938" s="53"/>
      <c r="X938" s="53"/>
      <c r="Y938" s="58"/>
      <c r="Z938" s="58"/>
      <c r="AA938" s="60"/>
    </row>
    <row r="939" spans="11:27">
      <c r="K939" s="51"/>
      <c r="Q939" s="51"/>
      <c r="R939" s="51"/>
      <c r="S939" s="51"/>
      <c r="W939" s="53"/>
      <c r="X939" s="53"/>
      <c r="Y939" s="58"/>
      <c r="Z939" s="58"/>
      <c r="AA939" s="60"/>
    </row>
    <row r="940" spans="11:27">
      <c r="K940" s="51"/>
      <c r="Q940" s="51"/>
      <c r="R940" s="51"/>
      <c r="S940" s="51"/>
      <c r="W940" s="53"/>
      <c r="X940" s="53"/>
      <c r="Y940" s="58"/>
      <c r="Z940" s="58"/>
      <c r="AA940" s="60"/>
    </row>
    <row r="941" spans="11:27">
      <c r="K941" s="51"/>
      <c r="Q941" s="51"/>
      <c r="R941" s="51"/>
      <c r="S941" s="51"/>
      <c r="W941" s="53"/>
      <c r="X941" s="53"/>
      <c r="Y941" s="58"/>
      <c r="Z941" s="58"/>
      <c r="AA941" s="60"/>
    </row>
    <row r="942" spans="11:27">
      <c r="K942" s="51"/>
      <c r="Q942" s="51"/>
      <c r="R942" s="51"/>
      <c r="S942" s="51"/>
      <c r="W942" s="53"/>
      <c r="X942" s="53"/>
      <c r="Y942" s="58"/>
      <c r="Z942" s="58"/>
      <c r="AA942" s="60"/>
    </row>
    <row r="943" spans="11:27">
      <c r="K943" s="51"/>
      <c r="Q943" s="51"/>
      <c r="R943" s="51"/>
      <c r="S943" s="51"/>
      <c r="W943" s="53"/>
      <c r="X943" s="53"/>
      <c r="Y943" s="58"/>
      <c r="Z943" s="58"/>
      <c r="AA943" s="60"/>
    </row>
    <row r="944" spans="11:27">
      <c r="K944" s="51"/>
      <c r="Q944" s="51"/>
      <c r="R944" s="51"/>
      <c r="S944" s="51"/>
      <c r="W944" s="53"/>
      <c r="X944" s="53"/>
      <c r="Y944" s="58"/>
      <c r="Z944" s="58"/>
      <c r="AA944" s="60"/>
    </row>
    <row r="945" spans="11:27">
      <c r="K945" s="51"/>
      <c r="Q945" s="51"/>
      <c r="R945" s="51"/>
      <c r="S945" s="51"/>
      <c r="W945" s="53"/>
      <c r="X945" s="53"/>
      <c r="Y945" s="58"/>
      <c r="Z945" s="58"/>
      <c r="AA945" s="60"/>
    </row>
    <row r="946" spans="11:27">
      <c r="K946" s="51"/>
      <c r="Q946" s="51"/>
      <c r="R946" s="51"/>
      <c r="S946" s="51"/>
      <c r="W946" s="53"/>
      <c r="X946" s="53"/>
      <c r="Y946" s="58"/>
      <c r="Z946" s="58"/>
      <c r="AA946" s="60"/>
    </row>
    <row r="947" spans="11:27">
      <c r="K947" s="51"/>
      <c r="Q947" s="51"/>
      <c r="R947" s="51"/>
      <c r="S947" s="51"/>
      <c r="W947" s="53"/>
      <c r="X947" s="53"/>
      <c r="Y947" s="58"/>
      <c r="Z947" s="58"/>
      <c r="AA947" s="60"/>
    </row>
    <row r="948" spans="11:27">
      <c r="K948" s="51"/>
      <c r="Q948" s="51"/>
      <c r="R948" s="51"/>
      <c r="S948" s="51"/>
      <c r="W948" s="53"/>
      <c r="X948" s="53"/>
      <c r="Y948" s="58"/>
      <c r="Z948" s="58"/>
      <c r="AA948" s="60"/>
    </row>
    <row r="949" spans="11:27">
      <c r="K949" s="51"/>
      <c r="Q949" s="51"/>
      <c r="R949" s="51"/>
      <c r="S949" s="51"/>
      <c r="W949" s="53"/>
      <c r="X949" s="53"/>
      <c r="Y949" s="58"/>
      <c r="Z949" s="58"/>
      <c r="AA949" s="60"/>
    </row>
    <row r="950" spans="11:27">
      <c r="K950" s="51"/>
      <c r="Q950" s="51"/>
      <c r="R950" s="51"/>
      <c r="S950" s="51"/>
      <c r="W950" s="53"/>
      <c r="X950" s="53"/>
      <c r="Y950" s="58"/>
      <c r="Z950" s="58"/>
      <c r="AA950" s="60"/>
    </row>
    <row r="951" spans="11:27">
      <c r="K951" s="51"/>
      <c r="Q951" s="51"/>
      <c r="R951" s="51"/>
      <c r="S951" s="51"/>
      <c r="W951" s="53"/>
      <c r="X951" s="53"/>
      <c r="Y951" s="58"/>
      <c r="Z951" s="58"/>
      <c r="AA951" s="60"/>
    </row>
    <row r="952" spans="11:27">
      <c r="K952" s="51"/>
      <c r="Q952" s="51"/>
      <c r="R952" s="51"/>
      <c r="S952" s="51"/>
      <c r="W952" s="53"/>
      <c r="X952" s="53"/>
      <c r="Y952" s="58"/>
      <c r="Z952" s="58"/>
      <c r="AA952" s="60"/>
    </row>
    <row r="953" spans="11:27">
      <c r="K953" s="51"/>
      <c r="Q953" s="51"/>
      <c r="R953" s="51"/>
      <c r="S953" s="51"/>
      <c r="W953" s="53"/>
      <c r="X953" s="53"/>
      <c r="Y953" s="58"/>
      <c r="Z953" s="58"/>
      <c r="AA953" s="60"/>
    </row>
    <row r="954" spans="11:27">
      <c r="K954" s="51"/>
      <c r="Q954" s="51"/>
      <c r="R954" s="51"/>
      <c r="S954" s="51"/>
      <c r="W954" s="53"/>
      <c r="X954" s="53"/>
      <c r="Y954" s="58"/>
      <c r="Z954" s="58"/>
      <c r="AA954" s="60"/>
    </row>
    <row r="955" spans="11:27">
      <c r="K955" s="51"/>
      <c r="Q955" s="51"/>
      <c r="R955" s="51"/>
      <c r="S955" s="51"/>
      <c r="W955" s="53"/>
      <c r="X955" s="53"/>
      <c r="Y955" s="58"/>
      <c r="Z955" s="58"/>
      <c r="AA955" s="60"/>
    </row>
    <row r="956" spans="11:27">
      <c r="K956" s="51"/>
      <c r="Q956" s="51"/>
      <c r="R956" s="51"/>
      <c r="S956" s="51"/>
      <c r="W956" s="53"/>
      <c r="X956" s="53"/>
      <c r="Y956" s="58"/>
      <c r="Z956" s="58"/>
      <c r="AA956" s="60"/>
    </row>
    <row r="957" spans="11:27">
      <c r="K957" s="51"/>
      <c r="Q957" s="51"/>
      <c r="R957" s="51"/>
      <c r="S957" s="51"/>
      <c r="W957" s="53"/>
      <c r="X957" s="53"/>
      <c r="Y957" s="58"/>
      <c r="Z957" s="58"/>
      <c r="AA957" s="60"/>
    </row>
    <row r="958" spans="11:27">
      <c r="K958" s="51"/>
      <c r="Q958" s="51"/>
      <c r="R958" s="51"/>
      <c r="S958" s="51"/>
      <c r="W958" s="53"/>
      <c r="X958" s="53"/>
      <c r="Y958" s="58"/>
      <c r="Z958" s="58"/>
      <c r="AA958" s="60"/>
    </row>
    <row r="959" spans="11:27">
      <c r="K959" s="51"/>
      <c r="Q959" s="51"/>
      <c r="R959" s="51"/>
      <c r="S959" s="51"/>
      <c r="W959" s="53"/>
      <c r="X959" s="53"/>
      <c r="Y959" s="58"/>
      <c r="Z959" s="58"/>
      <c r="AA959" s="60"/>
    </row>
    <row r="960" spans="11:27">
      <c r="K960" s="51"/>
      <c r="Q960" s="51"/>
      <c r="R960" s="51"/>
      <c r="S960" s="51"/>
      <c r="W960" s="53"/>
      <c r="X960" s="53"/>
      <c r="Y960" s="58"/>
      <c r="Z960" s="58"/>
      <c r="AA960" s="60"/>
    </row>
    <row r="961" spans="11:27">
      <c r="K961" s="51"/>
      <c r="Q961" s="51"/>
      <c r="R961" s="51"/>
      <c r="S961" s="51"/>
      <c r="W961" s="53"/>
      <c r="X961" s="53"/>
      <c r="Y961" s="58"/>
      <c r="Z961" s="58"/>
      <c r="AA961" s="60"/>
    </row>
    <row r="962" spans="11:27">
      <c r="K962" s="51"/>
      <c r="Q962" s="51"/>
      <c r="R962" s="51"/>
      <c r="S962" s="51"/>
      <c r="W962" s="53"/>
      <c r="X962" s="53"/>
      <c r="Y962" s="58"/>
      <c r="Z962" s="58"/>
      <c r="AA962" s="60"/>
    </row>
    <row r="963" spans="11:27">
      <c r="K963" s="51"/>
      <c r="Q963" s="51"/>
      <c r="R963" s="51"/>
      <c r="S963" s="51"/>
      <c r="W963" s="53"/>
      <c r="X963" s="53"/>
      <c r="Y963" s="58"/>
      <c r="Z963" s="58"/>
      <c r="AA963" s="60"/>
    </row>
    <row r="964" spans="11:27">
      <c r="K964" s="51"/>
      <c r="Q964" s="51"/>
      <c r="R964" s="51"/>
      <c r="S964" s="51"/>
      <c r="W964" s="53"/>
      <c r="X964" s="53"/>
      <c r="Y964" s="58"/>
      <c r="Z964" s="58"/>
      <c r="AA964" s="60"/>
    </row>
    <row r="965" spans="11:27">
      <c r="K965" s="51"/>
      <c r="Q965" s="51"/>
      <c r="R965" s="51"/>
      <c r="S965" s="51"/>
      <c r="W965" s="53"/>
      <c r="X965" s="53"/>
      <c r="Y965" s="58"/>
      <c r="Z965" s="58"/>
      <c r="AA965" s="60"/>
    </row>
    <row r="966" spans="11:27">
      <c r="K966" s="51"/>
      <c r="Q966" s="51"/>
      <c r="R966" s="51"/>
      <c r="S966" s="51"/>
      <c r="W966" s="53"/>
      <c r="X966" s="53"/>
      <c r="Y966" s="58"/>
      <c r="Z966" s="58"/>
      <c r="AA966" s="60"/>
    </row>
    <row r="967" spans="11:27">
      <c r="K967" s="51"/>
      <c r="Q967" s="51"/>
      <c r="R967" s="51"/>
      <c r="S967" s="51"/>
      <c r="W967" s="53"/>
      <c r="X967" s="53"/>
      <c r="Y967" s="58"/>
      <c r="Z967" s="58"/>
      <c r="AA967" s="60"/>
    </row>
    <row r="968" spans="11:27">
      <c r="K968" s="51"/>
      <c r="Q968" s="51"/>
      <c r="R968" s="51"/>
      <c r="S968" s="51"/>
      <c r="W968" s="53"/>
      <c r="X968" s="53"/>
      <c r="Y968" s="58"/>
      <c r="Z968" s="58"/>
      <c r="AA968" s="60"/>
    </row>
    <row r="969" spans="11:27">
      <c r="K969" s="51"/>
      <c r="Q969" s="51"/>
      <c r="R969" s="51"/>
      <c r="S969" s="51"/>
      <c r="W969" s="53"/>
      <c r="X969" s="53"/>
      <c r="Y969" s="58"/>
      <c r="Z969" s="58"/>
      <c r="AA969" s="60"/>
    </row>
    <row r="970" spans="11:27">
      <c r="K970" s="51"/>
      <c r="Q970" s="51"/>
      <c r="R970" s="51"/>
      <c r="S970" s="51"/>
      <c r="W970" s="53"/>
      <c r="X970" s="53"/>
      <c r="Y970" s="58"/>
      <c r="Z970" s="58"/>
      <c r="AA970" s="60"/>
    </row>
    <row r="971" spans="11:27">
      <c r="K971" s="51"/>
      <c r="Q971" s="51"/>
      <c r="R971" s="51"/>
      <c r="S971" s="51"/>
      <c r="W971" s="53"/>
      <c r="X971" s="53"/>
      <c r="Y971" s="58"/>
      <c r="Z971" s="58"/>
      <c r="AA971" s="60"/>
    </row>
    <row r="972" spans="11:27">
      <c r="K972" s="51"/>
      <c r="Q972" s="51"/>
      <c r="R972" s="51"/>
      <c r="S972" s="51"/>
      <c r="W972" s="53"/>
      <c r="X972" s="53"/>
      <c r="Y972" s="58"/>
      <c r="Z972" s="58"/>
      <c r="AA972" s="60"/>
    </row>
    <row r="973" spans="11:27">
      <c r="K973" s="51"/>
      <c r="Q973" s="51"/>
      <c r="R973" s="51"/>
      <c r="S973" s="51"/>
      <c r="W973" s="53"/>
      <c r="X973" s="53"/>
      <c r="Y973" s="58"/>
      <c r="Z973" s="58"/>
      <c r="AA973" s="60"/>
    </row>
    <row r="974" spans="11:27">
      <c r="K974" s="51"/>
      <c r="Q974" s="51"/>
      <c r="R974" s="51"/>
      <c r="S974" s="51"/>
      <c r="W974" s="53"/>
      <c r="X974" s="53"/>
      <c r="Y974" s="58"/>
      <c r="Z974" s="58"/>
      <c r="AA974" s="60"/>
    </row>
    <row r="975" spans="11:27">
      <c r="K975" s="51"/>
      <c r="Q975" s="51"/>
      <c r="R975" s="51"/>
      <c r="S975" s="51"/>
      <c r="W975" s="53"/>
      <c r="X975" s="53"/>
      <c r="Y975" s="58"/>
      <c r="Z975" s="58"/>
      <c r="AA975" s="60"/>
    </row>
    <row r="976" spans="11:27">
      <c r="K976" s="51"/>
      <c r="Q976" s="51"/>
      <c r="R976" s="51"/>
      <c r="S976" s="51"/>
      <c r="W976" s="53"/>
      <c r="X976" s="53"/>
      <c r="Y976" s="58"/>
      <c r="Z976" s="58"/>
      <c r="AA976" s="60"/>
    </row>
    <row r="977" spans="11:27">
      <c r="K977" s="51"/>
      <c r="Q977" s="51"/>
      <c r="R977" s="51"/>
      <c r="S977" s="51"/>
      <c r="W977" s="53"/>
      <c r="X977" s="53"/>
      <c r="Y977" s="58"/>
      <c r="Z977" s="58"/>
      <c r="AA977" s="60"/>
    </row>
    <row r="978" spans="11:27">
      <c r="K978" s="51"/>
      <c r="Q978" s="51"/>
      <c r="R978" s="51"/>
      <c r="S978" s="51"/>
      <c r="W978" s="53"/>
      <c r="X978" s="53"/>
      <c r="Y978" s="58"/>
      <c r="Z978" s="58"/>
      <c r="AA978" s="60"/>
    </row>
    <row r="979" spans="11:27">
      <c r="K979" s="51"/>
      <c r="Q979" s="51"/>
      <c r="R979" s="51"/>
      <c r="S979" s="51"/>
      <c r="W979" s="53"/>
      <c r="X979" s="53"/>
      <c r="Y979" s="58"/>
      <c r="Z979" s="58"/>
      <c r="AA979" s="60"/>
    </row>
    <row r="980" spans="11:27">
      <c r="K980" s="51"/>
      <c r="Q980" s="51"/>
      <c r="R980" s="51"/>
      <c r="S980" s="51"/>
      <c r="W980" s="53"/>
      <c r="X980" s="53"/>
      <c r="Y980" s="58"/>
      <c r="Z980" s="58"/>
      <c r="AA980" s="60"/>
    </row>
    <row r="981" spans="11:27">
      <c r="K981" s="51"/>
      <c r="Q981" s="51"/>
      <c r="R981" s="51"/>
      <c r="S981" s="51"/>
      <c r="W981" s="53"/>
      <c r="X981" s="53"/>
      <c r="Y981" s="58"/>
      <c r="Z981" s="58"/>
      <c r="AA981" s="60"/>
    </row>
    <row r="982" spans="11:27">
      <c r="K982" s="51"/>
      <c r="Q982" s="51"/>
      <c r="R982" s="51"/>
      <c r="S982" s="51"/>
      <c r="W982" s="53"/>
      <c r="X982" s="53"/>
      <c r="Y982" s="58"/>
      <c r="Z982" s="58"/>
      <c r="AA982" s="60"/>
    </row>
    <row r="983" spans="11:27">
      <c r="K983" s="51"/>
      <c r="Q983" s="51"/>
      <c r="R983" s="51"/>
      <c r="S983" s="51"/>
      <c r="W983" s="53"/>
      <c r="X983" s="53"/>
      <c r="Y983" s="58"/>
      <c r="Z983" s="58"/>
      <c r="AA983" s="60"/>
    </row>
    <row r="984" spans="11:27">
      <c r="K984" s="51"/>
      <c r="Q984" s="51"/>
      <c r="R984" s="51"/>
      <c r="S984" s="51"/>
      <c r="W984" s="53"/>
      <c r="X984" s="53"/>
      <c r="Y984" s="58"/>
      <c r="Z984" s="58"/>
      <c r="AA984" s="60"/>
    </row>
    <row r="985" spans="11:27">
      <c r="K985" s="51"/>
      <c r="Q985" s="51"/>
      <c r="R985" s="51"/>
      <c r="S985" s="51"/>
      <c r="W985" s="53"/>
      <c r="X985" s="53"/>
      <c r="Y985" s="58"/>
      <c r="Z985" s="58"/>
      <c r="AA985" s="60"/>
    </row>
    <row r="986" spans="11:27">
      <c r="K986" s="51"/>
      <c r="Q986" s="51"/>
      <c r="R986" s="51"/>
      <c r="S986" s="51"/>
      <c r="W986" s="53"/>
      <c r="X986" s="53"/>
      <c r="Y986" s="58"/>
      <c r="Z986" s="58"/>
      <c r="AA986" s="60"/>
    </row>
    <row r="987" spans="11:27">
      <c r="K987" s="51"/>
      <c r="Q987" s="51"/>
      <c r="R987" s="51"/>
      <c r="S987" s="51"/>
      <c r="W987" s="53"/>
      <c r="X987" s="53"/>
      <c r="Y987" s="58"/>
      <c r="Z987" s="58"/>
      <c r="AA987" s="60"/>
    </row>
    <row r="988" spans="11:27">
      <c r="K988" s="51"/>
      <c r="Q988" s="51"/>
      <c r="R988" s="51"/>
      <c r="S988" s="51"/>
      <c r="W988" s="53"/>
      <c r="X988" s="53"/>
      <c r="Y988" s="58"/>
      <c r="Z988" s="58"/>
      <c r="AA988" s="60"/>
    </row>
    <row r="989" spans="11:27">
      <c r="K989" s="51"/>
      <c r="Q989" s="51"/>
      <c r="R989" s="51"/>
      <c r="S989" s="51"/>
      <c r="W989" s="53"/>
      <c r="X989" s="53"/>
      <c r="Y989" s="58"/>
      <c r="Z989" s="58"/>
      <c r="AA989" s="60"/>
    </row>
    <row r="990" spans="11:27">
      <c r="K990" s="51"/>
      <c r="Q990" s="51"/>
      <c r="R990" s="51"/>
      <c r="S990" s="51"/>
      <c r="W990" s="53"/>
      <c r="X990" s="53"/>
      <c r="Y990" s="58"/>
      <c r="Z990" s="58"/>
      <c r="AA990" s="60"/>
    </row>
    <row r="991" spans="11:27">
      <c r="K991" s="51"/>
      <c r="Q991" s="51"/>
      <c r="R991" s="51"/>
      <c r="S991" s="51"/>
      <c r="W991" s="53"/>
      <c r="X991" s="53"/>
      <c r="Y991" s="58"/>
      <c r="Z991" s="58"/>
      <c r="AA991" s="60"/>
    </row>
    <row r="992" spans="11:27">
      <c r="K992" s="51"/>
      <c r="Q992" s="51"/>
      <c r="R992" s="51"/>
      <c r="S992" s="51"/>
      <c r="W992" s="53"/>
      <c r="X992" s="53"/>
      <c r="Y992" s="58"/>
      <c r="Z992" s="58"/>
      <c r="AA992" s="60"/>
    </row>
    <row r="993" spans="11:27">
      <c r="K993" s="51"/>
      <c r="Q993" s="51"/>
      <c r="R993" s="51"/>
      <c r="S993" s="51"/>
      <c r="W993" s="53"/>
      <c r="X993" s="53"/>
      <c r="Y993" s="58"/>
      <c r="Z993" s="58"/>
      <c r="AA993" s="60"/>
    </row>
    <row r="994" spans="11:27">
      <c r="K994" s="51"/>
      <c r="Q994" s="51"/>
      <c r="R994" s="51"/>
      <c r="S994" s="51"/>
      <c r="W994" s="53"/>
      <c r="X994" s="53"/>
      <c r="Y994" s="58"/>
      <c r="Z994" s="58"/>
      <c r="AA994" s="60"/>
    </row>
    <row r="995" spans="11:27">
      <c r="K995" s="51"/>
      <c r="Q995" s="51"/>
      <c r="R995" s="51"/>
      <c r="S995" s="51"/>
      <c r="W995" s="53"/>
      <c r="X995" s="53"/>
      <c r="Y995" s="58"/>
      <c r="Z995" s="58"/>
      <c r="AA995" s="60"/>
    </row>
    <row r="996" spans="11:27">
      <c r="K996" s="51"/>
      <c r="Q996" s="51"/>
      <c r="R996" s="51"/>
      <c r="S996" s="51"/>
      <c r="W996" s="53"/>
      <c r="X996" s="53"/>
      <c r="Y996" s="58"/>
      <c r="Z996" s="58"/>
      <c r="AA996" s="60"/>
    </row>
    <row r="997" spans="11:27">
      <c r="K997" s="51"/>
      <c r="Q997" s="51"/>
      <c r="R997" s="51"/>
      <c r="S997" s="51"/>
      <c r="W997" s="53"/>
      <c r="X997" s="53"/>
      <c r="Y997" s="58"/>
      <c r="Z997" s="58"/>
      <c r="AA997" s="60"/>
    </row>
    <row r="998" spans="11:27">
      <c r="K998" s="51"/>
      <c r="Q998" s="51"/>
      <c r="R998" s="51"/>
      <c r="S998" s="51"/>
      <c r="W998" s="53"/>
      <c r="X998" s="53"/>
      <c r="Y998" s="58"/>
      <c r="Z998" s="58"/>
      <c r="AA998" s="60"/>
    </row>
    <row r="999" spans="11:27">
      <c r="K999" s="51"/>
      <c r="Q999" s="51"/>
      <c r="R999" s="51"/>
      <c r="S999" s="51"/>
      <c r="W999" s="53"/>
      <c r="X999" s="53"/>
      <c r="Y999" s="58"/>
      <c r="Z999" s="58"/>
      <c r="AA999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>
      <pane xSplit="2" ySplit="1" topLeftCell="S81" activePane="bottomRight" state="frozen"/>
      <selection pane="topRight" activeCell="C1" sqref="C1"/>
      <selection pane="bottomLeft" activeCell="A2" sqref="A2"/>
      <selection pane="bottomRight" activeCell="AA47" sqref="AA47"/>
    </sheetView>
  </sheetViews>
  <sheetFormatPr defaultColWidth="14.453125" defaultRowHeight="15" customHeight="1"/>
  <cols>
    <col min="1" max="1" width="6.7265625" customWidth="1"/>
    <col min="2" max="2" width="9.54296875" customWidth="1"/>
    <col min="3" max="3" width="36.81640625" customWidth="1"/>
    <col min="4" max="4" width="24.1796875" customWidth="1"/>
    <col min="5" max="5" width="23.1796875" customWidth="1"/>
    <col min="6" max="6" width="24" customWidth="1"/>
    <col min="7" max="7" width="24.26953125" customWidth="1"/>
    <col min="8" max="9" width="23.1796875" customWidth="1"/>
    <col min="10" max="10" width="23.81640625" customWidth="1"/>
    <col min="11" max="11" width="25.7265625" customWidth="1"/>
    <col min="12" max="13" width="23.1796875" customWidth="1"/>
    <col min="14" max="14" width="19.1796875" customWidth="1"/>
    <col min="15" max="15" width="23.81640625" customWidth="1"/>
    <col min="16" max="16" width="22.81640625" customWidth="1"/>
    <col min="21" max="21" width="16.54296875" style="86" customWidth="1"/>
    <col min="22" max="24" width="14.453125" style="86"/>
  </cols>
  <sheetData>
    <row r="1" spans="1:28">
      <c r="A1" s="54" t="s">
        <v>1</v>
      </c>
      <c r="B1" s="54" t="s">
        <v>2</v>
      </c>
      <c r="C1" s="54" t="s">
        <v>3</v>
      </c>
      <c r="D1" s="54" t="s">
        <v>477</v>
      </c>
      <c r="E1" s="54" t="s">
        <v>8</v>
      </c>
      <c r="F1" s="54" t="s">
        <v>9</v>
      </c>
      <c r="G1" s="54" t="s">
        <v>478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56" t="s">
        <v>469</v>
      </c>
      <c r="V1" s="56" t="s">
        <v>470</v>
      </c>
      <c r="W1" s="56" t="s">
        <v>471</v>
      </c>
      <c r="X1" s="56" t="s">
        <v>472</v>
      </c>
      <c r="Y1" s="56" t="s">
        <v>473</v>
      </c>
      <c r="Z1" s="56" t="s">
        <v>474</v>
      </c>
      <c r="AA1" s="56" t="s">
        <v>475</v>
      </c>
      <c r="AB1" s="56" t="s">
        <v>507</v>
      </c>
    </row>
    <row r="2" spans="1:28">
      <c r="A2" s="6">
        <v>2018</v>
      </c>
      <c r="B2" s="6" t="s">
        <v>194</v>
      </c>
      <c r="C2" s="7" t="s">
        <v>195</v>
      </c>
      <c r="D2" s="61">
        <v>364138000000</v>
      </c>
      <c r="E2" s="10">
        <v>447249000000</v>
      </c>
      <c r="F2" s="10">
        <v>881275000000</v>
      </c>
      <c r="G2" s="10">
        <f t="shared" ref="G2:G19" si="0">I2-H2</f>
        <v>262397000000</v>
      </c>
      <c r="H2" s="10">
        <v>136964000000</v>
      </c>
      <c r="I2" s="10">
        <v>399361000000</v>
      </c>
      <c r="J2" s="10">
        <v>481914000000</v>
      </c>
      <c r="K2" s="8">
        <v>2359587200</v>
      </c>
      <c r="L2" s="10">
        <v>804302000000</v>
      </c>
      <c r="M2" s="10">
        <v>415212000000</v>
      </c>
      <c r="N2" s="10">
        <v>201877000000</v>
      </c>
      <c r="O2" s="10">
        <v>58903000000</v>
      </c>
      <c r="P2" s="61">
        <v>0</v>
      </c>
      <c r="Q2" s="51">
        <v>895</v>
      </c>
      <c r="R2" s="51">
        <f t="shared" ref="R2:R118" si="1">D2/G2</f>
        <v>1.3877369024798303</v>
      </c>
      <c r="S2" s="51">
        <f t="shared" ref="S2:S118" si="2">H2/J2</f>
        <v>0.28420838572857399</v>
      </c>
      <c r="T2" s="51">
        <f t="shared" ref="T2:T118" si="3">O2/F2</f>
        <v>6.6838387563473378E-2</v>
      </c>
      <c r="U2" s="58">
        <f t="shared" ref="U2:U118" si="4">O2/J2</f>
        <v>0.12222720236390726</v>
      </c>
      <c r="V2" s="58">
        <f t="shared" ref="V2:V118" si="5">O2/L2</f>
        <v>7.3234929168396939E-2</v>
      </c>
      <c r="W2" s="58">
        <f t="shared" ref="W2:W118" si="6">(P2/K2)/Q2</f>
        <v>0</v>
      </c>
      <c r="X2" s="58">
        <f t="shared" ref="X2:X118" si="7">P2/O2</f>
        <v>0</v>
      </c>
      <c r="Y2" s="51">
        <f t="shared" ref="Y2:Y118" si="8">Q2/(O2/K2)</f>
        <v>35.852682274247492</v>
      </c>
      <c r="Z2" s="51">
        <f t="shared" ref="Z2:Z118" si="9">Q2/(J2/K2)</f>
        <v>4.3821730516233188</v>
      </c>
      <c r="AA2" s="52">
        <v>3</v>
      </c>
      <c r="AB2">
        <v>0</v>
      </c>
    </row>
    <row r="3" spans="1:28">
      <c r="A3" s="6">
        <v>2019</v>
      </c>
      <c r="B3" s="6" t="s">
        <v>194</v>
      </c>
      <c r="C3" s="7" t="s">
        <v>195</v>
      </c>
      <c r="D3" s="61">
        <v>351120000000</v>
      </c>
      <c r="E3" s="10">
        <v>405448000000</v>
      </c>
      <c r="F3" s="10">
        <v>822375000000</v>
      </c>
      <c r="G3" s="10">
        <f t="shared" si="0"/>
        <v>175191000000</v>
      </c>
      <c r="H3" s="10">
        <v>79247000000</v>
      </c>
      <c r="I3" s="10">
        <v>254438000000</v>
      </c>
      <c r="J3" s="10">
        <v>567937000000</v>
      </c>
      <c r="K3" s="8">
        <v>2359587200</v>
      </c>
      <c r="L3" s="10">
        <v>834330000000</v>
      </c>
      <c r="M3" s="10">
        <v>417281000000</v>
      </c>
      <c r="N3" s="10">
        <v>182396000000</v>
      </c>
      <c r="O3" s="10">
        <v>86023000000</v>
      </c>
      <c r="P3" s="61">
        <v>0</v>
      </c>
      <c r="Q3" s="51">
        <v>1045</v>
      </c>
      <c r="R3" s="51">
        <f t="shared" si="1"/>
        <v>2.0042125451649913</v>
      </c>
      <c r="S3" s="51">
        <f t="shared" si="2"/>
        <v>0.13953484277305406</v>
      </c>
      <c r="T3" s="51">
        <f t="shared" si="3"/>
        <v>0.1046031311749506</v>
      </c>
      <c r="U3" s="58">
        <f t="shared" si="4"/>
        <v>0.15146574355958495</v>
      </c>
      <c r="V3" s="58">
        <f t="shared" si="5"/>
        <v>0.10310428727242218</v>
      </c>
      <c r="W3" s="58">
        <f t="shared" si="6"/>
        <v>0</v>
      </c>
      <c r="X3" s="58">
        <f t="shared" si="7"/>
        <v>0</v>
      </c>
      <c r="Y3" s="51">
        <f t="shared" si="8"/>
        <v>28.664062215918999</v>
      </c>
      <c r="Z3" s="51">
        <f t="shared" si="9"/>
        <v>4.3416234969723755</v>
      </c>
      <c r="AA3" s="52">
        <v>3</v>
      </c>
      <c r="AB3">
        <v>0</v>
      </c>
    </row>
    <row r="4" spans="1:28">
      <c r="A4" s="6">
        <v>2020</v>
      </c>
      <c r="B4" s="6" t="s">
        <v>194</v>
      </c>
      <c r="C4" s="7" t="s">
        <v>195</v>
      </c>
      <c r="D4" s="61">
        <v>545239000000</v>
      </c>
      <c r="E4" s="10">
        <v>351626000000</v>
      </c>
      <c r="F4" s="10">
        <v>958791000000</v>
      </c>
      <c r="G4" s="10">
        <f t="shared" si="0"/>
        <v>183559000000</v>
      </c>
      <c r="H4" s="10">
        <v>74724000000</v>
      </c>
      <c r="I4" s="10">
        <v>258283000000</v>
      </c>
      <c r="J4" s="10">
        <v>700508000000</v>
      </c>
      <c r="K4" s="8">
        <v>2359587200</v>
      </c>
      <c r="L4" s="10">
        <v>673364000000</v>
      </c>
      <c r="M4" s="10">
        <v>330799000000</v>
      </c>
      <c r="N4" s="10">
        <v>96707000000</v>
      </c>
      <c r="O4" s="10">
        <v>135765000000</v>
      </c>
      <c r="P4" s="61">
        <v>0</v>
      </c>
      <c r="Q4" s="51">
        <v>1460</v>
      </c>
      <c r="R4" s="51">
        <f t="shared" si="1"/>
        <v>2.9703746479333621</v>
      </c>
      <c r="S4" s="51">
        <f t="shared" si="2"/>
        <v>0.10667115864486915</v>
      </c>
      <c r="T4" s="51">
        <f t="shared" si="3"/>
        <v>0.14160020275534502</v>
      </c>
      <c r="U4" s="58">
        <f t="shared" si="4"/>
        <v>0.19380934978615519</v>
      </c>
      <c r="V4" s="58">
        <f t="shared" si="5"/>
        <v>0.20162200533441052</v>
      </c>
      <c r="W4" s="58">
        <f t="shared" si="6"/>
        <v>0</v>
      </c>
      <c r="X4" s="58">
        <f t="shared" si="7"/>
        <v>0</v>
      </c>
      <c r="Y4" s="51">
        <f t="shared" si="8"/>
        <v>25.374708592052443</v>
      </c>
      <c r="Z4" s="51">
        <f t="shared" si="9"/>
        <v>4.9178557732388501</v>
      </c>
      <c r="AA4" s="52">
        <v>3</v>
      </c>
      <c r="AB4">
        <v>0</v>
      </c>
    </row>
    <row r="5" spans="1:28">
      <c r="A5" s="6">
        <v>2018</v>
      </c>
      <c r="B5" s="6" t="s">
        <v>198</v>
      </c>
      <c r="C5" s="7" t="s">
        <v>199</v>
      </c>
      <c r="D5" s="61">
        <v>1333428311186</v>
      </c>
      <c r="E5" s="10">
        <v>998708967039</v>
      </c>
      <c r="F5" s="10">
        <v>2445143511801</v>
      </c>
      <c r="G5" s="10">
        <f t="shared" si="0"/>
        <v>231533842787</v>
      </c>
      <c r="H5" s="10">
        <v>241146503875</v>
      </c>
      <c r="I5" s="10">
        <v>472680346662</v>
      </c>
      <c r="J5" s="10">
        <v>1972463165139</v>
      </c>
      <c r="K5" s="8">
        <v>804266668</v>
      </c>
      <c r="L5" s="10">
        <v>2648754344347</v>
      </c>
      <c r="M5" s="10">
        <v>1685791739001</v>
      </c>
      <c r="N5" s="10">
        <v>722004701096</v>
      </c>
      <c r="O5" s="10">
        <v>173049442756</v>
      </c>
      <c r="P5" s="61">
        <v>82362154537</v>
      </c>
      <c r="Q5" s="51">
        <v>17200</v>
      </c>
      <c r="R5" s="51">
        <f t="shared" si="1"/>
        <v>5.75910758935008</v>
      </c>
      <c r="S5" s="51">
        <f t="shared" si="2"/>
        <v>0.12225653088837597</v>
      </c>
      <c r="T5" s="51">
        <f t="shared" si="3"/>
        <v>7.077271412529007E-2</v>
      </c>
      <c r="U5" s="58">
        <f t="shared" si="4"/>
        <v>8.7732661280802759E-2</v>
      </c>
      <c r="V5" s="58">
        <f t="shared" si="5"/>
        <v>6.5332386570813555E-2</v>
      </c>
      <c r="W5" s="58">
        <f t="shared" si="6"/>
        <v>5.9538677248804324E-3</v>
      </c>
      <c r="X5" s="58">
        <f t="shared" si="7"/>
        <v>0.47594579459658115</v>
      </c>
      <c r="Y5" s="51">
        <f t="shared" si="8"/>
        <v>79.938926524629707</v>
      </c>
      <c r="Z5" s="51">
        <f t="shared" si="9"/>
        <v>7.0132547639363185</v>
      </c>
      <c r="AA5" s="52">
        <v>3</v>
      </c>
      <c r="AB5">
        <v>0</v>
      </c>
    </row>
    <row r="6" spans="1:28">
      <c r="A6" s="6">
        <v>2019</v>
      </c>
      <c r="B6" s="6" t="s">
        <v>198</v>
      </c>
      <c r="C6" s="7" t="s">
        <v>199</v>
      </c>
      <c r="D6" s="61">
        <v>1428191709308</v>
      </c>
      <c r="E6" s="10">
        <v>938300134590</v>
      </c>
      <c r="F6" s="10">
        <v>2551192620939</v>
      </c>
      <c r="G6" s="10">
        <f t="shared" si="0"/>
        <v>260244280265</v>
      </c>
      <c r="H6" s="10">
        <v>271804523512</v>
      </c>
      <c r="I6" s="10">
        <v>532048803777</v>
      </c>
      <c r="J6" s="10">
        <v>2019143817162</v>
      </c>
      <c r="K6" s="8">
        <v>804266668</v>
      </c>
      <c r="L6" s="10">
        <v>2804151670769</v>
      </c>
      <c r="M6" s="10">
        <v>1873937759675</v>
      </c>
      <c r="N6" s="10">
        <f>739420214230+1218605208</f>
        <v>740638819438</v>
      </c>
      <c r="O6" s="10">
        <v>145149344561</v>
      </c>
      <c r="P6" s="61">
        <v>84653428243</v>
      </c>
      <c r="Q6" s="51">
        <v>11000</v>
      </c>
      <c r="R6" s="51">
        <f t="shared" si="1"/>
        <v>5.487888947467777</v>
      </c>
      <c r="S6" s="51">
        <f t="shared" si="2"/>
        <v>0.13461375123542899</v>
      </c>
      <c r="T6" s="51">
        <f t="shared" si="3"/>
        <v>5.6894702254028894E-2</v>
      </c>
      <c r="U6" s="58">
        <f t="shared" si="4"/>
        <v>7.1886580503717712E-2</v>
      </c>
      <c r="V6" s="58">
        <f t="shared" si="5"/>
        <v>5.1762301616586522E-2</v>
      </c>
      <c r="W6" s="58">
        <f t="shared" si="6"/>
        <v>9.5686748066365103E-3</v>
      </c>
      <c r="X6" s="58">
        <f t="shared" si="7"/>
        <v>0.58321605584256575</v>
      </c>
      <c r="Y6" s="51">
        <f t="shared" si="8"/>
        <v>60.95055664741232</v>
      </c>
      <c r="Z6" s="51">
        <f t="shared" si="9"/>
        <v>4.3815270971806131</v>
      </c>
      <c r="AA6" s="52">
        <v>3</v>
      </c>
      <c r="AB6">
        <v>0</v>
      </c>
    </row>
    <row r="7" spans="1:28">
      <c r="A7" s="6">
        <v>2020</v>
      </c>
      <c r="B7" s="6" t="s">
        <v>198</v>
      </c>
      <c r="C7" s="7" t="s">
        <v>199</v>
      </c>
      <c r="D7" s="61">
        <v>1343961709769</v>
      </c>
      <c r="E7" s="10">
        <v>822015923646</v>
      </c>
      <c r="F7" s="10">
        <v>2314790056002</v>
      </c>
      <c r="G7" s="10">
        <f t="shared" si="0"/>
        <v>131087175475</v>
      </c>
      <c r="H7" s="10">
        <v>317715961088</v>
      </c>
      <c r="I7" s="10">
        <v>448803136563</v>
      </c>
      <c r="J7" s="10">
        <v>1865986919439</v>
      </c>
      <c r="K7" s="8">
        <v>804266668</v>
      </c>
      <c r="L7" s="10">
        <v>1989005993587</v>
      </c>
      <c r="M7" s="10">
        <v>1534276464935</v>
      </c>
      <c r="N7" s="10">
        <v>523339628164</v>
      </c>
      <c r="O7" s="10">
        <v>-54776587213</v>
      </c>
      <c r="P7" s="61">
        <v>84393872136</v>
      </c>
      <c r="Q7" s="51">
        <v>6475</v>
      </c>
      <c r="R7" s="51">
        <f t="shared" si="1"/>
        <v>10.252427095931369</v>
      </c>
      <c r="S7" s="51">
        <f t="shared" si="2"/>
        <v>0.17026698192692571</v>
      </c>
      <c r="T7" s="51">
        <f t="shared" si="3"/>
        <v>-2.3663738778802096E-2</v>
      </c>
      <c r="U7" s="58">
        <f t="shared" si="4"/>
        <v>-2.9355290030365442E-2</v>
      </c>
      <c r="V7" s="58">
        <f t="shared" si="5"/>
        <v>-2.7539679311983957E-2</v>
      </c>
      <c r="W7" s="58">
        <f t="shared" si="6"/>
        <v>1.6205822229209289E-2</v>
      </c>
      <c r="X7" s="58">
        <f t="shared" si="7"/>
        <v>-1.5406924094747363</v>
      </c>
      <c r="Y7" s="51">
        <f t="shared" si="8"/>
        <v>-95.070301752280159</v>
      </c>
      <c r="Z7" s="51">
        <f t="shared" si="9"/>
        <v>2.7908162812125434</v>
      </c>
      <c r="AA7" s="52">
        <v>3</v>
      </c>
      <c r="AB7">
        <v>0</v>
      </c>
    </row>
    <row r="8" spans="1:28">
      <c r="A8" s="6">
        <v>2018</v>
      </c>
      <c r="B8" s="6" t="s">
        <v>200</v>
      </c>
      <c r="C8" s="7" t="s">
        <v>201</v>
      </c>
      <c r="D8" s="61">
        <v>8257910000000</v>
      </c>
      <c r="E8" s="10">
        <v>10627387000000</v>
      </c>
      <c r="F8" s="10">
        <v>19522970000000</v>
      </c>
      <c r="G8" s="10">
        <f t="shared" si="0"/>
        <v>11134786000000</v>
      </c>
      <c r="H8" s="10">
        <v>810051000000</v>
      </c>
      <c r="I8" s="10">
        <v>11944837000000</v>
      </c>
      <c r="J8" s="10">
        <v>7578133000000</v>
      </c>
      <c r="K8" s="8">
        <v>7630000000</v>
      </c>
      <c r="L8" s="10">
        <v>41802073000000</v>
      </c>
      <c r="M8" s="10">
        <v>20709800000000</v>
      </c>
      <c r="N8" s="10">
        <f>7678122000000+3925110000000</f>
        <v>11603232000000</v>
      </c>
      <c r="O8" s="10">
        <v>9081187000000</v>
      </c>
      <c r="P8" s="61">
        <v>6926201000000</v>
      </c>
      <c r="Q8" s="51">
        <v>44500</v>
      </c>
      <c r="R8" s="51">
        <f t="shared" si="1"/>
        <v>0.74163167572326938</v>
      </c>
      <c r="S8" s="51">
        <f t="shared" si="2"/>
        <v>0.10689321499108026</v>
      </c>
      <c r="T8" s="51">
        <f t="shared" si="3"/>
        <v>0.4651539699133892</v>
      </c>
      <c r="U8" s="58">
        <f t="shared" si="4"/>
        <v>1.1983409370091551</v>
      </c>
      <c r="V8" s="58">
        <f t="shared" si="5"/>
        <v>0.21724250373898921</v>
      </c>
      <c r="W8" s="58">
        <f t="shared" si="6"/>
        <v>2.0399078151000633E-2</v>
      </c>
      <c r="X8" s="58">
        <f t="shared" si="7"/>
        <v>0.76269776186747396</v>
      </c>
      <c r="Y8" s="51">
        <f t="shared" si="8"/>
        <v>37.388834741537643</v>
      </c>
      <c r="Z8" s="51">
        <f t="shared" si="9"/>
        <v>44.804571257854668</v>
      </c>
      <c r="AA8" s="52">
        <v>3</v>
      </c>
      <c r="AB8">
        <v>1</v>
      </c>
    </row>
    <row r="9" spans="1:28">
      <c r="A9" s="6">
        <v>2019</v>
      </c>
      <c r="B9" s="6" t="s">
        <v>200</v>
      </c>
      <c r="C9" s="7" t="s">
        <v>201</v>
      </c>
      <c r="D9" s="61">
        <v>8530334000000</v>
      </c>
      <c r="E9" s="10">
        <v>10715376000000</v>
      </c>
      <c r="F9" s="10">
        <v>20649371000000</v>
      </c>
      <c r="G9" s="10">
        <f t="shared" si="0"/>
        <v>13065308000000</v>
      </c>
      <c r="H9" s="10">
        <v>2302201000000</v>
      </c>
      <c r="I9" s="10">
        <v>15367509000000</v>
      </c>
      <c r="J9" s="10">
        <v>5281862000000</v>
      </c>
      <c r="K9" s="8">
        <v>7630000000</v>
      </c>
      <c r="L9" s="10">
        <v>42922563000000</v>
      </c>
      <c r="M9" s="10">
        <v>20893870000000</v>
      </c>
      <c r="N9" s="10">
        <f>8049388000000+3861481000000</f>
        <v>11910869000000</v>
      </c>
      <c r="O9" s="10">
        <v>7392837000000</v>
      </c>
      <c r="P9" s="61">
        <v>9176417000000</v>
      </c>
      <c r="Q9" s="51">
        <v>42000</v>
      </c>
      <c r="R9" s="51">
        <f t="shared" si="1"/>
        <v>0.65289957190446635</v>
      </c>
      <c r="S9" s="51">
        <f t="shared" si="2"/>
        <v>0.43586920673050528</v>
      </c>
      <c r="T9" s="51">
        <f t="shared" si="3"/>
        <v>0.35801753961416066</v>
      </c>
      <c r="U9" s="58">
        <f t="shared" si="4"/>
        <v>1.3996649287694378</v>
      </c>
      <c r="V9" s="58">
        <f t="shared" si="5"/>
        <v>0.17223661597281598</v>
      </c>
      <c r="W9" s="58">
        <f t="shared" si="6"/>
        <v>2.8635140111090307E-2</v>
      </c>
      <c r="X9" s="58">
        <f t="shared" si="7"/>
        <v>1.2412578554078766</v>
      </c>
      <c r="Y9" s="51">
        <f t="shared" si="8"/>
        <v>43.347364482674244</v>
      </c>
      <c r="Z9" s="51">
        <f t="shared" si="9"/>
        <v>60.6717858209851</v>
      </c>
      <c r="AA9" s="52">
        <v>3</v>
      </c>
      <c r="AB9">
        <v>1</v>
      </c>
    </row>
    <row r="10" spans="1:28">
      <c r="A10" s="6">
        <v>2020</v>
      </c>
      <c r="B10" s="6" t="s">
        <v>200</v>
      </c>
      <c r="C10" s="7" t="s">
        <v>201</v>
      </c>
      <c r="D10" s="61">
        <v>8828360000000</v>
      </c>
      <c r="E10" s="10">
        <v>10419902000000</v>
      </c>
      <c r="F10" s="10">
        <v>20534632000000</v>
      </c>
      <c r="G10" s="10">
        <f t="shared" si="0"/>
        <v>13357536000000</v>
      </c>
      <c r="H10" s="10">
        <v>2239728000000</v>
      </c>
      <c r="I10" s="10">
        <v>15597264000000</v>
      </c>
      <c r="J10" s="10">
        <v>4937368000000</v>
      </c>
      <c r="K10" s="8">
        <v>7630000000</v>
      </c>
      <c r="L10" s="10">
        <v>42972474000000</v>
      </c>
      <c r="M10" s="10">
        <v>20515484000000</v>
      </c>
      <c r="N10" s="10">
        <f>8628647000000+4357209000000+20122000000</f>
        <v>13005978000000</v>
      </c>
      <c r="O10" s="10">
        <v>7163536000000</v>
      </c>
      <c r="P10" s="61">
        <v>7371069000000</v>
      </c>
      <c r="Q10" s="51">
        <v>7350</v>
      </c>
      <c r="R10" s="51">
        <f t="shared" si="1"/>
        <v>0.6609272847926444</v>
      </c>
      <c r="S10" s="51">
        <f t="shared" si="2"/>
        <v>0.45362792483768682</v>
      </c>
      <c r="T10" s="51">
        <f t="shared" si="3"/>
        <v>0.34885144277238567</v>
      </c>
      <c r="U10" s="58">
        <f t="shared" si="4"/>
        <v>1.4508815223009506</v>
      </c>
      <c r="V10" s="58">
        <f t="shared" si="5"/>
        <v>0.16670057209179998</v>
      </c>
      <c r="W10" s="58">
        <f t="shared" si="6"/>
        <v>0.13143729103699148</v>
      </c>
      <c r="X10" s="58">
        <f t="shared" si="7"/>
        <v>1.0289707485241926</v>
      </c>
      <c r="Y10" s="51">
        <f t="shared" si="8"/>
        <v>7.8286058728538528</v>
      </c>
      <c r="Z10" s="51">
        <f t="shared" si="9"/>
        <v>11.35837960630036</v>
      </c>
      <c r="AA10" s="52">
        <v>3</v>
      </c>
      <c r="AB10">
        <v>1</v>
      </c>
    </row>
    <row r="11" spans="1:28">
      <c r="A11" s="6">
        <v>2018</v>
      </c>
      <c r="B11" s="6" t="s">
        <v>261</v>
      </c>
      <c r="C11" s="7" t="s">
        <v>262</v>
      </c>
      <c r="D11" s="61">
        <v>13334804000000</v>
      </c>
      <c r="E11" s="10">
        <v>8647396000000</v>
      </c>
      <c r="F11" s="10">
        <v>24827355000000</v>
      </c>
      <c r="G11" s="10">
        <f t="shared" si="0"/>
        <v>7689521000000</v>
      </c>
      <c r="H11" s="10">
        <v>6372157000000</v>
      </c>
      <c r="I11" s="10">
        <v>14061678000000</v>
      </c>
      <c r="J11" s="10">
        <v>10765677000000</v>
      </c>
      <c r="K11" s="8">
        <v>100000000000</v>
      </c>
      <c r="L11" s="10">
        <v>36228261000000</v>
      </c>
      <c r="M11" s="10">
        <v>28342636000000</v>
      </c>
      <c r="N11" s="10">
        <f>836629000000+2647489000000+164095000000</f>
        <v>3648213000000</v>
      </c>
      <c r="O11" s="10">
        <v>2253201000000</v>
      </c>
      <c r="P11" s="61">
        <v>1205915000000</v>
      </c>
      <c r="Q11" s="51">
        <v>2000</v>
      </c>
      <c r="R11" s="51">
        <f t="shared" si="1"/>
        <v>1.7341527515172921</v>
      </c>
      <c r="S11" s="51">
        <f t="shared" si="2"/>
        <v>0.5918956141819971</v>
      </c>
      <c r="T11" s="51">
        <f t="shared" si="3"/>
        <v>9.0754774320502524E-2</v>
      </c>
      <c r="U11" s="58">
        <f t="shared" si="4"/>
        <v>0.20929487295596924</v>
      </c>
      <c r="V11" s="58">
        <f t="shared" si="5"/>
        <v>6.2194566832782835E-2</v>
      </c>
      <c r="W11" s="58">
        <f t="shared" si="6"/>
        <v>6.0295750000000006E-3</v>
      </c>
      <c r="X11" s="58">
        <f t="shared" si="7"/>
        <v>0.53520080987004715</v>
      </c>
      <c r="Y11" s="51">
        <f t="shared" si="8"/>
        <v>88.762609283415017</v>
      </c>
      <c r="Z11" s="51">
        <f t="shared" si="9"/>
        <v>18.577559033212683</v>
      </c>
      <c r="AA11" s="52">
        <v>3</v>
      </c>
      <c r="AB11">
        <v>0</v>
      </c>
    </row>
    <row r="12" spans="1:28">
      <c r="A12" s="6">
        <v>2019</v>
      </c>
      <c r="B12" s="6" t="s">
        <v>261</v>
      </c>
      <c r="C12" s="7" t="s">
        <v>262</v>
      </c>
      <c r="D12" s="61">
        <v>12873148000000</v>
      </c>
      <c r="E12" s="10">
        <v>10707724000000</v>
      </c>
      <c r="F12" s="10">
        <v>26650895000000</v>
      </c>
      <c r="G12" s="10">
        <f t="shared" si="0"/>
        <v>7741958000000</v>
      </c>
      <c r="H12" s="10">
        <v>7012123000000</v>
      </c>
      <c r="I12" s="10">
        <v>14754081000000</v>
      </c>
      <c r="J12" s="10">
        <v>11896814000000</v>
      </c>
      <c r="K12" s="8">
        <v>100000000000</v>
      </c>
      <c r="L12" s="10">
        <v>38872084000000</v>
      </c>
      <c r="M12" s="10">
        <v>31000234000000</v>
      </c>
      <c r="N12" s="10">
        <f>1048302000000+2895713000000+160828000000</f>
        <v>4104843000000</v>
      </c>
      <c r="O12" s="10">
        <v>1883857000000</v>
      </c>
      <c r="P12" s="61">
        <v>638281000000</v>
      </c>
      <c r="Q12" s="51">
        <v>1535</v>
      </c>
      <c r="R12" s="51">
        <f t="shared" si="1"/>
        <v>1.6627767807575293</v>
      </c>
      <c r="S12" s="51">
        <f t="shared" si="2"/>
        <v>0.58941183748859149</v>
      </c>
      <c r="T12" s="51">
        <f t="shared" si="3"/>
        <v>7.0686444113790547E-2</v>
      </c>
      <c r="U12" s="58">
        <f t="shared" si="4"/>
        <v>0.15834970606416138</v>
      </c>
      <c r="V12" s="58">
        <f t="shared" si="5"/>
        <v>4.8462979242378669E-2</v>
      </c>
      <c r="W12" s="58">
        <f t="shared" si="6"/>
        <v>4.1581824104234529E-3</v>
      </c>
      <c r="X12" s="58">
        <f t="shared" si="7"/>
        <v>0.33881605663274866</v>
      </c>
      <c r="Y12" s="51">
        <f t="shared" si="8"/>
        <v>81.481768520646739</v>
      </c>
      <c r="Z12" s="51">
        <f t="shared" si="9"/>
        <v>12.902614094832447</v>
      </c>
      <c r="AA12" s="52">
        <v>3</v>
      </c>
      <c r="AB12">
        <v>0</v>
      </c>
    </row>
    <row r="13" spans="1:28">
      <c r="A13" s="6">
        <v>2020</v>
      </c>
      <c r="B13" s="6" t="s">
        <v>261</v>
      </c>
      <c r="C13" s="7" t="s">
        <v>262</v>
      </c>
      <c r="D13" s="61">
        <v>11745138000000</v>
      </c>
      <c r="E13" s="10">
        <v>11143803000000</v>
      </c>
      <c r="F13" s="10">
        <v>25951760000000</v>
      </c>
      <c r="G13" s="10">
        <f t="shared" si="0"/>
        <v>6007679000000</v>
      </c>
      <c r="H13" s="10">
        <v>8532111000000</v>
      </c>
      <c r="I13" s="10">
        <v>14539790000000</v>
      </c>
      <c r="J13" s="10">
        <v>11411970000000</v>
      </c>
      <c r="K13" s="8">
        <v>100000000000</v>
      </c>
      <c r="L13" s="10">
        <v>36964948000000</v>
      </c>
      <c r="M13" s="10">
        <v>29535739000000</v>
      </c>
      <c r="N13" s="10">
        <f>1549972000000+3244208000000+236681000000</f>
        <v>5030861000000</v>
      </c>
      <c r="O13" s="10">
        <v>1002376000000</v>
      </c>
      <c r="P13" s="61">
        <v>258375000000</v>
      </c>
      <c r="Q13" s="51">
        <v>1465</v>
      </c>
      <c r="R13" s="51">
        <f t="shared" si="1"/>
        <v>1.9550208990859865</v>
      </c>
      <c r="S13" s="51">
        <f t="shared" si="2"/>
        <v>0.74764576142418881</v>
      </c>
      <c r="T13" s="51">
        <f t="shared" si="3"/>
        <v>3.8624586540566032E-2</v>
      </c>
      <c r="U13" s="58">
        <f t="shared" si="4"/>
        <v>8.7835492031612422E-2</v>
      </c>
      <c r="V13" s="58">
        <f t="shared" si="5"/>
        <v>2.7116932505897209E-2</v>
      </c>
      <c r="W13" s="58">
        <f t="shared" si="6"/>
        <v>1.7636518771331059E-3</v>
      </c>
      <c r="X13" s="58">
        <f t="shared" si="7"/>
        <v>0.25776255616654831</v>
      </c>
      <c r="Y13" s="51">
        <f t="shared" si="8"/>
        <v>146.15274108717688</v>
      </c>
      <c r="Z13" s="51">
        <f t="shared" si="9"/>
        <v>12.837397925161037</v>
      </c>
      <c r="AA13" s="52">
        <v>3</v>
      </c>
      <c r="AB13">
        <v>0</v>
      </c>
    </row>
    <row r="14" spans="1:28">
      <c r="A14" s="6">
        <v>2018</v>
      </c>
      <c r="B14" s="6" t="s">
        <v>265</v>
      </c>
      <c r="C14" s="7" t="s">
        <v>266</v>
      </c>
      <c r="D14" s="61">
        <v>219577845340</v>
      </c>
      <c r="E14" s="10">
        <v>256898006885</v>
      </c>
      <c r="F14" s="10">
        <v>491382035136</v>
      </c>
      <c r="G14" s="10">
        <f t="shared" si="0"/>
        <v>81075913501</v>
      </c>
      <c r="H14" s="10">
        <v>21627543807</v>
      </c>
      <c r="I14" s="10">
        <v>102703457308</v>
      </c>
      <c r="J14" s="10">
        <v>388678577828</v>
      </c>
      <c r="K14" s="8">
        <v>2000000000</v>
      </c>
      <c r="L14" s="10">
        <v>370390736433</v>
      </c>
      <c r="M14" s="10">
        <v>256947701878</v>
      </c>
      <c r="N14" s="10">
        <f>58584770961+3331144467+33706922995</f>
        <v>95622838423</v>
      </c>
      <c r="O14" s="10">
        <v>13554152161</v>
      </c>
      <c r="P14" s="61">
        <v>8000000000</v>
      </c>
      <c r="Q14" s="51">
        <v>284</v>
      </c>
      <c r="R14" s="51">
        <f t="shared" si="1"/>
        <v>2.708299368557737</v>
      </c>
      <c r="S14" s="51">
        <f t="shared" si="2"/>
        <v>5.5643776222137793E-2</v>
      </c>
      <c r="T14" s="51">
        <f t="shared" si="3"/>
        <v>2.7583735651321911E-2</v>
      </c>
      <c r="U14" s="58">
        <f t="shared" si="4"/>
        <v>3.4872393113978231E-2</v>
      </c>
      <c r="V14" s="58">
        <f t="shared" si="5"/>
        <v>3.6594198579401598E-2</v>
      </c>
      <c r="W14" s="58">
        <f t="shared" si="6"/>
        <v>1.4084507042253521E-2</v>
      </c>
      <c r="X14" s="58">
        <f t="shared" si="7"/>
        <v>0.59022503989727781</v>
      </c>
      <c r="Y14" s="51">
        <f t="shared" si="8"/>
        <v>41.905977832706732</v>
      </c>
      <c r="Z14" s="51">
        <f t="shared" si="9"/>
        <v>1.4613617328078066</v>
      </c>
      <c r="AA14" s="52">
        <v>3</v>
      </c>
      <c r="AB14">
        <v>0</v>
      </c>
    </row>
    <row r="15" spans="1:28">
      <c r="A15" s="6">
        <v>2019</v>
      </c>
      <c r="B15" s="6" t="s">
        <v>265</v>
      </c>
      <c r="C15" s="7" t="s">
        <v>266</v>
      </c>
      <c r="D15" s="61">
        <v>250724734274</v>
      </c>
      <c r="E15" s="10">
        <v>249614390323</v>
      </c>
      <c r="F15" s="10">
        <v>521493784876</v>
      </c>
      <c r="G15" s="10">
        <f t="shared" si="0"/>
        <v>105476752401</v>
      </c>
      <c r="H15" s="10">
        <v>26345627806</v>
      </c>
      <c r="I15" s="10">
        <v>131822380207</v>
      </c>
      <c r="J15" s="10">
        <v>389671404669</v>
      </c>
      <c r="K15" s="8">
        <v>2000000000</v>
      </c>
      <c r="L15" s="10">
        <v>407452029013</v>
      </c>
      <c r="M15" s="10">
        <v>292192033789</v>
      </c>
      <c r="N15" s="10">
        <f>60822934424+4618458062+38111785637</f>
        <v>103553178123</v>
      </c>
      <c r="O15" s="10">
        <v>7221065916</v>
      </c>
      <c r="P15" s="61">
        <v>3300000000</v>
      </c>
      <c r="Q15" s="51">
        <v>302</v>
      </c>
      <c r="R15" s="51">
        <f t="shared" si="1"/>
        <v>2.3770615663326295</v>
      </c>
      <c r="S15" s="51">
        <f t="shared" si="2"/>
        <v>6.7609856639028632E-2</v>
      </c>
      <c r="T15" s="51">
        <f t="shared" si="3"/>
        <v>1.3846887777803553E-2</v>
      </c>
      <c r="U15" s="58">
        <f t="shared" si="4"/>
        <v>1.8531167105099274E-2</v>
      </c>
      <c r="V15" s="58">
        <f t="shared" si="5"/>
        <v>1.7722493451541033E-2</v>
      </c>
      <c r="W15" s="58">
        <f t="shared" si="6"/>
        <v>5.4635761589403968E-3</v>
      </c>
      <c r="X15" s="58">
        <f t="shared" si="7"/>
        <v>0.45699624382157489</v>
      </c>
      <c r="Y15" s="51">
        <f t="shared" si="8"/>
        <v>83.644160990373109</v>
      </c>
      <c r="Z15" s="51">
        <f t="shared" si="9"/>
        <v>1.5500239246784298</v>
      </c>
      <c r="AA15" s="52">
        <v>3</v>
      </c>
      <c r="AB15">
        <v>0</v>
      </c>
    </row>
    <row r="16" spans="1:28">
      <c r="A16" s="6">
        <v>2020</v>
      </c>
      <c r="B16" s="6" t="s">
        <v>265</v>
      </c>
      <c r="C16" s="7" t="s">
        <v>266</v>
      </c>
      <c r="D16" s="61">
        <v>235891593162</v>
      </c>
      <c r="E16" s="10">
        <v>239840874085</v>
      </c>
      <c r="F16" s="10">
        <v>498020612974</v>
      </c>
      <c r="G16" s="10">
        <f t="shared" si="0"/>
        <v>94587795350</v>
      </c>
      <c r="H16" s="10">
        <v>18075450551</v>
      </c>
      <c r="I16" s="10">
        <v>112663245901</v>
      </c>
      <c r="J16" s="10">
        <v>385357367073</v>
      </c>
      <c r="K16" s="8">
        <v>2000000000</v>
      </c>
      <c r="L16" s="10">
        <v>330675687019</v>
      </c>
      <c r="M16" s="10">
        <v>233761111651</v>
      </c>
      <c r="N16" s="10">
        <f>30572099655+56246224164+6860466956</f>
        <v>93678790775</v>
      </c>
      <c r="O16" s="10">
        <v>249076655</v>
      </c>
      <c r="P16" s="61">
        <v>2000000000</v>
      </c>
      <c r="Q16" s="51">
        <v>240</v>
      </c>
      <c r="R16" s="51">
        <f t="shared" si="1"/>
        <v>2.4938903828885994</v>
      </c>
      <c r="S16" s="51">
        <f t="shared" si="2"/>
        <v>4.6905683128086885E-2</v>
      </c>
      <c r="T16" s="51">
        <f t="shared" si="3"/>
        <v>5.0013322443142217E-4</v>
      </c>
      <c r="U16" s="58">
        <f t="shared" si="4"/>
        <v>6.4635238945053377E-4</v>
      </c>
      <c r="V16" s="58">
        <f t="shared" si="5"/>
        <v>7.5323546537513816E-4</v>
      </c>
      <c r="W16" s="58">
        <f t="shared" si="6"/>
        <v>4.1666666666666666E-3</v>
      </c>
      <c r="X16" s="58">
        <f t="shared" si="7"/>
        <v>8.0296565729935629</v>
      </c>
      <c r="Y16" s="51">
        <f t="shared" si="8"/>
        <v>1927.1175775184552</v>
      </c>
      <c r="Z16" s="51">
        <f t="shared" si="9"/>
        <v>1.2455970509811778</v>
      </c>
      <c r="AA16" s="52">
        <v>3</v>
      </c>
      <c r="AB16">
        <v>1</v>
      </c>
    </row>
    <row r="17" spans="1:28">
      <c r="A17" s="6">
        <v>2018</v>
      </c>
      <c r="B17" s="6" t="s">
        <v>268</v>
      </c>
      <c r="C17" s="7" t="s">
        <v>269</v>
      </c>
      <c r="D17" s="62">
        <v>6960395955329</v>
      </c>
      <c r="E17" s="10">
        <v>1215546692942</v>
      </c>
      <c r="F17" s="10">
        <v>8322960974230</v>
      </c>
      <c r="G17" s="10">
        <f t="shared" si="0"/>
        <v>2442855705213</v>
      </c>
      <c r="H17" s="10">
        <v>92250390844</v>
      </c>
      <c r="I17" s="10">
        <v>2535106096057</v>
      </c>
      <c r="J17" s="10">
        <v>5787854878173</v>
      </c>
      <c r="K17" s="8">
        <v>9120000000</v>
      </c>
      <c r="L17" s="10">
        <v>20604487293751</v>
      </c>
      <c r="M17" s="10">
        <v>18207487072775</v>
      </c>
      <c r="N17" s="10">
        <f>1362204479737+206695250349+22161406875+5391026594</f>
        <v>1596452163555</v>
      </c>
      <c r="O17" s="10">
        <v>653250886056</v>
      </c>
      <c r="P17" s="61">
        <v>13543200000</v>
      </c>
      <c r="Q17" s="51">
        <v>2100</v>
      </c>
      <c r="R17" s="51">
        <f t="shared" si="1"/>
        <v>2.8492865708259676</v>
      </c>
      <c r="S17" s="51">
        <f t="shared" si="2"/>
        <v>1.5938615045773201E-2</v>
      </c>
      <c r="T17" s="51">
        <f t="shared" si="3"/>
        <v>7.8487798762799751E-2</v>
      </c>
      <c r="U17" s="58">
        <f t="shared" si="4"/>
        <v>0.11286580258249423</v>
      </c>
      <c r="V17" s="58">
        <f t="shared" si="5"/>
        <v>3.170430191942316E-2</v>
      </c>
      <c r="W17" s="58">
        <f t="shared" si="6"/>
        <v>7.0714285714285714E-4</v>
      </c>
      <c r="X17" s="58">
        <f t="shared" si="7"/>
        <v>2.0732004026457619E-2</v>
      </c>
      <c r="Y17" s="51">
        <f t="shared" si="8"/>
        <v>29.317985491960272</v>
      </c>
      <c r="Z17" s="51">
        <f t="shared" si="9"/>
        <v>3.3089979626520178</v>
      </c>
      <c r="AA17" s="52">
        <v>3</v>
      </c>
      <c r="AB17">
        <v>0</v>
      </c>
    </row>
    <row r="18" spans="1:28">
      <c r="A18" s="6">
        <v>2019</v>
      </c>
      <c r="B18" s="6" t="s">
        <v>268</v>
      </c>
      <c r="C18" s="7" t="s">
        <v>269</v>
      </c>
      <c r="D18" s="61">
        <v>7120602478197</v>
      </c>
      <c r="E18" s="10">
        <v>1433166129304</v>
      </c>
      <c r="F18" s="10">
        <v>8704958834283</v>
      </c>
      <c r="G18" s="10">
        <f t="shared" si="0"/>
        <v>2463953517223</v>
      </c>
      <c r="H18" s="10">
        <v>111696870012</v>
      </c>
      <c r="I18" s="10">
        <v>2575650387235</v>
      </c>
      <c r="J18" s="10">
        <v>6129308447048</v>
      </c>
      <c r="K18" s="8">
        <v>9120000000</v>
      </c>
      <c r="L18" s="10">
        <v>22226912485948</v>
      </c>
      <c r="M18" s="10">
        <v>19771990916170</v>
      </c>
      <c r="N18" s="10">
        <f>1504815891702+222490672344+6161028189+2683149488</f>
        <v>1736150741723</v>
      </c>
      <c r="O18" s="10">
        <v>580814677453</v>
      </c>
      <c r="P18" s="61">
        <v>243777600000</v>
      </c>
      <c r="Q18" s="51">
        <v>2050</v>
      </c>
      <c r="R18" s="51">
        <f t="shared" si="1"/>
        <v>2.8899094193230881</v>
      </c>
      <c r="S18" s="51">
        <f t="shared" si="2"/>
        <v>1.8223404969249915E-2</v>
      </c>
      <c r="T18" s="51">
        <f t="shared" si="3"/>
        <v>6.6722277326063867E-2</v>
      </c>
      <c r="U18" s="58">
        <f t="shared" si="4"/>
        <v>9.4760229880865632E-2</v>
      </c>
      <c r="V18" s="58">
        <f t="shared" si="5"/>
        <v>2.6131145197075611E-2</v>
      </c>
      <c r="W18" s="58">
        <f t="shared" si="6"/>
        <v>1.3039024390243903E-2</v>
      </c>
      <c r="X18" s="58">
        <f t="shared" si="7"/>
        <v>0.41971666602679247</v>
      </c>
      <c r="Y18" s="51">
        <f t="shared" si="8"/>
        <v>32.189269186491757</v>
      </c>
      <c r="Z18" s="51">
        <f t="shared" si="9"/>
        <v>3.0502625478090231</v>
      </c>
      <c r="AA18" s="52">
        <v>3</v>
      </c>
      <c r="AB18">
        <v>0</v>
      </c>
    </row>
    <row r="19" spans="1:28">
      <c r="A19" s="6">
        <v>2020</v>
      </c>
      <c r="B19" s="6" t="s">
        <v>268</v>
      </c>
      <c r="C19" s="7" t="s">
        <v>269</v>
      </c>
      <c r="D19" s="61">
        <v>7540695065075</v>
      </c>
      <c r="E19" s="10">
        <v>1531423663540</v>
      </c>
      <c r="F19" s="10">
        <v>9211731059218</v>
      </c>
      <c r="G19" s="10">
        <f t="shared" si="0"/>
        <v>2533986369290</v>
      </c>
      <c r="H19" s="10">
        <v>118288329421</v>
      </c>
      <c r="I19" s="10">
        <v>2652274698711</v>
      </c>
      <c r="J19" s="10">
        <v>6559456360507</v>
      </c>
      <c r="K19" s="8">
        <v>9120000000</v>
      </c>
      <c r="L19" s="10">
        <v>22545419368639</v>
      </c>
      <c r="M19" s="10">
        <v>20086788571564</v>
      </c>
      <c r="N19" s="10">
        <f>1478722246303+231348697736+10852235264+12082117088</f>
        <v>1733005296391</v>
      </c>
      <c r="O19" s="10">
        <v>679870547997</v>
      </c>
      <c r="P19" s="61">
        <v>243777600000</v>
      </c>
      <c r="Q19" s="51">
        <v>2110</v>
      </c>
      <c r="R19" s="51">
        <f t="shared" si="1"/>
        <v>2.9758230574807056</v>
      </c>
      <c r="S19" s="51">
        <f t="shared" si="2"/>
        <v>1.8033251983073966E-2</v>
      </c>
      <c r="T19" s="51">
        <f t="shared" si="3"/>
        <v>7.3804862910827898E-2</v>
      </c>
      <c r="U19" s="58">
        <f t="shared" si="4"/>
        <v>0.10364739250196807</v>
      </c>
      <c r="V19" s="58">
        <f t="shared" si="5"/>
        <v>3.0155595550496152E-2</v>
      </c>
      <c r="W19" s="58">
        <f t="shared" si="6"/>
        <v>1.2668246445497631E-2</v>
      </c>
      <c r="X19" s="58">
        <f t="shared" si="7"/>
        <v>0.35856473076853401</v>
      </c>
      <c r="Y19" s="51">
        <f t="shared" si="8"/>
        <v>28.304211818990154</v>
      </c>
      <c r="Z19" s="51">
        <f t="shared" si="9"/>
        <v>2.9336577518617162</v>
      </c>
      <c r="AA19" s="52">
        <v>3</v>
      </c>
      <c r="AB19">
        <v>0</v>
      </c>
    </row>
    <row r="20" spans="1:28">
      <c r="A20" s="6">
        <v>2018</v>
      </c>
      <c r="B20" s="6" t="s">
        <v>272</v>
      </c>
      <c r="C20" s="7" t="s">
        <v>273</v>
      </c>
      <c r="D20" s="63">
        <f>303730658*14481</f>
        <v>4398323658498</v>
      </c>
      <c r="E20" s="10">
        <f>33931351*14481</f>
        <v>491359893831</v>
      </c>
      <c r="F20" s="10">
        <f>283350512*14481</f>
        <v>4103198764272</v>
      </c>
      <c r="G20" s="10">
        <f>(I20-H20)*14481</f>
        <v>2.5826130835108288E+16</v>
      </c>
      <c r="H20" s="10">
        <f>9889254*14481</f>
        <v>143206287174</v>
      </c>
      <c r="I20" s="10">
        <f>133047144*14481</f>
        <v>1926655692264</v>
      </c>
      <c r="J20" s="10">
        <f>150303368*14481</f>
        <v>2176543072008</v>
      </c>
      <c r="K20" s="8">
        <f>1680000000*14481</f>
        <v>24328080000000</v>
      </c>
      <c r="L20" s="10">
        <f>343228140*14481</f>
        <v>4970286695340</v>
      </c>
      <c r="M20" s="10">
        <f>272719324*14481</f>
        <v>3949248530844</v>
      </c>
      <c r="N20" s="10">
        <f>(24818529+14936978+1642242)*14481</f>
        <v>599480803269</v>
      </c>
      <c r="O20" s="10">
        <f>22549481*14481</f>
        <v>326539034361</v>
      </c>
      <c r="P20" s="10">
        <f>17932883*14481</f>
        <v>259686078723</v>
      </c>
      <c r="Q20" s="51">
        <v>2850</v>
      </c>
      <c r="R20" s="51">
        <f t="shared" si="1"/>
        <v>1.7030517217541844E-4</v>
      </c>
      <c r="S20" s="51">
        <f t="shared" si="2"/>
        <v>6.579529209219051E-2</v>
      </c>
      <c r="T20" s="51">
        <f t="shared" si="3"/>
        <v>7.9581578451497562E-2</v>
      </c>
      <c r="U20" s="58">
        <f t="shared" si="4"/>
        <v>0.15002645183572999</v>
      </c>
      <c r="V20" s="58">
        <f t="shared" si="5"/>
        <v>6.5698229172002034E-2</v>
      </c>
      <c r="W20" s="58">
        <f t="shared" si="6"/>
        <v>3.7453807435254805E-6</v>
      </c>
      <c r="X20" s="58">
        <f t="shared" si="7"/>
        <v>0.79526810395325731</v>
      </c>
      <c r="Y20" s="51">
        <f t="shared" si="8"/>
        <v>212333.0466009395</v>
      </c>
      <c r="Z20" s="51">
        <f t="shared" si="9"/>
        <v>31855.573589009662</v>
      </c>
      <c r="AA20" s="52">
        <v>3</v>
      </c>
      <c r="AB20">
        <v>0</v>
      </c>
    </row>
    <row r="21" spans="1:28">
      <c r="A21" s="6">
        <v>2019</v>
      </c>
      <c r="B21" s="6" t="s">
        <v>272</v>
      </c>
      <c r="C21" s="7" t="s">
        <v>273</v>
      </c>
      <c r="D21" s="10">
        <f>224442718*13901</f>
        <v>3119978222918</v>
      </c>
      <c r="E21" s="10">
        <f>32395945*13901</f>
        <v>450336031445</v>
      </c>
      <c r="F21" s="10">
        <f>346312450*13901</f>
        <v>4814089367450</v>
      </c>
      <c r="G21" s="10">
        <f>(I21-H21)*13901</f>
        <v>3.205303792044774E+16</v>
      </c>
      <c r="H21" s="10">
        <f>11149711*13901</f>
        <v>154992132611</v>
      </c>
      <c r="I21" s="10">
        <f>177023250*13901</f>
        <v>2460800198250</v>
      </c>
      <c r="J21" s="10">
        <f>169289200*13901</f>
        <v>2353289169200</v>
      </c>
      <c r="K21" s="8">
        <f>1680000000*13901</f>
        <v>23353680000000</v>
      </c>
      <c r="L21" s="10">
        <f>461333111*13901</f>
        <v>6412991576011</v>
      </c>
      <c r="M21" s="10">
        <f>364810934*13901</f>
        <v>5071236793534</v>
      </c>
      <c r="N21" s="10">
        <f>(28314962+15621674+3812225)*13901</f>
        <v>663756916761</v>
      </c>
      <c r="O21" s="10">
        <f>37600177*13901</f>
        <v>522680060477</v>
      </c>
      <c r="P21" s="61">
        <f>30165579*13901</f>
        <v>419331713679</v>
      </c>
      <c r="Q21" s="51">
        <v>3470</v>
      </c>
      <c r="R21" s="51">
        <f t="shared" si="1"/>
        <v>9.733798807655789E-5</v>
      </c>
      <c r="S21" s="51">
        <f t="shared" si="2"/>
        <v>6.5861915585873163E-2</v>
      </c>
      <c r="T21" s="51">
        <f t="shared" si="3"/>
        <v>0.10857298661945304</v>
      </c>
      <c r="U21" s="58">
        <f t="shared" si="4"/>
        <v>0.22210617688547171</v>
      </c>
      <c r="V21" s="58">
        <f t="shared" si="5"/>
        <v>8.1503313123345272E-2</v>
      </c>
      <c r="W21" s="58">
        <f t="shared" si="6"/>
        <v>5.1745538287361057E-6</v>
      </c>
      <c r="X21" s="58">
        <f t="shared" si="7"/>
        <v>0.80227226058004997</v>
      </c>
      <c r="Y21" s="51">
        <f t="shared" si="8"/>
        <v>155041.82334035289</v>
      </c>
      <c r="Z21" s="51">
        <f t="shared" si="9"/>
        <v>34435.746639478479</v>
      </c>
      <c r="AA21" s="52">
        <v>3</v>
      </c>
      <c r="AB21">
        <v>0</v>
      </c>
    </row>
    <row r="22" spans="1:28">
      <c r="A22" s="6">
        <v>2020</v>
      </c>
      <c r="B22" s="6" t="s">
        <v>272</v>
      </c>
      <c r="C22" s="7" t="s">
        <v>273</v>
      </c>
      <c r="D22" s="9">
        <f>214359738*14105</f>
        <v>3023544104490</v>
      </c>
      <c r="E22" s="10">
        <f>32253909*14105</f>
        <v>454941386445</v>
      </c>
      <c r="F22" s="10">
        <f>266022591*14105</f>
        <v>3752248646055</v>
      </c>
      <c r="G22" s="10">
        <f>(I22-H22)*14105</f>
        <v>1.5449805854385176E+16</v>
      </c>
      <c r="H22" s="10">
        <f>10039504*14105</f>
        <v>141607203920</v>
      </c>
      <c r="I22" s="10">
        <f>87695831*14105</f>
        <v>1236949696255</v>
      </c>
      <c r="J22" s="10">
        <f>178326760*14105</f>
        <v>2515298949800</v>
      </c>
      <c r="K22" s="13">
        <f>1680000000*14105</f>
        <v>23696400000000</v>
      </c>
      <c r="L22" s="10">
        <f>424431271*14105</f>
        <v>5986603077455</v>
      </c>
      <c r="M22" s="10">
        <f>316530893*14105</f>
        <v>4464668245765</v>
      </c>
      <c r="N22" s="10">
        <f>(28766111+19868641+9990238)*14105</f>
        <v>826905483950</v>
      </c>
      <c r="O22" s="9">
        <f>38436806*14105</f>
        <v>542151148630</v>
      </c>
      <c r="P22" s="64">
        <f>30851443*14105</f>
        <v>435159603515</v>
      </c>
      <c r="Q22" s="51">
        <v>3290</v>
      </c>
      <c r="R22" s="51">
        <f t="shared" si="1"/>
        <v>1.9570110673150084E-4</v>
      </c>
      <c r="S22" s="51">
        <f t="shared" si="2"/>
        <v>5.6298359259148764E-2</v>
      </c>
      <c r="T22" s="51">
        <f t="shared" si="3"/>
        <v>0.14448699960222552</v>
      </c>
      <c r="U22" s="58">
        <f t="shared" si="4"/>
        <v>0.21554143640584283</v>
      </c>
      <c r="V22" s="58">
        <f t="shared" si="5"/>
        <v>9.056073062062385E-2</v>
      </c>
      <c r="W22" s="58">
        <f t="shared" si="6"/>
        <v>5.5817489868287742E-6</v>
      </c>
      <c r="X22" s="58">
        <f t="shared" si="7"/>
        <v>0.80265365961989665</v>
      </c>
      <c r="Y22" s="51">
        <f t="shared" si="8"/>
        <v>143799.6695146834</v>
      </c>
      <c r="Z22" s="51">
        <f t="shared" si="9"/>
        <v>30994.787321880351</v>
      </c>
      <c r="AA22" s="52">
        <v>3</v>
      </c>
      <c r="AB22">
        <v>0</v>
      </c>
    </row>
    <row r="23" spans="1:28">
      <c r="A23" s="6">
        <v>2018</v>
      </c>
      <c r="B23" s="6" t="s">
        <v>274</v>
      </c>
      <c r="C23" s="7" t="s">
        <v>275</v>
      </c>
      <c r="D23" s="9">
        <v>2842640000000</v>
      </c>
      <c r="E23" s="10">
        <v>1901953000000</v>
      </c>
      <c r="F23" s="10">
        <v>6318441000000</v>
      </c>
      <c r="G23" s="10">
        <f t="shared" ref="G23:G118" si="10">I23-H23</f>
        <v>2987480000000</v>
      </c>
      <c r="H23" s="10">
        <v>1205919000000</v>
      </c>
      <c r="I23" s="10">
        <v>4193399000000</v>
      </c>
      <c r="J23" s="10">
        <v>2125042000000</v>
      </c>
      <c r="K23" s="8">
        <v>4800000000</v>
      </c>
      <c r="L23" s="10">
        <v>7076493000000</v>
      </c>
      <c r="M23" s="10">
        <v>5787390000000</v>
      </c>
      <c r="N23" s="10">
        <f>838800000000+57067000000</f>
        <v>895867000000</v>
      </c>
      <c r="O23" s="9">
        <v>233141000000</v>
      </c>
      <c r="P23" s="64">
        <v>45380000000</v>
      </c>
      <c r="Q23" s="51">
        <v>615</v>
      </c>
      <c r="R23" s="51">
        <f t="shared" si="1"/>
        <v>0.95151766706387997</v>
      </c>
      <c r="S23" s="51">
        <f t="shared" si="2"/>
        <v>0.56748007804081047</v>
      </c>
      <c r="T23" s="51">
        <f t="shared" si="3"/>
        <v>3.689850075358779E-2</v>
      </c>
      <c r="U23" s="58">
        <f t="shared" si="4"/>
        <v>0.10971124335424901</v>
      </c>
      <c r="V23" s="58">
        <f t="shared" si="5"/>
        <v>3.2945839132462927E-2</v>
      </c>
      <c r="W23" s="58">
        <f t="shared" si="6"/>
        <v>1.5372628726287264E-2</v>
      </c>
      <c r="X23" s="58">
        <f t="shared" si="7"/>
        <v>0.19464615833336907</v>
      </c>
      <c r="Y23" s="51">
        <f t="shared" si="8"/>
        <v>12.661865566331105</v>
      </c>
      <c r="Z23" s="51">
        <f t="shared" si="9"/>
        <v>1.3891490144665375</v>
      </c>
      <c r="AA23" s="52">
        <v>3</v>
      </c>
      <c r="AB23">
        <v>0</v>
      </c>
    </row>
    <row r="24" spans="1:28">
      <c r="A24" s="6">
        <v>2019</v>
      </c>
      <c r="B24" s="6" t="s">
        <v>274</v>
      </c>
      <c r="C24" s="7" t="s">
        <v>275</v>
      </c>
      <c r="D24" s="9">
        <v>2508089000000</v>
      </c>
      <c r="E24" s="10">
        <v>1880861000000</v>
      </c>
      <c r="F24" s="10">
        <v>5863204000000</v>
      </c>
      <c r="G24" s="10">
        <f t="shared" si="10"/>
        <v>2971594000000</v>
      </c>
      <c r="H24" s="10">
        <v>731430000000</v>
      </c>
      <c r="I24" s="10">
        <v>3703024000000</v>
      </c>
      <c r="J24" s="10">
        <v>2160180000000</v>
      </c>
      <c r="K24" s="8">
        <v>4800000000</v>
      </c>
      <c r="L24" s="10">
        <v>6534734000000</v>
      </c>
      <c r="M24" s="10">
        <v>5253452000000</v>
      </c>
      <c r="N24" s="10">
        <f>873976000000+5811000000</f>
        <v>879787000000</v>
      </c>
      <c r="O24" s="10">
        <v>225747000000</v>
      </c>
      <c r="P24" s="64">
        <v>61647000000</v>
      </c>
      <c r="Q24" s="51">
        <v>610</v>
      </c>
      <c r="R24" s="51">
        <f t="shared" si="1"/>
        <v>0.84402142419186466</v>
      </c>
      <c r="S24" s="51">
        <f t="shared" si="2"/>
        <v>0.33859678360136658</v>
      </c>
      <c r="T24" s="51">
        <f t="shared" si="3"/>
        <v>3.8502327396420115E-2</v>
      </c>
      <c r="U24" s="58">
        <f t="shared" si="4"/>
        <v>0.10450379135072077</v>
      </c>
      <c r="V24" s="58">
        <f t="shared" si="5"/>
        <v>3.4545706068525514E-2</v>
      </c>
      <c r="W24" s="58">
        <f t="shared" si="6"/>
        <v>2.1054303278688527E-2</v>
      </c>
      <c r="X24" s="58">
        <f t="shared" si="7"/>
        <v>0.27308004093077648</v>
      </c>
      <c r="Y24" s="51">
        <f t="shared" si="8"/>
        <v>12.970272030193092</v>
      </c>
      <c r="Z24" s="51">
        <f t="shared" si="9"/>
        <v>1.3554426020053885</v>
      </c>
      <c r="AA24" s="52">
        <v>3</v>
      </c>
      <c r="AB24">
        <v>0</v>
      </c>
    </row>
    <row r="25" spans="1:28">
      <c r="A25" s="6">
        <v>2020</v>
      </c>
      <c r="B25" s="6" t="s">
        <v>274</v>
      </c>
      <c r="C25" s="7" t="s">
        <v>275</v>
      </c>
      <c r="D25" s="9">
        <v>2138024000000</v>
      </c>
      <c r="E25" s="10">
        <v>1828809000000</v>
      </c>
      <c r="F25" s="10">
        <v>5524302000000</v>
      </c>
      <c r="G25" s="10">
        <f t="shared" si="10"/>
        <v>2189930000000</v>
      </c>
      <c r="H25" s="9">
        <v>1091250000000</v>
      </c>
      <c r="I25" s="10">
        <v>3281180000000</v>
      </c>
      <c r="J25" s="10">
        <v>2243122000000</v>
      </c>
      <c r="K25" s="8">
        <v>4800000000</v>
      </c>
      <c r="L25" s="10">
        <v>5592338000000</v>
      </c>
      <c r="M25" s="10">
        <v>4417520000000</v>
      </c>
      <c r="N25" s="10">
        <f>775644000000+87519000000</f>
        <v>863163000000</v>
      </c>
      <c r="O25" s="10">
        <v>118196000000</v>
      </c>
      <c r="P25" s="64">
        <v>53603000000</v>
      </c>
      <c r="Q25" s="51">
        <v>490</v>
      </c>
      <c r="R25" s="51">
        <f t="shared" si="1"/>
        <v>0.97629787253473854</v>
      </c>
      <c r="S25" s="51">
        <f t="shared" si="2"/>
        <v>0.48648713712406189</v>
      </c>
      <c r="T25" s="51">
        <f t="shared" si="3"/>
        <v>2.1395644191791109E-2</v>
      </c>
      <c r="U25" s="58">
        <f t="shared" si="4"/>
        <v>5.2692631074012022E-2</v>
      </c>
      <c r="V25" s="58">
        <f t="shared" si="5"/>
        <v>2.1135346254106957E-2</v>
      </c>
      <c r="W25" s="58">
        <f t="shared" si="6"/>
        <v>2.2790391156462586E-2</v>
      </c>
      <c r="X25" s="58">
        <f t="shared" si="7"/>
        <v>0.45350942502284342</v>
      </c>
      <c r="Y25" s="51">
        <f t="shared" si="8"/>
        <v>19.899150563470844</v>
      </c>
      <c r="Z25" s="51">
        <f t="shared" si="9"/>
        <v>1.0485385993271876</v>
      </c>
      <c r="AA25" s="52">
        <v>3</v>
      </c>
      <c r="AB25">
        <v>0</v>
      </c>
    </row>
    <row r="26" spans="1:28">
      <c r="A26" s="6">
        <v>2018</v>
      </c>
      <c r="B26" s="6" t="s">
        <v>276</v>
      </c>
      <c r="C26" s="7" t="s">
        <v>277</v>
      </c>
      <c r="D26" s="9">
        <v>426630096664</v>
      </c>
      <c r="E26" s="10">
        <v>396613573360</v>
      </c>
      <c r="F26" s="10">
        <v>928832007829</v>
      </c>
      <c r="G26" s="10">
        <f t="shared" si="10"/>
        <v>218195329431</v>
      </c>
      <c r="H26" s="10">
        <v>72924681977</v>
      </c>
      <c r="I26" s="10">
        <v>291120011408</v>
      </c>
      <c r="J26" s="10">
        <v>637711996421</v>
      </c>
      <c r="K26" s="8">
        <v>2000000000</v>
      </c>
      <c r="L26" s="10">
        <v>28935125276</v>
      </c>
      <c r="M26" s="10">
        <v>23917401115</v>
      </c>
      <c r="N26" s="10">
        <f>314144918983+1364477909</f>
        <v>315509396892</v>
      </c>
      <c r="O26" s="10">
        <v>32997196204</v>
      </c>
      <c r="P26" s="64">
        <v>5954230000</v>
      </c>
      <c r="Q26" s="51">
        <v>370</v>
      </c>
      <c r="R26" s="51">
        <f t="shared" si="1"/>
        <v>1.9552668600952496</v>
      </c>
      <c r="S26" s="51">
        <f t="shared" si="2"/>
        <v>0.11435363045743477</v>
      </c>
      <c r="T26" s="51">
        <f t="shared" si="3"/>
        <v>3.5525472772117102E-2</v>
      </c>
      <c r="U26" s="58">
        <f t="shared" si="4"/>
        <v>5.1743100943981858E-2</v>
      </c>
      <c r="V26" s="58">
        <f t="shared" si="5"/>
        <v>1.1403854619343656</v>
      </c>
      <c r="W26" s="58">
        <f t="shared" si="6"/>
        <v>8.0462567567567561E-3</v>
      </c>
      <c r="X26" s="58">
        <f t="shared" si="7"/>
        <v>0.18044654349384429</v>
      </c>
      <c r="Y26" s="51">
        <f t="shared" si="8"/>
        <v>22.426147828593251</v>
      </c>
      <c r="Z26" s="51">
        <f t="shared" si="9"/>
        <v>1.1603984308795601</v>
      </c>
      <c r="AA26" s="52">
        <v>3</v>
      </c>
      <c r="AB26">
        <v>0</v>
      </c>
    </row>
    <row r="27" spans="1:28">
      <c r="A27" s="6">
        <v>2019</v>
      </c>
      <c r="B27" s="6" t="s">
        <v>276</v>
      </c>
      <c r="C27" s="7" t="s">
        <v>277</v>
      </c>
      <c r="D27" s="9">
        <v>471241593838</v>
      </c>
      <c r="E27" s="10">
        <v>441663263719</v>
      </c>
      <c r="F27" s="10">
        <v>1044252437786</v>
      </c>
      <c r="G27" s="10">
        <f t="shared" si="10"/>
        <v>303796823069</v>
      </c>
      <c r="H27" s="10">
        <v>61600581292</v>
      </c>
      <c r="I27" s="10">
        <v>365397404361</v>
      </c>
      <c r="J27" s="10">
        <v>678855033425</v>
      </c>
      <c r="K27" s="8">
        <v>2000000000</v>
      </c>
      <c r="L27" s="10">
        <v>704897521423</v>
      </c>
      <c r="M27" s="10">
        <v>325702387052</v>
      </c>
      <c r="N27" s="10">
        <f>359462091901+4452173918</f>
        <v>363914265819</v>
      </c>
      <c r="O27" s="10">
        <v>34333566183</v>
      </c>
      <c r="P27" s="64">
        <v>5954230000</v>
      </c>
      <c r="Q27" s="51">
        <v>346</v>
      </c>
      <c r="R27" s="51">
        <f t="shared" si="1"/>
        <v>1.5511735411761334</v>
      </c>
      <c r="S27" s="51">
        <f t="shared" si="2"/>
        <v>9.074187898586987E-2</v>
      </c>
      <c r="T27" s="51">
        <f t="shared" si="3"/>
        <v>3.287860764375445E-2</v>
      </c>
      <c r="U27" s="58">
        <f t="shared" si="4"/>
        <v>5.0575696566287853E-2</v>
      </c>
      <c r="V27" s="58">
        <f t="shared" si="5"/>
        <v>4.8707173935992415E-2</v>
      </c>
      <c r="W27" s="58">
        <f t="shared" si="6"/>
        <v>8.6043786127167621E-3</v>
      </c>
      <c r="X27" s="58">
        <f t="shared" si="7"/>
        <v>0.17342299859745391</v>
      </c>
      <c r="Y27" s="51">
        <f t="shared" si="8"/>
        <v>20.155203112650685</v>
      </c>
      <c r="Z27" s="51">
        <f t="shared" si="9"/>
        <v>1.0193634368573217</v>
      </c>
      <c r="AA27" s="52">
        <v>3</v>
      </c>
      <c r="AB27">
        <v>0</v>
      </c>
    </row>
    <row r="28" spans="1:28">
      <c r="A28" s="6">
        <v>2020</v>
      </c>
      <c r="B28" s="6" t="s">
        <v>276</v>
      </c>
      <c r="C28" s="7" t="s">
        <v>277</v>
      </c>
      <c r="D28" s="9">
        <v>451410867230</v>
      </c>
      <c r="E28" s="10">
        <v>425497809009</v>
      </c>
      <c r="F28" s="10">
        <v>1000283894657</v>
      </c>
      <c r="G28" s="10">
        <f t="shared" si="10"/>
        <v>265301685348</v>
      </c>
      <c r="H28" s="10">
        <v>54270499572</v>
      </c>
      <c r="I28" s="10">
        <v>319572184920</v>
      </c>
      <c r="J28" s="10">
        <v>680711709737</v>
      </c>
      <c r="K28" s="8">
        <v>2000000000</v>
      </c>
      <c r="L28" s="10">
        <v>654285313569</v>
      </c>
      <c r="M28" s="10">
        <v>282419815086</v>
      </c>
      <c r="N28" s="10">
        <f>339163629799+26439740478</f>
        <v>365603370277</v>
      </c>
      <c r="O28" s="10">
        <v>2701416962</v>
      </c>
      <c r="P28" s="64">
        <v>2959520000</v>
      </c>
      <c r="Q28" s="51">
        <v>298</v>
      </c>
      <c r="R28" s="51">
        <f t="shared" si="1"/>
        <v>1.7015001869960906</v>
      </c>
      <c r="S28" s="51">
        <f t="shared" si="2"/>
        <v>7.9726114294358136E-2</v>
      </c>
      <c r="T28" s="51">
        <f t="shared" si="3"/>
        <v>2.7006502618202436E-3</v>
      </c>
      <c r="U28" s="58">
        <f t="shared" si="4"/>
        <v>3.9685184246995254E-3</v>
      </c>
      <c r="V28" s="58">
        <f t="shared" si="5"/>
        <v>4.128805745714041E-3</v>
      </c>
      <c r="W28" s="58">
        <f t="shared" si="6"/>
        <v>4.9656375838926176E-3</v>
      </c>
      <c r="X28" s="58">
        <f t="shared" si="7"/>
        <v>1.0955435764380901</v>
      </c>
      <c r="Y28" s="51">
        <f t="shared" si="8"/>
        <v>220.62495660009111</v>
      </c>
      <c r="Z28" s="51">
        <f t="shared" si="9"/>
        <v>0.87555420521599481</v>
      </c>
      <c r="AA28" s="52">
        <v>3</v>
      </c>
      <c r="AB28">
        <v>0</v>
      </c>
    </row>
    <row r="29" spans="1:28">
      <c r="A29" s="6">
        <v>2018</v>
      </c>
      <c r="B29" s="6" t="s">
        <v>278</v>
      </c>
      <c r="C29" s="7" t="s">
        <v>279</v>
      </c>
      <c r="D29" s="9">
        <v>1093923908933</v>
      </c>
      <c r="E29" s="10">
        <v>19895955091</v>
      </c>
      <c r="F29" s="10">
        <v>1192891220453</v>
      </c>
      <c r="G29" s="10">
        <f t="shared" si="10"/>
        <v>935926818869</v>
      </c>
      <c r="H29" s="10">
        <v>24856461000</v>
      </c>
      <c r="I29" s="10">
        <v>960783279869</v>
      </c>
      <c r="J29" s="10">
        <v>232107940584</v>
      </c>
      <c r="K29" s="8">
        <v>2184000000</v>
      </c>
      <c r="L29" s="9">
        <v>2376182739151</v>
      </c>
      <c r="M29" s="10">
        <v>2166026999864</v>
      </c>
      <c r="N29" s="10">
        <f>42305260589+102159744732+2830832908</f>
        <v>147295838229</v>
      </c>
      <c r="O29" s="10">
        <v>19444262069</v>
      </c>
      <c r="P29" s="64">
        <v>2548000000</v>
      </c>
      <c r="Q29" s="51">
        <v>95</v>
      </c>
      <c r="R29" s="51">
        <f t="shared" si="1"/>
        <v>1.1688135085763736</v>
      </c>
      <c r="S29" s="51">
        <f t="shared" si="2"/>
        <v>0.10709009324480406</v>
      </c>
      <c r="T29" s="51">
        <f t="shared" si="3"/>
        <v>1.6300113317638511E-2</v>
      </c>
      <c r="U29" s="58">
        <f t="shared" si="4"/>
        <v>8.3772498347436372E-2</v>
      </c>
      <c r="V29" s="58">
        <f t="shared" si="5"/>
        <v>8.1829826252956261E-3</v>
      </c>
      <c r="W29" s="58">
        <f t="shared" si="6"/>
        <v>1.2280701754385965E-2</v>
      </c>
      <c r="X29" s="58">
        <f t="shared" si="7"/>
        <v>0.13104122907612309</v>
      </c>
      <c r="Y29" s="51">
        <f t="shared" si="8"/>
        <v>10.670500081912879</v>
      </c>
      <c r="Z29" s="51">
        <f t="shared" si="9"/>
        <v>0.89389445047836646</v>
      </c>
      <c r="AA29" s="52">
        <v>3</v>
      </c>
      <c r="AB29">
        <v>0</v>
      </c>
    </row>
    <row r="30" spans="1:28">
      <c r="A30" s="6">
        <v>2019</v>
      </c>
      <c r="B30" s="6" t="s">
        <v>278</v>
      </c>
      <c r="C30" s="7" t="s">
        <v>279</v>
      </c>
      <c r="D30" s="9">
        <v>1110540241160</v>
      </c>
      <c r="E30" s="10">
        <v>24821572603</v>
      </c>
      <c r="F30" s="10">
        <v>1230844175984</v>
      </c>
      <c r="G30" s="10">
        <f t="shared" si="10"/>
        <v>966343568608</v>
      </c>
      <c r="H30" s="10">
        <v>29062791000</v>
      </c>
      <c r="I30" s="10">
        <v>995406359608</v>
      </c>
      <c r="J30" s="10">
        <v>235437816376</v>
      </c>
      <c r="K30" s="8">
        <v>2184000000</v>
      </c>
      <c r="L30" s="10">
        <v>2726755413484</v>
      </c>
      <c r="M30" s="10">
        <v>2497998546107</v>
      </c>
      <c r="N30" s="10">
        <f>50968036953+113057481128+1343858926</f>
        <v>165369377007</v>
      </c>
      <c r="O30" s="10">
        <v>7880007292</v>
      </c>
      <c r="P30" s="64">
        <v>3822000000</v>
      </c>
      <c r="Q30" s="51">
        <v>95</v>
      </c>
      <c r="R30" s="51">
        <f t="shared" si="1"/>
        <v>1.1492188464188908</v>
      </c>
      <c r="S30" s="51">
        <f t="shared" si="2"/>
        <v>0.12344147362285253</v>
      </c>
      <c r="T30" s="51">
        <f t="shared" si="3"/>
        <v>6.4021160807787207E-3</v>
      </c>
      <c r="U30" s="58">
        <f t="shared" si="4"/>
        <v>3.3469590456171386E-2</v>
      </c>
      <c r="V30" s="58">
        <f t="shared" si="5"/>
        <v>2.8898841652730575E-3</v>
      </c>
      <c r="W30" s="58">
        <f t="shared" si="6"/>
        <v>1.8421052631578946E-2</v>
      </c>
      <c r="X30" s="58">
        <f t="shared" si="7"/>
        <v>0.48502493187794377</v>
      </c>
      <c r="Y30" s="51">
        <f t="shared" si="8"/>
        <v>26.32992487337409</v>
      </c>
      <c r="Z30" s="51">
        <f t="shared" si="9"/>
        <v>0.8812518022535909</v>
      </c>
      <c r="AA30" s="52">
        <v>3</v>
      </c>
      <c r="AB30">
        <v>0</v>
      </c>
    </row>
    <row r="31" spans="1:28">
      <c r="A31" s="6">
        <v>2020</v>
      </c>
      <c r="B31" s="6" t="s">
        <v>278</v>
      </c>
      <c r="C31" s="7" t="s">
        <v>279</v>
      </c>
      <c r="D31" s="9">
        <v>1028893089973</v>
      </c>
      <c r="E31" s="10">
        <v>21788531959</v>
      </c>
      <c r="F31" s="10">
        <v>1164826486522</v>
      </c>
      <c r="G31" s="10">
        <f t="shared" si="10"/>
        <v>903258283864</v>
      </c>
      <c r="H31" s="10">
        <v>32371714072</v>
      </c>
      <c r="I31" s="10">
        <v>935629997936</v>
      </c>
      <c r="J31" s="10">
        <v>229196488586</v>
      </c>
      <c r="K31" s="8">
        <v>2184000000</v>
      </c>
      <c r="L31" s="10">
        <v>2643626505412</v>
      </c>
      <c r="M31" s="10">
        <v>2421934897535</v>
      </c>
      <c r="N31" s="10">
        <f>50801392553+113456884154+4661838637</f>
        <v>168920115344</v>
      </c>
      <c r="O31" s="9">
        <v>2804331066</v>
      </c>
      <c r="P31" s="64">
        <v>1274000000</v>
      </c>
      <c r="Q31" s="51">
        <v>104</v>
      </c>
      <c r="R31" s="51">
        <f t="shared" si="1"/>
        <v>1.139090676889841</v>
      </c>
      <c r="S31" s="51">
        <f t="shared" si="2"/>
        <v>0.14124000883134541</v>
      </c>
      <c r="T31" s="51">
        <f t="shared" si="3"/>
        <v>2.4075097007566497E-3</v>
      </c>
      <c r="U31" s="58">
        <f t="shared" si="4"/>
        <v>1.2235488786503585E-2</v>
      </c>
      <c r="V31" s="58">
        <f t="shared" si="5"/>
        <v>1.060789434611511E-3</v>
      </c>
      <c r="W31" s="58">
        <f t="shared" si="6"/>
        <v>5.608974358974359E-3</v>
      </c>
      <c r="X31" s="58">
        <f t="shared" si="7"/>
        <v>0.45429728873530939</v>
      </c>
      <c r="Y31" s="51">
        <f t="shared" si="8"/>
        <v>80.994716620238023</v>
      </c>
      <c r="Z31" s="51">
        <f t="shared" si="9"/>
        <v>0.99100994697295797</v>
      </c>
      <c r="AA31" s="52">
        <v>3</v>
      </c>
      <c r="AB31">
        <v>0</v>
      </c>
    </row>
    <row r="32" spans="1:28">
      <c r="A32" s="6">
        <v>2018</v>
      </c>
      <c r="B32" s="6" t="s">
        <v>280</v>
      </c>
      <c r="C32" s="7" t="s">
        <v>281</v>
      </c>
      <c r="D32" s="9">
        <v>3293438978537</v>
      </c>
      <c r="E32" s="10">
        <v>94064002067</v>
      </c>
      <c r="F32" s="10">
        <v>3485510411961</v>
      </c>
      <c r="G32" s="10">
        <f t="shared" si="10"/>
        <v>1928698918596</v>
      </c>
      <c r="H32" s="9">
        <v>308958990481</v>
      </c>
      <c r="I32" s="10">
        <v>2237657909077</v>
      </c>
      <c r="J32" s="10">
        <v>1247852502884</v>
      </c>
      <c r="K32" s="8">
        <v>2000000000</v>
      </c>
      <c r="L32" s="10">
        <v>12940108219350</v>
      </c>
      <c r="M32" s="10">
        <v>11524839503101</v>
      </c>
      <c r="N32" s="10">
        <f>791086675772+190832440112</f>
        <v>981919115884</v>
      </c>
      <c r="O32" s="10">
        <v>318607055495</v>
      </c>
      <c r="P32" s="64">
        <v>146958840000</v>
      </c>
      <c r="Q32" s="51">
        <v>3350</v>
      </c>
      <c r="R32" s="51">
        <f t="shared" si="1"/>
        <v>1.7075962177313113</v>
      </c>
      <c r="S32" s="51">
        <f t="shared" si="2"/>
        <v>0.24759255582446088</v>
      </c>
      <c r="T32" s="51">
        <f t="shared" si="3"/>
        <v>9.140900982583694E-2</v>
      </c>
      <c r="U32" s="58">
        <f t="shared" si="4"/>
        <v>0.25532429093874859</v>
      </c>
      <c r="V32" s="58">
        <f t="shared" si="5"/>
        <v>2.4621668543588431E-2</v>
      </c>
      <c r="W32" s="58">
        <f t="shared" si="6"/>
        <v>2.1934155223880598E-2</v>
      </c>
      <c r="X32" s="58">
        <f t="shared" si="7"/>
        <v>0.46125419216369573</v>
      </c>
      <c r="Y32" s="51">
        <f t="shared" si="8"/>
        <v>21.029038385828041</v>
      </c>
      <c r="Z32" s="51">
        <f t="shared" si="9"/>
        <v>5.3692243149852708</v>
      </c>
      <c r="AA32" s="52">
        <v>3</v>
      </c>
      <c r="AB32">
        <v>0</v>
      </c>
    </row>
    <row r="33" spans="1:28">
      <c r="A33" s="6">
        <v>2019</v>
      </c>
      <c r="B33" s="6" t="s">
        <v>280</v>
      </c>
      <c r="C33" s="7" t="s">
        <v>281</v>
      </c>
      <c r="D33" s="9">
        <v>2761095717618</v>
      </c>
      <c r="E33" s="10">
        <v>86888676915</v>
      </c>
      <c r="F33" s="10">
        <v>2995872438975</v>
      </c>
      <c r="G33" s="10">
        <f t="shared" si="10"/>
        <v>1281093781950</v>
      </c>
      <c r="H33" s="9">
        <v>322779610313</v>
      </c>
      <c r="I33" s="10">
        <v>1603873392263</v>
      </c>
      <c r="J33" s="10">
        <v>1391999046712</v>
      </c>
      <c r="K33" s="8">
        <v>2000000000</v>
      </c>
      <c r="L33" s="10">
        <v>13372043554341</v>
      </c>
      <c r="M33" s="10">
        <v>11691107341759</v>
      </c>
      <c r="N33" s="10">
        <f>927876755512+212932735867</f>
        <v>1140809491379</v>
      </c>
      <c r="O33" s="10">
        <v>428418484105</v>
      </c>
      <c r="P33" s="64">
        <v>219519767250</v>
      </c>
      <c r="Q33" s="51">
        <v>4850</v>
      </c>
      <c r="R33" s="51">
        <f t="shared" si="1"/>
        <v>2.1552643190690026</v>
      </c>
      <c r="S33" s="51">
        <f t="shared" si="2"/>
        <v>0.2318820627610545</v>
      </c>
      <c r="T33" s="51">
        <f t="shared" si="3"/>
        <v>0.14300291245096469</v>
      </c>
      <c r="U33" s="58">
        <f t="shared" si="4"/>
        <v>0.30777211027331858</v>
      </c>
      <c r="V33" s="58">
        <f t="shared" si="5"/>
        <v>3.2038370378020598E-2</v>
      </c>
      <c r="W33" s="58">
        <f t="shared" si="6"/>
        <v>2.2630903840206187E-2</v>
      </c>
      <c r="X33" s="58">
        <f t="shared" si="7"/>
        <v>0.51239564910135493</v>
      </c>
      <c r="Y33" s="51">
        <f t="shared" si="8"/>
        <v>22.641413384074838</v>
      </c>
      <c r="Z33" s="51">
        <f t="shared" si="9"/>
        <v>6.9683955767872714</v>
      </c>
      <c r="AA33" s="52">
        <v>3</v>
      </c>
      <c r="AB33">
        <v>0</v>
      </c>
    </row>
    <row r="34" spans="1:28">
      <c r="A34" s="6">
        <v>2020</v>
      </c>
      <c r="B34" s="6" t="s">
        <v>280</v>
      </c>
      <c r="C34" s="7" t="s">
        <v>281</v>
      </c>
      <c r="D34" s="9">
        <v>3067116650845</v>
      </c>
      <c r="E34" s="10">
        <v>75635303975</v>
      </c>
      <c r="F34" s="10">
        <v>3361956197960</v>
      </c>
      <c r="G34" s="10">
        <f t="shared" si="10"/>
        <v>1406291340510</v>
      </c>
      <c r="H34" s="10">
        <v>356992629183</v>
      </c>
      <c r="I34" s="10">
        <v>1763283969693</v>
      </c>
      <c r="J34" s="10">
        <v>1598672228267</v>
      </c>
      <c r="K34" s="8">
        <v>2000000000</v>
      </c>
      <c r="L34" s="10">
        <v>12488883541697</v>
      </c>
      <c r="M34" s="10">
        <v>10806684751704</v>
      </c>
      <c r="N34" s="10">
        <f>782823289521+242980385483</f>
        <v>1025803675004</v>
      </c>
      <c r="O34" s="10">
        <v>478561152411</v>
      </c>
      <c r="P34" s="64">
        <v>261770433750</v>
      </c>
      <c r="Q34" s="51">
        <v>7275</v>
      </c>
      <c r="R34" s="51">
        <f t="shared" si="1"/>
        <v>2.1809966132143654</v>
      </c>
      <c r="S34" s="51">
        <f t="shared" si="2"/>
        <v>0.22330570511629441</v>
      </c>
      <c r="T34" s="51">
        <f t="shared" si="3"/>
        <v>0.1423460402908836</v>
      </c>
      <c r="U34" s="58">
        <f t="shared" si="4"/>
        <v>0.29934913733365598</v>
      </c>
      <c r="V34" s="58">
        <f t="shared" si="5"/>
        <v>3.8318969891360896E-2</v>
      </c>
      <c r="W34" s="58">
        <f t="shared" si="6"/>
        <v>1.7991095103092783E-2</v>
      </c>
      <c r="X34" s="58">
        <f t="shared" si="7"/>
        <v>0.54699474128059844</v>
      </c>
      <c r="Y34" s="51">
        <f t="shared" si="8"/>
        <v>30.403637918992857</v>
      </c>
      <c r="Z34" s="51">
        <f t="shared" si="9"/>
        <v>9.1013027828553437</v>
      </c>
      <c r="AA34" s="52">
        <v>3</v>
      </c>
      <c r="AB34">
        <v>0</v>
      </c>
    </row>
    <row r="35" spans="1:28">
      <c r="A35" s="6">
        <v>2018</v>
      </c>
      <c r="B35" s="6" t="s">
        <v>282</v>
      </c>
      <c r="C35" s="7" t="s">
        <v>283</v>
      </c>
      <c r="D35" s="10">
        <v>333578357832</v>
      </c>
      <c r="E35" s="10">
        <v>48379981073</v>
      </c>
      <c r="F35" s="10">
        <v>386108236920</v>
      </c>
      <c r="G35" s="10">
        <f t="shared" si="10"/>
        <v>82000239837</v>
      </c>
      <c r="H35" s="9">
        <v>26423708521</v>
      </c>
      <c r="I35" s="10">
        <v>108423948358</v>
      </c>
      <c r="J35" s="10">
        <v>277684288562</v>
      </c>
      <c r="K35" s="8">
        <v>1800000000</v>
      </c>
      <c r="L35" s="10">
        <v>972305391346</v>
      </c>
      <c r="M35" s="10">
        <v>872653118697</v>
      </c>
      <c r="N35" s="10">
        <f>35555045193+98161336450</f>
        <v>133716381643</v>
      </c>
      <c r="O35" s="10">
        <v>-21172048346</v>
      </c>
      <c r="P35" s="64">
        <v>0</v>
      </c>
      <c r="Q35" s="51">
        <v>600</v>
      </c>
      <c r="R35" s="51">
        <f t="shared" si="1"/>
        <v>4.068016855744407</v>
      </c>
      <c r="S35" s="51">
        <f t="shared" si="2"/>
        <v>9.5157376954368961E-2</v>
      </c>
      <c r="T35" s="51">
        <f t="shared" si="3"/>
        <v>-5.4834490232299186E-2</v>
      </c>
      <c r="U35" s="58">
        <f t="shared" si="4"/>
        <v>-7.624503516436007E-2</v>
      </c>
      <c r="V35" s="58">
        <f t="shared" si="5"/>
        <v>-2.1775101253620237E-2</v>
      </c>
      <c r="W35" s="58">
        <f t="shared" si="6"/>
        <v>0</v>
      </c>
      <c r="X35" s="58">
        <f t="shared" si="7"/>
        <v>0</v>
      </c>
      <c r="Y35" s="51">
        <f t="shared" si="8"/>
        <v>-51.010652457915938</v>
      </c>
      <c r="Z35" s="51">
        <f t="shared" si="9"/>
        <v>3.8893089904107518</v>
      </c>
      <c r="AA35" s="52">
        <v>3</v>
      </c>
      <c r="AB35">
        <v>0</v>
      </c>
    </row>
    <row r="36" spans="1:28">
      <c r="A36" s="6">
        <v>2019</v>
      </c>
      <c r="B36" s="6" t="s">
        <v>282</v>
      </c>
      <c r="C36" s="7" t="s">
        <v>283</v>
      </c>
      <c r="D36" s="10">
        <v>643568004520</v>
      </c>
      <c r="E36" s="10">
        <v>47881444521</v>
      </c>
      <c r="F36" s="10">
        <v>695853450844</v>
      </c>
      <c r="G36" s="10">
        <f t="shared" si="10"/>
        <v>421129759476</v>
      </c>
      <c r="H36" s="9">
        <v>27188829231</v>
      </c>
      <c r="I36" s="9">
        <v>448318588707</v>
      </c>
      <c r="J36" s="10">
        <v>247534862137</v>
      </c>
      <c r="K36" s="8">
        <v>1800000000</v>
      </c>
      <c r="L36" s="10">
        <v>1855354419901</v>
      </c>
      <c r="M36" s="10">
        <v>1693554680390</v>
      </c>
      <c r="N36" s="10">
        <f>49620223178+151316722585</f>
        <v>200936945763</v>
      </c>
      <c r="O36" s="10">
        <v>-27568919425</v>
      </c>
      <c r="P36" s="64">
        <v>0</v>
      </c>
      <c r="Q36" s="51">
        <v>535</v>
      </c>
      <c r="R36" s="51">
        <f t="shared" si="1"/>
        <v>1.5281940780456211</v>
      </c>
      <c r="S36" s="51">
        <f t="shared" si="2"/>
        <v>0.10983838396044651</v>
      </c>
      <c r="T36" s="51">
        <f t="shared" si="3"/>
        <v>-3.9618858527699592E-2</v>
      </c>
      <c r="U36" s="58">
        <f t="shared" si="4"/>
        <v>-0.11137388562966043</v>
      </c>
      <c r="V36" s="58">
        <f t="shared" si="5"/>
        <v>-1.4859112161692025E-2</v>
      </c>
      <c r="W36" s="58">
        <f t="shared" si="6"/>
        <v>0</v>
      </c>
      <c r="X36" s="58">
        <f t="shared" si="7"/>
        <v>0</v>
      </c>
      <c r="Y36" s="51">
        <f t="shared" si="8"/>
        <v>-34.930640013650084</v>
      </c>
      <c r="Z36" s="51">
        <f t="shared" si="9"/>
        <v>3.8903611058511043</v>
      </c>
      <c r="AA36" s="52">
        <v>3</v>
      </c>
      <c r="AB36">
        <v>0</v>
      </c>
    </row>
    <row r="37" spans="1:28">
      <c r="A37" s="6">
        <v>2020</v>
      </c>
      <c r="B37" s="6" t="s">
        <v>282</v>
      </c>
      <c r="C37" s="7" t="s">
        <v>283</v>
      </c>
      <c r="D37" s="10">
        <v>594790929582</v>
      </c>
      <c r="E37" s="10">
        <v>61258028492</v>
      </c>
      <c r="F37" s="9">
        <v>677619067915</v>
      </c>
      <c r="G37" s="10">
        <f t="shared" si="10"/>
        <v>446454025409</v>
      </c>
      <c r="H37" s="9">
        <v>22494563659</v>
      </c>
      <c r="I37" s="10">
        <v>468948589068</v>
      </c>
      <c r="J37" s="9">
        <v>208670478847</v>
      </c>
      <c r="K37" s="8">
        <v>1800000000</v>
      </c>
      <c r="L37" s="10">
        <v>3097194461934</v>
      </c>
      <c r="M37" s="10">
        <v>2842951459588</v>
      </c>
      <c r="N37" s="10">
        <f>85221384316+226404617260</f>
        <v>311626001576</v>
      </c>
      <c r="O37" s="10">
        <v>-41008773290</v>
      </c>
      <c r="P37" s="64">
        <v>0</v>
      </c>
      <c r="Q37" s="51">
        <v>446</v>
      </c>
      <c r="R37" s="51">
        <f t="shared" si="1"/>
        <v>1.3322557211509234</v>
      </c>
      <c r="S37" s="51">
        <f t="shared" si="2"/>
        <v>0.10779945387240576</v>
      </c>
      <c r="T37" s="51">
        <f t="shared" si="3"/>
        <v>-6.0518918713698459E-2</v>
      </c>
      <c r="U37" s="58">
        <f t="shared" si="4"/>
        <v>-0.19652407717944703</v>
      </c>
      <c r="V37" s="58">
        <f t="shared" si="5"/>
        <v>-1.3240619468366426E-2</v>
      </c>
      <c r="W37" s="58">
        <f t="shared" si="6"/>
        <v>0</v>
      </c>
      <c r="X37" s="58">
        <f t="shared" si="7"/>
        <v>0</v>
      </c>
      <c r="Y37" s="51">
        <f t="shared" si="8"/>
        <v>-19.57629881593564</v>
      </c>
      <c r="Z37" s="51">
        <f t="shared" si="9"/>
        <v>3.8472140593908533</v>
      </c>
      <c r="AA37" s="52">
        <v>3</v>
      </c>
      <c r="AB37">
        <v>0</v>
      </c>
    </row>
    <row r="38" spans="1:28">
      <c r="A38" s="6">
        <v>2018</v>
      </c>
      <c r="B38" s="6" t="s">
        <v>284</v>
      </c>
      <c r="C38" s="20" t="s">
        <v>285</v>
      </c>
      <c r="D38" s="10">
        <v>3906136917474</v>
      </c>
      <c r="E38" s="10">
        <v>413836506054</v>
      </c>
      <c r="F38" s="10">
        <v>5857570698119</v>
      </c>
      <c r="G38" s="10">
        <f t="shared" si="10"/>
        <v>778853385563</v>
      </c>
      <c r="H38" s="10">
        <v>896465230114</v>
      </c>
      <c r="I38" s="10">
        <v>1675318615677</v>
      </c>
      <c r="J38" s="10">
        <v>4182252082442</v>
      </c>
      <c r="K38" s="8">
        <v>48000000000</v>
      </c>
      <c r="L38" s="10">
        <v>7239754268263</v>
      </c>
      <c r="M38" s="10">
        <v>3796596070656</v>
      </c>
      <c r="N38" s="10">
        <f>2370738606721+1280358948</f>
        <v>2372018965669</v>
      </c>
      <c r="O38" s="10">
        <v>1044485235597</v>
      </c>
      <c r="P38" s="64">
        <v>389343686991</v>
      </c>
      <c r="Q38" s="51">
        <v>1490</v>
      </c>
      <c r="R38" s="51">
        <f t="shared" si="1"/>
        <v>5.0152403390407292</v>
      </c>
      <c r="S38" s="51">
        <f t="shared" si="2"/>
        <v>0.21434987954876158</v>
      </c>
      <c r="T38" s="51">
        <f t="shared" si="3"/>
        <v>0.17831372243315954</v>
      </c>
      <c r="U38" s="58">
        <f t="shared" si="4"/>
        <v>0.24974229554023661</v>
      </c>
      <c r="V38" s="58">
        <f t="shared" si="5"/>
        <v>0.14427081319261384</v>
      </c>
      <c r="W38" s="58">
        <f t="shared" si="6"/>
        <v>5.4438434981963083E-3</v>
      </c>
      <c r="X38" s="58">
        <f t="shared" si="7"/>
        <v>0.37276131219649217</v>
      </c>
      <c r="Y38" s="51">
        <f t="shared" si="8"/>
        <v>68.473921471107317</v>
      </c>
      <c r="Z38" s="51">
        <f t="shared" si="9"/>
        <v>17.100834332836236</v>
      </c>
      <c r="AA38" s="52">
        <v>3</v>
      </c>
      <c r="AB38">
        <v>0</v>
      </c>
    </row>
    <row r="39" spans="1:28">
      <c r="A39" s="6">
        <v>2019</v>
      </c>
      <c r="B39" s="6" t="s">
        <v>284</v>
      </c>
      <c r="C39" s="20" t="s">
        <v>285</v>
      </c>
      <c r="D39" s="10">
        <v>4369550647718</v>
      </c>
      <c r="E39" s="10">
        <v>471979028144</v>
      </c>
      <c r="F39" s="10">
        <v>6641808005145</v>
      </c>
      <c r="G39" s="10">
        <f t="shared" si="10"/>
        <v>783375432849</v>
      </c>
      <c r="H39" s="10">
        <v>1182131278030</v>
      </c>
      <c r="I39" s="10">
        <v>1965506710879</v>
      </c>
      <c r="J39" s="10">
        <v>4676301294266</v>
      </c>
      <c r="K39" s="8">
        <v>48000000000</v>
      </c>
      <c r="L39" s="10">
        <v>8142717045655</v>
      </c>
      <c r="M39" s="10">
        <v>4255626726811</v>
      </c>
      <c r="N39" s="10">
        <f>2724515688299+17528968515</f>
        <v>2742044656814</v>
      </c>
      <c r="O39" s="10">
        <v>990585488760</v>
      </c>
      <c r="P39" s="64">
        <v>483562258825</v>
      </c>
      <c r="Q39" s="51">
        <v>1495</v>
      </c>
      <c r="R39" s="51">
        <f t="shared" si="1"/>
        <v>5.5778499867256564</v>
      </c>
      <c r="S39" s="51">
        <f t="shared" si="2"/>
        <v>0.25279194039090447</v>
      </c>
      <c r="T39" s="51">
        <f t="shared" si="3"/>
        <v>0.14914395116399848</v>
      </c>
      <c r="U39" s="58">
        <f t="shared" si="4"/>
        <v>0.21183098060311872</v>
      </c>
      <c r="V39" s="58">
        <f t="shared" si="5"/>
        <v>0.12165294252593267</v>
      </c>
      <c r="W39" s="58">
        <f t="shared" si="6"/>
        <v>6.7386044986761425E-3</v>
      </c>
      <c r="X39" s="58">
        <f t="shared" si="7"/>
        <v>0.48815802806713426</v>
      </c>
      <c r="Y39" s="51">
        <f t="shared" si="8"/>
        <v>72.442006080492959</v>
      </c>
      <c r="Z39" s="51">
        <f t="shared" si="9"/>
        <v>15.34546118488791</v>
      </c>
      <c r="AA39" s="52">
        <v>3</v>
      </c>
      <c r="AB39">
        <v>0</v>
      </c>
    </row>
    <row r="40" spans="1:28">
      <c r="A40" s="6">
        <v>2020</v>
      </c>
      <c r="B40" s="6" t="s">
        <v>284</v>
      </c>
      <c r="C40" s="20" t="s">
        <v>285</v>
      </c>
      <c r="D40" s="10">
        <v>5034737166320</v>
      </c>
      <c r="E40" s="10">
        <v>511639035778</v>
      </c>
      <c r="F40" s="10">
        <v>7247063894294</v>
      </c>
      <c r="G40" s="10">
        <f t="shared" si="10"/>
        <v>844928054206</v>
      </c>
      <c r="H40" s="10">
        <v>1179893285690</v>
      </c>
      <c r="I40" s="10">
        <v>2024821339896</v>
      </c>
      <c r="J40" s="10">
        <v>5222242554398</v>
      </c>
      <c r="K40" s="8">
        <v>48000000000</v>
      </c>
      <c r="L40" s="10">
        <v>7412766872302</v>
      </c>
      <c r="M40" s="10">
        <v>3753585066580</v>
      </c>
      <c r="N40" s="9">
        <f>2806097154344+5423065820</f>
        <v>2811520220164</v>
      </c>
      <c r="O40" s="10">
        <v>833806976851</v>
      </c>
      <c r="P40" s="64">
        <v>309286244180</v>
      </c>
      <c r="Q40" s="51">
        <v>1715</v>
      </c>
      <c r="R40" s="51">
        <f t="shared" si="1"/>
        <v>5.9587761836731392</v>
      </c>
      <c r="S40" s="51">
        <f t="shared" si="2"/>
        <v>0.22593613249471395</v>
      </c>
      <c r="T40" s="51">
        <f t="shared" si="3"/>
        <v>0.11505445363983899</v>
      </c>
      <c r="U40" s="58">
        <f t="shared" si="4"/>
        <v>0.15966454414278314</v>
      </c>
      <c r="V40" s="58">
        <f t="shared" si="5"/>
        <v>0.11248255762184318</v>
      </c>
      <c r="W40" s="58">
        <f t="shared" si="6"/>
        <v>3.757121527939747E-3</v>
      </c>
      <c r="X40" s="58">
        <f t="shared" si="7"/>
        <v>0.37093266519316853</v>
      </c>
      <c r="Y40" s="51">
        <f t="shared" si="8"/>
        <v>98.727885812246512</v>
      </c>
      <c r="Z40" s="51">
        <f t="shared" si="9"/>
        <v>15.763342882393085</v>
      </c>
      <c r="AA40" s="52">
        <v>3</v>
      </c>
      <c r="AB40">
        <v>0</v>
      </c>
    </row>
    <row r="41" spans="1:28">
      <c r="A41" s="6">
        <v>2018</v>
      </c>
      <c r="B41" s="6" t="s">
        <v>288</v>
      </c>
      <c r="C41" s="7" t="s">
        <v>289</v>
      </c>
      <c r="D41" s="9">
        <v>940154000000</v>
      </c>
      <c r="E41" s="10">
        <v>2601811000000</v>
      </c>
      <c r="F41" s="10">
        <v>5207342000000</v>
      </c>
      <c r="G41" s="10">
        <f t="shared" si="10"/>
        <v>778970000000</v>
      </c>
      <c r="H41" s="10">
        <v>1389948000000</v>
      </c>
      <c r="I41" s="10">
        <v>2168918000000</v>
      </c>
      <c r="J41" s="10">
        <v>3038424000000</v>
      </c>
      <c r="K41" s="8">
        <v>35000000000</v>
      </c>
      <c r="L41" s="10">
        <v>801161000000</v>
      </c>
      <c r="M41" s="10">
        <v>398416000000</v>
      </c>
      <c r="N41" s="9">
        <f>216629000000+168708000000</f>
        <v>385337000000</v>
      </c>
      <c r="O41" s="10">
        <v>35637000000</v>
      </c>
      <c r="P41" s="64">
        <v>0</v>
      </c>
      <c r="Q41" s="51">
        <v>86</v>
      </c>
      <c r="R41" s="51">
        <f t="shared" si="1"/>
        <v>1.2069193935581601</v>
      </c>
      <c r="S41" s="51">
        <f t="shared" si="2"/>
        <v>0.4574568921256546</v>
      </c>
      <c r="T41" s="51">
        <f t="shared" si="3"/>
        <v>6.8436065847029062E-3</v>
      </c>
      <c r="U41" s="58">
        <f t="shared" si="4"/>
        <v>1.1728777813761344E-2</v>
      </c>
      <c r="V41" s="58">
        <f t="shared" si="5"/>
        <v>4.4481695938768863E-2</v>
      </c>
      <c r="W41" s="58">
        <f t="shared" si="6"/>
        <v>0</v>
      </c>
      <c r="X41" s="58">
        <f t="shared" si="7"/>
        <v>0</v>
      </c>
      <c r="Y41" s="51">
        <f t="shared" si="8"/>
        <v>84.462777450402669</v>
      </c>
      <c r="Z41" s="51">
        <f t="shared" si="9"/>
        <v>0.99064515024894484</v>
      </c>
      <c r="AA41" s="52">
        <v>3</v>
      </c>
      <c r="AB41">
        <v>0</v>
      </c>
    </row>
    <row r="42" spans="1:28">
      <c r="A42" s="6">
        <v>2019</v>
      </c>
      <c r="B42" s="6" t="s">
        <v>288</v>
      </c>
      <c r="C42" s="7" t="s">
        <v>289</v>
      </c>
      <c r="D42" s="9">
        <v>1285023000000</v>
      </c>
      <c r="E42" s="10">
        <v>2896487000000</v>
      </c>
      <c r="F42" s="10">
        <v>5729085000000</v>
      </c>
      <c r="G42" s="10">
        <f t="shared" si="10"/>
        <v>1255977000000</v>
      </c>
      <c r="H42" s="10">
        <v>1458216000000</v>
      </c>
      <c r="I42" s="10">
        <v>2714193000000</v>
      </c>
      <c r="J42" s="10">
        <v>3014892000000</v>
      </c>
      <c r="K42" s="8">
        <v>35000000000</v>
      </c>
      <c r="L42" s="10">
        <v>831777000000</v>
      </c>
      <c r="M42" s="10">
        <v>400255000000</v>
      </c>
      <c r="N42" s="9">
        <f>153353000000+230643000000</f>
        <v>383996000000</v>
      </c>
      <c r="O42" s="10">
        <v>8912000000</v>
      </c>
      <c r="P42" s="64">
        <v>0</v>
      </c>
      <c r="Q42" s="51">
        <v>73</v>
      </c>
      <c r="R42" s="51">
        <f t="shared" si="1"/>
        <v>1.0231262196680353</v>
      </c>
      <c r="S42" s="51">
        <f t="shared" si="2"/>
        <v>0.48367105687367906</v>
      </c>
      <c r="T42" s="51">
        <f t="shared" si="3"/>
        <v>1.5555712648703938E-3</v>
      </c>
      <c r="U42" s="58">
        <f t="shared" si="4"/>
        <v>2.9559931168346991E-3</v>
      </c>
      <c r="V42" s="58">
        <f t="shared" si="5"/>
        <v>1.0714410232550311E-2</v>
      </c>
      <c r="W42" s="58">
        <f t="shared" si="6"/>
        <v>0</v>
      </c>
      <c r="X42" s="58">
        <f t="shared" si="7"/>
        <v>0</v>
      </c>
      <c r="Y42" s="51">
        <f t="shared" si="8"/>
        <v>286.69210053859962</v>
      </c>
      <c r="Z42" s="51">
        <f t="shared" si="9"/>
        <v>0.84745987584298221</v>
      </c>
      <c r="AA42" s="52">
        <v>3</v>
      </c>
      <c r="AB42">
        <v>0</v>
      </c>
    </row>
    <row r="43" spans="1:28">
      <c r="A43" s="6">
        <v>2020</v>
      </c>
      <c r="B43" s="6" t="s">
        <v>288</v>
      </c>
      <c r="C43" s="7" t="s">
        <v>289</v>
      </c>
      <c r="D43" s="9">
        <v>1116644000000</v>
      </c>
      <c r="E43" s="10">
        <v>4540432000000</v>
      </c>
      <c r="F43" s="10">
        <v>7629153000000</v>
      </c>
      <c r="G43" s="10">
        <f t="shared" si="10"/>
        <v>4983388000000</v>
      </c>
      <c r="H43" s="10">
        <v>174026000000</v>
      </c>
      <c r="I43" s="9">
        <v>5157414000000</v>
      </c>
      <c r="J43" s="10">
        <v>2471739000000</v>
      </c>
      <c r="K43" s="8">
        <v>35000000000</v>
      </c>
      <c r="L43" s="10">
        <v>1096044000000</v>
      </c>
      <c r="M43" s="10">
        <v>518577000000</v>
      </c>
      <c r="N43" s="9">
        <f>512197000000+495354000000</f>
        <v>1007551000000</v>
      </c>
      <c r="O43" s="10">
        <v>-509181000000</v>
      </c>
      <c r="P43" s="64">
        <v>0</v>
      </c>
      <c r="Q43" s="51">
        <v>142</v>
      </c>
      <c r="R43" s="51">
        <f t="shared" si="1"/>
        <v>0.22407326100235422</v>
      </c>
      <c r="S43" s="51">
        <f t="shared" si="2"/>
        <v>7.0406300988898912E-2</v>
      </c>
      <c r="T43" s="51">
        <f t="shared" si="3"/>
        <v>-6.6741484932862138E-2</v>
      </c>
      <c r="U43" s="58">
        <f t="shared" si="4"/>
        <v>-0.20600111905019097</v>
      </c>
      <c r="V43" s="58">
        <f t="shared" si="5"/>
        <v>-0.46456255405804875</v>
      </c>
      <c r="W43" s="58">
        <f t="shared" si="6"/>
        <v>0</v>
      </c>
      <c r="X43" s="58">
        <f t="shared" si="7"/>
        <v>0</v>
      </c>
      <c r="Y43" s="51">
        <f t="shared" si="8"/>
        <v>-9.760772691832571</v>
      </c>
      <c r="Z43" s="51">
        <f t="shared" si="9"/>
        <v>2.0107300973120545</v>
      </c>
      <c r="AA43" s="52">
        <v>3</v>
      </c>
      <c r="AB43">
        <v>0</v>
      </c>
    </row>
    <row r="44" spans="1:28">
      <c r="A44" s="6">
        <v>2018</v>
      </c>
      <c r="B44" s="6" t="s">
        <v>290</v>
      </c>
      <c r="C44" s="7" t="s">
        <v>291</v>
      </c>
      <c r="D44" s="9">
        <v>752676010865</v>
      </c>
      <c r="E44" s="10">
        <v>595947250015</v>
      </c>
      <c r="F44" s="10">
        <v>1751622687179</v>
      </c>
      <c r="G44" s="10">
        <f t="shared" si="10"/>
        <v>353191107837</v>
      </c>
      <c r="H44" s="10">
        <v>51884263504</v>
      </c>
      <c r="I44" s="10">
        <v>405075371341</v>
      </c>
      <c r="J44" s="10">
        <v>1346547315838</v>
      </c>
      <c r="K44" s="8">
        <v>1334333000</v>
      </c>
      <c r="L44" s="10">
        <v>2003208506432</v>
      </c>
      <c r="M44" s="10">
        <v>1680758856692</v>
      </c>
      <c r="N44" s="9">
        <v>311685274501</v>
      </c>
      <c r="O44" s="10">
        <v>9325792298</v>
      </c>
      <c r="P44" s="64">
        <v>0</v>
      </c>
      <c r="Q44" s="51">
        <v>1130</v>
      </c>
      <c r="R44" s="51">
        <f t="shared" si="1"/>
        <v>2.1310729352007494</v>
      </c>
      <c r="S44" s="51">
        <f t="shared" si="2"/>
        <v>3.8531333354380304E-2</v>
      </c>
      <c r="T44" s="51">
        <f t="shared" si="3"/>
        <v>5.3240874112102593E-3</v>
      </c>
      <c r="U44" s="58">
        <f t="shared" si="4"/>
        <v>6.925707094218414E-3</v>
      </c>
      <c r="V44" s="58">
        <f t="shared" si="5"/>
        <v>4.6554276641978549E-3</v>
      </c>
      <c r="W44" s="58">
        <f t="shared" si="6"/>
        <v>0</v>
      </c>
      <c r="X44" s="58">
        <f t="shared" si="7"/>
        <v>0</v>
      </c>
      <c r="Y44" s="51">
        <f t="shared" si="8"/>
        <v>161.6802349676349</v>
      </c>
      <c r="Z44" s="51">
        <f t="shared" si="9"/>
        <v>1.1197499503102493</v>
      </c>
      <c r="AA44" s="52">
        <v>3</v>
      </c>
      <c r="AB44">
        <v>0</v>
      </c>
    </row>
    <row r="45" spans="1:28">
      <c r="A45" s="6">
        <v>2019</v>
      </c>
      <c r="B45" s="6" t="s">
        <v>290</v>
      </c>
      <c r="C45" s="7" t="s">
        <v>291</v>
      </c>
      <c r="D45" s="9">
        <v>831937034323</v>
      </c>
      <c r="E45" s="10">
        <v>635301490253</v>
      </c>
      <c r="F45" s="10">
        <v>1845324374750</v>
      </c>
      <c r="G45" s="10">
        <f t="shared" si="10"/>
        <v>399844207730</v>
      </c>
      <c r="H45" s="10">
        <v>65484325206</v>
      </c>
      <c r="I45" s="10">
        <v>465328532936</v>
      </c>
      <c r="J45" s="10">
        <v>1379995841814</v>
      </c>
      <c r="K45" s="8">
        <v>1334333000</v>
      </c>
      <c r="L45" s="10">
        <v>1978631967708</v>
      </c>
      <c r="M45" s="10">
        <v>1631941216390</v>
      </c>
      <c r="N45" s="9">
        <v>336739921456</v>
      </c>
      <c r="O45" s="10">
        <v>33269247689</v>
      </c>
      <c r="P45" s="64">
        <v>0</v>
      </c>
      <c r="Q45" s="51">
        <v>1010</v>
      </c>
      <c r="R45" s="51">
        <f t="shared" si="1"/>
        <v>2.0806529599267729</v>
      </c>
      <c r="S45" s="51">
        <f t="shared" si="2"/>
        <v>4.7452552552564989E-2</v>
      </c>
      <c r="T45" s="51">
        <f t="shared" si="3"/>
        <v>1.8028942848331061E-2</v>
      </c>
      <c r="U45" s="58">
        <f t="shared" si="4"/>
        <v>2.4108223141649242E-2</v>
      </c>
      <c r="V45" s="58">
        <f t="shared" si="5"/>
        <v>1.6814267752652507E-2</v>
      </c>
      <c r="W45" s="58">
        <f t="shared" si="6"/>
        <v>0</v>
      </c>
      <c r="X45" s="58">
        <f t="shared" si="7"/>
        <v>0</v>
      </c>
      <c r="Y45" s="51">
        <f t="shared" si="8"/>
        <v>40.508169664611621</v>
      </c>
      <c r="Z45" s="51">
        <f t="shared" si="9"/>
        <v>0.97657999333424361</v>
      </c>
      <c r="AA45" s="52">
        <v>3</v>
      </c>
      <c r="AB45">
        <v>0</v>
      </c>
    </row>
    <row r="46" spans="1:28">
      <c r="A46" s="6">
        <v>2020</v>
      </c>
      <c r="B46" s="6" t="s">
        <v>290</v>
      </c>
      <c r="C46" s="7" t="s">
        <v>291</v>
      </c>
      <c r="D46" s="9">
        <v>953327437749</v>
      </c>
      <c r="E46" s="10">
        <v>649791168201</v>
      </c>
      <c r="F46" s="10">
        <v>1730596456562</v>
      </c>
      <c r="G46" s="10">
        <f t="shared" si="10"/>
        <v>397514035472</v>
      </c>
      <c r="H46" s="10">
        <v>80268968169</v>
      </c>
      <c r="I46" s="10">
        <v>477783003641</v>
      </c>
      <c r="J46" s="10">
        <v>1252813452921</v>
      </c>
      <c r="K46" s="8">
        <v>1334333000</v>
      </c>
      <c r="L46" s="10">
        <v>1618490505399</v>
      </c>
      <c r="M46" s="10">
        <v>1340438220353</v>
      </c>
      <c r="N46" s="9">
        <f>307355207331+3439979352+725615310</f>
        <v>311520801993</v>
      </c>
      <c r="O46" s="10">
        <v>-20502166781</v>
      </c>
      <c r="P46" s="64">
        <v>0</v>
      </c>
      <c r="Q46" s="51">
        <v>655</v>
      </c>
      <c r="R46" s="51">
        <f t="shared" si="1"/>
        <v>2.3982233397546291</v>
      </c>
      <c r="S46" s="51">
        <f t="shared" si="2"/>
        <v>6.4070966018004286E-2</v>
      </c>
      <c r="T46" s="51">
        <f t="shared" si="3"/>
        <v>-1.1846878978204757E-2</v>
      </c>
      <c r="U46" s="58">
        <f t="shared" si="4"/>
        <v>-1.6364899924404649E-2</v>
      </c>
      <c r="V46" s="58">
        <f t="shared" si="5"/>
        <v>-1.2667461880442531E-2</v>
      </c>
      <c r="W46" s="58">
        <f t="shared" si="6"/>
        <v>0</v>
      </c>
      <c r="X46" s="58">
        <f t="shared" si="7"/>
        <v>0</v>
      </c>
      <c r="Y46" s="51">
        <f t="shared" si="8"/>
        <v>-42.629060837118551</v>
      </c>
      <c r="Z46" s="51">
        <f t="shared" si="9"/>
        <v>0.69762031447080264</v>
      </c>
      <c r="AA46" s="52">
        <v>3</v>
      </c>
      <c r="AB46">
        <v>0</v>
      </c>
    </row>
    <row r="47" spans="1:28">
      <c r="A47" s="6">
        <v>2018</v>
      </c>
      <c r="B47" s="6" t="s">
        <v>292</v>
      </c>
      <c r="C47" s="7" t="s">
        <v>293</v>
      </c>
      <c r="D47" s="9">
        <v>10053691913000</v>
      </c>
      <c r="E47" s="10">
        <v>553675716000</v>
      </c>
      <c r="F47" s="10">
        <v>12682902626000</v>
      </c>
      <c r="G47" s="10">
        <f t="shared" si="10"/>
        <v>7740591920000</v>
      </c>
      <c r="H47" s="10">
        <v>116692469000</v>
      </c>
      <c r="I47" s="10">
        <v>7857284389000</v>
      </c>
      <c r="J47" s="10">
        <v>4825618237000</v>
      </c>
      <c r="K47" s="8">
        <v>7800000000</v>
      </c>
      <c r="L47" s="10">
        <v>34744177481000</v>
      </c>
      <c r="M47" s="10">
        <v>31574695864000</v>
      </c>
      <c r="N47" s="9">
        <f>1080320007000+771635051000+6170369000</f>
        <v>1858125427000</v>
      </c>
      <c r="O47" s="10">
        <v>889340783000</v>
      </c>
      <c r="P47" s="64">
        <v>110200000</v>
      </c>
      <c r="Q47" s="51">
        <v>2200</v>
      </c>
      <c r="R47" s="51">
        <f t="shared" si="1"/>
        <v>1.2988272753435632</v>
      </c>
      <c r="S47" s="51">
        <f t="shared" si="2"/>
        <v>2.4181869196628701E-2</v>
      </c>
      <c r="T47" s="51">
        <f t="shared" si="3"/>
        <v>7.0121234012855069E-2</v>
      </c>
      <c r="U47" s="58">
        <f t="shared" si="4"/>
        <v>0.18429571908135178</v>
      </c>
      <c r="V47" s="58">
        <f t="shared" si="5"/>
        <v>2.5596829382026377E-2</v>
      </c>
      <c r="W47" s="58">
        <f t="shared" si="6"/>
        <v>6.421911421911422E-6</v>
      </c>
      <c r="X47" s="58">
        <f t="shared" si="7"/>
        <v>1.2391200550621774E-4</v>
      </c>
      <c r="Y47" s="51">
        <f t="shared" si="8"/>
        <v>19.295190694071657</v>
      </c>
      <c r="Z47" s="51">
        <f t="shared" si="9"/>
        <v>3.5560210437757429</v>
      </c>
      <c r="AA47" s="52">
        <v>3</v>
      </c>
      <c r="AB47">
        <v>0</v>
      </c>
    </row>
    <row r="48" spans="1:28">
      <c r="A48" s="6">
        <v>2019</v>
      </c>
      <c r="B48" s="6" t="s">
        <v>292</v>
      </c>
      <c r="C48" s="7" t="s">
        <v>293</v>
      </c>
      <c r="D48" s="9">
        <v>6944525743000</v>
      </c>
      <c r="E48" s="10">
        <v>614540334000</v>
      </c>
      <c r="F48" s="10">
        <v>9747703198000</v>
      </c>
      <c r="G48" s="10">
        <f t="shared" si="10"/>
        <v>4615531135000</v>
      </c>
      <c r="H48" s="10">
        <v>153455511000</v>
      </c>
      <c r="I48" s="10">
        <v>4768986646000</v>
      </c>
      <c r="J48" s="10">
        <v>4978716552000</v>
      </c>
      <c r="K48" s="8">
        <v>7800000000</v>
      </c>
      <c r="L48" s="10">
        <v>32944902671000</v>
      </c>
      <c r="M48" s="10">
        <v>30095879138000</v>
      </c>
      <c r="N48" s="9">
        <f>1363502575000+972931223000+7228447000</f>
        <v>2343662245000</v>
      </c>
      <c r="O48" s="10">
        <v>325583191000</v>
      </c>
      <c r="P48" s="64">
        <v>159500000</v>
      </c>
      <c r="Q48" s="51">
        <v>1795</v>
      </c>
      <c r="R48" s="51">
        <f t="shared" si="1"/>
        <v>1.5045994794269761</v>
      </c>
      <c r="S48" s="51">
        <f t="shared" si="2"/>
        <v>3.0822303177383215E-2</v>
      </c>
      <c r="T48" s="51">
        <f t="shared" si="3"/>
        <v>3.3401016053381888E-2</v>
      </c>
      <c r="U48" s="58">
        <f t="shared" si="4"/>
        <v>6.5395004435271575E-2</v>
      </c>
      <c r="V48" s="58">
        <f t="shared" si="5"/>
        <v>9.8826575464919207E-3</v>
      </c>
      <c r="W48" s="58">
        <f t="shared" si="6"/>
        <v>1.1392043425469609E-5</v>
      </c>
      <c r="X48" s="58">
        <f t="shared" si="7"/>
        <v>4.8989015529367428E-4</v>
      </c>
      <c r="Y48" s="51">
        <f t="shared" si="8"/>
        <v>43.002834258725599</v>
      </c>
      <c r="Z48" s="51">
        <f t="shared" si="9"/>
        <v>2.8121705370786088</v>
      </c>
      <c r="AA48" s="52">
        <v>3</v>
      </c>
      <c r="AB48">
        <v>0</v>
      </c>
    </row>
    <row r="49" spans="1:28">
      <c r="A49" s="6">
        <v>2020</v>
      </c>
      <c r="B49" s="6" t="s">
        <v>292</v>
      </c>
      <c r="C49" s="7" t="s">
        <v>293</v>
      </c>
      <c r="D49" s="9">
        <v>7546995255000</v>
      </c>
      <c r="E49" s="10">
        <v>716457366000</v>
      </c>
      <c r="F49" s="10">
        <v>11211369042000</v>
      </c>
      <c r="G49" s="10">
        <f t="shared" si="10"/>
        <v>5142950705000</v>
      </c>
      <c r="H49" s="10">
        <v>380422147000</v>
      </c>
      <c r="I49" s="10">
        <v>5523372852000</v>
      </c>
      <c r="J49" s="10">
        <v>5687996190000</v>
      </c>
      <c r="K49" s="8">
        <v>7800000000</v>
      </c>
      <c r="L49" s="10">
        <v>34113454845000</v>
      </c>
      <c r="M49" s="10">
        <v>30703442235000</v>
      </c>
      <c r="N49" s="9">
        <f>1473722276000+1078462146000+47152494000</f>
        <v>2599336916000</v>
      </c>
      <c r="O49" s="10">
        <v>671172137000</v>
      </c>
      <c r="P49" s="64">
        <v>0</v>
      </c>
      <c r="Q49" s="51">
        <v>2200</v>
      </c>
      <c r="R49" s="51">
        <f t="shared" si="1"/>
        <v>1.4674446028935835</v>
      </c>
      <c r="S49" s="51">
        <f t="shared" si="2"/>
        <v>6.6881575565893622E-2</v>
      </c>
      <c r="T49" s="51">
        <f t="shared" si="3"/>
        <v>5.9865314796583427E-2</v>
      </c>
      <c r="U49" s="58">
        <f t="shared" si="4"/>
        <v>0.11799799341989363</v>
      </c>
      <c r="V49" s="58">
        <f t="shared" si="5"/>
        <v>1.9674704308009234E-2</v>
      </c>
      <c r="W49" s="58">
        <f t="shared" si="6"/>
        <v>0</v>
      </c>
      <c r="X49" s="58">
        <f t="shared" si="7"/>
        <v>0</v>
      </c>
      <c r="Y49" s="51">
        <f t="shared" si="8"/>
        <v>25.567211530415484</v>
      </c>
      <c r="Z49" s="51">
        <f t="shared" si="9"/>
        <v>3.0168796579309949</v>
      </c>
      <c r="AA49" s="52">
        <v>3</v>
      </c>
      <c r="AB49">
        <v>0</v>
      </c>
    </row>
    <row r="50" spans="1:28">
      <c r="A50" s="6">
        <v>2018</v>
      </c>
      <c r="B50" s="6" t="s">
        <v>296</v>
      </c>
      <c r="C50" s="7" t="s">
        <v>297</v>
      </c>
      <c r="D50" s="9">
        <v>2845304000000</v>
      </c>
      <c r="E50" s="10">
        <v>2782800000000</v>
      </c>
      <c r="F50" s="10">
        <v>6271858000000</v>
      </c>
      <c r="G50" s="10">
        <f t="shared" si="10"/>
        <v>2167159000000</v>
      </c>
      <c r="H50" s="10">
        <v>163211000000</v>
      </c>
      <c r="I50" s="10">
        <v>2330370000000</v>
      </c>
      <c r="J50" s="10">
        <v>3941488000000</v>
      </c>
      <c r="K50" s="13">
        <v>9000000000</v>
      </c>
      <c r="L50" s="10">
        <v>12970389000000</v>
      </c>
      <c r="M50" s="10">
        <v>9275890000000</v>
      </c>
      <c r="N50" s="10">
        <f>3844363000000+1380487000000</f>
        <v>5224850000000</v>
      </c>
      <c r="O50" s="9">
        <v>-1250189000000</v>
      </c>
      <c r="P50" s="64">
        <v>0</v>
      </c>
      <c r="Q50" s="51">
        <v>790</v>
      </c>
      <c r="R50" s="51">
        <f t="shared" si="1"/>
        <v>1.3129188951987372</v>
      </c>
      <c r="S50" s="51">
        <f t="shared" si="2"/>
        <v>4.1408473145167511E-2</v>
      </c>
      <c r="T50" s="51">
        <f t="shared" si="3"/>
        <v>-0.19933311627909944</v>
      </c>
      <c r="U50" s="58">
        <f t="shared" si="4"/>
        <v>-0.31718706234802696</v>
      </c>
      <c r="V50" s="58">
        <f t="shared" si="5"/>
        <v>-9.6387934085862811E-2</v>
      </c>
      <c r="W50" s="58">
        <f t="shared" si="6"/>
        <v>0</v>
      </c>
      <c r="X50" s="58">
        <f t="shared" si="7"/>
        <v>0</v>
      </c>
      <c r="Y50" s="51">
        <f t="shared" si="8"/>
        <v>-5.687140104416212</v>
      </c>
      <c r="Z50" s="51">
        <f t="shared" si="9"/>
        <v>1.8038872628814295</v>
      </c>
      <c r="AA50" s="52">
        <v>3</v>
      </c>
      <c r="AB50">
        <v>0</v>
      </c>
    </row>
    <row r="51" spans="1:28">
      <c r="A51" s="6">
        <v>2019</v>
      </c>
      <c r="B51" s="6" t="s">
        <v>296</v>
      </c>
      <c r="C51" s="7" t="s">
        <v>297</v>
      </c>
      <c r="D51" s="9">
        <v>2417001000000</v>
      </c>
      <c r="E51" s="10">
        <v>2782800000000</v>
      </c>
      <c r="F51" s="10">
        <v>6054384000000</v>
      </c>
      <c r="G51" s="10">
        <f t="shared" si="10"/>
        <v>2261663000000</v>
      </c>
      <c r="H51" s="10">
        <v>126159000000</v>
      </c>
      <c r="I51" s="9">
        <v>2387822000000</v>
      </c>
      <c r="J51" s="10">
        <v>3666562000000</v>
      </c>
      <c r="K51" s="13">
        <v>9000000000</v>
      </c>
      <c r="L51" s="10">
        <v>12181025000000</v>
      </c>
      <c r="M51" s="10">
        <v>8733377000000</v>
      </c>
      <c r="N51" s="10">
        <f>3488590000000+239351000000</f>
        <v>3727941000000</v>
      </c>
      <c r="O51" s="10">
        <v>-28216000000</v>
      </c>
      <c r="P51" s="64">
        <v>0</v>
      </c>
      <c r="Q51" s="51">
        <v>890</v>
      </c>
      <c r="R51" s="51">
        <f t="shared" si="1"/>
        <v>1.0686830885061125</v>
      </c>
      <c r="S51" s="51">
        <f t="shared" si="2"/>
        <v>3.4407982191491646E-2</v>
      </c>
      <c r="T51" s="51">
        <f t="shared" si="3"/>
        <v>-4.6604245782890545E-3</v>
      </c>
      <c r="U51" s="58">
        <f t="shared" si="4"/>
        <v>-7.6954923986011963E-3</v>
      </c>
      <c r="V51" s="58">
        <f t="shared" si="5"/>
        <v>-2.3163896305934844E-3</v>
      </c>
      <c r="W51" s="58">
        <f t="shared" si="6"/>
        <v>0</v>
      </c>
      <c r="X51" s="58">
        <f t="shared" si="7"/>
        <v>0</v>
      </c>
      <c r="Y51" s="51">
        <f t="shared" si="8"/>
        <v>-283.88148568188262</v>
      </c>
      <c r="Z51" s="51">
        <f t="shared" si="9"/>
        <v>2.1846078151685422</v>
      </c>
      <c r="AA51" s="52">
        <v>3</v>
      </c>
      <c r="AB51">
        <v>0</v>
      </c>
    </row>
    <row r="52" spans="1:28">
      <c r="A52" s="6">
        <v>2020</v>
      </c>
      <c r="B52" s="6" t="s">
        <v>296</v>
      </c>
      <c r="C52" s="7" t="s">
        <v>297</v>
      </c>
      <c r="D52" s="9">
        <v>1540143000000</v>
      </c>
      <c r="E52" s="10">
        <v>2933236000000</v>
      </c>
      <c r="F52" s="10">
        <v>4838417000000</v>
      </c>
      <c r="G52" s="10">
        <f t="shared" si="10"/>
        <v>2278042000000</v>
      </c>
      <c r="H52" s="10">
        <v>705687000000</v>
      </c>
      <c r="I52" s="10">
        <v>2983729000000</v>
      </c>
      <c r="J52" s="10">
        <v>1854688000000</v>
      </c>
      <c r="K52" s="13">
        <v>9000000000</v>
      </c>
      <c r="L52" s="10">
        <v>8893785000000</v>
      </c>
      <c r="M52" s="10">
        <v>6493920000000</v>
      </c>
      <c r="N52" s="10">
        <f>3554440000000</f>
        <v>3554440000000</v>
      </c>
      <c r="O52" s="10">
        <v>-1214602000000</v>
      </c>
      <c r="P52" s="64">
        <v>0</v>
      </c>
      <c r="Q52" s="51">
        <v>830</v>
      </c>
      <c r="R52" s="51">
        <f t="shared" si="1"/>
        <v>0.67608191596116318</v>
      </c>
      <c r="S52" s="51">
        <f t="shared" si="2"/>
        <v>0.38048825462827168</v>
      </c>
      <c r="T52" s="51">
        <f t="shared" si="3"/>
        <v>-0.25103293081187505</v>
      </c>
      <c r="U52" s="58">
        <f t="shared" si="4"/>
        <v>-0.65488211494332205</v>
      </c>
      <c r="V52" s="58">
        <f t="shared" si="5"/>
        <v>-0.13656750191285263</v>
      </c>
      <c r="W52" s="58">
        <f t="shared" si="6"/>
        <v>0</v>
      </c>
      <c r="X52" s="58">
        <f t="shared" si="7"/>
        <v>0</v>
      </c>
      <c r="Y52" s="51">
        <f t="shared" si="8"/>
        <v>-6.1501627693680732</v>
      </c>
      <c r="Z52" s="51">
        <f t="shared" si="9"/>
        <v>4.0276316016494418</v>
      </c>
      <c r="AA52" s="52">
        <v>3</v>
      </c>
      <c r="AB52">
        <v>0</v>
      </c>
    </row>
    <row r="53" spans="1:28">
      <c r="A53" s="6">
        <v>2018</v>
      </c>
      <c r="B53" s="6" t="s">
        <v>298</v>
      </c>
      <c r="C53" s="7" t="s">
        <v>299</v>
      </c>
      <c r="D53" s="9">
        <v>803042816102</v>
      </c>
      <c r="E53" s="10">
        <v>23434425176</v>
      </c>
      <c r="F53" s="10">
        <v>855572807455</v>
      </c>
      <c r="G53" s="10">
        <f t="shared" si="10"/>
        <v>734503822439</v>
      </c>
      <c r="H53" s="10">
        <v>17989355076</v>
      </c>
      <c r="I53" s="10">
        <v>752493177515</v>
      </c>
      <c r="J53" s="10">
        <v>103079629940</v>
      </c>
      <c r="K53" s="8">
        <v>2400000000</v>
      </c>
      <c r="L53" s="10">
        <v>1750649236912</v>
      </c>
      <c r="M53" s="10">
        <v>1506613211796</v>
      </c>
      <c r="N53" s="10">
        <f>154436007434+91582145434+3045332990</f>
        <v>249063485858</v>
      </c>
      <c r="O53" s="10">
        <v>-9993012908</v>
      </c>
      <c r="P53" s="64">
        <v>0</v>
      </c>
      <c r="Q53" s="51">
        <v>232</v>
      </c>
      <c r="R53" s="51">
        <f t="shared" si="1"/>
        <v>1.0933133246814275</v>
      </c>
      <c r="S53" s="51">
        <f t="shared" si="2"/>
        <v>0.17451901104487028</v>
      </c>
      <c r="T53" s="51">
        <f t="shared" si="3"/>
        <v>-1.1679909437193743E-2</v>
      </c>
      <c r="U53" s="58">
        <f t="shared" si="4"/>
        <v>-9.694459432786745E-2</v>
      </c>
      <c r="V53" s="58">
        <f t="shared" si="5"/>
        <v>-5.708175399902979E-3</v>
      </c>
      <c r="W53" s="58">
        <f t="shared" si="6"/>
        <v>0</v>
      </c>
      <c r="X53" s="58">
        <f t="shared" si="7"/>
        <v>0</v>
      </c>
      <c r="Y53" s="51">
        <f t="shared" si="8"/>
        <v>-55.718931329934392</v>
      </c>
      <c r="Z53" s="51">
        <f t="shared" si="9"/>
        <v>5.4016491941627933</v>
      </c>
      <c r="AA53" s="52">
        <v>3</v>
      </c>
      <c r="AB53">
        <v>0</v>
      </c>
    </row>
    <row r="54" spans="1:28">
      <c r="A54" s="6">
        <v>2019</v>
      </c>
      <c r="B54" s="6" t="s">
        <v>298</v>
      </c>
      <c r="C54" s="7" t="s">
        <v>299</v>
      </c>
      <c r="D54" s="9">
        <v>592578908193</v>
      </c>
      <c r="E54" s="9">
        <v>28228320173</v>
      </c>
      <c r="F54" s="10">
        <v>652346214673</v>
      </c>
      <c r="G54" s="10">
        <f t="shared" si="10"/>
        <v>553865665830</v>
      </c>
      <c r="H54" s="10">
        <v>12452213573</v>
      </c>
      <c r="I54" s="10">
        <v>566317879403</v>
      </c>
      <c r="J54" s="10">
        <v>86028335270</v>
      </c>
      <c r="K54" s="8">
        <v>2400000000</v>
      </c>
      <c r="L54" s="10">
        <v>1618048001660</v>
      </c>
      <c r="M54" s="10">
        <v>1437005463891</v>
      </c>
      <c r="N54" s="10">
        <f>94135654872+568970135+6512798532</f>
        <v>101217423539</v>
      </c>
      <c r="O54" s="10">
        <v>-18643690989</v>
      </c>
      <c r="P54" s="64">
        <v>0</v>
      </c>
      <c r="Q54" s="51">
        <v>110</v>
      </c>
      <c r="R54" s="51">
        <f t="shared" si="1"/>
        <v>1.069896447372281</v>
      </c>
      <c r="S54" s="51">
        <f t="shared" si="2"/>
        <v>0.14474549035406437</v>
      </c>
      <c r="T54" s="51">
        <f t="shared" si="3"/>
        <v>-2.8579442280270574E-2</v>
      </c>
      <c r="U54" s="58">
        <f t="shared" si="4"/>
        <v>-0.21671570105927029</v>
      </c>
      <c r="V54" s="58">
        <f t="shared" si="5"/>
        <v>-1.1522334918292241E-2</v>
      </c>
      <c r="W54" s="58">
        <f t="shared" si="6"/>
        <v>0</v>
      </c>
      <c r="X54" s="58">
        <f t="shared" si="7"/>
        <v>0</v>
      </c>
      <c r="Y54" s="51">
        <f t="shared" si="8"/>
        <v>-14.160286187738423</v>
      </c>
      <c r="Z54" s="51">
        <f t="shared" si="9"/>
        <v>3.0687563483756346</v>
      </c>
      <c r="AA54" s="52">
        <v>3</v>
      </c>
      <c r="AB54">
        <v>0</v>
      </c>
    </row>
    <row r="55" spans="1:28">
      <c r="A55" s="6">
        <v>2020</v>
      </c>
      <c r="B55" s="6" t="s">
        <v>298</v>
      </c>
      <c r="C55" s="7" t="s">
        <v>299</v>
      </c>
      <c r="D55" s="9">
        <v>606903824102</v>
      </c>
      <c r="E55" s="9">
        <v>32005744503</v>
      </c>
      <c r="F55" s="10">
        <v>675863759206</v>
      </c>
      <c r="G55" s="10">
        <f t="shared" si="10"/>
        <v>529614198284</v>
      </c>
      <c r="H55" s="10">
        <v>19653074898</v>
      </c>
      <c r="I55" s="10">
        <v>549267273182</v>
      </c>
      <c r="J55" s="10">
        <v>126596486024</v>
      </c>
      <c r="K55" s="8">
        <v>2400000000</v>
      </c>
      <c r="L55" s="10">
        <v>1446474839632</v>
      </c>
      <c r="M55" s="10">
        <v>1283821135165</v>
      </c>
      <c r="N55" s="10">
        <f>69372687390+80714831225+2457853119</f>
        <v>152545371734</v>
      </c>
      <c r="O55" s="10">
        <v>41124681020</v>
      </c>
      <c r="P55" s="64">
        <v>0</v>
      </c>
      <c r="Q55" s="51">
        <v>101</v>
      </c>
      <c r="R55" s="51">
        <f t="shared" si="1"/>
        <v>1.1459357133332635</v>
      </c>
      <c r="S55" s="51">
        <f t="shared" si="2"/>
        <v>0.15524186741071308</v>
      </c>
      <c r="T55" s="51">
        <f t="shared" si="3"/>
        <v>6.0847590153839566E-2</v>
      </c>
      <c r="U55" s="58">
        <f t="shared" si="4"/>
        <v>0.32484851919352353</v>
      </c>
      <c r="V55" s="58">
        <f t="shared" si="5"/>
        <v>2.8430968789241156E-2</v>
      </c>
      <c r="W55" s="58">
        <f t="shared" si="6"/>
        <v>0</v>
      </c>
      <c r="X55" s="58">
        <f t="shared" si="7"/>
        <v>0</v>
      </c>
      <c r="Y55" s="51">
        <f t="shared" si="8"/>
        <v>5.8942706420534812</v>
      </c>
      <c r="Z55" s="51">
        <f t="shared" si="9"/>
        <v>1.9147450897969325</v>
      </c>
      <c r="AA55" s="52">
        <v>3</v>
      </c>
      <c r="AB55">
        <v>0</v>
      </c>
    </row>
    <row r="56" spans="1:28">
      <c r="A56" s="6">
        <v>2018</v>
      </c>
      <c r="B56" s="6" t="s">
        <v>300</v>
      </c>
      <c r="C56" s="7" t="s">
        <v>301</v>
      </c>
      <c r="D56" s="9">
        <v>2472849000000</v>
      </c>
      <c r="E56" s="9">
        <v>1097913000000</v>
      </c>
      <c r="F56" s="10">
        <v>4808545000000</v>
      </c>
      <c r="G56" s="10">
        <f t="shared" si="10"/>
        <v>2887516000000</v>
      </c>
      <c r="H56" s="10">
        <v>771786000000</v>
      </c>
      <c r="I56" s="10">
        <v>3659302000000</v>
      </c>
      <c r="J56" s="10">
        <v>1149243000000</v>
      </c>
      <c r="K56" s="13">
        <v>10800000000</v>
      </c>
      <c r="L56" s="10">
        <v>10692363000000</v>
      </c>
      <c r="M56" s="10">
        <v>9210950000000</v>
      </c>
      <c r="N56" s="10">
        <f>419089000000+1672033000000+431072000000</f>
        <v>2522194000000</v>
      </c>
      <c r="O56" s="10">
        <v>-826004000000</v>
      </c>
      <c r="P56" s="64">
        <v>0</v>
      </c>
      <c r="Q56" s="51">
        <v>152</v>
      </c>
      <c r="R56" s="51">
        <f t="shared" si="1"/>
        <v>0.85639317669581749</v>
      </c>
      <c r="S56" s="51">
        <f t="shared" si="2"/>
        <v>0.67156032275158517</v>
      </c>
      <c r="T56" s="51">
        <f t="shared" si="3"/>
        <v>-0.17177836538911459</v>
      </c>
      <c r="U56" s="58">
        <f t="shared" si="4"/>
        <v>-0.71873746457450682</v>
      </c>
      <c r="V56" s="58">
        <f t="shared" si="5"/>
        <v>-7.725177306456954E-2</v>
      </c>
      <c r="W56" s="58">
        <f t="shared" si="6"/>
        <v>0</v>
      </c>
      <c r="X56" s="58">
        <f t="shared" si="7"/>
        <v>0</v>
      </c>
      <c r="Y56" s="51">
        <f t="shared" si="8"/>
        <v>-1.9873995767574975</v>
      </c>
      <c r="Z56" s="51">
        <f t="shared" si="9"/>
        <v>1.4284185328951318</v>
      </c>
      <c r="AA56" s="52">
        <v>3</v>
      </c>
      <c r="AB56">
        <v>0</v>
      </c>
    </row>
    <row r="57" spans="1:28">
      <c r="A57" s="6">
        <v>2019</v>
      </c>
      <c r="B57" s="6" t="s">
        <v>300</v>
      </c>
      <c r="C57" s="7" t="s">
        <v>301</v>
      </c>
      <c r="D57" s="9">
        <v>1904047000000</v>
      </c>
      <c r="E57" s="10">
        <v>926287000000</v>
      </c>
      <c r="F57" s="10">
        <v>3820809000000</v>
      </c>
      <c r="G57" s="10">
        <f t="shared" si="10"/>
        <v>2618390000000</v>
      </c>
      <c r="H57" s="10">
        <v>671738000000</v>
      </c>
      <c r="I57" s="10">
        <v>3290128000000</v>
      </c>
      <c r="J57" s="10">
        <v>530681000000</v>
      </c>
      <c r="K57" s="13">
        <v>10800000000</v>
      </c>
      <c r="L57" s="10">
        <v>8654646000000</v>
      </c>
      <c r="M57" s="10">
        <v>7074249000000</v>
      </c>
      <c r="N57" s="10">
        <f>359499000000+1432633000000+88573000000</f>
        <v>1880705000000</v>
      </c>
      <c r="O57" s="10">
        <v>-618562000000</v>
      </c>
      <c r="P57" s="64">
        <v>0</v>
      </c>
      <c r="Q57" s="51">
        <v>140</v>
      </c>
      <c r="R57" s="51">
        <f t="shared" si="1"/>
        <v>0.72718235251433128</v>
      </c>
      <c r="S57" s="51">
        <f t="shared" si="2"/>
        <v>1.2658037502755892</v>
      </c>
      <c r="T57" s="51">
        <f t="shared" si="3"/>
        <v>-0.16189293942722602</v>
      </c>
      <c r="U57" s="58">
        <f t="shared" si="4"/>
        <v>-1.1656004266216426</v>
      </c>
      <c r="V57" s="58">
        <f t="shared" si="5"/>
        <v>-7.1471669667367094E-2</v>
      </c>
      <c r="W57" s="58">
        <f t="shared" si="6"/>
        <v>0</v>
      </c>
      <c r="X57" s="58">
        <f t="shared" si="7"/>
        <v>0</v>
      </c>
      <c r="Y57" s="51">
        <f t="shared" si="8"/>
        <v>-2.4443790598193873</v>
      </c>
      <c r="Z57" s="51">
        <f t="shared" si="9"/>
        <v>2.8491692749504884</v>
      </c>
      <c r="AA57" s="52">
        <v>3</v>
      </c>
      <c r="AB57">
        <v>0</v>
      </c>
    </row>
    <row r="58" spans="1:28">
      <c r="A58" s="6">
        <v>2020</v>
      </c>
      <c r="B58" s="6" t="s">
        <v>300</v>
      </c>
      <c r="C58" s="7" t="s">
        <v>301</v>
      </c>
      <c r="D58" s="9">
        <v>1535266000000</v>
      </c>
      <c r="E58" s="10">
        <v>789871000000</v>
      </c>
      <c r="F58" s="10">
        <v>4510511000000</v>
      </c>
      <c r="G58" s="10">
        <f t="shared" si="10"/>
        <v>2763099000000</v>
      </c>
      <c r="H58" s="10">
        <v>1562678000000</v>
      </c>
      <c r="I58" s="10">
        <v>4325777000000</v>
      </c>
      <c r="J58" s="10">
        <v>184734000000</v>
      </c>
      <c r="K58" s="13">
        <v>10800000000</v>
      </c>
      <c r="L58" s="10">
        <v>6746594000000</v>
      </c>
      <c r="M58" s="10">
        <v>5439936000000</v>
      </c>
      <c r="N58" s="9">
        <f>279376000000+1239746000000+5841000000</f>
        <v>1524963000000</v>
      </c>
      <c r="O58" s="10">
        <v>405307000000</v>
      </c>
      <c r="P58" s="64">
        <v>0</v>
      </c>
      <c r="Q58" s="51">
        <v>105</v>
      </c>
      <c r="R58" s="51">
        <f t="shared" si="1"/>
        <v>0.55563191908795162</v>
      </c>
      <c r="S58" s="51">
        <f t="shared" si="2"/>
        <v>8.4590708802927459</v>
      </c>
      <c r="T58" s="51">
        <f t="shared" si="3"/>
        <v>8.9858333124561721E-2</v>
      </c>
      <c r="U58" s="58">
        <f t="shared" si="4"/>
        <v>2.1940032695659704</v>
      </c>
      <c r="V58" s="58">
        <f t="shared" si="5"/>
        <v>6.0075795282775277E-2</v>
      </c>
      <c r="W58" s="58">
        <f t="shared" si="6"/>
        <v>0</v>
      </c>
      <c r="X58" s="58">
        <f t="shared" si="7"/>
        <v>0</v>
      </c>
      <c r="Y58" s="51">
        <f t="shared" si="8"/>
        <v>2.7978791385295594</v>
      </c>
      <c r="Z58" s="51">
        <f t="shared" si="9"/>
        <v>6.1385559777842733</v>
      </c>
      <c r="AA58" s="52">
        <v>3</v>
      </c>
      <c r="AB58">
        <v>1</v>
      </c>
    </row>
    <row r="59" spans="1:28">
      <c r="A59" s="6">
        <v>2018</v>
      </c>
      <c r="B59" s="6" t="s">
        <v>302</v>
      </c>
      <c r="C59" s="7" t="s">
        <v>303</v>
      </c>
      <c r="D59" s="10">
        <v>3557488000000</v>
      </c>
      <c r="E59" s="10">
        <v>1164225000000</v>
      </c>
      <c r="F59" s="10">
        <v>5243047000000</v>
      </c>
      <c r="G59" s="10">
        <f t="shared" si="10"/>
        <v>1093095000000</v>
      </c>
      <c r="H59" s="9">
        <v>322487000000</v>
      </c>
      <c r="I59" s="10">
        <v>1415582000000</v>
      </c>
      <c r="J59" s="10">
        <v>3827465000000</v>
      </c>
      <c r="K59" s="8">
        <v>28000000000</v>
      </c>
      <c r="L59" s="10">
        <v>5739553000000</v>
      </c>
      <c r="M59" s="9">
        <v>3232948000000</v>
      </c>
      <c r="N59" s="10">
        <f>425171000000+1473612000000+19295000000</f>
        <v>1918078000000</v>
      </c>
      <c r="O59" s="10">
        <v>587105000000</v>
      </c>
      <c r="P59" s="64">
        <v>268913000000</v>
      </c>
      <c r="Q59" s="51">
        <v>1420</v>
      </c>
      <c r="R59" s="51">
        <f t="shared" si="1"/>
        <v>3.254509443369515</v>
      </c>
      <c r="S59" s="51">
        <f t="shared" si="2"/>
        <v>8.4256028467928512E-2</v>
      </c>
      <c r="T59" s="51">
        <f t="shared" si="3"/>
        <v>0.11197782510818614</v>
      </c>
      <c r="U59" s="58">
        <f t="shared" si="4"/>
        <v>0.15339265022671664</v>
      </c>
      <c r="V59" s="58">
        <f t="shared" si="5"/>
        <v>0.10229106691758051</v>
      </c>
      <c r="W59" s="58">
        <f t="shared" si="6"/>
        <v>6.7634054325955741E-3</v>
      </c>
      <c r="X59" s="58">
        <f t="shared" si="7"/>
        <v>0.45803220888938095</v>
      </c>
      <c r="Y59" s="51">
        <f t="shared" si="8"/>
        <v>67.722128069084746</v>
      </c>
      <c r="Z59" s="51">
        <f t="shared" si="9"/>
        <v>10.388076703510025</v>
      </c>
      <c r="AA59" s="52">
        <v>3</v>
      </c>
      <c r="AB59">
        <v>0</v>
      </c>
    </row>
    <row r="60" spans="1:28">
      <c r="A60" s="6">
        <v>2019</v>
      </c>
      <c r="B60" s="6" t="s">
        <v>302</v>
      </c>
      <c r="C60" s="7" t="s">
        <v>303</v>
      </c>
      <c r="D60" s="10">
        <v>4017659000000</v>
      </c>
      <c r="E60" s="10">
        <v>1107325000000</v>
      </c>
      <c r="F60" s="10">
        <v>5649823000000</v>
      </c>
      <c r="G60" s="10">
        <f t="shared" si="10"/>
        <v>1135638000000</v>
      </c>
      <c r="H60" s="9">
        <v>345255000000</v>
      </c>
      <c r="I60" s="10">
        <v>1480893000000</v>
      </c>
      <c r="J60" s="10">
        <v>4168930000000</v>
      </c>
      <c r="K60" s="8">
        <v>28000000000</v>
      </c>
      <c r="L60" s="10">
        <v>5596398000000</v>
      </c>
      <c r="M60" s="10">
        <v>3102317000000</v>
      </c>
      <c r="N60" s="10">
        <f>405125000000+1571474000000+7316000000</f>
        <v>1983915000000</v>
      </c>
      <c r="O60" s="10">
        <v>647898000000</v>
      </c>
      <c r="P60" s="64">
        <v>337141000000</v>
      </c>
      <c r="Q60" s="51">
        <v>1065</v>
      </c>
      <c r="R60" s="51">
        <f t="shared" si="1"/>
        <v>3.5377990169402573</v>
      </c>
      <c r="S60" s="51">
        <f t="shared" si="2"/>
        <v>8.281621423242895E-2</v>
      </c>
      <c r="T60" s="51">
        <f t="shared" si="3"/>
        <v>0.11467580488804693</v>
      </c>
      <c r="U60" s="58">
        <f t="shared" si="4"/>
        <v>0.15541110069010514</v>
      </c>
      <c r="V60" s="58">
        <f t="shared" si="5"/>
        <v>0.1157705366916363</v>
      </c>
      <c r="W60" s="58">
        <f t="shared" si="6"/>
        <v>1.1305868544600937E-2</v>
      </c>
      <c r="X60" s="58">
        <f t="shared" si="7"/>
        <v>0.52036122969973664</v>
      </c>
      <c r="Y60" s="51">
        <f t="shared" si="8"/>
        <v>46.025763314595814</v>
      </c>
      <c r="Z60" s="51">
        <f t="shared" si="9"/>
        <v>7.1529145368235971</v>
      </c>
      <c r="AA60" s="52">
        <v>3</v>
      </c>
      <c r="AB60">
        <v>0</v>
      </c>
    </row>
    <row r="61" spans="1:28">
      <c r="A61" s="6">
        <v>2020</v>
      </c>
      <c r="B61" s="6" t="s">
        <v>302</v>
      </c>
      <c r="C61" s="7" t="s">
        <v>303</v>
      </c>
      <c r="D61" s="9">
        <v>3200854000000</v>
      </c>
      <c r="E61" s="10">
        <v>1002168000000</v>
      </c>
      <c r="F61" s="10">
        <v>5285218000000</v>
      </c>
      <c r="G61" s="10">
        <f t="shared" si="10"/>
        <v>925658000000</v>
      </c>
      <c r="H61" s="10">
        <v>640816000000</v>
      </c>
      <c r="I61" s="10">
        <v>1566474000000</v>
      </c>
      <c r="J61" s="10">
        <v>3718744000000</v>
      </c>
      <c r="K61" s="8">
        <v>28000000000</v>
      </c>
      <c r="L61" s="10">
        <v>2527951000000</v>
      </c>
      <c r="M61" s="10">
        <v>1450362000000</v>
      </c>
      <c r="N61" s="10">
        <f>106968000000+1266663000000+36303000000</f>
        <v>1409934000000</v>
      </c>
      <c r="O61" s="10">
        <v>138874000000</v>
      </c>
      <c r="P61" s="64">
        <v>337124000000</v>
      </c>
      <c r="Q61" s="51">
        <v>775</v>
      </c>
      <c r="R61" s="51">
        <f t="shared" si="1"/>
        <v>3.4579229045716668</v>
      </c>
      <c r="S61" s="51">
        <f t="shared" si="2"/>
        <v>0.17232054693735305</v>
      </c>
      <c r="T61" s="51">
        <f t="shared" si="3"/>
        <v>2.6275926555915007E-2</v>
      </c>
      <c r="U61" s="58">
        <f t="shared" si="4"/>
        <v>3.7344329160598308E-2</v>
      </c>
      <c r="V61" s="58">
        <f t="shared" si="5"/>
        <v>5.4935400251033349E-2</v>
      </c>
      <c r="W61" s="58">
        <f t="shared" si="6"/>
        <v>1.5535668202764977E-2</v>
      </c>
      <c r="X61" s="58">
        <f t="shared" si="7"/>
        <v>2.4275530336852111</v>
      </c>
      <c r="Y61" s="51">
        <f t="shared" si="8"/>
        <v>156.25675072367758</v>
      </c>
      <c r="Z61" s="51">
        <f t="shared" si="9"/>
        <v>5.835303532590574</v>
      </c>
      <c r="AA61" s="52">
        <v>3</v>
      </c>
      <c r="AB61">
        <v>0</v>
      </c>
    </row>
    <row r="62" spans="1:28">
      <c r="A62" s="6">
        <v>2018</v>
      </c>
      <c r="B62" s="6" t="s">
        <v>304</v>
      </c>
      <c r="C62" s="7" t="s">
        <v>305</v>
      </c>
      <c r="D62" s="9">
        <v>544178319988</v>
      </c>
      <c r="E62" s="10">
        <v>255260217838</v>
      </c>
      <c r="F62" s="10">
        <v>904003739438</v>
      </c>
      <c r="G62" s="10">
        <f t="shared" si="10"/>
        <v>348666837381</v>
      </c>
      <c r="H62" s="10">
        <v>51292877616</v>
      </c>
      <c r="I62" s="10">
        <v>399959714997</v>
      </c>
      <c r="J62" s="10">
        <v>504044024441</v>
      </c>
      <c r="K62" s="8">
        <v>5000000000</v>
      </c>
      <c r="L62" s="10">
        <v>2355625271907</v>
      </c>
      <c r="M62" s="10">
        <v>1760399334375</v>
      </c>
      <c r="N62" s="10">
        <f>350121343001+234627546530</f>
        <v>584748889531</v>
      </c>
      <c r="O62" s="10">
        <v>49966984744</v>
      </c>
      <c r="P62" s="64">
        <v>7822437500</v>
      </c>
      <c r="Q62" s="51">
        <v>314</v>
      </c>
      <c r="R62" s="51">
        <f t="shared" si="1"/>
        <v>1.5607401153364007</v>
      </c>
      <c r="S62" s="51">
        <f t="shared" si="2"/>
        <v>0.101762693591865</v>
      </c>
      <c r="T62" s="51">
        <f t="shared" si="3"/>
        <v>5.5272984573120701E-2</v>
      </c>
      <c r="U62" s="58">
        <f t="shared" si="4"/>
        <v>9.9132183541735044E-2</v>
      </c>
      <c r="V62" s="58">
        <f t="shared" si="5"/>
        <v>2.1211771388217938E-2</v>
      </c>
      <c r="W62" s="58">
        <f t="shared" si="6"/>
        <v>4.9824442675159234E-3</v>
      </c>
      <c r="X62" s="58">
        <f t="shared" si="7"/>
        <v>0.15655212216781428</v>
      </c>
      <c r="Y62" s="51">
        <f t="shared" si="8"/>
        <v>31.420747280303413</v>
      </c>
      <c r="Z62" s="51">
        <f t="shared" si="9"/>
        <v>3.1148072864095102</v>
      </c>
      <c r="AA62" s="52">
        <v>3</v>
      </c>
      <c r="AB62">
        <v>0</v>
      </c>
    </row>
    <row r="63" spans="1:28">
      <c r="A63" s="6">
        <v>2019</v>
      </c>
      <c r="B63" s="6" t="s">
        <v>304</v>
      </c>
      <c r="C63" s="7" t="s">
        <v>305</v>
      </c>
      <c r="D63" s="9">
        <v>570849048409</v>
      </c>
      <c r="E63" s="10">
        <v>257452233884</v>
      </c>
      <c r="F63" s="10">
        <v>952496300846</v>
      </c>
      <c r="G63" s="10">
        <f t="shared" si="10"/>
        <v>348625244359</v>
      </c>
      <c r="H63" s="9">
        <v>56067821742</v>
      </c>
      <c r="I63" s="10">
        <v>404693066101</v>
      </c>
      <c r="J63" s="10">
        <v>547803234745</v>
      </c>
      <c r="K63" s="8">
        <v>5000000000</v>
      </c>
      <c r="L63" s="10">
        <v>2397792415330</v>
      </c>
      <c r="M63" s="10">
        <v>1748429029000</v>
      </c>
      <c r="N63" s="10">
        <f>382756148310+266706597134</f>
        <v>649462745444</v>
      </c>
      <c r="O63" s="10">
        <v>55464434251</v>
      </c>
      <c r="P63" s="64">
        <v>10951412500</v>
      </c>
      <c r="Q63" s="51">
        <v>334</v>
      </c>
      <c r="R63" s="51">
        <f t="shared" si="1"/>
        <v>1.6374288943377922</v>
      </c>
      <c r="S63" s="51">
        <f t="shared" si="2"/>
        <v>0.10235029329116563</v>
      </c>
      <c r="T63" s="51">
        <f t="shared" si="3"/>
        <v>5.8230603312303585E-2</v>
      </c>
      <c r="U63" s="58">
        <f t="shared" si="4"/>
        <v>0.10124882573360205</v>
      </c>
      <c r="V63" s="58">
        <f t="shared" si="5"/>
        <v>2.3131457876167574E-2</v>
      </c>
      <c r="W63" s="58">
        <f t="shared" si="6"/>
        <v>6.5577320359281434E-3</v>
      </c>
      <c r="X63" s="58">
        <f t="shared" si="7"/>
        <v>0.19744927804438123</v>
      </c>
      <c r="Y63" s="51">
        <f t="shared" si="8"/>
        <v>30.109384915792063</v>
      </c>
      <c r="Z63" s="51">
        <f t="shared" si="9"/>
        <v>3.0485398662849765</v>
      </c>
      <c r="AA63" s="52">
        <v>3</v>
      </c>
      <c r="AB63">
        <v>0</v>
      </c>
    </row>
    <row r="64" spans="1:28">
      <c r="A64" s="6">
        <v>2020</v>
      </c>
      <c r="B64" s="6" t="s">
        <v>304</v>
      </c>
      <c r="C64" s="7" t="s">
        <v>305</v>
      </c>
      <c r="D64" s="9">
        <v>625866677394</v>
      </c>
      <c r="E64" s="10">
        <v>329542756308</v>
      </c>
      <c r="F64" s="10">
        <v>1319134443995</v>
      </c>
      <c r="G64" s="10">
        <f t="shared" si="10"/>
        <v>512965592357</v>
      </c>
      <c r="H64" s="9">
        <v>261664232698</v>
      </c>
      <c r="I64" s="10">
        <v>774629825055</v>
      </c>
      <c r="J64" s="10">
        <v>544504618940</v>
      </c>
      <c r="K64" s="8">
        <v>5000000000</v>
      </c>
      <c r="L64" s="10">
        <v>3011422750334</v>
      </c>
      <c r="M64" s="10">
        <v>2225048462226</v>
      </c>
      <c r="N64" s="10">
        <f>428548630896+295584403379</f>
        <v>724133034275</v>
      </c>
      <c r="O64" s="10">
        <v>76002689458</v>
      </c>
      <c r="P64" s="64">
        <v>43805650000</v>
      </c>
      <c r="Q64" s="51">
        <v>436</v>
      </c>
      <c r="R64" s="51">
        <f t="shared" si="1"/>
        <v>1.2200948498674862</v>
      </c>
      <c r="S64" s="51">
        <f t="shared" si="2"/>
        <v>0.48055466123939949</v>
      </c>
      <c r="T64" s="51">
        <f t="shared" si="3"/>
        <v>5.7615574973408912E-2</v>
      </c>
      <c r="U64" s="58">
        <f t="shared" si="4"/>
        <v>0.13958134938498085</v>
      </c>
      <c r="V64" s="58">
        <f t="shared" si="5"/>
        <v>2.5238133519968415E-2</v>
      </c>
      <c r="W64" s="58">
        <f t="shared" si="6"/>
        <v>2.0094334862385321E-2</v>
      </c>
      <c r="X64" s="58">
        <f t="shared" si="7"/>
        <v>0.57636973523427126</v>
      </c>
      <c r="Y64" s="51">
        <f t="shared" si="8"/>
        <v>28.683195496715864</v>
      </c>
      <c r="Z64" s="51">
        <f t="shared" si="9"/>
        <v>4.0036391321048068</v>
      </c>
      <c r="AA64" s="52">
        <v>3</v>
      </c>
      <c r="AB64">
        <v>0</v>
      </c>
    </row>
    <row r="65" spans="1:28">
      <c r="A65" s="6">
        <v>2018</v>
      </c>
      <c r="B65" s="6" t="s">
        <v>331</v>
      </c>
      <c r="C65" s="7" t="s">
        <v>332</v>
      </c>
      <c r="D65" s="9">
        <v>92279000</v>
      </c>
      <c r="E65" s="10">
        <v>85121000</v>
      </c>
      <c r="F65" s="10">
        <v>195826000</v>
      </c>
      <c r="G65" s="10">
        <f t="shared" si="10"/>
        <v>79199000</v>
      </c>
      <c r="H65" s="10">
        <v>14092000</v>
      </c>
      <c r="I65" s="10">
        <v>93291000</v>
      </c>
      <c r="J65" s="10">
        <v>102535000</v>
      </c>
      <c r="K65" s="8">
        <v>8000000000</v>
      </c>
      <c r="L65" s="10">
        <v>433868000</v>
      </c>
      <c r="M65" s="10">
        <v>415763000</v>
      </c>
      <c r="N65" s="10">
        <f>4837000+4316000+64000</f>
        <v>9217000</v>
      </c>
      <c r="O65" s="10">
        <v>6125000</v>
      </c>
      <c r="P65" s="64">
        <v>0</v>
      </c>
      <c r="Q65" s="51">
        <v>160</v>
      </c>
      <c r="R65" s="51">
        <f t="shared" si="1"/>
        <v>1.1651536004242478</v>
      </c>
      <c r="S65" s="51">
        <f t="shared" si="2"/>
        <v>0.13743599746428048</v>
      </c>
      <c r="T65" s="51">
        <f t="shared" si="3"/>
        <v>3.127776699723224E-2</v>
      </c>
      <c r="U65" s="58">
        <f t="shared" si="4"/>
        <v>5.9735700004876387E-2</v>
      </c>
      <c r="V65" s="58">
        <f t="shared" si="5"/>
        <v>1.4117196935473463E-2</v>
      </c>
      <c r="W65" s="58">
        <f t="shared" si="6"/>
        <v>0</v>
      </c>
      <c r="X65" s="58">
        <f t="shared" si="7"/>
        <v>0</v>
      </c>
      <c r="Y65" s="51">
        <f t="shared" si="8"/>
        <v>208979.59183673467</v>
      </c>
      <c r="Z65" s="51">
        <f t="shared" si="9"/>
        <v>12483.542205100697</v>
      </c>
      <c r="AA65" s="52">
        <v>3</v>
      </c>
      <c r="AB65">
        <v>0</v>
      </c>
    </row>
    <row r="66" spans="1:28">
      <c r="A66" s="6">
        <v>2019</v>
      </c>
      <c r="B66" s="6" t="s">
        <v>331</v>
      </c>
      <c r="C66" s="7" t="s">
        <v>332</v>
      </c>
      <c r="D66" s="9">
        <v>71356000</v>
      </c>
      <c r="E66" s="10">
        <v>69087000</v>
      </c>
      <c r="F66" s="10">
        <v>165728000</v>
      </c>
      <c r="G66" s="10">
        <f t="shared" si="10"/>
        <v>54106000</v>
      </c>
      <c r="H66" s="10">
        <v>12426000</v>
      </c>
      <c r="I66" s="10">
        <v>66532000</v>
      </c>
      <c r="J66" s="10">
        <v>99196000</v>
      </c>
      <c r="K66" s="8">
        <v>8000000000</v>
      </c>
      <c r="L66" s="10">
        <v>331945000</v>
      </c>
      <c r="M66" s="10">
        <v>327289000</v>
      </c>
      <c r="N66" s="10">
        <f>5420000+4761000+52000+256000</f>
        <v>10489000</v>
      </c>
      <c r="O66" s="10">
        <v>-3286000</v>
      </c>
      <c r="P66" s="64">
        <v>0</v>
      </c>
      <c r="Q66" s="51">
        <v>119</v>
      </c>
      <c r="R66" s="51">
        <f t="shared" si="1"/>
        <v>1.3188186153106864</v>
      </c>
      <c r="S66" s="51">
        <f t="shared" si="2"/>
        <v>0.12526714786886567</v>
      </c>
      <c r="T66" s="51">
        <f t="shared" si="3"/>
        <v>-1.9827669434253715E-2</v>
      </c>
      <c r="U66" s="58">
        <f t="shared" si="4"/>
        <v>-3.3126335739344329E-2</v>
      </c>
      <c r="V66" s="58">
        <f t="shared" si="5"/>
        <v>-9.8992302941752399E-3</v>
      </c>
      <c r="W66" s="58">
        <f t="shared" si="6"/>
        <v>0</v>
      </c>
      <c r="X66" s="58">
        <f t="shared" si="7"/>
        <v>0</v>
      </c>
      <c r="Y66" s="51">
        <f t="shared" si="8"/>
        <v>-289713.93791844189</v>
      </c>
      <c r="Z66" s="51">
        <f t="shared" si="9"/>
        <v>9597.1611758538638</v>
      </c>
      <c r="AA66" s="52">
        <v>3</v>
      </c>
      <c r="AB66">
        <v>0</v>
      </c>
    </row>
    <row r="67" spans="1:28">
      <c r="A67" s="6">
        <v>2020</v>
      </c>
      <c r="B67" s="6" t="s">
        <v>331</v>
      </c>
      <c r="C67" s="7" t="s">
        <v>332</v>
      </c>
      <c r="D67" s="9">
        <v>71563000</v>
      </c>
      <c r="E67" s="9">
        <v>60206000</v>
      </c>
      <c r="F67" s="10">
        <v>149377000</v>
      </c>
      <c r="G67" s="10">
        <f t="shared" si="10"/>
        <v>45164000</v>
      </c>
      <c r="H67" s="10">
        <v>9051000</v>
      </c>
      <c r="I67" s="10">
        <v>54215000</v>
      </c>
      <c r="J67" s="10">
        <v>95162000</v>
      </c>
      <c r="K67" s="8">
        <v>8000000000</v>
      </c>
      <c r="L67" s="10">
        <v>309367000</v>
      </c>
      <c r="M67" s="10">
        <v>307424000</v>
      </c>
      <c r="N67" s="10">
        <f>5961000+4955000+101000+12665000</f>
        <v>23682000</v>
      </c>
      <c r="O67" s="10">
        <v>-4172000</v>
      </c>
      <c r="P67" s="64">
        <v>0</v>
      </c>
      <c r="Q67" s="51">
        <v>362</v>
      </c>
      <c r="R67" s="51">
        <f t="shared" si="1"/>
        <v>1.584514214861394</v>
      </c>
      <c r="S67" s="51">
        <f t="shared" si="2"/>
        <v>9.5111494083772938E-2</v>
      </c>
      <c r="T67" s="51">
        <f t="shared" si="3"/>
        <v>-2.7929333163740067E-2</v>
      </c>
      <c r="U67" s="58">
        <f t="shared" si="4"/>
        <v>-4.3841028982156742E-2</v>
      </c>
      <c r="V67" s="58">
        <f t="shared" si="5"/>
        <v>-1.3485601243830143E-2</v>
      </c>
      <c r="W67" s="58">
        <f t="shared" si="6"/>
        <v>0</v>
      </c>
      <c r="X67" s="58">
        <f t="shared" si="7"/>
        <v>0</v>
      </c>
      <c r="Y67" s="51">
        <f t="shared" si="8"/>
        <v>-694151.48609779472</v>
      </c>
      <c r="Z67" s="51">
        <f t="shared" si="9"/>
        <v>30432.315420020597</v>
      </c>
      <c r="AA67" s="52">
        <v>3</v>
      </c>
      <c r="AB67">
        <v>0</v>
      </c>
    </row>
    <row r="68" spans="1:28">
      <c r="A68" s="6">
        <v>2018</v>
      </c>
      <c r="B68" s="6" t="s">
        <v>333</v>
      </c>
      <c r="C68" s="7" t="s">
        <v>334</v>
      </c>
      <c r="D68" s="9">
        <v>416191470230</v>
      </c>
      <c r="E68" s="10">
        <v>129189294974</v>
      </c>
      <c r="F68" s="10">
        <v>570197810698</v>
      </c>
      <c r="G68" s="10">
        <f t="shared" si="10"/>
        <v>72223978098</v>
      </c>
      <c r="H68" s="10">
        <v>15059589263</v>
      </c>
      <c r="I68" s="10">
        <v>87283567361</v>
      </c>
      <c r="J68" s="10">
        <v>482914243337</v>
      </c>
      <c r="K68" s="8">
        <v>1750000000</v>
      </c>
      <c r="L68" s="10">
        <v>777316506801</v>
      </c>
      <c r="M68" s="10">
        <v>676188716685</v>
      </c>
      <c r="N68" s="10">
        <f>49302815633+3829961076</f>
        <v>53132776709</v>
      </c>
      <c r="O68" s="10">
        <v>44672438405</v>
      </c>
      <c r="P68" s="64">
        <f>3782065060+5070489666</f>
        <v>8852554726</v>
      </c>
      <c r="Q68" s="51">
        <v>384</v>
      </c>
      <c r="R68" s="51">
        <f t="shared" si="1"/>
        <v>5.7625110273664779</v>
      </c>
      <c r="S68" s="51">
        <f t="shared" si="2"/>
        <v>3.1184810700418127E-2</v>
      </c>
      <c r="T68" s="51">
        <f t="shared" si="3"/>
        <v>7.8345510219190131E-2</v>
      </c>
      <c r="U68" s="58">
        <f t="shared" si="4"/>
        <v>9.2505944940260335E-2</v>
      </c>
      <c r="V68" s="58">
        <f t="shared" si="5"/>
        <v>5.7470075592305082E-2</v>
      </c>
      <c r="W68" s="58">
        <f t="shared" si="6"/>
        <v>1.3173444532738096E-2</v>
      </c>
      <c r="X68" s="58">
        <f t="shared" si="7"/>
        <v>0.19816591710850442</v>
      </c>
      <c r="Y68" s="51">
        <f t="shared" si="8"/>
        <v>15.04283231436021</v>
      </c>
      <c r="Z68" s="51">
        <f t="shared" si="9"/>
        <v>1.3915514178177741</v>
      </c>
      <c r="AA68" s="52">
        <v>3</v>
      </c>
      <c r="AB68">
        <v>0</v>
      </c>
    </row>
    <row r="69" spans="1:28">
      <c r="A69" s="6">
        <v>2019</v>
      </c>
      <c r="B69" s="6" t="s">
        <v>333</v>
      </c>
      <c r="C69" s="7" t="s">
        <v>334</v>
      </c>
      <c r="D69" s="65">
        <v>446573796440</v>
      </c>
      <c r="E69" s="10">
        <v>144745920744</v>
      </c>
      <c r="F69" s="10">
        <v>617594780669</v>
      </c>
      <c r="G69" s="10">
        <f t="shared" si="10"/>
        <v>57853674597</v>
      </c>
      <c r="H69" s="10">
        <v>22815734567</v>
      </c>
      <c r="I69" s="10">
        <v>80669409164</v>
      </c>
      <c r="J69" s="10">
        <v>536295371505</v>
      </c>
      <c r="K69" s="8">
        <v>1750000000</v>
      </c>
      <c r="L69" s="10">
        <v>776541441414</v>
      </c>
      <c r="M69" s="10">
        <v>652946761824</v>
      </c>
      <c r="N69" s="10">
        <f>53355998377+806685924</f>
        <v>54162684301</v>
      </c>
      <c r="O69" s="10">
        <v>60836752751</v>
      </c>
      <c r="P69" s="64">
        <f>5070489666+1777225450</f>
        <v>6847715116</v>
      </c>
      <c r="Q69" s="51">
        <v>340</v>
      </c>
      <c r="R69" s="51">
        <f t="shared" si="1"/>
        <v>7.7190221632552456</v>
      </c>
      <c r="S69" s="51">
        <f t="shared" si="2"/>
        <v>4.2543224833308642E-2</v>
      </c>
      <c r="T69" s="51">
        <f t="shared" si="3"/>
        <v>9.8505937315563979E-2</v>
      </c>
      <c r="U69" s="58">
        <f t="shared" si="4"/>
        <v>0.11343889204241027</v>
      </c>
      <c r="V69" s="58">
        <f t="shared" si="5"/>
        <v>7.8343214549145876E-2</v>
      </c>
      <c r="W69" s="58">
        <f t="shared" si="6"/>
        <v>1.1508764900840336E-2</v>
      </c>
      <c r="X69" s="58">
        <f t="shared" si="7"/>
        <v>0.1125588531003151</v>
      </c>
      <c r="Y69" s="51">
        <f t="shared" si="8"/>
        <v>9.7802721725679174</v>
      </c>
      <c r="Z69" s="51">
        <f t="shared" si="9"/>
        <v>1.1094632391293213</v>
      </c>
      <c r="AA69" s="52">
        <v>3</v>
      </c>
      <c r="AB69">
        <v>0</v>
      </c>
    </row>
    <row r="70" spans="1:28">
      <c r="A70" s="6">
        <v>2020</v>
      </c>
      <c r="B70" s="6" t="s">
        <v>333</v>
      </c>
      <c r="C70" s="7" t="s">
        <v>334</v>
      </c>
      <c r="D70" s="9">
        <v>509735319690</v>
      </c>
      <c r="E70" s="10">
        <v>140087552996</v>
      </c>
      <c r="F70" s="10">
        <v>665586417235</v>
      </c>
      <c r="G70" s="10">
        <f t="shared" si="10"/>
        <v>48639860198</v>
      </c>
      <c r="H70" s="10">
        <v>23641182035</v>
      </c>
      <c r="I70" s="10">
        <v>72281042233</v>
      </c>
      <c r="J70" s="10">
        <v>593582375012</v>
      </c>
      <c r="K70" s="8">
        <v>1750000000</v>
      </c>
      <c r="L70" s="10">
        <v>739402296030</v>
      </c>
      <c r="M70" s="10">
        <v>610537250674</v>
      </c>
      <c r="N70" s="10">
        <f>16696318068+35104646560+1722272231+3440944756</f>
        <v>56964181615</v>
      </c>
      <c r="O70" s="10">
        <v>60770710445</v>
      </c>
      <c r="P70" s="64">
        <f>4727523825+1777225450</f>
        <v>6504749275</v>
      </c>
      <c r="Q70" s="51">
        <v>354</v>
      </c>
      <c r="R70" s="51">
        <f t="shared" si="1"/>
        <v>10.47978587140264</v>
      </c>
      <c r="S70" s="51">
        <f t="shared" si="2"/>
        <v>3.982797170236408E-2</v>
      </c>
      <c r="T70" s="51">
        <f t="shared" si="3"/>
        <v>9.1304012328640355E-2</v>
      </c>
      <c r="U70" s="58">
        <f t="shared" si="4"/>
        <v>0.10237957359123313</v>
      </c>
      <c r="V70" s="58">
        <f t="shared" si="5"/>
        <v>8.2188966373637456E-2</v>
      </c>
      <c r="W70" s="58">
        <f t="shared" si="6"/>
        <v>1.0499998829701372E-2</v>
      </c>
      <c r="X70" s="58">
        <f t="shared" si="7"/>
        <v>0.10703757167504346</v>
      </c>
      <c r="Y70" s="51">
        <f t="shared" si="8"/>
        <v>10.19405558144121</v>
      </c>
      <c r="Z70" s="51">
        <f t="shared" si="9"/>
        <v>1.0436630635932813</v>
      </c>
      <c r="AA70" s="52">
        <v>3</v>
      </c>
      <c r="AB70">
        <v>0</v>
      </c>
    </row>
    <row r="71" spans="1:28">
      <c r="A71" s="6">
        <v>2018</v>
      </c>
      <c r="B71" s="6" t="s">
        <v>335</v>
      </c>
      <c r="C71" s="7" t="s">
        <v>336</v>
      </c>
      <c r="D71" s="9">
        <v>1220137554014</v>
      </c>
      <c r="E71" s="10">
        <v>757379485281</v>
      </c>
      <c r="F71" s="10">
        <v>2370198817803</v>
      </c>
      <c r="G71" s="10">
        <f t="shared" si="10"/>
        <v>342328901816</v>
      </c>
      <c r="H71" s="10">
        <v>655646584965</v>
      </c>
      <c r="I71" s="10">
        <v>997975486781</v>
      </c>
      <c r="J71" s="10">
        <v>1372223331022</v>
      </c>
      <c r="K71" s="13">
        <v>17000000000</v>
      </c>
      <c r="L71" s="10">
        <v>1395298815177</v>
      </c>
      <c r="M71" s="10">
        <v>978652263708</v>
      </c>
      <c r="N71" s="10">
        <f>257005280578+15979424352</f>
        <v>272984704930</v>
      </c>
      <c r="O71" s="10">
        <v>105523929164</v>
      </c>
      <c r="P71" s="64">
        <v>43598000000</v>
      </c>
      <c r="Q71" s="51">
        <v>940</v>
      </c>
      <c r="R71" s="51">
        <f t="shared" si="1"/>
        <v>3.5642259462796324</v>
      </c>
      <c r="S71" s="51">
        <f t="shared" si="2"/>
        <v>0.47779874466694111</v>
      </c>
      <c r="T71" s="51">
        <f t="shared" si="3"/>
        <v>4.4521129776704943E-2</v>
      </c>
      <c r="U71" s="58">
        <f t="shared" si="4"/>
        <v>7.6899967212631662E-2</v>
      </c>
      <c r="V71" s="58">
        <f t="shared" si="5"/>
        <v>7.5628193771965474E-2</v>
      </c>
      <c r="W71" s="58">
        <f t="shared" si="6"/>
        <v>2.7282853566958699E-3</v>
      </c>
      <c r="X71" s="58">
        <f t="shared" si="7"/>
        <v>0.41315747381091328</v>
      </c>
      <c r="Y71" s="51">
        <f t="shared" si="8"/>
        <v>151.43484635759427</v>
      </c>
      <c r="Z71" s="51">
        <f t="shared" si="9"/>
        <v>11.645334719748913</v>
      </c>
      <c r="AA71" s="52">
        <v>3</v>
      </c>
      <c r="AB71">
        <v>0</v>
      </c>
    </row>
    <row r="72" spans="1:28">
      <c r="A72" s="6">
        <v>2019</v>
      </c>
      <c r="B72" s="6" t="s">
        <v>335</v>
      </c>
      <c r="C72" s="7" t="s">
        <v>336</v>
      </c>
      <c r="D72" s="9">
        <v>1174699544323</v>
      </c>
      <c r="E72" s="10">
        <v>851624396191</v>
      </c>
      <c r="F72" s="10">
        <v>2501132856219</v>
      </c>
      <c r="G72" s="10">
        <f t="shared" si="10"/>
        <v>479079545266</v>
      </c>
      <c r="H72" s="10">
        <v>613765478165</v>
      </c>
      <c r="I72" s="10">
        <v>1092845023431</v>
      </c>
      <c r="J72" s="10">
        <v>1408287832788</v>
      </c>
      <c r="K72" s="13">
        <v>17000000000</v>
      </c>
      <c r="L72" s="10">
        <v>1495759701262</v>
      </c>
      <c r="M72" s="10">
        <v>1001042927237</v>
      </c>
      <c r="N72" s="10">
        <f>279134329437+70965395209+23904990387</f>
        <v>374004715033</v>
      </c>
      <c r="O72" s="10">
        <v>93145200039</v>
      </c>
      <c r="P72" s="64">
        <v>77775000000</v>
      </c>
      <c r="Q72" s="51">
        <v>1050</v>
      </c>
      <c r="R72" s="51">
        <f t="shared" si="1"/>
        <v>2.4519926929269542</v>
      </c>
      <c r="S72" s="51">
        <f t="shared" si="2"/>
        <v>0.43582388761388574</v>
      </c>
      <c r="T72" s="51">
        <f t="shared" si="3"/>
        <v>3.7241204443577217E-2</v>
      </c>
      <c r="U72" s="58">
        <f t="shared" si="4"/>
        <v>6.6140740458290839E-2</v>
      </c>
      <c r="V72" s="58">
        <f t="shared" si="5"/>
        <v>6.2272836980707312E-2</v>
      </c>
      <c r="W72" s="58">
        <f t="shared" si="6"/>
        <v>4.3571428571428572E-3</v>
      </c>
      <c r="X72" s="58">
        <f t="shared" si="7"/>
        <v>0.83498666562995749</v>
      </c>
      <c r="Y72" s="51">
        <f t="shared" si="8"/>
        <v>191.63628391507223</v>
      </c>
      <c r="Z72" s="51">
        <f t="shared" si="9"/>
        <v>12.674965716818129</v>
      </c>
      <c r="AA72" s="52">
        <v>3</v>
      </c>
      <c r="AB72">
        <v>0</v>
      </c>
    </row>
    <row r="73" spans="1:28">
      <c r="A73" s="6">
        <v>2020</v>
      </c>
      <c r="B73" s="6" t="s">
        <v>335</v>
      </c>
      <c r="C73" s="7" t="s">
        <v>336</v>
      </c>
      <c r="D73" s="10">
        <v>1261952159927</v>
      </c>
      <c r="E73" s="10">
        <v>907748683255</v>
      </c>
      <c r="F73" s="10">
        <v>2697100062756</v>
      </c>
      <c r="G73" s="10">
        <f t="shared" si="10"/>
        <v>608353619395</v>
      </c>
      <c r="H73" s="10">
        <v>622838614595</v>
      </c>
      <c r="I73" s="10">
        <v>1231192233990</v>
      </c>
      <c r="J73" s="10">
        <v>1465907828766</v>
      </c>
      <c r="K73" s="13">
        <v>17000000000</v>
      </c>
      <c r="L73" s="10">
        <v>1797514877242</v>
      </c>
      <c r="M73" s="10">
        <v>1146328782026</v>
      </c>
      <c r="N73" s="10">
        <f>413457936700+66391570721+25729951405</f>
        <v>505579458826</v>
      </c>
      <c r="O73" s="10">
        <v>115805324362</v>
      </c>
      <c r="P73" s="64">
        <v>53280000000</v>
      </c>
      <c r="Q73" s="51">
        <v>1325</v>
      </c>
      <c r="R73" s="51">
        <f t="shared" si="1"/>
        <v>2.0743727327240946</v>
      </c>
      <c r="S73" s="51">
        <f t="shared" si="2"/>
        <v>0.42488252151522038</v>
      </c>
      <c r="T73" s="51">
        <f t="shared" si="3"/>
        <v>4.2936977371045584E-2</v>
      </c>
      <c r="U73" s="58">
        <f t="shared" si="4"/>
        <v>7.8999048978055347E-2</v>
      </c>
      <c r="V73" s="58">
        <f t="shared" si="5"/>
        <v>6.4425238326641723E-2</v>
      </c>
      <c r="W73" s="58">
        <f t="shared" si="6"/>
        <v>2.3653718091009991E-3</v>
      </c>
      <c r="X73" s="58">
        <f t="shared" si="7"/>
        <v>0.46008247283561976</v>
      </c>
      <c r="Y73" s="51">
        <f t="shared" si="8"/>
        <v>194.50746435101979</v>
      </c>
      <c r="Z73" s="51">
        <f t="shared" si="9"/>
        <v>15.365904702863569</v>
      </c>
      <c r="AA73" s="52">
        <v>3</v>
      </c>
      <c r="AB73">
        <v>0</v>
      </c>
    </row>
    <row r="74" spans="1:28">
      <c r="A74" s="6">
        <v>2018</v>
      </c>
      <c r="B74" s="6" t="s">
        <v>383</v>
      </c>
      <c r="C74" s="7" t="s">
        <v>384</v>
      </c>
      <c r="D74" s="10">
        <v>888979741744</v>
      </c>
      <c r="E74" s="10">
        <v>319990859164</v>
      </c>
      <c r="F74" s="10">
        <v>1255573914558</v>
      </c>
      <c r="G74" s="10">
        <f t="shared" si="10"/>
        <v>150202377711</v>
      </c>
      <c r="H74" s="9">
        <v>100134734182</v>
      </c>
      <c r="I74" s="9">
        <v>250337111893</v>
      </c>
      <c r="J74" s="9">
        <v>1005236802665</v>
      </c>
      <c r="K74" s="8">
        <v>4050000000</v>
      </c>
      <c r="L74" s="10">
        <v>1405384153405</v>
      </c>
      <c r="M74" s="10">
        <v>963851587401</v>
      </c>
      <c r="N74" s="10">
        <v>389346287885</v>
      </c>
      <c r="O74" s="10">
        <v>51142850919</v>
      </c>
      <c r="P74" s="64">
        <v>0</v>
      </c>
      <c r="Q74" s="51">
        <v>141</v>
      </c>
      <c r="R74" s="51">
        <f t="shared" si="1"/>
        <v>5.9185463991419622</v>
      </c>
      <c r="S74" s="51">
        <f t="shared" si="2"/>
        <v>9.961308013846204E-2</v>
      </c>
      <c r="T74" s="51">
        <f t="shared" si="3"/>
        <v>4.0732648493262011E-2</v>
      </c>
      <c r="U74" s="58">
        <f t="shared" si="4"/>
        <v>5.0876421141182196E-2</v>
      </c>
      <c r="V74" s="58">
        <f t="shared" si="5"/>
        <v>3.6390655747106454E-2</v>
      </c>
      <c r="W74" s="58">
        <f t="shared" si="6"/>
        <v>0</v>
      </c>
      <c r="X74" s="58">
        <f t="shared" si="7"/>
        <v>0</v>
      </c>
      <c r="Y74" s="51">
        <f t="shared" si="8"/>
        <v>11.165783481730974</v>
      </c>
      <c r="Z74" s="51">
        <f t="shared" si="9"/>
        <v>0.56807510278780071</v>
      </c>
      <c r="AA74" s="52">
        <v>3</v>
      </c>
      <c r="AB74">
        <v>0</v>
      </c>
    </row>
    <row r="75" spans="1:28">
      <c r="A75" s="6">
        <v>2019</v>
      </c>
      <c r="B75" s="6" t="s">
        <v>383</v>
      </c>
      <c r="C75" s="7" t="s">
        <v>384</v>
      </c>
      <c r="D75" s="10">
        <v>948430163983</v>
      </c>
      <c r="E75" s="10">
        <v>329061638626</v>
      </c>
      <c r="F75" s="10">
        <v>1299521608556</v>
      </c>
      <c r="G75" s="10">
        <f t="shared" si="10"/>
        <v>157443942631</v>
      </c>
      <c r="H75" s="9">
        <v>108907088448</v>
      </c>
      <c r="I75" s="10">
        <v>266351031079</v>
      </c>
      <c r="J75" s="10">
        <v>1033170577477</v>
      </c>
      <c r="K75" s="8">
        <v>4050000000</v>
      </c>
      <c r="L75" s="10">
        <v>1393574099760</v>
      </c>
      <c r="M75" s="10">
        <v>962040733573</v>
      </c>
      <c r="N75" s="10">
        <v>402885126126</v>
      </c>
      <c r="O75" s="10">
        <v>27328091481</v>
      </c>
      <c r="P75" s="64">
        <f>5249684400+12366950</f>
        <v>5262051350</v>
      </c>
      <c r="Q75" s="51">
        <v>168</v>
      </c>
      <c r="R75" s="51">
        <f t="shared" si="1"/>
        <v>6.0239228523756392</v>
      </c>
      <c r="S75" s="51">
        <f t="shared" si="2"/>
        <v>0.10541055932307987</v>
      </c>
      <c r="T75" s="51">
        <f t="shared" si="3"/>
        <v>2.1029347493010431E-2</v>
      </c>
      <c r="U75" s="58">
        <f t="shared" si="4"/>
        <v>2.645070627904942E-2</v>
      </c>
      <c r="V75" s="58">
        <f t="shared" si="5"/>
        <v>1.9610074186730664E-2</v>
      </c>
      <c r="W75" s="58">
        <f t="shared" si="6"/>
        <v>7.7337615373309814E-3</v>
      </c>
      <c r="X75" s="58">
        <f t="shared" si="7"/>
        <v>0.19255100026500091</v>
      </c>
      <c r="Y75" s="51">
        <f t="shared" si="8"/>
        <v>24.897457638893361</v>
      </c>
      <c r="Z75" s="51">
        <f t="shared" si="9"/>
        <v>0.65855533910144348</v>
      </c>
      <c r="AA75" s="52">
        <v>3</v>
      </c>
      <c r="AB75">
        <v>0</v>
      </c>
    </row>
    <row r="76" spans="1:28">
      <c r="A76" s="6">
        <v>2020</v>
      </c>
      <c r="B76" s="6" t="s">
        <v>383</v>
      </c>
      <c r="C76" s="7" t="s">
        <v>384</v>
      </c>
      <c r="D76" s="10">
        <v>1288718539539</v>
      </c>
      <c r="E76" s="10">
        <v>298904982008</v>
      </c>
      <c r="F76" s="10">
        <v>1614442007528</v>
      </c>
      <c r="G76" s="10">
        <f t="shared" si="10"/>
        <v>351790782502</v>
      </c>
      <c r="H76" s="9">
        <v>76799383517</v>
      </c>
      <c r="I76" s="10">
        <v>428590166019</v>
      </c>
      <c r="J76" s="10">
        <v>1185851841509</v>
      </c>
      <c r="K76" s="8">
        <v>4050000000</v>
      </c>
      <c r="L76" s="10">
        <v>1994066771177</v>
      </c>
      <c r="M76" s="10">
        <v>1368626457514</v>
      </c>
      <c r="N76" s="10">
        <v>420569492780</v>
      </c>
      <c r="O76" s="10">
        <v>172506562986</v>
      </c>
      <c r="P76" s="64">
        <f>7349558160+47082300</f>
        <v>7396640460</v>
      </c>
      <c r="Q76" s="51">
        <v>540</v>
      </c>
      <c r="R76" s="51">
        <f t="shared" si="1"/>
        <v>3.663309568185384</v>
      </c>
      <c r="S76" s="51">
        <f t="shared" si="2"/>
        <v>6.4763051191346593E-2</v>
      </c>
      <c r="T76" s="51">
        <f t="shared" si="3"/>
        <v>0.10685212734902659</v>
      </c>
      <c r="U76" s="58">
        <f t="shared" si="4"/>
        <v>0.14547058658397399</v>
      </c>
      <c r="V76" s="58">
        <f t="shared" si="5"/>
        <v>8.6509923077539588E-2</v>
      </c>
      <c r="W76" s="58">
        <f t="shared" si="6"/>
        <v>3.3820944032921813E-3</v>
      </c>
      <c r="X76" s="58">
        <f t="shared" si="7"/>
        <v>4.2877443802531064E-2</v>
      </c>
      <c r="Y76" s="51">
        <f t="shared" si="8"/>
        <v>12.677778527055164</v>
      </c>
      <c r="Z76" s="51">
        <f t="shared" si="9"/>
        <v>1.8442438789124245</v>
      </c>
      <c r="AA76" s="52">
        <v>3</v>
      </c>
      <c r="AB76">
        <v>0</v>
      </c>
    </row>
    <row r="77" spans="1:28">
      <c r="A77" s="66">
        <v>2018</v>
      </c>
      <c r="B77" s="59" t="s">
        <v>479</v>
      </c>
      <c r="C77" s="49" t="s">
        <v>480</v>
      </c>
      <c r="D77" s="64">
        <v>382330851179</v>
      </c>
      <c r="E77" s="64">
        <v>59744095869</v>
      </c>
      <c r="F77" s="64">
        <v>511887783867</v>
      </c>
      <c r="G77" s="10">
        <f t="shared" si="10"/>
        <v>122929175890</v>
      </c>
      <c r="H77" s="64">
        <v>20984611197</v>
      </c>
      <c r="I77" s="64">
        <v>143913787087</v>
      </c>
      <c r="J77" s="64">
        <v>367973996780</v>
      </c>
      <c r="K77" s="67">
        <v>428000000</v>
      </c>
      <c r="L77" s="64">
        <v>300572751733</v>
      </c>
      <c r="M77" s="64">
        <v>126237236215</v>
      </c>
      <c r="N77" s="64">
        <f>121854966846+43793006242</f>
        <v>165647973088</v>
      </c>
      <c r="O77" s="10">
        <v>1242582777</v>
      </c>
      <c r="P77" s="64">
        <v>0</v>
      </c>
      <c r="Q77" s="51">
        <v>179</v>
      </c>
      <c r="R77" s="51">
        <f t="shared" si="1"/>
        <v>3.1101717587460187</v>
      </c>
      <c r="S77" s="51">
        <f t="shared" si="2"/>
        <v>5.702742960271194E-2</v>
      </c>
      <c r="T77" s="51">
        <f t="shared" si="3"/>
        <v>2.4274515160589397E-3</v>
      </c>
      <c r="U77" s="58">
        <f t="shared" si="4"/>
        <v>3.3768222425317215E-3</v>
      </c>
      <c r="V77" s="58">
        <f t="shared" si="5"/>
        <v>4.1340499757070177E-3</v>
      </c>
      <c r="W77" s="58">
        <f t="shared" si="6"/>
        <v>0</v>
      </c>
      <c r="X77" s="58">
        <f t="shared" si="7"/>
        <v>0</v>
      </c>
      <c r="Y77" s="51">
        <f t="shared" si="8"/>
        <v>61.655449776123852</v>
      </c>
      <c r="Z77" s="51">
        <f t="shared" si="9"/>
        <v>0.20819949417731246</v>
      </c>
      <c r="AA77" s="52">
        <v>3</v>
      </c>
      <c r="AB77">
        <v>0</v>
      </c>
    </row>
    <row r="78" spans="1:28">
      <c r="A78" s="66">
        <v>2019</v>
      </c>
      <c r="B78" s="59" t="s">
        <v>479</v>
      </c>
      <c r="C78" s="49" t="s">
        <v>480</v>
      </c>
      <c r="D78" s="64">
        <v>412707718061</v>
      </c>
      <c r="E78" s="64">
        <v>54872479523</v>
      </c>
      <c r="F78" s="64">
        <v>532762947995</v>
      </c>
      <c r="G78" s="10">
        <f t="shared" si="10"/>
        <v>142931525716</v>
      </c>
      <c r="H78" s="64">
        <v>21189897229</v>
      </c>
      <c r="I78" s="64">
        <v>164121422945</v>
      </c>
      <c r="J78" s="64">
        <v>368641525050</v>
      </c>
      <c r="K78" s="67">
        <v>428000000</v>
      </c>
      <c r="L78" s="64">
        <v>305224577860</v>
      </c>
      <c r="M78" s="64">
        <v>120805351025</v>
      </c>
      <c r="N78" s="64">
        <f>127264471191+48192315737</f>
        <v>175456786928</v>
      </c>
      <c r="O78" s="10">
        <v>667528270</v>
      </c>
      <c r="P78" s="64">
        <v>0</v>
      </c>
      <c r="Q78" s="51">
        <v>153</v>
      </c>
      <c r="R78" s="51">
        <f t="shared" si="1"/>
        <v>2.8874505886198678</v>
      </c>
      <c r="S78" s="51">
        <f t="shared" si="2"/>
        <v>5.7481037238346785E-2</v>
      </c>
      <c r="T78" s="51">
        <f t="shared" si="3"/>
        <v>1.2529555077209775E-3</v>
      </c>
      <c r="U78" s="58">
        <f t="shared" si="4"/>
        <v>1.8107788315748234E-3</v>
      </c>
      <c r="V78" s="58">
        <f t="shared" si="5"/>
        <v>2.1870069398742227E-3</v>
      </c>
      <c r="W78" s="58">
        <f t="shared" si="6"/>
        <v>0</v>
      </c>
      <c r="X78" s="58">
        <f t="shared" si="7"/>
        <v>0</v>
      </c>
      <c r="Y78" s="51">
        <f t="shared" si="8"/>
        <v>98.099216082638719</v>
      </c>
      <c r="Z78" s="51">
        <f t="shared" si="9"/>
        <v>0.17763598387652665</v>
      </c>
      <c r="AA78" s="52">
        <v>3</v>
      </c>
      <c r="AB78">
        <v>0</v>
      </c>
    </row>
    <row r="79" spans="1:28">
      <c r="A79" s="66">
        <v>2020</v>
      </c>
      <c r="B79" s="66" t="s">
        <v>479</v>
      </c>
      <c r="C79" s="49" t="s">
        <v>480</v>
      </c>
      <c r="D79" s="64">
        <v>432576455286</v>
      </c>
      <c r="E79" s="64">
        <v>55965014371</v>
      </c>
      <c r="F79" s="64">
        <v>559795937451</v>
      </c>
      <c r="G79" s="10">
        <f t="shared" si="10"/>
        <v>195801413331</v>
      </c>
      <c r="H79" s="64">
        <v>21575918643</v>
      </c>
      <c r="I79" s="64">
        <v>217377331974</v>
      </c>
      <c r="J79" s="64">
        <v>342418605477</v>
      </c>
      <c r="K79" s="67">
        <v>428000000</v>
      </c>
      <c r="L79" s="64">
        <v>318408499475</v>
      </c>
      <c r="M79" s="64">
        <v>113949955107</v>
      </c>
      <c r="N79" s="64">
        <f>132164370165+58327364740</f>
        <v>190491734905</v>
      </c>
      <c r="O79" s="10">
        <v>7263926826</v>
      </c>
      <c r="P79" s="64">
        <v>0</v>
      </c>
      <c r="Q79" s="51">
        <v>169</v>
      </c>
      <c r="R79" s="51">
        <f t="shared" si="1"/>
        <v>2.2092611484613474</v>
      </c>
      <c r="S79" s="51">
        <f t="shared" si="2"/>
        <v>6.301035719990758E-2</v>
      </c>
      <c r="T79" s="51">
        <f t="shared" si="3"/>
        <v>1.2976026333945708E-2</v>
      </c>
      <c r="U79" s="58">
        <f t="shared" si="4"/>
        <v>2.1213586849000564E-2</v>
      </c>
      <c r="V79" s="58">
        <f t="shared" si="5"/>
        <v>2.2813231549964737E-2</v>
      </c>
      <c r="W79" s="58">
        <f t="shared" si="6"/>
        <v>0</v>
      </c>
      <c r="X79" s="58">
        <f t="shared" si="7"/>
        <v>0</v>
      </c>
      <c r="Y79" s="51">
        <f t="shared" si="8"/>
        <v>9.9576994279595183</v>
      </c>
      <c r="Z79" s="51">
        <f t="shared" si="9"/>
        <v>0.21123852163126247</v>
      </c>
      <c r="AA79" s="52">
        <v>3</v>
      </c>
      <c r="AB79">
        <v>0</v>
      </c>
    </row>
    <row r="80" spans="1:28">
      <c r="A80" s="66">
        <v>2018</v>
      </c>
      <c r="B80" s="66" t="s">
        <v>481</v>
      </c>
      <c r="C80" s="49" t="s">
        <v>482</v>
      </c>
      <c r="D80" s="64">
        <v>1384227944</v>
      </c>
      <c r="E80" s="64">
        <v>90191394000</v>
      </c>
      <c r="F80" s="64">
        <v>1523517170000</v>
      </c>
      <c r="G80" s="10">
        <f t="shared" si="10"/>
        <v>192299843000</v>
      </c>
      <c r="H80" s="64">
        <v>47053513000</v>
      </c>
      <c r="I80" s="64">
        <v>239353356000</v>
      </c>
      <c r="J80" s="64">
        <v>1284163814000</v>
      </c>
      <c r="K80" s="67">
        <v>800659050</v>
      </c>
      <c r="L80" s="64">
        <v>893006350000</v>
      </c>
      <c r="M80" s="64">
        <v>241721111000</v>
      </c>
      <c r="N80" s="64">
        <f>166486011000+68361970000</f>
        <v>234847981000</v>
      </c>
      <c r="O80" s="10">
        <v>338129985000</v>
      </c>
      <c r="P80" s="10">
        <v>207667269000</v>
      </c>
      <c r="Q80" s="51">
        <v>5500</v>
      </c>
      <c r="R80" s="51">
        <f t="shared" si="1"/>
        <v>7.1982791166397362E-3</v>
      </c>
      <c r="S80" s="51">
        <f t="shared" si="2"/>
        <v>3.6641363420321392E-2</v>
      </c>
      <c r="T80" s="51">
        <f t="shared" si="3"/>
        <v>0.22194038351402368</v>
      </c>
      <c r="U80" s="58">
        <f t="shared" si="4"/>
        <v>0.26330751677760639</v>
      </c>
      <c r="V80" s="58">
        <f t="shared" si="5"/>
        <v>0.37864230752670458</v>
      </c>
      <c r="W80" s="58">
        <f t="shared" si="6"/>
        <v>4.7158257029290149E-2</v>
      </c>
      <c r="X80" s="58">
        <f t="shared" si="7"/>
        <v>0.61416401446916935</v>
      </c>
      <c r="Y80" s="51">
        <f t="shared" si="8"/>
        <v>13.023467217791998</v>
      </c>
      <c r="Z80" s="51">
        <f t="shared" si="9"/>
        <v>3.4291768129513733</v>
      </c>
      <c r="AA80" s="52">
        <v>3</v>
      </c>
      <c r="AB80">
        <v>1</v>
      </c>
    </row>
    <row r="81" spans="1:28">
      <c r="A81" s="66">
        <v>2019</v>
      </c>
      <c r="B81" s="66" t="s">
        <v>481</v>
      </c>
      <c r="C81" s="49" t="s">
        <v>482</v>
      </c>
      <c r="D81" s="64">
        <v>1292805083</v>
      </c>
      <c r="E81" s="64">
        <v>85234517000</v>
      </c>
      <c r="F81" s="64">
        <v>1425983722000</v>
      </c>
      <c r="G81" s="10">
        <f t="shared" si="10"/>
        <v>160587363000</v>
      </c>
      <c r="H81" s="64">
        <v>51833027000</v>
      </c>
      <c r="I81" s="64">
        <v>212420390000</v>
      </c>
      <c r="J81" s="64">
        <v>1213563332000</v>
      </c>
      <c r="K81" s="67">
        <v>800659050</v>
      </c>
      <c r="L81" s="64">
        <v>827136727000</v>
      </c>
      <c r="M81" s="64">
        <v>230440697000</v>
      </c>
      <c r="N81" s="64">
        <f>175692185000+79000788000</f>
        <v>254692973000</v>
      </c>
      <c r="O81" s="10">
        <v>317815177000</v>
      </c>
      <c r="P81" s="10">
        <v>382134244000</v>
      </c>
      <c r="Q81" s="51">
        <v>6800</v>
      </c>
      <c r="R81" s="51">
        <f t="shared" si="1"/>
        <v>8.0504783119204719E-3</v>
      </c>
      <c r="S81" s="51">
        <f t="shared" si="2"/>
        <v>4.2711431396478615E-2</v>
      </c>
      <c r="T81" s="51">
        <f t="shared" si="3"/>
        <v>0.2228743372710113</v>
      </c>
      <c r="U81" s="58">
        <f t="shared" si="4"/>
        <v>0.2618859425129697</v>
      </c>
      <c r="V81" s="58">
        <f t="shared" si="5"/>
        <v>0.38423535870871806</v>
      </c>
      <c r="W81" s="58">
        <f t="shared" si="6"/>
        <v>7.0187444147344846E-2</v>
      </c>
      <c r="X81" s="58">
        <f t="shared" si="7"/>
        <v>1.20237884045418</v>
      </c>
      <c r="Y81" s="51">
        <f t="shared" si="8"/>
        <v>17.13096772593714</v>
      </c>
      <c r="Z81" s="51">
        <f t="shared" si="9"/>
        <v>4.4863596290663139</v>
      </c>
      <c r="AA81" s="52">
        <v>3</v>
      </c>
      <c r="AB81">
        <v>1</v>
      </c>
    </row>
    <row r="82" spans="1:28">
      <c r="A82" s="66">
        <v>2020</v>
      </c>
      <c r="B82" s="66" t="s">
        <v>481</v>
      </c>
      <c r="C82" s="49" t="s">
        <v>482</v>
      </c>
      <c r="D82" s="64">
        <v>1103831856</v>
      </c>
      <c r="E82" s="64">
        <v>79117279000</v>
      </c>
      <c r="F82" s="64">
        <v>1225580913000</v>
      </c>
      <c r="G82" s="10">
        <f t="shared" si="10"/>
        <v>147207676000</v>
      </c>
      <c r="H82" s="64">
        <v>58474274000</v>
      </c>
      <c r="I82" s="64">
        <v>205681950000</v>
      </c>
      <c r="J82" s="64">
        <v>1019898963000</v>
      </c>
      <c r="K82" s="67">
        <v>800659050</v>
      </c>
      <c r="L82" s="64">
        <v>546336411000</v>
      </c>
      <c r="M82" s="64">
        <v>179156903000</v>
      </c>
      <c r="N82" s="64">
        <f>156629572000+78513510000</f>
        <v>235143082000</v>
      </c>
      <c r="O82" s="10">
        <v>123465762000</v>
      </c>
      <c r="P82" s="10">
        <v>311711537000</v>
      </c>
      <c r="Q82" s="51">
        <v>4400</v>
      </c>
      <c r="R82" s="51">
        <f t="shared" si="1"/>
        <v>7.4984666968045876E-3</v>
      </c>
      <c r="S82" s="51">
        <f t="shared" si="2"/>
        <v>5.733339881825137E-2</v>
      </c>
      <c r="T82" s="51">
        <f t="shared" si="3"/>
        <v>0.10074060446794833</v>
      </c>
      <c r="U82" s="58">
        <f t="shared" si="4"/>
        <v>0.12105685609957817</v>
      </c>
      <c r="V82" s="58">
        <f t="shared" si="5"/>
        <v>0.22598852925436816</v>
      </c>
      <c r="W82" s="58">
        <f t="shared" si="6"/>
        <v>8.848152173682873E-2</v>
      </c>
      <c r="X82" s="58">
        <f t="shared" si="7"/>
        <v>2.5246799756518734</v>
      </c>
      <c r="Y82" s="51">
        <f t="shared" si="8"/>
        <v>28.533414955961636</v>
      </c>
      <c r="Z82" s="51">
        <f t="shared" si="9"/>
        <v>3.4541655083533995</v>
      </c>
      <c r="AA82" s="52">
        <v>3</v>
      </c>
      <c r="AB82">
        <v>1</v>
      </c>
    </row>
    <row r="83" spans="1:28">
      <c r="A83" s="66">
        <v>2018</v>
      </c>
      <c r="B83" s="59" t="s">
        <v>483</v>
      </c>
      <c r="C83" s="49" t="s">
        <v>484</v>
      </c>
      <c r="D83" s="64">
        <v>1570545769306</v>
      </c>
      <c r="E83" s="64">
        <v>2280734909765</v>
      </c>
      <c r="F83" s="64">
        <v>4212408305683</v>
      </c>
      <c r="G83" s="10">
        <f t="shared" si="10"/>
        <v>1329358276278</v>
      </c>
      <c r="H83" s="64">
        <v>393641552725</v>
      </c>
      <c r="I83" s="64">
        <v>1722999829003</v>
      </c>
      <c r="J83" s="64">
        <v>2489408476680</v>
      </c>
      <c r="K83" s="67">
        <v>7130087567</v>
      </c>
      <c r="L83" s="64">
        <v>8048946664266</v>
      </c>
      <c r="M83" s="64">
        <v>5495794976776</v>
      </c>
      <c r="N83" s="64">
        <f>1361526966344+574981609169+48046719655</f>
        <v>1984555295168</v>
      </c>
      <c r="O83" s="10">
        <v>425481597110</v>
      </c>
      <c r="P83" s="10">
        <v>183082141237</v>
      </c>
      <c r="Q83" s="51">
        <v>1875</v>
      </c>
      <c r="R83" s="51">
        <f t="shared" si="1"/>
        <v>1.1814315202544856</v>
      </c>
      <c r="S83" s="51">
        <f t="shared" si="2"/>
        <v>0.15812654147059871</v>
      </c>
      <c r="T83" s="51">
        <f t="shared" si="3"/>
        <v>0.10100673207200231</v>
      </c>
      <c r="U83" s="58">
        <f t="shared" si="4"/>
        <v>0.17091674632579526</v>
      </c>
      <c r="V83" s="58">
        <f t="shared" si="5"/>
        <v>5.2861773702509746E-2</v>
      </c>
      <c r="W83" s="58">
        <f t="shared" si="6"/>
        <v>1.3694615633005077E-2</v>
      </c>
      <c r="X83" s="58">
        <f t="shared" si="7"/>
        <v>0.43029391278153839</v>
      </c>
      <c r="Y83" s="51">
        <f t="shared" si="8"/>
        <v>31.420663734767189</v>
      </c>
      <c r="Z83" s="51">
        <f t="shared" si="9"/>
        <v>5.3703176129433183</v>
      </c>
      <c r="AA83" s="52">
        <v>3</v>
      </c>
      <c r="AB83">
        <v>0</v>
      </c>
    </row>
    <row r="84" spans="1:28">
      <c r="A84" s="66">
        <v>2019</v>
      </c>
      <c r="B84" s="59" t="s">
        <v>483</v>
      </c>
      <c r="C84" s="49" t="s">
        <v>484</v>
      </c>
      <c r="D84" s="64">
        <v>1999886108743</v>
      </c>
      <c r="E84" s="64">
        <v>2715366689138</v>
      </c>
      <c r="F84" s="64">
        <v>5063067672414</v>
      </c>
      <c r="G84" s="10">
        <f t="shared" si="10"/>
        <v>1303881731637</v>
      </c>
      <c r="H84" s="64">
        <v>993665175862</v>
      </c>
      <c r="I84" s="64">
        <v>2297546907499</v>
      </c>
      <c r="J84" s="64">
        <v>2765520764915</v>
      </c>
      <c r="K84" s="67">
        <v>7379580291</v>
      </c>
      <c r="L84" s="64">
        <v>8438631355699</v>
      </c>
      <c r="M84" s="64">
        <v>5910489349236</v>
      </c>
      <c r="N84" s="64">
        <f>1355631464428+554177456534+57788727828</f>
        <v>1967597648790</v>
      </c>
      <c r="O84" s="10">
        <v>435766359480</v>
      </c>
      <c r="P84" s="10">
        <v>132379748022</v>
      </c>
      <c r="Q84" s="51">
        <v>1510</v>
      </c>
      <c r="R84" s="51">
        <f t="shared" si="1"/>
        <v>1.5337941012734178</v>
      </c>
      <c r="S84" s="51">
        <f t="shared" si="2"/>
        <v>0.35930490505376511</v>
      </c>
      <c r="T84" s="51">
        <f t="shared" si="3"/>
        <v>8.606765456726212E-2</v>
      </c>
      <c r="U84" s="58">
        <f t="shared" si="4"/>
        <v>0.15757117610845114</v>
      </c>
      <c r="V84" s="58">
        <f t="shared" si="5"/>
        <v>5.1639459186199277E-2</v>
      </c>
      <c r="W84" s="58">
        <f t="shared" si="6"/>
        <v>1.1879904255023404E-2</v>
      </c>
      <c r="X84" s="58">
        <f t="shared" si="7"/>
        <v>0.30378606595508828</v>
      </c>
      <c r="Y84" s="51">
        <f t="shared" si="8"/>
        <v>25.571423761823059</v>
      </c>
      <c r="Z84" s="51">
        <f t="shared" si="9"/>
        <v>4.0293193169180537</v>
      </c>
      <c r="AA84" s="52">
        <v>3</v>
      </c>
      <c r="AB84">
        <v>0</v>
      </c>
    </row>
    <row r="85" spans="1:28">
      <c r="A85" s="66">
        <v>2020</v>
      </c>
      <c r="B85" s="59" t="s">
        <v>483</v>
      </c>
      <c r="C85" s="49" t="s">
        <v>484</v>
      </c>
      <c r="D85" s="64">
        <v>2314323530275</v>
      </c>
      <c r="E85" s="64">
        <v>3217662289685</v>
      </c>
      <c r="F85" s="64">
        <v>6570969641033</v>
      </c>
      <c r="G85" s="10">
        <f t="shared" si="10"/>
        <v>1321529767664</v>
      </c>
      <c r="H85" s="64">
        <v>2355003084216</v>
      </c>
      <c r="I85" s="64">
        <v>3676532851880</v>
      </c>
      <c r="J85" s="64">
        <v>2894436789153</v>
      </c>
      <c r="K85" s="67">
        <v>7369648898</v>
      </c>
      <c r="L85" s="64">
        <v>7711334590144</v>
      </c>
      <c r="M85" s="64">
        <v>5568907814506</v>
      </c>
      <c r="N85" s="64">
        <f>1111326412293+603575877329+97215317609</f>
        <v>1812117607231</v>
      </c>
      <c r="O85" s="10">
        <v>245103761907</v>
      </c>
      <c r="P85" s="10">
        <v>213786027325</v>
      </c>
      <c r="Q85" s="51">
        <v>1270</v>
      </c>
      <c r="R85" s="51">
        <f t="shared" si="1"/>
        <v>1.7512458568117693</v>
      </c>
      <c r="S85" s="51">
        <f t="shared" si="2"/>
        <v>0.8136308566286381</v>
      </c>
      <c r="T85" s="51">
        <f t="shared" si="3"/>
        <v>3.7301003549982628E-2</v>
      </c>
      <c r="U85" s="58">
        <f t="shared" si="4"/>
        <v>8.4680986237299999E-2</v>
      </c>
      <c r="V85" s="58">
        <f t="shared" si="5"/>
        <v>3.1784869278045809E-2</v>
      </c>
      <c r="W85" s="58">
        <f t="shared" si="6"/>
        <v>2.2841719723214714E-2</v>
      </c>
      <c r="X85" s="58">
        <f t="shared" si="7"/>
        <v>0.87222662623235081</v>
      </c>
      <c r="Y85" s="51">
        <f t="shared" si="8"/>
        <v>38.185681148424266</v>
      </c>
      <c r="Z85" s="51">
        <f t="shared" si="9"/>
        <v>3.2336011397916415</v>
      </c>
      <c r="AA85" s="52">
        <v>3</v>
      </c>
      <c r="AB85">
        <v>0</v>
      </c>
    </row>
    <row r="86" spans="1:28">
      <c r="A86" s="66">
        <v>2018</v>
      </c>
      <c r="B86" s="59" t="s">
        <v>485</v>
      </c>
      <c r="C86" s="49" t="s">
        <v>486</v>
      </c>
      <c r="D86" s="64">
        <v>33272618000000</v>
      </c>
      <c r="E86" s="64">
        <v>42388236000000</v>
      </c>
      <c r="F86" s="64">
        <v>96537796000000</v>
      </c>
      <c r="G86" s="10">
        <f t="shared" si="10"/>
        <v>31204102000000</v>
      </c>
      <c r="H86" s="64">
        <v>15416894000000</v>
      </c>
      <c r="I86" s="64">
        <v>46620996000000</v>
      </c>
      <c r="J86" s="64">
        <v>49916800000000</v>
      </c>
      <c r="K86" s="67">
        <v>8780426500</v>
      </c>
      <c r="L86" s="64">
        <v>73394728000000</v>
      </c>
      <c r="M86" s="64">
        <v>53182723000000</v>
      </c>
      <c r="N86" s="64">
        <f>7817444000000+4466279000000+278450000000</f>
        <v>12562173000000</v>
      </c>
      <c r="O86" s="10">
        <v>4961851000000</v>
      </c>
      <c r="P86" s="10">
        <v>2651689000000</v>
      </c>
      <c r="Q86" s="51">
        <v>7450</v>
      </c>
      <c r="R86" s="51">
        <f t="shared" si="1"/>
        <v>1.0662898743248563</v>
      </c>
      <c r="S86" s="51">
        <f t="shared" si="2"/>
        <v>0.30885180941085966</v>
      </c>
      <c r="T86" s="51">
        <f t="shared" si="3"/>
        <v>5.1398014100094022E-2</v>
      </c>
      <c r="U86" s="58">
        <f t="shared" si="4"/>
        <v>9.9402425636258729E-2</v>
      </c>
      <c r="V86" s="58">
        <f t="shared" si="5"/>
        <v>6.7605005634737148E-2</v>
      </c>
      <c r="W86" s="58">
        <f t="shared" si="6"/>
        <v>4.0536915763257422E-2</v>
      </c>
      <c r="X86" s="58">
        <f t="shared" si="7"/>
        <v>0.53441528171644015</v>
      </c>
      <c r="Y86" s="51">
        <f t="shared" si="8"/>
        <v>13.183422360929418</v>
      </c>
      <c r="Z86" s="51">
        <f t="shared" si="9"/>
        <v>1.3104641608636771</v>
      </c>
      <c r="AA86" s="52">
        <v>3</v>
      </c>
      <c r="AB86">
        <v>0</v>
      </c>
    </row>
    <row r="87" spans="1:28">
      <c r="A87" s="66">
        <v>2019</v>
      </c>
      <c r="B87" s="59" t="s">
        <v>485</v>
      </c>
      <c r="C87" s="49" t="s">
        <v>486</v>
      </c>
      <c r="D87" s="64">
        <v>31403445000000</v>
      </c>
      <c r="E87" s="64">
        <v>43072504000000</v>
      </c>
      <c r="F87" s="64">
        <v>96198559000000</v>
      </c>
      <c r="G87" s="10">
        <f t="shared" si="10"/>
        <v>24686862000000</v>
      </c>
      <c r="H87" s="64">
        <v>17309209000000</v>
      </c>
      <c r="I87" s="64">
        <v>41996071000000</v>
      </c>
      <c r="J87" s="64">
        <v>54202488000000</v>
      </c>
      <c r="K87" s="67">
        <v>8780426500</v>
      </c>
      <c r="L87" s="64">
        <v>76592955000000</v>
      </c>
      <c r="M87" s="64">
        <v>53876594000000</v>
      </c>
      <c r="N87" s="64">
        <f>8489356000000+4697173000000+759131000000</f>
        <v>13945660000000</v>
      </c>
      <c r="O87" s="10">
        <v>5902729000000</v>
      </c>
      <c r="P87" s="10">
        <v>1501453000000</v>
      </c>
      <c r="Q87" s="51">
        <v>7925</v>
      </c>
      <c r="R87" s="51">
        <f t="shared" si="1"/>
        <v>1.2720711526641175</v>
      </c>
      <c r="S87" s="51">
        <f t="shared" si="2"/>
        <v>0.31934344047085073</v>
      </c>
      <c r="T87" s="51">
        <f t="shared" si="3"/>
        <v>6.1359848435983327E-2</v>
      </c>
      <c r="U87" s="58">
        <f t="shared" si="4"/>
        <v>0.10890144009625537</v>
      </c>
      <c r="V87" s="58">
        <f t="shared" si="5"/>
        <v>7.7066213204595641E-2</v>
      </c>
      <c r="W87" s="58">
        <f t="shared" si="6"/>
        <v>2.1577288050655313E-2</v>
      </c>
      <c r="X87" s="58">
        <f t="shared" si="7"/>
        <v>0.25436590431307282</v>
      </c>
      <c r="Y87" s="51">
        <f t="shared" si="8"/>
        <v>11.788594735164024</v>
      </c>
      <c r="Z87" s="51">
        <f t="shared" si="9"/>
        <v>1.2837949433704963</v>
      </c>
      <c r="AA87" s="52">
        <v>3</v>
      </c>
      <c r="AB87">
        <v>0</v>
      </c>
    </row>
    <row r="88" spans="1:28">
      <c r="A88" s="66">
        <v>2020</v>
      </c>
      <c r="B88" s="59" t="s">
        <v>485</v>
      </c>
      <c r="C88" s="49" t="s">
        <v>486</v>
      </c>
      <c r="D88" s="64">
        <v>38418238000000</v>
      </c>
      <c r="E88" s="64">
        <v>45862919000000</v>
      </c>
      <c r="F88" s="64">
        <v>163136516000000</v>
      </c>
      <c r="G88" s="10">
        <f t="shared" si="10"/>
        <v>27975875000000</v>
      </c>
      <c r="H88" s="64">
        <v>56022597000000</v>
      </c>
      <c r="I88" s="64">
        <v>83998472000000</v>
      </c>
      <c r="J88" s="64">
        <v>79138044000000</v>
      </c>
      <c r="K88" s="67">
        <v>8780426500</v>
      </c>
      <c r="L88" s="64">
        <v>81731469000000</v>
      </c>
      <c r="M88" s="64">
        <v>54979425000000</v>
      </c>
      <c r="N88" s="64">
        <f>9077860000000+5087140000000+563315000000</f>
        <v>14728315000000</v>
      </c>
      <c r="O88" s="10">
        <v>8752066000000</v>
      </c>
      <c r="P88" s="10">
        <v>2440959000000</v>
      </c>
      <c r="Q88" s="51">
        <v>6850</v>
      </c>
      <c r="R88" s="51">
        <f t="shared" si="1"/>
        <v>1.3732631419035151</v>
      </c>
      <c r="S88" s="51">
        <f t="shared" si="2"/>
        <v>0.70790980125816605</v>
      </c>
      <c r="T88" s="51">
        <f t="shared" si="3"/>
        <v>5.3648724482996804E-2</v>
      </c>
      <c r="U88" s="58">
        <f t="shared" si="4"/>
        <v>0.11059239725459982</v>
      </c>
      <c r="V88" s="58">
        <f t="shared" si="5"/>
        <v>0.10708318481342848</v>
      </c>
      <c r="W88" s="58">
        <f t="shared" si="6"/>
        <v>4.0583948804997549E-2</v>
      </c>
      <c r="X88" s="58">
        <f t="shared" si="7"/>
        <v>0.27890089037262744</v>
      </c>
      <c r="Y88" s="51">
        <f t="shared" si="8"/>
        <v>6.8721969789761648</v>
      </c>
      <c r="Z88" s="51">
        <f t="shared" si="9"/>
        <v>0.76001273831079263</v>
      </c>
      <c r="AA88" s="52">
        <v>3</v>
      </c>
      <c r="AB88">
        <v>0</v>
      </c>
    </row>
    <row r="89" spans="1:28">
      <c r="A89" s="66">
        <v>2018</v>
      </c>
      <c r="B89" s="59" t="s">
        <v>487</v>
      </c>
      <c r="C89" s="49" t="s">
        <v>488</v>
      </c>
      <c r="D89" s="64">
        <v>12647858727872</v>
      </c>
      <c r="E89" s="64">
        <v>4258300525120</v>
      </c>
      <c r="F89" s="64">
        <v>17591706426634</v>
      </c>
      <c r="G89" s="10">
        <f t="shared" si="10"/>
        <v>4764510387113</v>
      </c>
      <c r="H89" s="64">
        <v>4284651557827</v>
      </c>
      <c r="I89" s="64">
        <v>9049161944940</v>
      </c>
      <c r="J89" s="64">
        <v>8542544481694</v>
      </c>
      <c r="K89" s="67">
        <v>22358699725</v>
      </c>
      <c r="L89" s="64">
        <v>24060802395725</v>
      </c>
      <c r="M89" s="64">
        <v>17664148865078</v>
      </c>
      <c r="N89" s="64">
        <v>3768761522641</v>
      </c>
      <c r="O89" s="10">
        <v>1760434280304</v>
      </c>
      <c r="P89" s="10">
        <v>603684892575</v>
      </c>
      <c r="Q89" s="51">
        <v>2620</v>
      </c>
      <c r="R89" s="51">
        <f t="shared" si="1"/>
        <v>2.6545977866019146</v>
      </c>
      <c r="S89" s="51">
        <f t="shared" si="2"/>
        <v>0.5015661981051045</v>
      </c>
      <c r="T89" s="51">
        <f t="shared" si="3"/>
        <v>0.10007183144204174</v>
      </c>
      <c r="U89" s="58">
        <f t="shared" si="4"/>
        <v>0.20607844466908801</v>
      </c>
      <c r="V89" s="58">
        <f t="shared" si="5"/>
        <v>7.3166067006010777E-2</v>
      </c>
      <c r="W89" s="58">
        <f t="shared" si="6"/>
        <v>1.0305343511450382E-2</v>
      </c>
      <c r="X89" s="58">
        <f t="shared" si="7"/>
        <v>0.3429181647557743</v>
      </c>
      <c r="Y89" s="51">
        <f t="shared" si="8"/>
        <v>33.275762654078839</v>
      </c>
      <c r="Z89" s="51">
        <f t="shared" si="9"/>
        <v>6.8574174129302907</v>
      </c>
      <c r="AA89" s="52">
        <v>3</v>
      </c>
      <c r="AB89">
        <v>0</v>
      </c>
    </row>
    <row r="90" spans="1:28">
      <c r="A90" s="66">
        <v>2019</v>
      </c>
      <c r="B90" s="59" t="s">
        <v>487</v>
      </c>
      <c r="C90" s="49" t="s">
        <v>488</v>
      </c>
      <c r="D90" s="64">
        <v>12776102781513</v>
      </c>
      <c r="E90" s="64">
        <v>4674963819225</v>
      </c>
      <c r="F90" s="64">
        <v>19037918806473</v>
      </c>
      <c r="G90" s="10">
        <f t="shared" si="10"/>
        <v>3726359539201</v>
      </c>
      <c r="H90" s="64">
        <v>5411619071954</v>
      </c>
      <c r="I90" s="64">
        <v>9137978611155</v>
      </c>
      <c r="J90" s="64">
        <v>9899940195318</v>
      </c>
      <c r="K90" s="67">
        <v>22358699725</v>
      </c>
      <c r="L90" s="64">
        <v>25026739472547</v>
      </c>
      <c r="M90" s="64">
        <v>17109498526032</v>
      </c>
      <c r="N90" s="64">
        <v>4744976395481</v>
      </c>
      <c r="O90" s="10">
        <v>2039404206764</v>
      </c>
      <c r="P90" s="10">
        <v>648402292025</v>
      </c>
      <c r="Q90" s="51">
        <v>2050</v>
      </c>
      <c r="R90" s="51">
        <f t="shared" si="1"/>
        <v>3.4285748992037499</v>
      </c>
      <c r="S90" s="51">
        <f t="shared" si="2"/>
        <v>0.54663149121984889</v>
      </c>
      <c r="T90" s="51">
        <f t="shared" si="3"/>
        <v>0.10712327473896942</v>
      </c>
      <c r="U90" s="58">
        <f t="shared" si="4"/>
        <v>0.20600166935639669</v>
      </c>
      <c r="V90" s="58">
        <f t="shared" si="5"/>
        <v>8.1489009345429034E-2</v>
      </c>
      <c r="W90" s="58">
        <f t="shared" si="6"/>
        <v>1.4146341463414635E-2</v>
      </c>
      <c r="X90" s="58">
        <f t="shared" si="7"/>
        <v>0.31793711608246827</v>
      </c>
      <c r="Y90" s="51">
        <f t="shared" si="8"/>
        <v>22.474865102381376</v>
      </c>
      <c r="Z90" s="51">
        <f t="shared" si="9"/>
        <v>4.6298597296503878</v>
      </c>
      <c r="AA90" s="52">
        <v>3</v>
      </c>
      <c r="AB90">
        <v>0</v>
      </c>
    </row>
    <row r="91" spans="1:28">
      <c r="A91" s="66">
        <v>2020</v>
      </c>
      <c r="B91" s="66" t="s">
        <v>487</v>
      </c>
      <c r="C91" s="49" t="s">
        <v>488</v>
      </c>
      <c r="D91" s="64">
        <v>12838729162094</v>
      </c>
      <c r="E91" s="64">
        <v>6043201970326</v>
      </c>
      <c r="F91" s="64">
        <v>19777500514550</v>
      </c>
      <c r="G91" s="10">
        <f t="shared" si="10"/>
        <v>3475323711943</v>
      </c>
      <c r="H91" s="64">
        <v>5030708752649</v>
      </c>
      <c r="I91" s="64">
        <v>8506032464592</v>
      </c>
      <c r="J91" s="64">
        <v>11271468049958</v>
      </c>
      <c r="K91" s="67">
        <v>22358699725</v>
      </c>
      <c r="L91" s="64">
        <v>24476953742651</v>
      </c>
      <c r="M91" s="64">
        <v>17177830782966</v>
      </c>
      <c r="N91" s="64">
        <v>4468194765530</v>
      </c>
      <c r="O91" s="10">
        <v>2098168514645</v>
      </c>
      <c r="P91" s="10">
        <v>670760991750</v>
      </c>
      <c r="Q91" s="51">
        <v>2710</v>
      </c>
      <c r="R91" s="51">
        <f t="shared" si="1"/>
        <v>3.6942541835667053</v>
      </c>
      <c r="S91" s="51">
        <f t="shared" si="2"/>
        <v>0.44632240719235733</v>
      </c>
      <c r="T91" s="51">
        <f t="shared" si="3"/>
        <v>0.10608865933798915</v>
      </c>
      <c r="U91" s="58">
        <f t="shared" si="4"/>
        <v>0.18614864588582303</v>
      </c>
      <c r="V91" s="58">
        <f t="shared" si="5"/>
        <v>8.5720165046067359E-2</v>
      </c>
      <c r="W91" s="58">
        <f t="shared" si="6"/>
        <v>1.107011070110701E-2</v>
      </c>
      <c r="X91" s="58">
        <f t="shared" si="7"/>
        <v>0.31968880815251843</v>
      </c>
      <c r="Y91" s="51">
        <f t="shared" si="8"/>
        <v>28.878555669777501</v>
      </c>
      <c r="Z91" s="51">
        <f t="shared" si="9"/>
        <v>5.3757040330674384</v>
      </c>
      <c r="AA91" s="52">
        <v>3</v>
      </c>
      <c r="AB91">
        <v>0</v>
      </c>
    </row>
    <row r="92" spans="1:28">
      <c r="A92" s="66">
        <v>2018</v>
      </c>
      <c r="B92" s="66" t="s">
        <v>489</v>
      </c>
      <c r="C92" s="49" t="s">
        <v>490</v>
      </c>
      <c r="D92" s="64">
        <v>322856090927</v>
      </c>
      <c r="E92" s="64">
        <v>182939273529</v>
      </c>
      <c r="F92" s="64">
        <v>536474618119576</v>
      </c>
      <c r="G92" s="10">
        <f t="shared" si="10"/>
        <v>140400984686</v>
      </c>
      <c r="H92" s="64">
        <v>21288318855</v>
      </c>
      <c r="I92" s="64">
        <v>161689303541</v>
      </c>
      <c r="J92" s="64">
        <v>374784906962</v>
      </c>
      <c r="K92" s="67">
        <v>1230000000</v>
      </c>
      <c r="L92" s="64">
        <v>856750384301</v>
      </c>
      <c r="M92" s="64">
        <v>555042585618</v>
      </c>
      <c r="N92" s="64">
        <f>175978684559+22971515012+8891681794</f>
        <v>207841881365</v>
      </c>
      <c r="O92" s="10">
        <v>67479160972</v>
      </c>
      <c r="P92" s="10">
        <v>48666666666</v>
      </c>
      <c r="Q92" s="51">
        <v>0</v>
      </c>
      <c r="R92" s="51">
        <f t="shared" si="1"/>
        <v>2.2995286795819276</v>
      </c>
      <c r="S92" s="51">
        <f t="shared" si="2"/>
        <v>5.6801430526012227E-2</v>
      </c>
      <c r="T92" s="51">
        <f t="shared" si="3"/>
        <v>1.2578257888234224E-4</v>
      </c>
      <c r="U92" s="58">
        <f t="shared" si="4"/>
        <v>0.18004770127747383</v>
      </c>
      <c r="V92" s="58">
        <f t="shared" si="5"/>
        <v>7.8761751623904391E-2</v>
      </c>
      <c r="W92" s="58" t="e">
        <f>(P92/K92)/Q92</f>
        <v>#DIV/0!</v>
      </c>
      <c r="X92" s="58">
        <f t="shared" si="7"/>
        <v>0.72121031093130938</v>
      </c>
      <c r="Y92" s="51">
        <f t="shared" si="8"/>
        <v>0</v>
      </c>
      <c r="Z92" s="51">
        <f t="shared" si="9"/>
        <v>0</v>
      </c>
      <c r="AA92" s="52">
        <v>3</v>
      </c>
      <c r="AB92">
        <v>0</v>
      </c>
    </row>
    <row r="93" spans="1:28">
      <c r="A93" s="66">
        <v>2019</v>
      </c>
      <c r="B93" s="66" t="s">
        <v>489</v>
      </c>
      <c r="C93" s="49" t="s">
        <v>490</v>
      </c>
      <c r="D93" s="64">
        <v>498883575576</v>
      </c>
      <c r="E93" s="64">
        <v>138148991989</v>
      </c>
      <c r="F93" s="64">
        <v>167429811097</v>
      </c>
      <c r="G93" s="10">
        <f t="shared" si="10"/>
        <v>201269847299</v>
      </c>
      <c r="H93" s="64">
        <v>29349562487</v>
      </c>
      <c r="I93" s="64">
        <v>230619409786</v>
      </c>
      <c r="J93" s="64">
        <v>435693976887</v>
      </c>
      <c r="K93" s="67">
        <v>1230000000</v>
      </c>
      <c r="L93" s="64">
        <v>978806205312</v>
      </c>
      <c r="M93" s="64">
        <v>623784665515</v>
      </c>
      <c r="N93" s="64">
        <f>190933841644+23843523817+6822224341</f>
        <v>221599589802</v>
      </c>
      <c r="O93" s="10">
        <v>98047666143</v>
      </c>
      <c r="P93" s="10">
        <v>208000000000</v>
      </c>
      <c r="Q93" s="51">
        <v>940</v>
      </c>
      <c r="R93" s="51">
        <f t="shared" si="1"/>
        <v>2.4786801514032781</v>
      </c>
      <c r="S93" s="51">
        <f t="shared" si="2"/>
        <v>6.7362791417729412E-2</v>
      </c>
      <c r="T93" s="51">
        <f t="shared" si="3"/>
        <v>0.58560459156342448</v>
      </c>
      <c r="U93" s="58">
        <f t="shared" si="4"/>
        <v>0.22503791960481767</v>
      </c>
      <c r="V93" s="58">
        <f t="shared" si="5"/>
        <v>0.10017066259990327</v>
      </c>
      <c r="W93" s="58">
        <f t="shared" si="6"/>
        <v>0.17989967133713888</v>
      </c>
      <c r="X93" s="58">
        <f t="shared" si="7"/>
        <v>2.1214171451734236</v>
      </c>
      <c r="Y93" s="51">
        <f t="shared" si="8"/>
        <v>11.792223573314963</v>
      </c>
      <c r="Z93" s="51">
        <f t="shared" si="9"/>
        <v>2.6536974604536887</v>
      </c>
      <c r="AA93" s="52">
        <v>3</v>
      </c>
      <c r="AB93">
        <v>1</v>
      </c>
    </row>
    <row r="94" spans="1:28">
      <c r="A94" s="66">
        <v>2020</v>
      </c>
      <c r="B94" s="66" t="s">
        <v>489</v>
      </c>
      <c r="C94" s="49" t="s">
        <v>490</v>
      </c>
      <c r="D94" s="64">
        <v>500560734326</v>
      </c>
      <c r="E94" s="64">
        <v>131897013807</v>
      </c>
      <c r="F94" s="64">
        <v>674806910037</v>
      </c>
      <c r="G94" s="10">
        <f t="shared" si="10"/>
        <v>197366118342</v>
      </c>
      <c r="H94" s="64">
        <v>36539827577</v>
      </c>
      <c r="I94" s="64">
        <v>233905945919</v>
      </c>
      <c r="J94" s="64">
        <v>440900964118</v>
      </c>
      <c r="K94" s="67">
        <v>1500000000</v>
      </c>
      <c r="L94" s="64">
        <v>900852668263</v>
      </c>
      <c r="M94" s="64">
        <v>610850195613</v>
      </c>
      <c r="N94" s="64">
        <f>114037904664+27757363797+2119771465</f>
        <v>143915039926</v>
      </c>
      <c r="O94" s="10">
        <v>157207256439</v>
      </c>
      <c r="P94" s="10">
        <v>165500000000</v>
      </c>
      <c r="Q94" s="51">
        <v>1355</v>
      </c>
      <c r="R94" s="51">
        <f t="shared" si="1"/>
        <v>2.5362039773139697</v>
      </c>
      <c r="S94" s="51">
        <f t="shared" si="2"/>
        <v>8.2875363291836007E-2</v>
      </c>
      <c r="T94" s="51">
        <f t="shared" si="3"/>
        <v>0.23296628131798508</v>
      </c>
      <c r="U94" s="58">
        <f t="shared" si="4"/>
        <v>0.35655911243806221</v>
      </c>
      <c r="V94" s="58">
        <f t="shared" si="5"/>
        <v>0.17450939757121753</v>
      </c>
      <c r="W94" s="58">
        <f t="shared" si="6"/>
        <v>8.1426814268142675E-2</v>
      </c>
      <c r="X94" s="58">
        <f t="shared" si="7"/>
        <v>1.0527503866478185</v>
      </c>
      <c r="Y94" s="51">
        <f t="shared" si="8"/>
        <v>12.928792512759463</v>
      </c>
      <c r="Z94" s="51">
        <f t="shared" si="9"/>
        <v>4.609878783245378</v>
      </c>
      <c r="AA94" s="52">
        <v>3</v>
      </c>
      <c r="AB94">
        <v>1</v>
      </c>
    </row>
    <row r="95" spans="1:28">
      <c r="A95" s="66">
        <v>2018</v>
      </c>
      <c r="B95" s="66" t="s">
        <v>491</v>
      </c>
      <c r="C95" s="49" t="s">
        <v>492</v>
      </c>
      <c r="D95" s="64">
        <v>1228961000000</v>
      </c>
      <c r="E95" s="64">
        <v>1524061000000</v>
      </c>
      <c r="F95" s="64">
        <v>2889501000000</v>
      </c>
      <c r="G95" s="10">
        <f t="shared" si="10"/>
        <v>1578919000000</v>
      </c>
      <c r="H95" s="64">
        <v>143046000000</v>
      </c>
      <c r="I95" s="64">
        <v>1721965000000</v>
      </c>
      <c r="J95" s="64">
        <v>1167536000000</v>
      </c>
      <c r="K95" s="67">
        <v>2107000000</v>
      </c>
      <c r="L95" s="64">
        <v>3574801000000</v>
      </c>
      <c r="M95" s="64">
        <v>1364750000000</v>
      </c>
      <c r="N95" s="64">
        <f>338337000000+198772000000+15</f>
        <v>537109000015</v>
      </c>
      <c r="O95" s="10">
        <v>1224807000000</v>
      </c>
      <c r="P95" s="10">
        <v>1121756000000</v>
      </c>
      <c r="Q95" s="51">
        <v>16000</v>
      </c>
      <c r="R95" s="51">
        <f t="shared" si="1"/>
        <v>0.77835595112858857</v>
      </c>
      <c r="S95" s="51">
        <f t="shared" si="2"/>
        <v>0.12251956256595085</v>
      </c>
      <c r="T95" s="51">
        <f t="shared" si="3"/>
        <v>0.4238818398055581</v>
      </c>
      <c r="U95" s="58">
        <f t="shared" si="4"/>
        <v>1.0490528771703826</v>
      </c>
      <c r="V95" s="58">
        <f t="shared" si="5"/>
        <v>0.34262242849322244</v>
      </c>
      <c r="W95" s="58">
        <f t="shared" si="6"/>
        <v>3.3274679639297582E-2</v>
      </c>
      <c r="X95" s="58">
        <f t="shared" si="7"/>
        <v>0.91586347889912456</v>
      </c>
      <c r="Y95" s="51">
        <f t="shared" si="8"/>
        <v>27.524336487299628</v>
      </c>
      <c r="Z95" s="51">
        <f t="shared" si="9"/>
        <v>28.874484384207427</v>
      </c>
      <c r="AA95" s="52">
        <v>3</v>
      </c>
      <c r="AB95">
        <v>1</v>
      </c>
    </row>
    <row r="96" spans="1:28">
      <c r="A96" s="66">
        <v>2019</v>
      </c>
      <c r="B96" s="66" t="s">
        <v>491</v>
      </c>
      <c r="C96" s="49" t="s">
        <v>492</v>
      </c>
      <c r="D96" s="64">
        <v>1162802000000</v>
      </c>
      <c r="E96" s="64">
        <v>1559289000000</v>
      </c>
      <c r="F96" s="64">
        <v>2896950000000</v>
      </c>
      <c r="G96" s="10">
        <f t="shared" si="10"/>
        <v>1588693000000</v>
      </c>
      <c r="H96" s="64">
        <v>162250000000</v>
      </c>
      <c r="I96" s="64">
        <v>1750943000000</v>
      </c>
      <c r="J96" s="64">
        <v>1146007000000</v>
      </c>
      <c r="K96" s="67">
        <v>2107000000</v>
      </c>
      <c r="L96" s="64">
        <v>3711405000000</v>
      </c>
      <c r="M96" s="64">
        <v>1426351000000</v>
      </c>
      <c r="N96" s="64">
        <f>367927000000+207854000000</f>
        <v>575781000000</v>
      </c>
      <c r="O96" s="10">
        <v>1206059000000</v>
      </c>
      <c r="P96" s="10">
        <v>1224323000000</v>
      </c>
      <c r="Q96" s="51">
        <v>15500</v>
      </c>
      <c r="R96" s="51">
        <f t="shared" si="1"/>
        <v>0.73192366303621903</v>
      </c>
      <c r="S96" s="51">
        <f t="shared" si="2"/>
        <v>0.14157854184136745</v>
      </c>
      <c r="T96" s="51">
        <f t="shared" si="3"/>
        <v>0.41632026786793008</v>
      </c>
      <c r="U96" s="58">
        <f t="shared" si="4"/>
        <v>1.0524010760841775</v>
      </c>
      <c r="V96" s="58">
        <f t="shared" si="5"/>
        <v>0.32496022395831231</v>
      </c>
      <c r="W96" s="58">
        <f t="shared" si="6"/>
        <v>3.7488647672122108E-2</v>
      </c>
      <c r="X96" s="58">
        <f t="shared" si="7"/>
        <v>1.0151435377539573</v>
      </c>
      <c r="Y96" s="51">
        <f t="shared" si="8"/>
        <v>27.07869183845898</v>
      </c>
      <c r="Z96" s="51">
        <f t="shared" si="9"/>
        <v>28.497644429746064</v>
      </c>
      <c r="AA96" s="52">
        <v>3</v>
      </c>
      <c r="AB96">
        <v>1</v>
      </c>
    </row>
    <row r="97" spans="1:28">
      <c r="A97" s="66">
        <v>2020</v>
      </c>
      <c r="B97" s="66" t="s">
        <v>491</v>
      </c>
      <c r="C97" s="49" t="s">
        <v>492</v>
      </c>
      <c r="D97" s="64">
        <v>1189261000000</v>
      </c>
      <c r="E97" s="64">
        <v>1479447000000</v>
      </c>
      <c r="F97" s="64">
        <v>2907425000000</v>
      </c>
      <c r="G97" s="10">
        <f t="shared" si="10"/>
        <v>1338441000000</v>
      </c>
      <c r="H97" s="64">
        <v>135578000000</v>
      </c>
      <c r="I97" s="64">
        <v>1474019000000</v>
      </c>
      <c r="J97" s="64">
        <v>1433406000000</v>
      </c>
      <c r="K97" s="67">
        <v>2107000000</v>
      </c>
      <c r="L97" s="64">
        <v>1985009000000</v>
      </c>
      <c r="M97" s="64">
        <v>1044783000000</v>
      </c>
      <c r="N97" s="64">
        <f>257864000000+191970000000</f>
        <v>449834000000</v>
      </c>
      <c r="O97" s="10">
        <v>285617000000</v>
      </c>
      <c r="P97" s="10">
        <v>500000000</v>
      </c>
      <c r="Q97" s="51">
        <v>9700</v>
      </c>
      <c r="R97" s="51">
        <f t="shared" si="1"/>
        <v>0.8885419678566332</v>
      </c>
      <c r="S97" s="51">
        <f t="shared" si="2"/>
        <v>9.4584507111034832E-2</v>
      </c>
      <c r="T97" s="51">
        <f t="shared" si="3"/>
        <v>9.8237099839204797E-2</v>
      </c>
      <c r="U97" s="58">
        <f t="shared" si="4"/>
        <v>0.19925757252306744</v>
      </c>
      <c r="V97" s="58">
        <f t="shared" si="5"/>
        <v>0.14388700504632473</v>
      </c>
      <c r="W97" s="58">
        <f t="shared" si="6"/>
        <v>2.4464352991256439E-5</v>
      </c>
      <c r="X97" s="58">
        <f t="shared" si="7"/>
        <v>1.750596077964547E-3</v>
      </c>
      <c r="Y97" s="51">
        <f t="shared" si="8"/>
        <v>71.557015163663237</v>
      </c>
      <c r="Z97" s="51">
        <f t="shared" si="9"/>
        <v>14.258277138507861</v>
      </c>
      <c r="AA97" s="52">
        <v>3</v>
      </c>
      <c r="AB97">
        <v>0</v>
      </c>
    </row>
    <row r="98" spans="1:28">
      <c r="A98" s="6">
        <v>2018</v>
      </c>
      <c r="B98" s="6" t="s">
        <v>245</v>
      </c>
      <c r="C98" s="7" t="s">
        <v>246</v>
      </c>
      <c r="D98" s="10">
        <v>788973000000</v>
      </c>
      <c r="E98" s="10">
        <v>764532000000</v>
      </c>
      <c r="F98" s="10">
        <v>1816406000000</v>
      </c>
      <c r="G98" s="10">
        <f t="shared" si="10"/>
        <v>5177830000000</v>
      </c>
      <c r="H98" s="10">
        <v>89518000000</v>
      </c>
      <c r="I98" s="10">
        <v>5267348000000</v>
      </c>
      <c r="J98" s="10">
        <v>-3450942000000</v>
      </c>
      <c r="K98" s="8">
        <v>23450000000</v>
      </c>
      <c r="L98" s="10">
        <v>1583265000000</v>
      </c>
      <c r="M98" s="10">
        <v>1123521000000</v>
      </c>
      <c r="N98" s="9">
        <f>395353000000+91748000000</f>
        <v>487101000000</v>
      </c>
      <c r="O98" s="10">
        <v>-123513000000</v>
      </c>
      <c r="P98" s="10">
        <v>0</v>
      </c>
      <c r="Q98" s="51">
        <v>168</v>
      </c>
      <c r="R98" s="51">
        <f t="shared" si="1"/>
        <v>0.15237522282500585</v>
      </c>
      <c r="S98" s="51">
        <f t="shared" si="2"/>
        <v>-2.5940163584319876E-2</v>
      </c>
      <c r="T98" s="51">
        <f t="shared" si="3"/>
        <v>-6.7998564197651851E-2</v>
      </c>
      <c r="U98" s="58">
        <f t="shared" si="4"/>
        <v>3.5791097039590929E-2</v>
      </c>
      <c r="V98" s="58">
        <f t="shared" si="5"/>
        <v>-7.8011577341758967E-2</v>
      </c>
      <c r="W98" s="58">
        <f t="shared" si="6"/>
        <v>0</v>
      </c>
      <c r="X98" s="58">
        <f t="shared" si="7"/>
        <v>0</v>
      </c>
      <c r="Y98" s="51">
        <f t="shared" si="8"/>
        <v>-31.89623764300114</v>
      </c>
      <c r="Z98" s="51">
        <f t="shared" si="9"/>
        <v>-1.1416013366785067</v>
      </c>
      <c r="AA98" s="52">
        <v>3</v>
      </c>
      <c r="AB98">
        <v>0</v>
      </c>
    </row>
    <row r="99" spans="1:28">
      <c r="A99" s="6">
        <v>2019</v>
      </c>
      <c r="B99" s="6" t="s">
        <v>245</v>
      </c>
      <c r="C99" s="7" t="s">
        <v>246</v>
      </c>
      <c r="D99" s="10">
        <v>474261000000</v>
      </c>
      <c r="E99" s="10">
        <v>1150417000000</v>
      </c>
      <c r="F99" s="10">
        <v>1868966000000</v>
      </c>
      <c r="G99" s="10">
        <f t="shared" si="10"/>
        <v>1152923000000</v>
      </c>
      <c r="H99" s="10">
        <v>2373896000000</v>
      </c>
      <c r="I99" s="10">
        <v>3526819000000</v>
      </c>
      <c r="J99" s="10">
        <v>-1657853000000</v>
      </c>
      <c r="K99" s="8">
        <v>23450000000</v>
      </c>
      <c r="L99" s="10">
        <v>1510427000000</v>
      </c>
      <c r="M99" s="10">
        <v>1062970000000</v>
      </c>
      <c r="N99" s="9">
        <f>538628000000+322278000000</f>
        <v>860906000000</v>
      </c>
      <c r="O99" s="10">
        <v>1134776000000</v>
      </c>
      <c r="P99" s="10">
        <v>0</v>
      </c>
      <c r="Q99" s="51">
        <v>168</v>
      </c>
      <c r="R99" s="51">
        <f t="shared" si="1"/>
        <v>0.41135531167302586</v>
      </c>
      <c r="S99" s="51">
        <f t="shared" si="2"/>
        <v>-1.4319098255394176</v>
      </c>
      <c r="T99" s="51">
        <f t="shared" si="3"/>
        <v>0.60716781364669015</v>
      </c>
      <c r="U99" s="58">
        <f t="shared" si="4"/>
        <v>-0.68448529513774747</v>
      </c>
      <c r="V99" s="58">
        <f t="shared" si="5"/>
        <v>0.75129483252086993</v>
      </c>
      <c r="W99" s="58">
        <f t="shared" si="6"/>
        <v>0</v>
      </c>
      <c r="X99" s="58">
        <f t="shared" si="7"/>
        <v>0</v>
      </c>
      <c r="Y99" s="51">
        <f t="shared" si="8"/>
        <v>3.4716983792396032</v>
      </c>
      <c r="Z99" s="51">
        <f t="shared" si="9"/>
        <v>-2.3763264897430592</v>
      </c>
      <c r="AA99" s="52">
        <v>3</v>
      </c>
      <c r="AB99">
        <v>0</v>
      </c>
    </row>
    <row r="100" spans="1:28">
      <c r="A100" s="6">
        <v>2020</v>
      </c>
      <c r="B100" s="6" t="s">
        <v>245</v>
      </c>
      <c r="C100" s="7" t="s">
        <v>246</v>
      </c>
      <c r="D100" s="10">
        <v>695360000000</v>
      </c>
      <c r="E100" s="10">
        <v>1081687000000</v>
      </c>
      <c r="F100" s="10">
        <v>2011557000000</v>
      </c>
      <c r="G100" s="10">
        <f t="shared" si="10"/>
        <v>855449000000</v>
      </c>
      <c r="H100" s="10">
        <v>327851000000</v>
      </c>
      <c r="I100" s="10">
        <v>1183300000000</v>
      </c>
      <c r="J100" s="10">
        <v>828257000000</v>
      </c>
      <c r="K100" s="8">
        <v>23450000000</v>
      </c>
      <c r="L100" s="10">
        <v>1283331000000</v>
      </c>
      <c r="M100" s="10">
        <v>965172000000</v>
      </c>
      <c r="N100" s="9">
        <f>480135000000+7497000000</f>
        <v>487632000000</v>
      </c>
      <c r="O100" s="10">
        <v>1204972000000</v>
      </c>
      <c r="P100" s="10">
        <v>0</v>
      </c>
      <c r="Q100" s="51">
        <v>390</v>
      </c>
      <c r="R100" s="51">
        <f t="shared" si="1"/>
        <v>0.81285967953671112</v>
      </c>
      <c r="S100" s="51">
        <f t="shared" si="2"/>
        <v>0.39583245297051517</v>
      </c>
      <c r="T100" s="51">
        <f t="shared" si="3"/>
        <v>0.59902453671459477</v>
      </c>
      <c r="U100" s="58">
        <f t="shared" si="4"/>
        <v>1.4548286341075294</v>
      </c>
      <c r="V100" s="58">
        <f t="shared" si="5"/>
        <v>0.93894092794454431</v>
      </c>
      <c r="W100" s="58">
        <f t="shared" si="6"/>
        <v>0</v>
      </c>
      <c r="X100" s="58">
        <f t="shared" si="7"/>
        <v>0</v>
      </c>
      <c r="Y100" s="51">
        <f t="shared" si="8"/>
        <v>7.5898029165822942</v>
      </c>
      <c r="Z100" s="51">
        <f t="shared" si="9"/>
        <v>11.041862610276761</v>
      </c>
      <c r="AA100" s="52">
        <v>3</v>
      </c>
      <c r="AB100">
        <v>1</v>
      </c>
    </row>
    <row r="101" spans="1:28">
      <c r="A101" s="6">
        <v>2018</v>
      </c>
      <c r="B101" s="6" t="s">
        <v>249</v>
      </c>
      <c r="C101" s="7" t="s">
        <v>250</v>
      </c>
      <c r="D101" s="9">
        <v>1876409299238</v>
      </c>
      <c r="E101" s="10">
        <v>2222133112899</v>
      </c>
      <c r="F101" s="10">
        <v>4393810380883</v>
      </c>
      <c r="G101" s="10">
        <f t="shared" si="10"/>
        <v>525422150049</v>
      </c>
      <c r="H101" s="10">
        <v>951487110723</v>
      </c>
      <c r="I101" s="10">
        <v>1476909260772</v>
      </c>
      <c r="J101" s="10">
        <v>2916901120111</v>
      </c>
      <c r="K101" s="8">
        <v>17200000000</v>
      </c>
      <c r="L101" s="10">
        <v>2766545866684</v>
      </c>
      <c r="M101" s="10">
        <v>1274332759465</v>
      </c>
      <c r="N101" s="10">
        <f>1353753543617+2064517559</f>
        <v>1355818061176</v>
      </c>
      <c r="O101" s="10">
        <v>127171436363</v>
      </c>
      <c r="P101" s="10">
        <v>36005365328</v>
      </c>
      <c r="Q101" s="51">
        <v>1200</v>
      </c>
      <c r="R101" s="51">
        <f t="shared" si="1"/>
        <v>3.5712413324466987</v>
      </c>
      <c r="S101" s="51">
        <f t="shared" si="2"/>
        <v>0.32619793114097473</v>
      </c>
      <c r="T101" s="51">
        <f t="shared" si="3"/>
        <v>2.8943314649241429E-2</v>
      </c>
      <c r="U101" s="58">
        <f t="shared" si="4"/>
        <v>4.359813073065727E-2</v>
      </c>
      <c r="V101" s="58">
        <f t="shared" si="5"/>
        <v>4.5967586474692547E-2</v>
      </c>
      <c r="W101" s="58">
        <f>(P101/K101)/Q101</f>
        <v>1.7444459945736436E-3</v>
      </c>
      <c r="X101" s="58">
        <f t="shared" si="7"/>
        <v>0.28312462576286201</v>
      </c>
      <c r="Y101" s="51">
        <f t="shared" si="8"/>
        <v>162.30059666138303</v>
      </c>
      <c r="Z101" s="51">
        <f t="shared" si="9"/>
        <v>7.0760026309066539</v>
      </c>
      <c r="AA101" s="52">
        <v>3</v>
      </c>
      <c r="AB101">
        <v>0</v>
      </c>
    </row>
    <row r="102" spans="1:28">
      <c r="A102" s="6">
        <v>2019</v>
      </c>
      <c r="B102" s="6" t="s">
        <v>249</v>
      </c>
      <c r="C102" s="7" t="s">
        <v>250</v>
      </c>
      <c r="D102" s="9">
        <v>1874411044438</v>
      </c>
      <c r="E102" s="9">
        <v>2540413874692</v>
      </c>
      <c r="F102" s="10">
        <v>4682083844951</v>
      </c>
      <c r="G102" s="10">
        <f t="shared" si="10"/>
        <v>1106938318565</v>
      </c>
      <c r="H102" s="10">
        <v>482548147289</v>
      </c>
      <c r="I102" s="10">
        <v>1589486465854</v>
      </c>
      <c r="J102" s="10">
        <v>3092597379097</v>
      </c>
      <c r="K102" s="8">
        <v>17200000000</v>
      </c>
      <c r="L102" s="10">
        <v>3337022314624</v>
      </c>
      <c r="M102" s="10">
        <v>1487586425468</v>
      </c>
      <c r="N102" s="10">
        <f>1556060704391+5724203586+2223001439</f>
        <v>1564007909416</v>
      </c>
      <c r="O102" s="10">
        <v>236518557420</v>
      </c>
      <c r="P102" s="10">
        <v>59724779679</v>
      </c>
      <c r="Q102" s="51">
        <v>1300</v>
      </c>
      <c r="R102" s="51">
        <f t="shared" si="1"/>
        <v>1.6933292605390402</v>
      </c>
      <c r="S102" s="51">
        <f t="shared" si="2"/>
        <v>0.15603329115861117</v>
      </c>
      <c r="T102" s="51">
        <f t="shared" si="3"/>
        <v>5.0515660388067068E-2</v>
      </c>
      <c r="U102" s="58">
        <f t="shared" si="4"/>
        <v>7.6478936126195801E-2</v>
      </c>
      <c r="V102" s="58">
        <f t="shared" si="5"/>
        <v>7.0877127906365175E-2</v>
      </c>
      <c r="W102" s="58">
        <f t="shared" si="6"/>
        <v>2.6710545473613593E-3</v>
      </c>
      <c r="X102" s="58">
        <f t="shared" si="7"/>
        <v>0.25251625213045409</v>
      </c>
      <c r="Y102" s="51">
        <f t="shared" si="8"/>
        <v>94.538036439542566</v>
      </c>
      <c r="Z102" s="51">
        <f t="shared" si="9"/>
        <v>7.2301684503557473</v>
      </c>
      <c r="AA102" s="52">
        <v>3</v>
      </c>
      <c r="AB102">
        <v>0</v>
      </c>
    </row>
    <row r="103" spans="1:28">
      <c r="A103" s="6">
        <v>2020</v>
      </c>
      <c r="B103" s="6" t="s">
        <v>249</v>
      </c>
      <c r="C103" s="7" t="s">
        <v>250</v>
      </c>
      <c r="D103" s="9">
        <v>1549617329468</v>
      </c>
      <c r="E103" s="10">
        <v>2434486072405</v>
      </c>
      <c r="F103" s="10">
        <v>4452166671985</v>
      </c>
      <c r="G103" s="10">
        <f t="shared" si="10"/>
        <v>404567270700</v>
      </c>
      <c r="H103" s="10">
        <v>819928353554</v>
      </c>
      <c r="I103" s="10">
        <v>1224495624254</v>
      </c>
      <c r="J103" s="10">
        <v>3227671047731</v>
      </c>
      <c r="K103" s="8">
        <v>17200000000</v>
      </c>
      <c r="L103" s="10">
        <v>3212034546032</v>
      </c>
      <c r="M103" s="10">
        <v>1409870836152</v>
      </c>
      <c r="N103" s="10">
        <f>1598529737771+7485264504+18889290455</f>
        <v>1624904292730</v>
      </c>
      <c r="O103" s="10">
        <v>168610282478</v>
      </c>
      <c r="P103" s="10">
        <v>149528741987</v>
      </c>
      <c r="Q103" s="51">
        <v>1360</v>
      </c>
      <c r="R103" s="51">
        <f t="shared" si="1"/>
        <v>3.8303081877750129</v>
      </c>
      <c r="S103" s="51">
        <f t="shared" si="2"/>
        <v>0.25403095341156162</v>
      </c>
      <c r="T103" s="51">
        <f t="shared" si="3"/>
        <v>3.7871511760548052E-2</v>
      </c>
      <c r="U103" s="58">
        <f t="shared" si="4"/>
        <v>5.223899213537584E-2</v>
      </c>
      <c r="V103" s="58">
        <f t="shared" si="5"/>
        <v>5.249329671322913E-2</v>
      </c>
      <c r="W103" s="58">
        <f t="shared" si="6"/>
        <v>6.3923025815235983E-3</v>
      </c>
      <c r="X103" s="58">
        <f t="shared" si="7"/>
        <v>0.88683050517106077</v>
      </c>
      <c r="Y103" s="51">
        <f t="shared" si="8"/>
        <v>138.73412496685754</v>
      </c>
      <c r="Z103" s="51">
        <f t="shared" si="9"/>
        <v>7.2473308630519195</v>
      </c>
      <c r="AA103" s="52">
        <v>3</v>
      </c>
      <c r="AB103">
        <v>0</v>
      </c>
    </row>
    <row r="104" spans="1:28">
      <c r="A104" s="6">
        <v>2018</v>
      </c>
      <c r="B104" s="6" t="s">
        <v>251</v>
      </c>
      <c r="C104" s="7" t="s">
        <v>252</v>
      </c>
      <c r="D104" s="9">
        <v>851410216636</v>
      </c>
      <c r="E104" s="10">
        <v>582660258194</v>
      </c>
      <c r="F104" s="10">
        <v>1771365972009</v>
      </c>
      <c r="G104" s="10">
        <f t="shared" si="10"/>
        <v>615506825729</v>
      </c>
      <c r="H104" s="10">
        <v>115282593709</v>
      </c>
      <c r="I104" s="10">
        <v>730789419438</v>
      </c>
      <c r="J104" s="10">
        <v>1040576552571</v>
      </c>
      <c r="K104" s="8">
        <v>6500000000</v>
      </c>
      <c r="L104" s="10">
        <v>1953910957160</v>
      </c>
      <c r="M104" s="10">
        <v>1728304112505</v>
      </c>
      <c r="N104" s="10">
        <f>73318364644+107643678040</f>
        <v>180962042684</v>
      </c>
      <c r="O104" s="10">
        <v>15954632472</v>
      </c>
      <c r="P104" s="10">
        <v>0</v>
      </c>
      <c r="Q104" s="51">
        <v>695</v>
      </c>
      <c r="R104" s="51">
        <f t="shared" si="1"/>
        <v>1.3832668965573183</v>
      </c>
      <c r="S104" s="51">
        <f t="shared" si="2"/>
        <v>0.11078722985268699</v>
      </c>
      <c r="T104" s="51">
        <f t="shared" si="3"/>
        <v>9.0069656548189218E-3</v>
      </c>
      <c r="U104" s="58">
        <f t="shared" si="4"/>
        <v>1.5332492772953765E-2</v>
      </c>
      <c r="V104" s="58">
        <f t="shared" si="5"/>
        <v>8.1654859519238177E-3</v>
      </c>
      <c r="W104" s="58">
        <f t="shared" si="6"/>
        <v>0</v>
      </c>
      <c r="X104" s="58">
        <f t="shared" si="7"/>
        <v>0</v>
      </c>
      <c r="Y104" s="51">
        <f t="shared" si="8"/>
        <v>283.14660384237027</v>
      </c>
      <c r="Z104" s="51">
        <f t="shared" si="9"/>
        <v>4.3413432570995436</v>
      </c>
      <c r="AA104" s="52">
        <v>3</v>
      </c>
      <c r="AB104">
        <v>0</v>
      </c>
    </row>
    <row r="105" spans="1:28">
      <c r="A105" s="6">
        <v>2019</v>
      </c>
      <c r="B105" s="6" t="s">
        <v>251</v>
      </c>
      <c r="C105" s="7" t="s">
        <v>252</v>
      </c>
      <c r="D105" s="9">
        <v>889743651128</v>
      </c>
      <c r="E105" s="9">
        <v>602802562379</v>
      </c>
      <c r="F105" s="10">
        <v>1820383352811</v>
      </c>
      <c r="G105" s="10">
        <f t="shared" si="10"/>
        <v>668931501885</v>
      </c>
      <c r="H105" s="9">
        <v>115631469926</v>
      </c>
      <c r="I105" s="10">
        <v>784562971811</v>
      </c>
      <c r="J105" s="10">
        <v>1035820381000</v>
      </c>
      <c r="K105" s="8">
        <v>6500000000</v>
      </c>
      <c r="L105" s="10">
        <v>2104704872583</v>
      </c>
      <c r="M105" s="10">
        <v>1837650335553</v>
      </c>
      <c r="N105" s="10">
        <f>95900186652+120894683753+2695742567</f>
        <v>219490612972</v>
      </c>
      <c r="O105" s="10">
        <v>957169058</v>
      </c>
      <c r="P105" s="10">
        <v>0</v>
      </c>
      <c r="Q105" s="51">
        <v>410</v>
      </c>
      <c r="R105" s="51">
        <f t="shared" si="1"/>
        <v>1.3300968015720107</v>
      </c>
      <c r="S105" s="51">
        <f t="shared" si="2"/>
        <v>0.11163274255558407</v>
      </c>
      <c r="T105" s="51">
        <f t="shared" si="3"/>
        <v>5.2580631245718575E-4</v>
      </c>
      <c r="U105" s="58">
        <f t="shared" si="4"/>
        <v>9.2406856976103469E-4</v>
      </c>
      <c r="V105" s="58">
        <f t="shared" si="5"/>
        <v>4.5477590253559583E-4</v>
      </c>
      <c r="W105" s="58">
        <f t="shared" si="6"/>
        <v>0</v>
      </c>
      <c r="X105" s="58">
        <f t="shared" si="7"/>
        <v>0</v>
      </c>
      <c r="Y105" s="51">
        <f t="shared" si="8"/>
        <v>2784.2521420077078</v>
      </c>
      <c r="Z105" s="51">
        <f t="shared" si="9"/>
        <v>2.5728398947191597</v>
      </c>
      <c r="AA105" s="52">
        <v>3</v>
      </c>
      <c r="AB105">
        <v>0</v>
      </c>
    </row>
    <row r="106" spans="1:28">
      <c r="A106" s="6">
        <v>2020</v>
      </c>
      <c r="B106" s="6" t="s">
        <v>251</v>
      </c>
      <c r="C106" s="7" t="s">
        <v>252</v>
      </c>
      <c r="D106" s="9">
        <v>953792483691</v>
      </c>
      <c r="E106" s="10">
        <v>440748401586</v>
      </c>
      <c r="F106" s="10">
        <v>1768660546754</v>
      </c>
      <c r="G106" s="10">
        <f t="shared" si="10"/>
        <v>701020837232</v>
      </c>
      <c r="H106" s="10">
        <v>105658050187</v>
      </c>
      <c r="I106" s="10">
        <v>806678887419</v>
      </c>
      <c r="J106" s="10">
        <v>961981659335</v>
      </c>
      <c r="K106" s="8">
        <v>6500000000</v>
      </c>
      <c r="L106" s="10">
        <v>3165530224724</v>
      </c>
      <c r="M106" s="10">
        <v>2850011161450</v>
      </c>
      <c r="N106" s="10">
        <f>123892703496+123380975540+21272443611</f>
        <v>268546122647</v>
      </c>
      <c r="O106" s="10">
        <v>5415741808</v>
      </c>
      <c r="P106" s="10">
        <v>0</v>
      </c>
      <c r="Q106" s="51">
        <v>324</v>
      </c>
      <c r="R106" s="51">
        <f t="shared" si="1"/>
        <v>1.3605765093332687</v>
      </c>
      <c r="S106" s="51">
        <f t="shared" si="2"/>
        <v>0.10983374699683926</v>
      </c>
      <c r="T106" s="51">
        <f t="shared" si="3"/>
        <v>3.0620583570654309E-3</v>
      </c>
      <c r="U106" s="58">
        <f t="shared" si="4"/>
        <v>5.6297765715656173E-3</v>
      </c>
      <c r="V106" s="58">
        <f t="shared" si="5"/>
        <v>1.7108482382196157E-3</v>
      </c>
      <c r="W106" s="58">
        <f t="shared" si="6"/>
        <v>0</v>
      </c>
      <c r="X106" s="58">
        <f t="shared" si="7"/>
        <v>0</v>
      </c>
      <c r="Y106" s="51">
        <f t="shared" si="8"/>
        <v>388.86639626894117</v>
      </c>
      <c r="Z106" s="51">
        <f t="shared" si="9"/>
        <v>2.1892309271840364</v>
      </c>
      <c r="AA106" s="52">
        <v>3</v>
      </c>
      <c r="AB106">
        <v>0</v>
      </c>
    </row>
    <row r="107" spans="1:28">
      <c r="A107" s="6">
        <v>2018</v>
      </c>
      <c r="B107" s="6" t="s">
        <v>253</v>
      </c>
      <c r="C107" s="7" t="s">
        <v>254</v>
      </c>
      <c r="D107" s="9">
        <v>2793521000000</v>
      </c>
      <c r="E107" s="10">
        <v>1453135000000</v>
      </c>
      <c r="F107" s="10">
        <v>5555871000000</v>
      </c>
      <c r="G107" s="10">
        <f t="shared" si="10"/>
        <v>635161000000</v>
      </c>
      <c r="H107" s="9">
        <v>145754000000</v>
      </c>
      <c r="I107" s="10">
        <v>780915000000</v>
      </c>
      <c r="J107" s="10">
        <v>4774956000000</v>
      </c>
      <c r="K107" s="8">
        <v>30000000000</v>
      </c>
      <c r="L107" s="10">
        <v>5472882000000</v>
      </c>
      <c r="M107" s="10">
        <v>3516606000000</v>
      </c>
      <c r="N107" s="10">
        <f>196900000000+855358000000</f>
        <v>1052258000000</v>
      </c>
      <c r="O107" s="10">
        <v>701607000000</v>
      </c>
      <c r="P107" s="10">
        <v>159119000000</v>
      </c>
      <c r="Q107" s="51">
        <v>1350</v>
      </c>
      <c r="R107" s="51">
        <f t="shared" si="1"/>
        <v>4.398130552726002</v>
      </c>
      <c r="S107" s="51">
        <f t="shared" si="2"/>
        <v>3.0524679180289827E-2</v>
      </c>
      <c r="T107" s="51">
        <f t="shared" si="3"/>
        <v>0.12628208970294666</v>
      </c>
      <c r="U107" s="58">
        <f t="shared" si="4"/>
        <v>0.14693475709514392</v>
      </c>
      <c r="V107" s="58">
        <f t="shared" si="5"/>
        <v>0.12819699017811823</v>
      </c>
      <c r="W107" s="58">
        <f t="shared" si="6"/>
        <v>3.9288641975308639E-3</v>
      </c>
      <c r="X107" s="58">
        <f t="shared" si="7"/>
        <v>0.22679220703328218</v>
      </c>
      <c r="Y107" s="51">
        <f t="shared" si="8"/>
        <v>57.724623614074545</v>
      </c>
      <c r="Z107" s="51">
        <f t="shared" si="9"/>
        <v>8.4817535491426526</v>
      </c>
      <c r="AA107" s="52">
        <v>3</v>
      </c>
      <c r="AB107">
        <v>0</v>
      </c>
    </row>
    <row r="108" spans="1:28">
      <c r="A108" s="6">
        <v>2019</v>
      </c>
      <c r="B108" s="6" t="s">
        <v>253</v>
      </c>
      <c r="C108" s="7" t="s">
        <v>254</v>
      </c>
      <c r="D108" s="9">
        <v>3716641000000</v>
      </c>
      <c r="E108" s="10">
        <v>1556666000000</v>
      </c>
      <c r="F108" s="9">
        <v>6608422000000</v>
      </c>
      <c r="G108" s="10">
        <f t="shared" si="10"/>
        <v>836314000000</v>
      </c>
      <c r="H108" s="9">
        <v>116969000000</v>
      </c>
      <c r="I108" s="10">
        <v>953283000000</v>
      </c>
      <c r="J108" s="10">
        <v>5655139000000</v>
      </c>
      <c r="K108" s="8">
        <v>30000000000</v>
      </c>
      <c r="L108" s="10">
        <v>6223057000000</v>
      </c>
      <c r="M108" s="10">
        <v>3881051000000</v>
      </c>
      <c r="N108" s="10">
        <f>202883000000+908877000000</f>
        <v>1111760000000</v>
      </c>
      <c r="O108" s="10">
        <v>1035865000000</v>
      </c>
      <c r="P108" s="10">
        <v>149933000000</v>
      </c>
      <c r="Q108" s="51">
        <v>1680</v>
      </c>
      <c r="R108" s="51">
        <f t="shared" si="1"/>
        <v>4.4440736374136991</v>
      </c>
      <c r="S108" s="51">
        <f t="shared" si="2"/>
        <v>2.068366489311757E-2</v>
      </c>
      <c r="T108" s="51">
        <f t="shared" si="3"/>
        <v>0.15674922091839777</v>
      </c>
      <c r="U108" s="58">
        <f t="shared" si="4"/>
        <v>0.1831723322804267</v>
      </c>
      <c r="V108" s="58">
        <f t="shared" si="5"/>
        <v>0.16645597171936558</v>
      </c>
      <c r="W108" s="58">
        <f t="shared" si="6"/>
        <v>2.9748611111111108E-3</v>
      </c>
      <c r="X108" s="58">
        <f t="shared" si="7"/>
        <v>0.14474183411931091</v>
      </c>
      <c r="Y108" s="51">
        <f t="shared" si="8"/>
        <v>48.654988825763979</v>
      </c>
      <c r="Z108" s="51">
        <f t="shared" si="9"/>
        <v>8.9122477802932867</v>
      </c>
      <c r="AA108" s="52">
        <v>3</v>
      </c>
      <c r="AB108">
        <v>0</v>
      </c>
    </row>
    <row r="109" spans="1:28">
      <c r="A109" s="6">
        <v>2020</v>
      </c>
      <c r="B109" s="6" t="s">
        <v>253</v>
      </c>
      <c r="C109" s="7" t="s">
        <v>254</v>
      </c>
      <c r="D109" s="9">
        <v>5593421000000</v>
      </c>
      <c r="E109" s="10">
        <v>1715401000000</v>
      </c>
      <c r="F109" s="10">
        <v>8754116000000</v>
      </c>
      <c r="G109" s="10">
        <f t="shared" si="10"/>
        <v>2327339000000</v>
      </c>
      <c r="H109" s="9">
        <v>1645040000000</v>
      </c>
      <c r="I109" s="10">
        <v>3972379000000</v>
      </c>
      <c r="J109" s="10">
        <v>4781737000000</v>
      </c>
      <c r="K109" s="8">
        <v>30000000000</v>
      </c>
      <c r="L109" s="10">
        <v>5967362000000</v>
      </c>
      <c r="M109" s="10">
        <v>3738835000000</v>
      </c>
      <c r="N109" s="10">
        <f>773759000000+231175000000</f>
        <v>1004934000000</v>
      </c>
      <c r="O109" s="10">
        <v>1109666000000</v>
      </c>
      <c r="P109" s="10">
        <v>70536000000</v>
      </c>
      <c r="Q109" s="51">
        <v>1600</v>
      </c>
      <c r="R109" s="51">
        <f t="shared" si="1"/>
        <v>2.4033546466586948</v>
      </c>
      <c r="S109" s="51">
        <f t="shared" si="2"/>
        <v>0.34402561245003649</v>
      </c>
      <c r="T109" s="51">
        <f t="shared" si="3"/>
        <v>0.12675934383323229</v>
      </c>
      <c r="U109" s="58">
        <f t="shared" si="4"/>
        <v>0.23206336944085382</v>
      </c>
      <c r="V109" s="58">
        <f t="shared" si="5"/>
        <v>0.1859558712878488</v>
      </c>
      <c r="W109" s="58">
        <f t="shared" si="6"/>
        <v>1.4694999999999999E-3</v>
      </c>
      <c r="X109" s="58">
        <f t="shared" si="7"/>
        <v>6.3565072733597322E-2</v>
      </c>
      <c r="Y109" s="51">
        <f t="shared" si="8"/>
        <v>43.256259090573202</v>
      </c>
      <c r="Z109" s="51">
        <f t="shared" si="9"/>
        <v>10.03819323396498</v>
      </c>
      <c r="AA109" s="52">
        <v>3</v>
      </c>
      <c r="AB109">
        <v>0</v>
      </c>
    </row>
    <row r="110" spans="1:28">
      <c r="A110" s="6">
        <v>2018</v>
      </c>
      <c r="B110" s="6" t="s">
        <v>493</v>
      </c>
      <c r="C110" s="49" t="s">
        <v>494</v>
      </c>
      <c r="D110" s="64">
        <v>109504732067</v>
      </c>
      <c r="E110" s="64">
        <v>20070236365</v>
      </c>
      <c r="F110" s="64">
        <v>149593161546</v>
      </c>
      <c r="G110" s="10">
        <f t="shared" si="10"/>
        <v>91524875312</v>
      </c>
      <c r="H110" s="64">
        <v>18204157687</v>
      </c>
      <c r="I110" s="64">
        <v>109729032999</v>
      </c>
      <c r="J110" s="64">
        <v>39864128547</v>
      </c>
      <c r="K110" s="67">
        <v>410000000</v>
      </c>
      <c r="L110" s="64">
        <v>294974459837</v>
      </c>
      <c r="M110" s="64">
        <v>280921903141</v>
      </c>
      <c r="N110" s="64">
        <v>10402688202</v>
      </c>
      <c r="O110" s="10">
        <v>1175166829</v>
      </c>
      <c r="P110" s="10">
        <v>0</v>
      </c>
      <c r="Q110" s="51">
        <v>177</v>
      </c>
      <c r="R110" s="51">
        <f t="shared" si="1"/>
        <v>1.1964477601713011</v>
      </c>
      <c r="S110" s="51">
        <f t="shared" si="2"/>
        <v>0.45665510198064935</v>
      </c>
      <c r="T110" s="51">
        <f t="shared" si="3"/>
        <v>7.8557523409159002E-3</v>
      </c>
      <c r="U110" s="58">
        <f t="shared" si="4"/>
        <v>2.9479305627225054E-2</v>
      </c>
      <c r="V110" s="58">
        <f t="shared" si="5"/>
        <v>3.9839612882057165E-3</v>
      </c>
      <c r="W110" s="58">
        <f t="shared" si="6"/>
        <v>0</v>
      </c>
      <c r="X110" s="58">
        <f t="shared" si="7"/>
        <v>0</v>
      </c>
      <c r="Y110" s="51">
        <f t="shared" si="8"/>
        <v>61.752934314656358</v>
      </c>
      <c r="Z110" s="51">
        <f t="shared" si="9"/>
        <v>1.8204336240397083</v>
      </c>
      <c r="AA110" s="52">
        <v>3</v>
      </c>
      <c r="AB110">
        <v>0</v>
      </c>
    </row>
    <row r="111" spans="1:28">
      <c r="A111" s="6">
        <v>2019</v>
      </c>
      <c r="B111" s="6" t="s">
        <v>493</v>
      </c>
      <c r="C111" s="49" t="s">
        <v>494</v>
      </c>
      <c r="D111" s="64">
        <v>91858799351</v>
      </c>
      <c r="E111" s="64">
        <v>26479936122</v>
      </c>
      <c r="F111" s="64">
        <v>119708955785</v>
      </c>
      <c r="G111" s="10">
        <f t="shared" si="10"/>
        <v>61591309603</v>
      </c>
      <c r="H111" s="64">
        <v>18153246392</v>
      </c>
      <c r="I111" s="64">
        <v>79744555995</v>
      </c>
      <c r="J111" s="64">
        <v>39964399790</v>
      </c>
      <c r="K111" s="67">
        <v>410000000</v>
      </c>
      <c r="L111" s="64">
        <v>230646056647</v>
      </c>
      <c r="M111" s="64">
        <v>214744883946</v>
      </c>
      <c r="N111" s="64">
        <v>14783897082</v>
      </c>
      <c r="O111" s="10">
        <v>1236402757</v>
      </c>
      <c r="P111" s="10">
        <v>0</v>
      </c>
      <c r="Q111" s="51">
        <v>113</v>
      </c>
      <c r="R111" s="51">
        <f t="shared" si="1"/>
        <v>1.4914246822010377</v>
      </c>
      <c r="S111" s="51">
        <f t="shared" si="2"/>
        <v>0.45423543171896591</v>
      </c>
      <c r="T111" s="51">
        <f t="shared" si="3"/>
        <v>1.0328406499682509E-2</v>
      </c>
      <c r="U111" s="58">
        <f t="shared" si="4"/>
        <v>3.0937603554586E-2</v>
      </c>
      <c r="V111" s="58">
        <f t="shared" si="5"/>
        <v>5.3606065283496006E-3</v>
      </c>
      <c r="W111" s="58">
        <f t="shared" si="6"/>
        <v>0</v>
      </c>
      <c r="X111" s="58">
        <f t="shared" si="7"/>
        <v>0</v>
      </c>
      <c r="Y111" s="51">
        <f t="shared" si="8"/>
        <v>37.471608452584519</v>
      </c>
      <c r="Z111" s="51">
        <f t="shared" si="9"/>
        <v>1.1592817668587336</v>
      </c>
      <c r="AA111" s="52">
        <v>3</v>
      </c>
      <c r="AB111">
        <v>0</v>
      </c>
    </row>
    <row r="112" spans="1:28">
      <c r="A112" s="6">
        <v>2020</v>
      </c>
      <c r="B112" s="6" t="s">
        <v>493</v>
      </c>
      <c r="C112" s="49" t="s">
        <v>494</v>
      </c>
      <c r="D112" s="64">
        <v>86854604000</v>
      </c>
      <c r="E112" s="64">
        <v>24865991822</v>
      </c>
      <c r="F112" s="64">
        <v>112591210595</v>
      </c>
      <c r="G112" s="10">
        <f t="shared" si="10"/>
        <v>54985764683</v>
      </c>
      <c r="H112" s="64">
        <v>17640556856</v>
      </c>
      <c r="I112" s="64">
        <v>72626321539</v>
      </c>
      <c r="J112" s="64">
        <v>39964889056</v>
      </c>
      <c r="K112" s="67">
        <v>410000000</v>
      </c>
      <c r="L112" s="64">
        <v>180460605151</v>
      </c>
      <c r="M112" s="64">
        <v>164844653179</v>
      </c>
      <c r="N112" s="64">
        <v>12846383369</v>
      </c>
      <c r="O112" s="10">
        <v>224178056</v>
      </c>
      <c r="P112" s="10">
        <v>0</v>
      </c>
      <c r="Q112" s="51">
        <v>116</v>
      </c>
      <c r="R112" s="51">
        <f t="shared" si="1"/>
        <v>1.579583452203092</v>
      </c>
      <c r="S112" s="51">
        <f t="shared" si="2"/>
        <v>0.44140137187123235</v>
      </c>
      <c r="T112" s="51">
        <f t="shared" si="3"/>
        <v>1.991079541780461E-3</v>
      </c>
      <c r="U112" s="58">
        <f t="shared" si="4"/>
        <v>5.6093751614291979E-3</v>
      </c>
      <c r="V112" s="58">
        <f t="shared" si="5"/>
        <v>1.2422548168472534E-3</v>
      </c>
      <c r="W112" s="58">
        <f t="shared" si="6"/>
        <v>0</v>
      </c>
      <c r="X112" s="58">
        <f t="shared" si="7"/>
        <v>0</v>
      </c>
      <c r="Y112" s="51">
        <f t="shared" si="8"/>
        <v>212.15278983416647</v>
      </c>
      <c r="Z112" s="51">
        <f t="shared" si="9"/>
        <v>1.1900445897236822</v>
      </c>
      <c r="AA112" s="52">
        <v>3</v>
      </c>
      <c r="AB112">
        <v>0</v>
      </c>
    </row>
    <row r="113" spans="1:28">
      <c r="A113" s="6">
        <v>2018</v>
      </c>
      <c r="B113" s="6" t="s">
        <v>495</v>
      </c>
      <c r="C113" s="49" t="s">
        <v>496</v>
      </c>
      <c r="D113" s="64">
        <v>1250806822918</v>
      </c>
      <c r="E113" s="64">
        <v>1096143561950</v>
      </c>
      <c r="F113" s="64">
        <v>2631189810030</v>
      </c>
      <c r="G113" s="10">
        <f t="shared" si="10"/>
        <v>676673564908</v>
      </c>
      <c r="H113" s="64">
        <v>308128298170</v>
      </c>
      <c r="I113" s="64">
        <v>984801863078</v>
      </c>
      <c r="J113" s="64">
        <v>1646387946952</v>
      </c>
      <c r="K113" s="67">
        <v>1310000000</v>
      </c>
      <c r="L113" s="64">
        <v>2826957323397</v>
      </c>
      <c r="M113" s="64">
        <v>2207268926068</v>
      </c>
      <c r="N113" s="64">
        <f>168669440713+112859616510</f>
        <v>281529057223</v>
      </c>
      <c r="O113" s="10">
        <v>255088886019</v>
      </c>
      <c r="P113" s="10">
        <v>0</v>
      </c>
      <c r="Q113" s="51">
        <v>3750</v>
      </c>
      <c r="R113" s="51">
        <f t="shared" si="1"/>
        <v>1.8484641454673327</v>
      </c>
      <c r="S113" s="51">
        <f t="shared" si="2"/>
        <v>0.18715412654741903</v>
      </c>
      <c r="T113" s="51">
        <f t="shared" si="3"/>
        <v>9.6948112616813284E-2</v>
      </c>
      <c r="U113" s="58">
        <f t="shared" si="4"/>
        <v>0.15493850431257866</v>
      </c>
      <c r="V113" s="58">
        <f t="shared" si="5"/>
        <v>9.0234431170143611E-2</v>
      </c>
      <c r="W113" s="58">
        <f t="shared" si="6"/>
        <v>0</v>
      </c>
      <c r="X113" s="58">
        <f t="shared" si="7"/>
        <v>0</v>
      </c>
      <c r="Y113" s="51">
        <f t="shared" si="8"/>
        <v>19.25799307318351</v>
      </c>
      <c r="Z113" s="51">
        <f t="shared" si="9"/>
        <v>2.9838046428210538</v>
      </c>
      <c r="AA113" s="52">
        <v>3</v>
      </c>
      <c r="AB113">
        <v>0</v>
      </c>
    </row>
    <row r="114" spans="1:28">
      <c r="A114" s="6">
        <v>2019</v>
      </c>
      <c r="B114" s="6" t="s">
        <v>495</v>
      </c>
      <c r="C114" s="49" t="s">
        <v>496</v>
      </c>
      <c r="D114" s="64">
        <v>1165406301686</v>
      </c>
      <c r="E114" s="64">
        <v>1124520287704</v>
      </c>
      <c r="F114" s="64">
        <v>2881563083954</v>
      </c>
      <c r="G114" s="10">
        <f t="shared" si="10"/>
        <v>408490550651</v>
      </c>
      <c r="H114" s="64">
        <v>325065525323</v>
      </c>
      <c r="I114" s="64">
        <v>733556075974</v>
      </c>
      <c r="J114" s="64">
        <v>2148007007980</v>
      </c>
      <c r="K114" s="67">
        <v>1310000000</v>
      </c>
      <c r="L114" s="64">
        <v>3512509168853</v>
      </c>
      <c r="M114" s="64">
        <v>2559476265555</v>
      </c>
      <c r="N114" s="64">
        <f>217197578067+116602280672</f>
        <v>333799858739</v>
      </c>
      <c r="O114" s="10">
        <v>482590522840</v>
      </c>
      <c r="P114" s="10">
        <v>0</v>
      </c>
      <c r="Q114" s="51">
        <v>4500</v>
      </c>
      <c r="R114" s="51">
        <f t="shared" si="1"/>
        <v>2.852957797502842</v>
      </c>
      <c r="S114" s="51">
        <f t="shared" si="2"/>
        <v>0.15133354971159696</v>
      </c>
      <c r="T114" s="51">
        <f t="shared" si="3"/>
        <v>0.16747525866336505</v>
      </c>
      <c r="U114" s="58">
        <f t="shared" si="4"/>
        <v>0.22466897037446415</v>
      </c>
      <c r="V114" s="58">
        <f t="shared" si="5"/>
        <v>0.13739196102869919</v>
      </c>
      <c r="W114" s="58">
        <f t="shared" si="6"/>
        <v>0</v>
      </c>
      <c r="X114" s="58">
        <f t="shared" si="7"/>
        <v>0</v>
      </c>
      <c r="Y114" s="51">
        <f t="shared" si="8"/>
        <v>12.215324837521628</v>
      </c>
      <c r="Z114" s="51">
        <f t="shared" si="9"/>
        <v>2.7444044540356027</v>
      </c>
      <c r="AA114" s="52">
        <v>3</v>
      </c>
      <c r="AB114">
        <v>0</v>
      </c>
    </row>
    <row r="115" spans="1:28">
      <c r="A115" s="6">
        <v>2020</v>
      </c>
      <c r="B115" s="6" t="s">
        <v>495</v>
      </c>
      <c r="C115" s="49" t="s">
        <v>496</v>
      </c>
      <c r="D115" s="64">
        <v>1505872822478</v>
      </c>
      <c r="E115" s="64">
        <v>1538988540784</v>
      </c>
      <c r="F115" s="64">
        <v>3448995059882</v>
      </c>
      <c r="G115" s="10">
        <f t="shared" si="10"/>
        <v>626131203549</v>
      </c>
      <c r="H115" s="64">
        <v>149565657189</v>
      </c>
      <c r="I115" s="64">
        <v>775696860738</v>
      </c>
      <c r="J115" s="64">
        <v>2673298199144</v>
      </c>
      <c r="K115" s="67">
        <v>1310000000</v>
      </c>
      <c r="L115" s="64">
        <v>3846300254825</v>
      </c>
      <c r="M115" s="64">
        <v>2776101376253</v>
      </c>
      <c r="N115" s="64">
        <f>180762094952+140809830176</f>
        <v>321571925128</v>
      </c>
      <c r="O115" s="10">
        <v>628628879549</v>
      </c>
      <c r="P115" s="10">
        <v>0</v>
      </c>
      <c r="Q115" s="51">
        <v>9500</v>
      </c>
      <c r="R115" s="51">
        <f t="shared" si="1"/>
        <v>2.4050435658572842</v>
      </c>
      <c r="S115" s="51">
        <f t="shared" si="2"/>
        <v>5.5947988607066533E-2</v>
      </c>
      <c r="T115" s="51">
        <f t="shared" si="3"/>
        <v>0.18226436067162916</v>
      </c>
      <c r="U115" s="58">
        <f t="shared" si="4"/>
        <v>0.2351510503954588</v>
      </c>
      <c r="V115" s="58">
        <f t="shared" si="5"/>
        <v>0.16343728723736922</v>
      </c>
      <c r="W115" s="58">
        <f t="shared" si="6"/>
        <v>0</v>
      </c>
      <c r="X115" s="58">
        <f t="shared" si="7"/>
        <v>0</v>
      </c>
      <c r="Y115" s="51">
        <f t="shared" si="8"/>
        <v>19.797054199814159</v>
      </c>
      <c r="Z115" s="51">
        <f t="shared" si="9"/>
        <v>4.6552980898221286</v>
      </c>
      <c r="AA115" s="52">
        <v>3</v>
      </c>
      <c r="AB115">
        <v>0</v>
      </c>
    </row>
    <row r="116" spans="1:28">
      <c r="A116" s="6">
        <v>2018</v>
      </c>
      <c r="B116" s="6" t="s">
        <v>497</v>
      </c>
      <c r="C116" s="49" t="s">
        <v>498</v>
      </c>
      <c r="D116" s="64">
        <v>809166450672</v>
      </c>
      <c r="E116" s="64">
        <v>200024117988</v>
      </c>
      <c r="F116" s="64">
        <v>1168956042706</v>
      </c>
      <c r="G116" s="10">
        <f t="shared" si="10"/>
        <v>158255592250</v>
      </c>
      <c r="H116" s="64">
        <v>34052874614</v>
      </c>
      <c r="I116" s="64">
        <v>192308466864</v>
      </c>
      <c r="J116" s="64">
        <v>976647575842</v>
      </c>
      <c r="K116" s="67">
        <v>595000000</v>
      </c>
      <c r="L116" s="64">
        <v>3629327583572</v>
      </c>
      <c r="M116" s="64">
        <v>3354976550553</v>
      </c>
      <c r="N116" s="64">
        <f>77735839903+48951237291</f>
        <v>126687077194</v>
      </c>
      <c r="O116" s="10">
        <v>92649656775</v>
      </c>
      <c r="P116" s="10">
        <v>26711383500</v>
      </c>
      <c r="Q116" s="51">
        <v>1375</v>
      </c>
      <c r="R116" s="51">
        <f t="shared" si="1"/>
        <v>5.1130354331728203</v>
      </c>
      <c r="S116" s="51">
        <f t="shared" si="2"/>
        <v>3.486710606396775E-2</v>
      </c>
      <c r="T116" s="51">
        <f t="shared" si="3"/>
        <v>7.9258460874650688E-2</v>
      </c>
      <c r="U116" s="58">
        <f t="shared" si="4"/>
        <v>9.4864984121957902E-2</v>
      </c>
      <c r="V116" s="58">
        <f t="shared" si="5"/>
        <v>2.5528050208081191E-2</v>
      </c>
      <c r="W116" s="58">
        <f t="shared" si="6"/>
        <v>3.2649513827349125E-2</v>
      </c>
      <c r="X116" s="58">
        <f t="shared" si="7"/>
        <v>0.28830526123662481</v>
      </c>
      <c r="Y116" s="51">
        <f t="shared" si="8"/>
        <v>8.830307941526641</v>
      </c>
      <c r="Z116" s="51">
        <f t="shared" si="9"/>
        <v>0.83768702266492345</v>
      </c>
      <c r="AA116" s="52">
        <v>3</v>
      </c>
      <c r="AB116">
        <v>0</v>
      </c>
    </row>
    <row r="117" spans="1:28">
      <c r="A117" s="6">
        <v>2019</v>
      </c>
      <c r="B117" s="6" t="s">
        <v>497</v>
      </c>
      <c r="C117" s="49" t="s">
        <v>498</v>
      </c>
      <c r="D117" s="64">
        <v>1067652078121</v>
      </c>
      <c r="E117" s="64">
        <v>195283411192</v>
      </c>
      <c r="F117" s="64">
        <v>1393079542074</v>
      </c>
      <c r="G117" s="10">
        <f t="shared" si="10"/>
        <v>222440530626</v>
      </c>
      <c r="H117" s="64">
        <v>39344314614</v>
      </c>
      <c r="I117" s="64">
        <v>261784845240</v>
      </c>
      <c r="J117" s="64">
        <v>1131294696834</v>
      </c>
      <c r="K117" s="67">
        <v>595000000</v>
      </c>
      <c r="L117" s="64">
        <v>3120937098980</v>
      </c>
      <c r="M117" s="64">
        <v>2755574838991</v>
      </c>
      <c r="N117" s="64">
        <f>48951237291+44598253533</f>
        <v>93549490824</v>
      </c>
      <c r="O117" s="10">
        <v>215459200242</v>
      </c>
      <c r="P117" s="10">
        <v>59408630000</v>
      </c>
      <c r="Q117" s="51">
        <v>1670</v>
      </c>
      <c r="R117" s="51">
        <f t="shared" si="1"/>
        <v>4.7997191659108873</v>
      </c>
      <c r="S117" s="51">
        <f t="shared" si="2"/>
        <v>3.4778130511976729E-2</v>
      </c>
      <c r="T117" s="51">
        <f t="shared" si="3"/>
        <v>0.15466396119867423</v>
      </c>
      <c r="U117" s="58">
        <f t="shared" si="4"/>
        <v>0.19045364646804785</v>
      </c>
      <c r="V117" s="58">
        <f t="shared" si="5"/>
        <v>6.9036700647513036E-2</v>
      </c>
      <c r="W117" s="58">
        <f t="shared" si="6"/>
        <v>5.9788285613646651E-2</v>
      </c>
      <c r="X117" s="58">
        <f t="shared" si="7"/>
        <v>0.27573030036904095</v>
      </c>
      <c r="Y117" s="51">
        <f t="shared" si="8"/>
        <v>4.6117780019787951</v>
      </c>
      <c r="Z117" s="51">
        <f t="shared" si="9"/>
        <v>0.87832993717798957</v>
      </c>
      <c r="AA117" s="52">
        <v>3</v>
      </c>
      <c r="AB117">
        <v>0</v>
      </c>
    </row>
    <row r="118" spans="1:28">
      <c r="A118" s="6">
        <v>2020</v>
      </c>
      <c r="B118" s="6" t="s">
        <v>497</v>
      </c>
      <c r="C118" s="49" t="s">
        <v>498</v>
      </c>
      <c r="D118" s="64">
        <v>1266586465994</v>
      </c>
      <c r="E118" s="64">
        <v>204186009945</v>
      </c>
      <c r="F118" s="64">
        <v>1566673828068</v>
      </c>
      <c r="G118" s="10">
        <f t="shared" si="10"/>
        <v>271641005590</v>
      </c>
      <c r="H118" s="64">
        <v>34317827614</v>
      </c>
      <c r="I118" s="64">
        <v>305958833204</v>
      </c>
      <c r="J118" s="64">
        <v>1260714994864</v>
      </c>
      <c r="K118" s="67">
        <v>595000000</v>
      </c>
      <c r="L118" s="64">
        <v>3634297273749</v>
      </c>
      <c r="M118" s="64">
        <v>3299157338979</v>
      </c>
      <c r="N118" s="64">
        <f>79134141192+51430321036</f>
        <v>130564462228</v>
      </c>
      <c r="O118" s="10">
        <v>181812593992</v>
      </c>
      <c r="P118" s="10">
        <v>59416540000</v>
      </c>
      <c r="Q118" s="51">
        <v>1785</v>
      </c>
      <c r="R118" s="51">
        <f t="shared" si="1"/>
        <v>4.6627219010730503</v>
      </c>
      <c r="S118" s="51">
        <f t="shared" si="2"/>
        <v>2.7220924438756317E-2</v>
      </c>
      <c r="T118" s="51">
        <f t="shared" si="3"/>
        <v>0.11605006143251191</v>
      </c>
      <c r="U118" s="58">
        <f t="shared" si="4"/>
        <v>0.14421387445432352</v>
      </c>
      <c r="V118" s="58">
        <f t="shared" si="5"/>
        <v>5.0026891114619575E-2</v>
      </c>
      <c r="W118" s="58">
        <f t="shared" si="6"/>
        <v>5.594382694254172E-2</v>
      </c>
      <c r="X118" s="58">
        <f t="shared" si="7"/>
        <v>0.32680101358992991</v>
      </c>
      <c r="Y118" s="51">
        <f t="shared" si="8"/>
        <v>5.8415920299048851</v>
      </c>
      <c r="Z118" s="51">
        <f t="shared" si="9"/>
        <v>0.84243861961407995</v>
      </c>
      <c r="AA118" s="52">
        <v>3</v>
      </c>
      <c r="AB118">
        <v>0</v>
      </c>
    </row>
    <row r="119" spans="1:28">
      <c r="A119" s="6"/>
      <c r="D119" s="50"/>
      <c r="E119" s="50"/>
      <c r="F119" s="50"/>
      <c r="G119" s="16"/>
      <c r="H119" s="50"/>
      <c r="I119" s="50"/>
      <c r="J119" s="50"/>
      <c r="K119" s="51"/>
      <c r="L119" s="50"/>
      <c r="M119" s="50"/>
      <c r="N119" s="50"/>
      <c r="P119" s="50"/>
      <c r="Q119" s="51"/>
      <c r="R119" s="58"/>
      <c r="S119" s="58"/>
      <c r="T119" s="53"/>
      <c r="U119" s="58"/>
      <c r="V119" s="58"/>
      <c r="W119" s="58"/>
      <c r="X119" s="58"/>
      <c r="Y119" s="58"/>
      <c r="Z119" s="58"/>
      <c r="AA119" s="58"/>
    </row>
    <row r="120" spans="1:28">
      <c r="A120" s="6"/>
      <c r="D120" s="50"/>
      <c r="E120" s="50"/>
      <c r="F120" s="50"/>
      <c r="G120" s="16"/>
      <c r="H120" s="50"/>
      <c r="I120" s="50"/>
      <c r="J120" s="50"/>
      <c r="K120" s="51"/>
      <c r="L120" s="50"/>
      <c r="M120" s="50"/>
      <c r="N120" s="50"/>
      <c r="P120" s="50"/>
      <c r="Q120" s="51"/>
      <c r="R120" s="58"/>
      <c r="S120" s="58"/>
      <c r="T120" s="53"/>
      <c r="U120" s="58"/>
      <c r="V120" s="58"/>
      <c r="W120" s="58"/>
      <c r="X120" s="58"/>
      <c r="Y120" s="58"/>
      <c r="Z120" s="58"/>
      <c r="AA120" s="58"/>
    </row>
    <row r="121" spans="1:28">
      <c r="A121" s="6"/>
      <c r="D121" s="50"/>
      <c r="E121" s="50"/>
      <c r="F121" s="50"/>
      <c r="G121" s="16"/>
      <c r="H121" s="50"/>
      <c r="I121" s="50"/>
      <c r="J121" s="50"/>
      <c r="K121" s="51"/>
      <c r="L121" s="50"/>
      <c r="M121" s="50"/>
      <c r="N121" s="50"/>
      <c r="P121" s="50"/>
      <c r="Q121" s="51"/>
      <c r="R121" s="58"/>
      <c r="S121" s="58"/>
      <c r="T121" s="53"/>
      <c r="U121" s="58"/>
      <c r="V121" s="58"/>
      <c r="W121" s="58"/>
      <c r="X121" s="58"/>
      <c r="Y121" s="58"/>
      <c r="Z121" s="58"/>
      <c r="AA121" s="58"/>
    </row>
    <row r="122" spans="1:28">
      <c r="A122" s="6"/>
      <c r="D122" s="50"/>
      <c r="E122" s="50"/>
      <c r="F122" s="50"/>
      <c r="G122" s="16"/>
      <c r="H122" s="50"/>
      <c r="I122" s="50"/>
      <c r="J122" s="50"/>
      <c r="K122" s="51"/>
      <c r="L122" s="50"/>
      <c r="M122" s="50"/>
      <c r="N122" s="50"/>
      <c r="P122" s="50"/>
      <c r="Q122" s="51"/>
      <c r="R122" s="58"/>
      <c r="S122" s="58"/>
      <c r="T122" s="53"/>
      <c r="U122" s="58"/>
      <c r="V122" s="58"/>
      <c r="W122" s="58"/>
      <c r="X122" s="58"/>
      <c r="Y122" s="58"/>
      <c r="Z122" s="58"/>
      <c r="AA122" s="58"/>
    </row>
    <row r="123" spans="1:28">
      <c r="A123" s="6"/>
      <c r="D123" s="50"/>
      <c r="E123" s="50"/>
      <c r="F123" s="50"/>
      <c r="G123" s="16"/>
      <c r="H123" s="50"/>
      <c r="I123" s="50"/>
      <c r="J123" s="50"/>
      <c r="K123" s="51"/>
      <c r="L123" s="50"/>
      <c r="M123" s="50"/>
      <c r="N123" s="50"/>
      <c r="P123" s="50"/>
      <c r="Q123" s="51"/>
      <c r="R123" s="58"/>
      <c r="S123" s="58"/>
      <c r="T123" s="53"/>
      <c r="U123" s="58"/>
      <c r="V123" s="58"/>
      <c r="W123" s="58"/>
      <c r="X123" s="58"/>
      <c r="Y123" s="58"/>
      <c r="Z123" s="58"/>
      <c r="AA123" s="58"/>
    </row>
    <row r="124" spans="1:28">
      <c r="A124" s="6"/>
      <c r="D124" s="50"/>
      <c r="E124" s="50"/>
      <c r="F124" s="50"/>
      <c r="G124" s="16"/>
      <c r="H124" s="50"/>
      <c r="I124" s="50"/>
      <c r="J124" s="50"/>
      <c r="K124" s="51"/>
      <c r="L124" s="50"/>
      <c r="M124" s="50"/>
      <c r="N124" s="50"/>
      <c r="P124" s="50"/>
      <c r="Q124" s="51"/>
      <c r="R124" s="58"/>
      <c r="S124" s="58"/>
      <c r="T124" s="53"/>
      <c r="U124" s="58"/>
      <c r="V124" s="58"/>
      <c r="W124" s="58"/>
      <c r="X124" s="58"/>
      <c r="Y124" s="58"/>
      <c r="Z124" s="58"/>
      <c r="AA124" s="58"/>
    </row>
    <row r="125" spans="1:28">
      <c r="D125" s="50"/>
      <c r="E125" s="50"/>
      <c r="F125" s="50"/>
      <c r="G125" s="50"/>
      <c r="H125" s="50"/>
      <c r="I125" s="50"/>
      <c r="J125" s="50"/>
      <c r="K125" s="51"/>
      <c r="L125" s="50"/>
      <c r="M125" s="50"/>
      <c r="N125" s="50"/>
      <c r="P125" s="50"/>
      <c r="Q125" s="51"/>
      <c r="U125" s="58"/>
      <c r="V125" s="58"/>
      <c r="W125" s="58"/>
      <c r="X125" s="58"/>
      <c r="Y125" s="58"/>
      <c r="Z125" s="58"/>
      <c r="AA125" s="58"/>
    </row>
    <row r="126" spans="1:28">
      <c r="D126" s="50"/>
      <c r="E126" s="50"/>
      <c r="F126" s="50"/>
      <c r="G126" s="50"/>
      <c r="H126" s="50"/>
      <c r="I126" s="50"/>
      <c r="J126" s="50"/>
      <c r="K126" s="51"/>
      <c r="L126" s="50"/>
      <c r="M126" s="50"/>
      <c r="N126" s="50"/>
      <c r="P126" s="50"/>
      <c r="Q126" s="51"/>
      <c r="U126" s="58"/>
      <c r="V126" s="58"/>
      <c r="W126" s="58"/>
      <c r="X126" s="58"/>
      <c r="Y126" s="58"/>
      <c r="Z126" s="58"/>
      <c r="AA126" s="58"/>
    </row>
    <row r="127" spans="1:28">
      <c r="D127" s="50"/>
      <c r="E127" s="50"/>
      <c r="F127" s="50"/>
      <c r="G127" s="50"/>
      <c r="H127" s="50"/>
      <c r="I127" s="50"/>
      <c r="J127" s="50"/>
      <c r="K127" s="51"/>
      <c r="L127" s="50"/>
      <c r="M127" s="50"/>
      <c r="N127" s="50"/>
      <c r="P127" s="50"/>
      <c r="Q127" s="51"/>
      <c r="U127" s="58"/>
      <c r="V127" s="58"/>
      <c r="W127" s="58"/>
      <c r="X127" s="58"/>
      <c r="Y127" s="58"/>
      <c r="Z127" s="58"/>
      <c r="AA127" s="58"/>
    </row>
    <row r="128" spans="1:28">
      <c r="D128" s="50"/>
      <c r="E128" s="50"/>
      <c r="F128" s="50"/>
      <c r="G128" s="50"/>
      <c r="H128" s="50"/>
      <c r="I128" s="50"/>
      <c r="J128" s="50"/>
      <c r="K128" s="51"/>
      <c r="L128" s="50"/>
      <c r="M128" s="50"/>
      <c r="N128" s="50"/>
      <c r="P128" s="50"/>
      <c r="Q128" s="51"/>
      <c r="U128" s="58"/>
      <c r="V128" s="58"/>
      <c r="W128" s="58"/>
      <c r="X128" s="58"/>
      <c r="Y128" s="58"/>
      <c r="Z128" s="58"/>
      <c r="AA128" s="58"/>
    </row>
    <row r="129" spans="4:27">
      <c r="D129" s="50"/>
      <c r="E129" s="50"/>
      <c r="F129" s="50"/>
      <c r="G129" s="50"/>
      <c r="H129" s="50"/>
      <c r="I129" s="50"/>
      <c r="J129" s="50"/>
      <c r="K129" s="51"/>
      <c r="L129" s="50"/>
      <c r="M129" s="50"/>
      <c r="N129" s="50"/>
      <c r="P129" s="50"/>
      <c r="Q129" s="51"/>
      <c r="U129" s="58"/>
      <c r="V129" s="58"/>
      <c r="W129" s="58"/>
      <c r="X129" s="58"/>
      <c r="Y129" s="58"/>
      <c r="Z129" s="58"/>
      <c r="AA129" s="58"/>
    </row>
    <row r="130" spans="4:27">
      <c r="D130" s="50"/>
      <c r="E130" s="50"/>
      <c r="F130" s="50"/>
      <c r="G130" s="50"/>
      <c r="H130" s="50"/>
      <c r="I130" s="50"/>
      <c r="J130" s="50"/>
      <c r="K130" s="51"/>
      <c r="L130" s="50"/>
      <c r="M130" s="50"/>
      <c r="N130" s="50"/>
      <c r="P130" s="50"/>
      <c r="Q130" s="51"/>
      <c r="U130" s="58"/>
      <c r="V130" s="58"/>
      <c r="W130" s="58"/>
      <c r="X130" s="58"/>
      <c r="Y130" s="58"/>
      <c r="Z130" s="58"/>
      <c r="AA130" s="58"/>
    </row>
    <row r="131" spans="4:27">
      <c r="D131" s="50"/>
      <c r="E131" s="50"/>
      <c r="F131" s="50"/>
      <c r="G131" s="50"/>
      <c r="H131" s="50"/>
      <c r="I131" s="50"/>
      <c r="J131" s="50"/>
      <c r="K131" s="51"/>
      <c r="L131" s="50"/>
      <c r="M131" s="50"/>
      <c r="N131" s="50"/>
      <c r="P131" s="50"/>
      <c r="Q131" s="51"/>
      <c r="U131" s="58"/>
      <c r="V131" s="58"/>
      <c r="W131" s="58"/>
      <c r="X131" s="58"/>
      <c r="Y131" s="58"/>
      <c r="Z131" s="58"/>
      <c r="AA131" s="58"/>
    </row>
    <row r="132" spans="4:27">
      <c r="D132" s="50"/>
      <c r="E132" s="50"/>
      <c r="F132" s="50"/>
      <c r="G132" s="50"/>
      <c r="H132" s="50"/>
      <c r="I132" s="50"/>
      <c r="J132" s="50"/>
      <c r="K132" s="51"/>
      <c r="L132" s="50"/>
      <c r="M132" s="50"/>
      <c r="N132" s="50"/>
      <c r="P132" s="50"/>
      <c r="Q132" s="51"/>
      <c r="U132" s="58"/>
      <c r="V132" s="58"/>
      <c r="W132" s="58"/>
      <c r="X132" s="58"/>
      <c r="Y132" s="58"/>
      <c r="Z132" s="58"/>
      <c r="AA132" s="58"/>
    </row>
    <row r="133" spans="4:27">
      <c r="D133" s="50"/>
      <c r="E133" s="50"/>
      <c r="F133" s="50"/>
      <c r="G133" s="50"/>
      <c r="H133" s="50"/>
      <c r="I133" s="50"/>
      <c r="J133" s="50"/>
      <c r="K133" s="51"/>
      <c r="L133" s="50"/>
      <c r="M133" s="50"/>
      <c r="N133" s="50"/>
      <c r="P133" s="50"/>
      <c r="Q133" s="51"/>
      <c r="U133" s="58"/>
      <c r="V133" s="58"/>
      <c r="W133" s="58"/>
      <c r="X133" s="58"/>
      <c r="Y133" s="58"/>
      <c r="Z133" s="58"/>
      <c r="AA133" s="58"/>
    </row>
    <row r="134" spans="4:27">
      <c r="D134" s="50"/>
      <c r="E134" s="50"/>
      <c r="F134" s="50"/>
      <c r="G134" s="50"/>
      <c r="H134" s="50"/>
      <c r="I134" s="50"/>
      <c r="J134" s="50"/>
      <c r="K134" s="51"/>
      <c r="L134" s="50"/>
      <c r="M134" s="50"/>
      <c r="N134" s="50"/>
      <c r="P134" s="50"/>
      <c r="Q134" s="51"/>
      <c r="U134" s="58"/>
      <c r="V134" s="58"/>
      <c r="W134" s="58"/>
      <c r="X134" s="58"/>
      <c r="Y134" s="58"/>
      <c r="Z134" s="58"/>
      <c r="AA134" s="58"/>
    </row>
    <row r="135" spans="4:27">
      <c r="D135" s="50"/>
      <c r="E135" s="50"/>
      <c r="F135" s="50"/>
      <c r="G135" s="50"/>
      <c r="H135" s="50"/>
      <c r="I135" s="50"/>
      <c r="J135" s="50"/>
      <c r="K135" s="51"/>
      <c r="L135" s="50"/>
      <c r="M135" s="50"/>
      <c r="N135" s="50"/>
      <c r="P135" s="50"/>
      <c r="Q135" s="51"/>
      <c r="U135" s="58"/>
      <c r="V135" s="58"/>
      <c r="W135" s="58"/>
      <c r="X135" s="58"/>
      <c r="Y135" s="58"/>
      <c r="Z135" s="58"/>
      <c r="AA135" s="58"/>
    </row>
    <row r="136" spans="4:27">
      <c r="D136" s="50"/>
      <c r="E136" s="50"/>
      <c r="F136" s="50"/>
      <c r="G136" s="50"/>
      <c r="H136" s="50"/>
      <c r="I136" s="50"/>
      <c r="J136" s="50"/>
      <c r="K136" s="51"/>
      <c r="L136" s="50"/>
      <c r="M136" s="50"/>
      <c r="N136" s="50"/>
      <c r="P136" s="50"/>
      <c r="Q136" s="51"/>
      <c r="U136" s="58"/>
      <c r="V136" s="58"/>
      <c r="W136" s="58"/>
      <c r="X136" s="58"/>
      <c r="Y136" s="58"/>
      <c r="Z136" s="58"/>
      <c r="AA136" s="58"/>
    </row>
    <row r="137" spans="4:27">
      <c r="D137" s="50"/>
      <c r="E137" s="50"/>
      <c r="F137" s="50"/>
      <c r="G137" s="50"/>
      <c r="H137" s="50"/>
      <c r="I137" s="50"/>
      <c r="J137" s="50"/>
      <c r="K137" s="51"/>
      <c r="L137" s="50"/>
      <c r="M137" s="50"/>
      <c r="N137" s="50"/>
      <c r="P137" s="50"/>
      <c r="Q137" s="51"/>
      <c r="U137" s="58"/>
      <c r="V137" s="58"/>
      <c r="W137" s="58"/>
      <c r="X137" s="58"/>
      <c r="Y137" s="58"/>
      <c r="Z137" s="58"/>
      <c r="AA137" s="58"/>
    </row>
    <row r="138" spans="4:27">
      <c r="K138" s="51"/>
      <c r="P138" s="50"/>
      <c r="Q138" s="51"/>
      <c r="U138" s="58"/>
      <c r="V138" s="58"/>
      <c r="W138" s="58"/>
      <c r="X138" s="58"/>
      <c r="Y138" s="58"/>
      <c r="Z138" s="58"/>
      <c r="AA138" s="58"/>
    </row>
    <row r="139" spans="4:27">
      <c r="K139" s="51"/>
      <c r="P139" s="50"/>
      <c r="Q139" s="51"/>
      <c r="U139" s="58"/>
      <c r="V139" s="58"/>
      <c r="W139" s="58"/>
      <c r="X139" s="58"/>
      <c r="Y139" s="58"/>
      <c r="Z139" s="58"/>
      <c r="AA139" s="58"/>
    </row>
    <row r="140" spans="4:27">
      <c r="K140" s="51"/>
      <c r="P140" s="50"/>
      <c r="Q140" s="51"/>
      <c r="U140" s="58"/>
      <c r="V140" s="58"/>
      <c r="W140" s="58"/>
      <c r="X140" s="58"/>
      <c r="Y140" s="58"/>
      <c r="Z140" s="58"/>
      <c r="AA140" s="58"/>
    </row>
    <row r="141" spans="4:27">
      <c r="K141" s="51"/>
      <c r="P141" s="50"/>
      <c r="Q141" s="51"/>
      <c r="U141" s="58"/>
      <c r="V141" s="58"/>
      <c r="W141" s="58"/>
      <c r="X141" s="58"/>
      <c r="Y141" s="58"/>
      <c r="Z141" s="58"/>
      <c r="AA141" s="58"/>
    </row>
    <row r="142" spans="4:27">
      <c r="K142" s="51"/>
      <c r="P142" s="50"/>
      <c r="Q142" s="51"/>
      <c r="U142" s="58"/>
      <c r="V142" s="58"/>
      <c r="W142" s="58"/>
      <c r="X142" s="58"/>
      <c r="Y142" s="58"/>
      <c r="Z142" s="58"/>
      <c r="AA142" s="58"/>
    </row>
    <row r="143" spans="4:27">
      <c r="K143" s="51"/>
      <c r="P143" s="50"/>
      <c r="Q143" s="51"/>
      <c r="U143" s="58"/>
      <c r="V143" s="58"/>
      <c r="W143" s="58"/>
      <c r="X143" s="58"/>
      <c r="Y143" s="58"/>
      <c r="Z143" s="58"/>
      <c r="AA143" s="58"/>
    </row>
    <row r="144" spans="4:27">
      <c r="K144" s="51"/>
      <c r="P144" s="50"/>
      <c r="Q144" s="51"/>
      <c r="U144" s="58"/>
      <c r="V144" s="58"/>
      <c r="W144" s="58"/>
      <c r="X144" s="58"/>
      <c r="Y144" s="58"/>
      <c r="Z144" s="58"/>
      <c r="AA144" s="58"/>
    </row>
    <row r="145" spans="11:27">
      <c r="K145" s="51"/>
      <c r="P145" s="50"/>
      <c r="Q145" s="51"/>
      <c r="U145" s="58"/>
      <c r="V145" s="58"/>
      <c r="W145" s="58"/>
      <c r="X145" s="58"/>
      <c r="Y145" s="58"/>
      <c r="Z145" s="58"/>
      <c r="AA145" s="58"/>
    </row>
    <row r="146" spans="11:27">
      <c r="K146" s="51"/>
      <c r="P146" s="50"/>
      <c r="Q146" s="51"/>
      <c r="U146" s="58"/>
      <c r="V146" s="58"/>
      <c r="W146" s="58"/>
      <c r="X146" s="58"/>
      <c r="Y146" s="58"/>
      <c r="Z146" s="58"/>
      <c r="AA146" s="58"/>
    </row>
    <row r="147" spans="11:27">
      <c r="K147" s="51"/>
      <c r="P147" s="50"/>
      <c r="Q147" s="51"/>
      <c r="U147" s="58"/>
      <c r="V147" s="58"/>
      <c r="W147" s="58"/>
      <c r="X147" s="58"/>
      <c r="Y147" s="58"/>
      <c r="Z147" s="58"/>
      <c r="AA147" s="58"/>
    </row>
    <row r="148" spans="11:27">
      <c r="K148" s="51"/>
      <c r="P148" s="50"/>
      <c r="Q148" s="51"/>
      <c r="U148" s="58"/>
      <c r="V148" s="58"/>
      <c r="W148" s="58"/>
      <c r="X148" s="58"/>
      <c r="Y148" s="58"/>
      <c r="Z148" s="58"/>
      <c r="AA148" s="58"/>
    </row>
    <row r="149" spans="11:27">
      <c r="K149" s="51"/>
      <c r="P149" s="50"/>
      <c r="Q149" s="51"/>
      <c r="U149" s="58"/>
      <c r="V149" s="58"/>
      <c r="W149" s="58"/>
      <c r="X149" s="58"/>
      <c r="Y149" s="58"/>
      <c r="Z149" s="58"/>
      <c r="AA149" s="58"/>
    </row>
    <row r="150" spans="11:27">
      <c r="K150" s="51"/>
      <c r="P150" s="50"/>
      <c r="Q150" s="51"/>
      <c r="U150" s="58"/>
      <c r="V150" s="58"/>
      <c r="W150" s="58"/>
      <c r="X150" s="58"/>
      <c r="Y150" s="58"/>
      <c r="Z150" s="58"/>
      <c r="AA150" s="58"/>
    </row>
    <row r="151" spans="11:27">
      <c r="K151" s="51"/>
      <c r="P151" s="50"/>
      <c r="Q151" s="51"/>
      <c r="U151" s="58"/>
      <c r="V151" s="58"/>
      <c r="W151" s="58"/>
      <c r="X151" s="58"/>
      <c r="Y151" s="58"/>
      <c r="Z151" s="58"/>
      <c r="AA151" s="58"/>
    </row>
    <row r="152" spans="11:27">
      <c r="K152" s="51"/>
      <c r="P152" s="50"/>
      <c r="Q152" s="51"/>
      <c r="U152" s="58"/>
      <c r="V152" s="58"/>
      <c r="W152" s="58"/>
      <c r="X152" s="58"/>
      <c r="Y152" s="58"/>
      <c r="Z152" s="58"/>
      <c r="AA152" s="58"/>
    </row>
    <row r="153" spans="11:27">
      <c r="K153" s="51"/>
      <c r="P153" s="50"/>
      <c r="Q153" s="51"/>
      <c r="U153" s="58"/>
      <c r="V153" s="58"/>
      <c r="W153" s="58"/>
      <c r="X153" s="58"/>
      <c r="Y153" s="58"/>
      <c r="Z153" s="58"/>
      <c r="AA153" s="58"/>
    </row>
    <row r="154" spans="11:27">
      <c r="K154" s="51"/>
      <c r="P154" s="50"/>
      <c r="Q154" s="51"/>
      <c r="U154" s="58"/>
      <c r="V154" s="58"/>
      <c r="W154" s="58"/>
      <c r="X154" s="58"/>
      <c r="Y154" s="58"/>
      <c r="Z154" s="58"/>
      <c r="AA154" s="58"/>
    </row>
    <row r="155" spans="11:27">
      <c r="K155" s="51"/>
      <c r="P155" s="50"/>
      <c r="Q155" s="51"/>
      <c r="U155" s="58"/>
      <c r="V155" s="58"/>
      <c r="W155" s="58"/>
      <c r="X155" s="58"/>
      <c r="Y155" s="58"/>
      <c r="Z155" s="58"/>
      <c r="AA155" s="58"/>
    </row>
    <row r="156" spans="11:27">
      <c r="K156" s="51"/>
      <c r="P156" s="50"/>
      <c r="Q156" s="51"/>
      <c r="U156" s="58"/>
      <c r="V156" s="58"/>
      <c r="W156" s="58"/>
      <c r="X156" s="58"/>
      <c r="Y156" s="58"/>
      <c r="Z156" s="58"/>
      <c r="AA156" s="58"/>
    </row>
    <row r="157" spans="11:27">
      <c r="K157" s="51"/>
      <c r="P157" s="50"/>
      <c r="Q157" s="51"/>
      <c r="U157" s="58"/>
      <c r="V157" s="58"/>
      <c r="W157" s="58"/>
      <c r="X157" s="58"/>
      <c r="Y157" s="58"/>
      <c r="Z157" s="58"/>
      <c r="AA157" s="58"/>
    </row>
    <row r="158" spans="11:27">
      <c r="K158" s="51"/>
      <c r="P158" s="50"/>
      <c r="Q158" s="51"/>
      <c r="U158" s="58"/>
      <c r="V158" s="58"/>
      <c r="W158" s="58"/>
      <c r="X158" s="58"/>
      <c r="Y158" s="58"/>
      <c r="Z158" s="58"/>
      <c r="AA158" s="58"/>
    </row>
    <row r="159" spans="11:27">
      <c r="K159" s="51"/>
      <c r="P159" s="50"/>
      <c r="Q159" s="51"/>
      <c r="U159" s="58"/>
      <c r="V159" s="58"/>
      <c r="W159" s="58"/>
      <c r="X159" s="58"/>
      <c r="Y159" s="58"/>
      <c r="Z159" s="58"/>
      <c r="AA159" s="58"/>
    </row>
    <row r="160" spans="11:27">
      <c r="K160" s="51"/>
      <c r="P160" s="50"/>
      <c r="Q160" s="51"/>
      <c r="U160" s="58"/>
      <c r="V160" s="58"/>
      <c r="W160" s="58"/>
      <c r="X160" s="58"/>
      <c r="Y160" s="58"/>
      <c r="Z160" s="58"/>
      <c r="AA160" s="58"/>
    </row>
    <row r="161" spans="11:27">
      <c r="K161" s="51"/>
      <c r="P161" s="50"/>
      <c r="Q161" s="51"/>
      <c r="U161" s="58"/>
      <c r="V161" s="58"/>
      <c r="W161" s="58"/>
      <c r="X161" s="58"/>
      <c r="Y161" s="58"/>
      <c r="Z161" s="58"/>
      <c r="AA161" s="58"/>
    </row>
    <row r="162" spans="11:27">
      <c r="K162" s="51"/>
      <c r="P162" s="50"/>
      <c r="Q162" s="51"/>
      <c r="U162" s="58"/>
      <c r="V162" s="58"/>
      <c r="W162" s="58"/>
      <c r="X162" s="58"/>
      <c r="Y162" s="58"/>
      <c r="Z162" s="58"/>
      <c r="AA162" s="58"/>
    </row>
    <row r="163" spans="11:27">
      <c r="K163" s="51"/>
      <c r="P163" s="50"/>
      <c r="Q163" s="51"/>
      <c r="U163" s="58"/>
      <c r="V163" s="58"/>
      <c r="W163" s="58"/>
      <c r="X163" s="58"/>
      <c r="Y163" s="58"/>
      <c r="Z163" s="58"/>
      <c r="AA163" s="58"/>
    </row>
    <row r="164" spans="11:27">
      <c r="K164" s="51"/>
      <c r="P164" s="50"/>
      <c r="Q164" s="51"/>
      <c r="U164" s="58"/>
      <c r="V164" s="58"/>
      <c r="W164" s="58"/>
      <c r="X164" s="58"/>
      <c r="Y164" s="58"/>
      <c r="Z164" s="58"/>
      <c r="AA164" s="58"/>
    </row>
    <row r="165" spans="11:27">
      <c r="K165" s="51"/>
      <c r="P165" s="50"/>
      <c r="Q165" s="51"/>
      <c r="U165" s="58"/>
      <c r="V165" s="58"/>
      <c r="W165" s="58"/>
      <c r="X165" s="58"/>
      <c r="Y165" s="58"/>
      <c r="Z165" s="58"/>
      <c r="AA165" s="58"/>
    </row>
    <row r="166" spans="11:27">
      <c r="K166" s="51"/>
      <c r="P166" s="50"/>
      <c r="Q166" s="51"/>
      <c r="U166" s="58"/>
      <c r="V166" s="58"/>
      <c r="W166" s="58"/>
      <c r="X166" s="58"/>
      <c r="Y166" s="58"/>
      <c r="Z166" s="58"/>
      <c r="AA166" s="58"/>
    </row>
    <row r="167" spans="11:27">
      <c r="K167" s="51"/>
      <c r="P167" s="50"/>
      <c r="Q167" s="51"/>
      <c r="U167" s="58"/>
      <c r="V167" s="58"/>
      <c r="W167" s="58"/>
      <c r="X167" s="58"/>
      <c r="Y167" s="58"/>
      <c r="Z167" s="58"/>
      <c r="AA167" s="58"/>
    </row>
    <row r="168" spans="11:27">
      <c r="K168" s="51"/>
      <c r="P168" s="50"/>
      <c r="Q168" s="51"/>
      <c r="U168" s="58"/>
      <c r="V168" s="58"/>
      <c r="W168" s="58"/>
      <c r="X168" s="58"/>
      <c r="Y168" s="58"/>
      <c r="Z168" s="58"/>
      <c r="AA168" s="58"/>
    </row>
    <row r="169" spans="11:27">
      <c r="K169" s="51"/>
      <c r="P169" s="50"/>
      <c r="Q169" s="51"/>
      <c r="U169" s="58"/>
      <c r="V169" s="58"/>
      <c r="W169" s="58"/>
      <c r="X169" s="58"/>
      <c r="Y169" s="58"/>
      <c r="Z169" s="58"/>
      <c r="AA169" s="58"/>
    </row>
    <row r="170" spans="11:27">
      <c r="K170" s="51"/>
      <c r="P170" s="50"/>
      <c r="Q170" s="51"/>
      <c r="U170" s="58"/>
      <c r="V170" s="58"/>
      <c r="W170" s="58"/>
      <c r="X170" s="58"/>
      <c r="Y170" s="58"/>
      <c r="Z170" s="58"/>
      <c r="AA170" s="58"/>
    </row>
    <row r="171" spans="11:27">
      <c r="K171" s="51"/>
      <c r="P171" s="50"/>
      <c r="Q171" s="51"/>
      <c r="U171" s="58"/>
      <c r="V171" s="58"/>
      <c r="W171" s="58"/>
      <c r="X171" s="58"/>
      <c r="Y171" s="58"/>
      <c r="Z171" s="58"/>
      <c r="AA171" s="58"/>
    </row>
    <row r="172" spans="11:27">
      <c r="K172" s="51"/>
      <c r="P172" s="50"/>
      <c r="Q172" s="51"/>
      <c r="U172" s="58"/>
      <c r="V172" s="58"/>
      <c r="W172" s="58"/>
      <c r="X172" s="58"/>
      <c r="Y172" s="58"/>
      <c r="Z172" s="58"/>
      <c r="AA172" s="58"/>
    </row>
    <row r="173" spans="11:27">
      <c r="K173" s="51"/>
      <c r="P173" s="50"/>
      <c r="Q173" s="51"/>
      <c r="U173" s="58"/>
      <c r="V173" s="58"/>
      <c r="W173" s="58"/>
      <c r="X173" s="58"/>
      <c r="Y173" s="58"/>
      <c r="Z173" s="58"/>
      <c r="AA173" s="58"/>
    </row>
    <row r="174" spans="11:27">
      <c r="K174" s="51"/>
      <c r="P174" s="50"/>
      <c r="Q174" s="51"/>
      <c r="U174" s="58"/>
      <c r="V174" s="58"/>
      <c r="W174" s="58"/>
      <c r="X174" s="58"/>
      <c r="Y174" s="58"/>
      <c r="Z174" s="58"/>
      <c r="AA174" s="58"/>
    </row>
    <row r="175" spans="11:27">
      <c r="K175" s="51"/>
      <c r="P175" s="50"/>
      <c r="Q175" s="51"/>
      <c r="U175" s="58"/>
      <c r="V175" s="58"/>
      <c r="W175" s="58"/>
      <c r="X175" s="58"/>
      <c r="Y175" s="58"/>
      <c r="Z175" s="58"/>
      <c r="AA175" s="58"/>
    </row>
    <row r="176" spans="11:27">
      <c r="K176" s="51"/>
      <c r="P176" s="50"/>
      <c r="Q176" s="51"/>
      <c r="U176" s="58"/>
      <c r="V176" s="58"/>
      <c r="W176" s="58"/>
      <c r="X176" s="58"/>
      <c r="Y176" s="58"/>
      <c r="Z176" s="58"/>
      <c r="AA176" s="58"/>
    </row>
    <row r="177" spans="11:27">
      <c r="K177" s="51"/>
      <c r="P177" s="50"/>
      <c r="Q177" s="51"/>
      <c r="U177" s="58"/>
      <c r="V177" s="58"/>
      <c r="W177" s="58"/>
      <c r="X177" s="58"/>
      <c r="Y177" s="58"/>
      <c r="Z177" s="58"/>
      <c r="AA177" s="58"/>
    </row>
    <row r="178" spans="11:27">
      <c r="K178" s="51"/>
      <c r="P178" s="50"/>
      <c r="Q178" s="51"/>
      <c r="U178" s="58"/>
      <c r="V178" s="58"/>
      <c r="W178" s="58"/>
      <c r="X178" s="58"/>
      <c r="Y178" s="58"/>
      <c r="Z178" s="58"/>
      <c r="AA178" s="58"/>
    </row>
    <row r="179" spans="11:27">
      <c r="K179" s="51"/>
      <c r="P179" s="50"/>
      <c r="Q179" s="51"/>
      <c r="U179" s="58"/>
      <c r="V179" s="58"/>
      <c r="W179" s="58"/>
      <c r="X179" s="58"/>
      <c r="Y179" s="58"/>
      <c r="Z179" s="58"/>
      <c r="AA179" s="58"/>
    </row>
    <row r="180" spans="11:27">
      <c r="K180" s="51"/>
      <c r="P180" s="50"/>
      <c r="Q180" s="51"/>
      <c r="U180" s="58"/>
      <c r="V180" s="58"/>
      <c r="W180" s="58"/>
      <c r="X180" s="58"/>
      <c r="Y180" s="58"/>
      <c r="Z180" s="58"/>
      <c r="AA180" s="58"/>
    </row>
    <row r="181" spans="11:27">
      <c r="K181" s="51"/>
      <c r="P181" s="50"/>
      <c r="Q181" s="51"/>
      <c r="U181" s="58"/>
      <c r="V181" s="58"/>
      <c r="W181" s="58"/>
      <c r="X181" s="58"/>
      <c r="Y181" s="58"/>
      <c r="Z181" s="58"/>
      <c r="AA181" s="58"/>
    </row>
    <row r="182" spans="11:27">
      <c r="K182" s="51"/>
      <c r="P182" s="50"/>
      <c r="Q182" s="51"/>
      <c r="U182" s="58"/>
      <c r="V182" s="58"/>
      <c r="W182" s="58"/>
      <c r="X182" s="58"/>
      <c r="Y182" s="58"/>
      <c r="Z182" s="58"/>
      <c r="AA182" s="58"/>
    </row>
    <row r="183" spans="11:27">
      <c r="K183" s="51"/>
      <c r="P183" s="50"/>
      <c r="Q183" s="51"/>
      <c r="U183" s="58"/>
      <c r="V183" s="58"/>
      <c r="W183" s="58"/>
      <c r="X183" s="58"/>
      <c r="Y183" s="58"/>
      <c r="Z183" s="58"/>
      <c r="AA183" s="58"/>
    </row>
    <row r="184" spans="11:27">
      <c r="K184" s="51"/>
      <c r="P184" s="50"/>
      <c r="Q184" s="51"/>
      <c r="U184" s="58"/>
      <c r="V184" s="58"/>
      <c r="W184" s="58"/>
      <c r="X184" s="58"/>
      <c r="Y184" s="58"/>
      <c r="Z184" s="58"/>
      <c r="AA184" s="58"/>
    </row>
    <row r="185" spans="11:27">
      <c r="K185" s="51"/>
      <c r="P185" s="50"/>
      <c r="Q185" s="51"/>
      <c r="U185" s="58"/>
      <c r="V185" s="58"/>
      <c r="W185" s="58"/>
      <c r="X185" s="58"/>
      <c r="Y185" s="58"/>
      <c r="Z185" s="58"/>
      <c r="AA185" s="58"/>
    </row>
    <row r="186" spans="11:27">
      <c r="K186" s="51"/>
      <c r="P186" s="50"/>
      <c r="Q186" s="51"/>
      <c r="U186" s="58"/>
      <c r="V186" s="58"/>
      <c r="W186" s="58"/>
      <c r="X186" s="58"/>
      <c r="Y186" s="58"/>
      <c r="Z186" s="58"/>
      <c r="AA186" s="58"/>
    </row>
    <row r="187" spans="11:27">
      <c r="K187" s="51"/>
      <c r="P187" s="50"/>
      <c r="Q187" s="51"/>
      <c r="U187" s="58"/>
      <c r="V187" s="58"/>
      <c r="W187" s="58"/>
      <c r="X187" s="58"/>
      <c r="Y187" s="58"/>
      <c r="Z187" s="58"/>
      <c r="AA187" s="58"/>
    </row>
    <row r="188" spans="11:27">
      <c r="K188" s="51"/>
      <c r="P188" s="50"/>
      <c r="Q188" s="51"/>
      <c r="U188" s="58"/>
      <c r="V188" s="58"/>
      <c r="W188" s="58"/>
      <c r="X188" s="58"/>
      <c r="Y188" s="58"/>
      <c r="Z188" s="58"/>
      <c r="AA188" s="58"/>
    </row>
    <row r="189" spans="11:27">
      <c r="K189" s="51"/>
      <c r="P189" s="50"/>
      <c r="Q189" s="51"/>
      <c r="U189" s="58"/>
      <c r="V189" s="58"/>
      <c r="W189" s="58"/>
      <c r="X189" s="58"/>
      <c r="Y189" s="58"/>
      <c r="Z189" s="58"/>
      <c r="AA189" s="58"/>
    </row>
    <row r="190" spans="11:27">
      <c r="K190" s="51"/>
      <c r="P190" s="50"/>
      <c r="Q190" s="51"/>
      <c r="U190" s="58"/>
      <c r="V190" s="58"/>
      <c r="W190" s="58"/>
      <c r="X190" s="58"/>
      <c r="Y190" s="58"/>
      <c r="Z190" s="58"/>
      <c r="AA190" s="58"/>
    </row>
    <row r="191" spans="11:27">
      <c r="K191" s="51"/>
      <c r="P191" s="50"/>
      <c r="Q191" s="51"/>
      <c r="U191" s="58"/>
      <c r="V191" s="58"/>
      <c r="W191" s="58"/>
      <c r="X191" s="58"/>
      <c r="Y191" s="58"/>
      <c r="Z191" s="58"/>
      <c r="AA191" s="58"/>
    </row>
    <row r="192" spans="11:27">
      <c r="K192" s="51"/>
      <c r="P192" s="50"/>
      <c r="Q192" s="51"/>
      <c r="U192" s="58"/>
      <c r="V192" s="58"/>
      <c r="W192" s="58"/>
      <c r="X192" s="58"/>
      <c r="Y192" s="58"/>
      <c r="Z192" s="58"/>
      <c r="AA192" s="58"/>
    </row>
    <row r="193" spans="11:27">
      <c r="K193" s="51"/>
      <c r="P193" s="50"/>
      <c r="Q193" s="51"/>
      <c r="U193" s="58"/>
      <c r="V193" s="58"/>
      <c r="W193" s="58"/>
      <c r="X193" s="58"/>
      <c r="Y193" s="58"/>
      <c r="Z193" s="58"/>
      <c r="AA193" s="58"/>
    </row>
    <row r="194" spans="11:27">
      <c r="K194" s="51"/>
      <c r="P194" s="50"/>
      <c r="Q194" s="51"/>
      <c r="U194" s="58"/>
      <c r="V194" s="58"/>
      <c r="W194" s="58"/>
      <c r="X194" s="58"/>
      <c r="Y194" s="58"/>
      <c r="Z194" s="58"/>
      <c r="AA194" s="58"/>
    </row>
    <row r="195" spans="11:27">
      <c r="K195" s="51"/>
      <c r="P195" s="50"/>
      <c r="Q195" s="51"/>
      <c r="U195" s="58"/>
      <c r="V195" s="58"/>
      <c r="W195" s="58"/>
      <c r="X195" s="58"/>
      <c r="Y195" s="58"/>
      <c r="Z195" s="58"/>
      <c r="AA195" s="58"/>
    </row>
    <row r="196" spans="11:27">
      <c r="K196" s="51"/>
      <c r="P196" s="50"/>
      <c r="Q196" s="51"/>
      <c r="U196" s="58"/>
      <c r="V196" s="58"/>
      <c r="W196" s="58"/>
      <c r="X196" s="58"/>
      <c r="Y196" s="58"/>
      <c r="Z196" s="58"/>
      <c r="AA196" s="58"/>
    </row>
    <row r="197" spans="11:27">
      <c r="K197" s="51"/>
      <c r="P197" s="50"/>
      <c r="Q197" s="51"/>
      <c r="U197" s="58"/>
      <c r="V197" s="58"/>
      <c r="W197" s="58"/>
      <c r="X197" s="58"/>
      <c r="Y197" s="58"/>
      <c r="Z197" s="58"/>
      <c r="AA197" s="58"/>
    </row>
    <row r="198" spans="11:27">
      <c r="K198" s="51"/>
      <c r="P198" s="50"/>
      <c r="Q198" s="51"/>
      <c r="U198" s="58"/>
      <c r="V198" s="58"/>
      <c r="W198" s="58"/>
      <c r="X198" s="58"/>
      <c r="Y198" s="58"/>
      <c r="Z198" s="58"/>
      <c r="AA198" s="58"/>
    </row>
    <row r="199" spans="11:27">
      <c r="K199" s="51"/>
      <c r="P199" s="50"/>
      <c r="Q199" s="51"/>
      <c r="U199" s="58"/>
      <c r="V199" s="58"/>
      <c r="W199" s="58"/>
      <c r="X199" s="58"/>
      <c r="Y199" s="58"/>
      <c r="Z199" s="58"/>
      <c r="AA199" s="58"/>
    </row>
    <row r="200" spans="11:27">
      <c r="K200" s="51"/>
      <c r="P200" s="50"/>
      <c r="Q200" s="51"/>
      <c r="U200" s="58"/>
      <c r="V200" s="58"/>
      <c r="W200" s="58"/>
      <c r="X200" s="58"/>
      <c r="Y200" s="58"/>
      <c r="Z200" s="58"/>
      <c r="AA200" s="58"/>
    </row>
    <row r="201" spans="11:27">
      <c r="K201" s="51"/>
      <c r="P201" s="50"/>
      <c r="Q201" s="51"/>
      <c r="U201" s="58"/>
      <c r="V201" s="58"/>
      <c r="W201" s="58"/>
      <c r="X201" s="58"/>
      <c r="Y201" s="58"/>
      <c r="Z201" s="58"/>
      <c r="AA201" s="58"/>
    </row>
    <row r="202" spans="11:27">
      <c r="K202" s="51"/>
      <c r="P202" s="50"/>
      <c r="Q202" s="51"/>
      <c r="U202" s="58"/>
      <c r="V202" s="58"/>
      <c r="W202" s="58"/>
      <c r="X202" s="58"/>
      <c r="Y202" s="58"/>
      <c r="Z202" s="58"/>
      <c r="AA202" s="58"/>
    </row>
    <row r="203" spans="11:27">
      <c r="K203" s="51"/>
      <c r="P203" s="50"/>
      <c r="Q203" s="51"/>
      <c r="U203" s="58"/>
      <c r="V203" s="58"/>
      <c r="W203" s="58"/>
      <c r="X203" s="58"/>
      <c r="Y203" s="58"/>
      <c r="Z203" s="58"/>
      <c r="AA203" s="58"/>
    </row>
    <row r="204" spans="11:27">
      <c r="K204" s="51"/>
      <c r="P204" s="50"/>
      <c r="Q204" s="51"/>
      <c r="U204" s="58"/>
      <c r="V204" s="58"/>
      <c r="W204" s="58"/>
      <c r="X204" s="58"/>
      <c r="Y204" s="58"/>
      <c r="Z204" s="58"/>
      <c r="AA204" s="58"/>
    </row>
    <row r="205" spans="11:27">
      <c r="K205" s="51"/>
      <c r="P205" s="50"/>
      <c r="Q205" s="51"/>
      <c r="U205" s="58"/>
      <c r="V205" s="58"/>
      <c r="W205" s="58"/>
      <c r="X205" s="58"/>
      <c r="Y205" s="58"/>
      <c r="Z205" s="58"/>
      <c r="AA205" s="58"/>
    </row>
    <row r="206" spans="11:27">
      <c r="K206" s="51"/>
      <c r="P206" s="50"/>
      <c r="Q206" s="51"/>
      <c r="U206" s="58"/>
      <c r="V206" s="58"/>
      <c r="W206" s="58"/>
      <c r="X206" s="58"/>
      <c r="Y206" s="58"/>
      <c r="Z206" s="58"/>
      <c r="AA206" s="58"/>
    </row>
    <row r="207" spans="11:27">
      <c r="K207" s="51"/>
      <c r="P207" s="50"/>
      <c r="Q207" s="51"/>
      <c r="U207" s="58"/>
      <c r="V207" s="58"/>
      <c r="W207" s="58"/>
      <c r="X207" s="58"/>
      <c r="Y207" s="58"/>
      <c r="Z207" s="58"/>
      <c r="AA207" s="58"/>
    </row>
    <row r="208" spans="11:27">
      <c r="K208" s="51"/>
      <c r="P208" s="50"/>
      <c r="Q208" s="51"/>
      <c r="U208" s="58"/>
      <c r="V208" s="58"/>
      <c r="W208" s="58"/>
      <c r="X208" s="58"/>
      <c r="Y208" s="58"/>
      <c r="Z208" s="58"/>
      <c r="AA208" s="58"/>
    </row>
    <row r="209" spans="11:27">
      <c r="K209" s="51"/>
      <c r="P209" s="50"/>
      <c r="Q209" s="51"/>
      <c r="U209" s="58"/>
      <c r="V209" s="58"/>
      <c r="W209" s="58"/>
      <c r="X209" s="58"/>
      <c r="Y209" s="58"/>
      <c r="Z209" s="58"/>
      <c r="AA209" s="58"/>
    </row>
    <row r="210" spans="11:27">
      <c r="K210" s="51"/>
      <c r="P210" s="50"/>
      <c r="Q210" s="51"/>
      <c r="U210" s="58"/>
      <c r="V210" s="58"/>
      <c r="W210" s="58"/>
      <c r="X210" s="58"/>
      <c r="Y210" s="58"/>
      <c r="Z210" s="58"/>
      <c r="AA210" s="58"/>
    </row>
    <row r="211" spans="11:27">
      <c r="K211" s="51"/>
      <c r="P211" s="50"/>
      <c r="Q211" s="51"/>
      <c r="U211" s="58"/>
      <c r="V211" s="58"/>
      <c r="W211" s="58"/>
      <c r="X211" s="58"/>
      <c r="Y211" s="58"/>
      <c r="Z211" s="58"/>
      <c r="AA211" s="58"/>
    </row>
    <row r="212" spans="11:27">
      <c r="K212" s="51"/>
      <c r="P212" s="50"/>
      <c r="Q212" s="51"/>
      <c r="U212" s="58"/>
      <c r="V212" s="58"/>
      <c r="W212" s="58"/>
      <c r="X212" s="58"/>
      <c r="Y212" s="58"/>
      <c r="Z212" s="58"/>
      <c r="AA212" s="58"/>
    </row>
    <row r="213" spans="11:27">
      <c r="K213" s="51"/>
      <c r="P213" s="50"/>
      <c r="Q213" s="51"/>
      <c r="U213" s="58"/>
      <c r="V213" s="58"/>
      <c r="W213" s="58"/>
      <c r="X213" s="58"/>
      <c r="Y213" s="58"/>
      <c r="Z213" s="58"/>
      <c r="AA213" s="58"/>
    </row>
    <row r="214" spans="11:27">
      <c r="K214" s="51"/>
      <c r="P214" s="50"/>
      <c r="Q214" s="51"/>
      <c r="U214" s="58"/>
      <c r="V214" s="58"/>
      <c r="W214" s="58"/>
      <c r="X214" s="58"/>
      <c r="Y214" s="58"/>
      <c r="Z214" s="58"/>
      <c r="AA214" s="58"/>
    </row>
    <row r="215" spans="11:27">
      <c r="K215" s="51"/>
      <c r="P215" s="50"/>
      <c r="Q215" s="51"/>
      <c r="U215" s="58"/>
      <c r="V215" s="58"/>
      <c r="W215" s="58"/>
      <c r="X215" s="58"/>
      <c r="Y215" s="58"/>
      <c r="Z215" s="58"/>
      <c r="AA215" s="58"/>
    </row>
    <row r="216" spans="11:27">
      <c r="K216" s="51"/>
      <c r="P216" s="50"/>
      <c r="Q216" s="51"/>
      <c r="U216" s="58"/>
      <c r="V216" s="58"/>
      <c r="W216" s="58"/>
      <c r="X216" s="58"/>
      <c r="Y216" s="58"/>
      <c r="Z216" s="58"/>
      <c r="AA216" s="58"/>
    </row>
    <row r="217" spans="11:27">
      <c r="K217" s="51"/>
      <c r="P217" s="50"/>
      <c r="Q217" s="51"/>
      <c r="U217" s="58"/>
      <c r="V217" s="58"/>
      <c r="W217" s="58"/>
      <c r="X217" s="58"/>
      <c r="Y217" s="58"/>
      <c r="Z217" s="58"/>
      <c r="AA217" s="58"/>
    </row>
    <row r="218" spans="11:27">
      <c r="K218" s="51"/>
      <c r="P218" s="50"/>
      <c r="Q218" s="51"/>
      <c r="U218" s="58"/>
      <c r="V218" s="58"/>
      <c r="W218" s="58"/>
      <c r="X218" s="58"/>
      <c r="Y218" s="58"/>
      <c r="Z218" s="58"/>
      <c r="AA218" s="58"/>
    </row>
    <row r="219" spans="11:27">
      <c r="K219" s="51"/>
      <c r="P219" s="50"/>
      <c r="Q219" s="51"/>
      <c r="U219" s="58"/>
      <c r="V219" s="58"/>
      <c r="W219" s="58"/>
      <c r="X219" s="58"/>
      <c r="Y219" s="58"/>
      <c r="Z219" s="58"/>
      <c r="AA219" s="58"/>
    </row>
    <row r="220" spans="11:27">
      <c r="K220" s="51"/>
      <c r="P220" s="50"/>
      <c r="Q220" s="51"/>
      <c r="U220" s="58"/>
      <c r="V220" s="58"/>
      <c r="W220" s="58"/>
      <c r="X220" s="58"/>
      <c r="Y220" s="58"/>
      <c r="Z220" s="58"/>
      <c r="AA220" s="58"/>
    </row>
    <row r="221" spans="11:27">
      <c r="K221" s="51"/>
      <c r="P221" s="50"/>
      <c r="Q221" s="51"/>
      <c r="U221" s="58"/>
      <c r="V221" s="58"/>
      <c r="W221" s="58"/>
      <c r="X221" s="58"/>
      <c r="Y221" s="58"/>
      <c r="Z221" s="58"/>
      <c r="AA221" s="58"/>
    </row>
    <row r="222" spans="11:27">
      <c r="K222" s="51"/>
      <c r="P222" s="50"/>
      <c r="Q222" s="51"/>
      <c r="U222" s="58"/>
      <c r="V222" s="58"/>
      <c r="W222" s="58"/>
      <c r="X222" s="58"/>
      <c r="Y222" s="58"/>
      <c r="Z222" s="58"/>
      <c r="AA222" s="58"/>
    </row>
    <row r="223" spans="11:27">
      <c r="K223" s="51"/>
      <c r="P223" s="50"/>
      <c r="Q223" s="51"/>
      <c r="U223" s="58"/>
      <c r="V223" s="58"/>
      <c r="W223" s="58"/>
      <c r="X223" s="58"/>
      <c r="Y223" s="58"/>
      <c r="Z223" s="58"/>
      <c r="AA223" s="58"/>
    </row>
    <row r="224" spans="11:27">
      <c r="K224" s="51"/>
      <c r="P224" s="50"/>
      <c r="Q224" s="51"/>
      <c r="U224" s="58"/>
      <c r="V224" s="58"/>
      <c r="W224" s="58"/>
      <c r="X224" s="58"/>
      <c r="Y224" s="58"/>
      <c r="Z224" s="58"/>
      <c r="AA224" s="58"/>
    </row>
    <row r="225" spans="11:27">
      <c r="K225" s="51"/>
      <c r="P225" s="50"/>
      <c r="Q225" s="51"/>
      <c r="U225" s="58"/>
      <c r="V225" s="58"/>
      <c r="W225" s="58"/>
      <c r="X225" s="58"/>
      <c r="Y225" s="58"/>
      <c r="Z225" s="58"/>
      <c r="AA225" s="58"/>
    </row>
    <row r="226" spans="11:27">
      <c r="K226" s="51"/>
      <c r="P226" s="50"/>
      <c r="Q226" s="51"/>
      <c r="U226" s="58"/>
      <c r="V226" s="58"/>
      <c r="W226" s="58"/>
      <c r="X226" s="58"/>
      <c r="Y226" s="58"/>
      <c r="Z226" s="58"/>
      <c r="AA226" s="58"/>
    </row>
    <row r="227" spans="11:27">
      <c r="K227" s="51"/>
      <c r="P227" s="50"/>
      <c r="Q227" s="51"/>
      <c r="U227" s="58"/>
      <c r="V227" s="58"/>
      <c r="W227" s="58"/>
      <c r="X227" s="58"/>
      <c r="Y227" s="58"/>
      <c r="Z227" s="58"/>
      <c r="AA227" s="58"/>
    </row>
    <row r="228" spans="11:27">
      <c r="K228" s="51"/>
      <c r="P228" s="50"/>
      <c r="Q228" s="51"/>
      <c r="U228" s="58"/>
      <c r="V228" s="58"/>
      <c r="W228" s="58"/>
      <c r="X228" s="58"/>
      <c r="Y228" s="58"/>
      <c r="Z228" s="58"/>
      <c r="AA228" s="58"/>
    </row>
    <row r="229" spans="11:27">
      <c r="K229" s="51"/>
      <c r="P229" s="50"/>
      <c r="Q229" s="51"/>
      <c r="U229" s="58"/>
      <c r="V229" s="58"/>
      <c r="W229" s="58"/>
      <c r="X229" s="58"/>
      <c r="Y229" s="58"/>
      <c r="Z229" s="58"/>
      <c r="AA229" s="58"/>
    </row>
    <row r="230" spans="11:27">
      <c r="K230" s="51"/>
      <c r="P230" s="50"/>
      <c r="Q230" s="51"/>
      <c r="U230" s="58"/>
      <c r="V230" s="58"/>
      <c r="W230" s="58"/>
      <c r="X230" s="58"/>
      <c r="Y230" s="58"/>
      <c r="Z230" s="58"/>
      <c r="AA230" s="58"/>
    </row>
    <row r="231" spans="11:27">
      <c r="K231" s="51"/>
      <c r="P231" s="50"/>
      <c r="Q231" s="51"/>
      <c r="U231" s="58"/>
      <c r="V231" s="58"/>
      <c r="W231" s="58"/>
      <c r="X231" s="58"/>
      <c r="Y231" s="58"/>
      <c r="Z231" s="58"/>
      <c r="AA231" s="58"/>
    </row>
    <row r="232" spans="11:27">
      <c r="K232" s="51"/>
      <c r="P232" s="50"/>
      <c r="Q232" s="51"/>
      <c r="U232" s="58"/>
      <c r="V232" s="58"/>
      <c r="W232" s="58"/>
      <c r="X232" s="58"/>
      <c r="Y232" s="58"/>
      <c r="Z232" s="58"/>
      <c r="AA232" s="58"/>
    </row>
    <row r="233" spans="11:27">
      <c r="K233" s="51"/>
      <c r="P233" s="50"/>
      <c r="Q233" s="51"/>
      <c r="U233" s="58"/>
      <c r="V233" s="58"/>
      <c r="W233" s="58"/>
      <c r="X233" s="58"/>
      <c r="Y233" s="58"/>
      <c r="Z233" s="58"/>
      <c r="AA233" s="58"/>
    </row>
    <row r="234" spans="11:27">
      <c r="K234" s="51"/>
      <c r="P234" s="50"/>
      <c r="Q234" s="51"/>
      <c r="U234" s="58"/>
      <c r="V234" s="58"/>
      <c r="W234" s="58"/>
      <c r="X234" s="58"/>
      <c r="Y234" s="58"/>
      <c r="Z234" s="58"/>
      <c r="AA234" s="58"/>
    </row>
    <row r="235" spans="11:27">
      <c r="K235" s="51"/>
      <c r="P235" s="50"/>
      <c r="Q235" s="51"/>
      <c r="U235" s="58"/>
      <c r="V235" s="58"/>
      <c r="W235" s="58"/>
      <c r="X235" s="58"/>
      <c r="Y235" s="58"/>
      <c r="Z235" s="58"/>
      <c r="AA235" s="58"/>
    </row>
    <row r="236" spans="11:27">
      <c r="K236" s="51"/>
      <c r="P236" s="50"/>
      <c r="Q236" s="51"/>
      <c r="U236" s="58"/>
      <c r="V236" s="58"/>
      <c r="W236" s="58"/>
      <c r="X236" s="58"/>
      <c r="Y236" s="58"/>
      <c r="Z236" s="58"/>
      <c r="AA236" s="58"/>
    </row>
    <row r="237" spans="11:27">
      <c r="K237" s="51"/>
      <c r="P237" s="50"/>
      <c r="Q237" s="51"/>
      <c r="U237" s="58"/>
      <c r="V237" s="58"/>
      <c r="W237" s="58"/>
      <c r="X237" s="58"/>
      <c r="Y237" s="58"/>
      <c r="Z237" s="58"/>
      <c r="AA237" s="58"/>
    </row>
    <row r="238" spans="11:27">
      <c r="K238" s="51"/>
      <c r="P238" s="50"/>
      <c r="Q238" s="51"/>
      <c r="U238" s="58"/>
      <c r="V238" s="58"/>
      <c r="W238" s="58"/>
      <c r="X238" s="58"/>
      <c r="Y238" s="58"/>
      <c r="Z238" s="58"/>
      <c r="AA238" s="58"/>
    </row>
    <row r="239" spans="11:27">
      <c r="K239" s="51"/>
      <c r="P239" s="50"/>
      <c r="Q239" s="51"/>
      <c r="U239" s="58"/>
      <c r="V239" s="58"/>
      <c r="W239" s="58"/>
      <c r="X239" s="58"/>
      <c r="Y239" s="58"/>
      <c r="Z239" s="58"/>
      <c r="AA239" s="58"/>
    </row>
    <row r="240" spans="11:27">
      <c r="K240" s="51"/>
      <c r="P240" s="50"/>
      <c r="Q240" s="51"/>
      <c r="U240" s="58"/>
      <c r="V240" s="58"/>
      <c r="W240" s="58"/>
      <c r="X240" s="58"/>
      <c r="Y240" s="58"/>
      <c r="Z240" s="58"/>
      <c r="AA240" s="58"/>
    </row>
    <row r="241" spans="11:27">
      <c r="K241" s="51"/>
      <c r="P241" s="50"/>
      <c r="Q241" s="51"/>
      <c r="U241" s="58"/>
      <c r="V241" s="58"/>
      <c r="W241" s="58"/>
      <c r="X241" s="58"/>
      <c r="Y241" s="58"/>
      <c r="Z241" s="58"/>
      <c r="AA241" s="58"/>
    </row>
    <row r="242" spans="11:27">
      <c r="K242" s="51"/>
      <c r="P242" s="50"/>
      <c r="Q242" s="51"/>
      <c r="U242" s="58"/>
      <c r="V242" s="58"/>
      <c r="W242" s="58"/>
      <c r="X242" s="58"/>
      <c r="Y242" s="58"/>
      <c r="Z242" s="58"/>
      <c r="AA242" s="58"/>
    </row>
    <row r="243" spans="11:27">
      <c r="K243" s="51"/>
      <c r="P243" s="50"/>
      <c r="Q243" s="51"/>
      <c r="U243" s="58"/>
      <c r="V243" s="58"/>
      <c r="W243" s="58"/>
      <c r="X243" s="58"/>
      <c r="Y243" s="58"/>
      <c r="Z243" s="58"/>
      <c r="AA243" s="58"/>
    </row>
    <row r="244" spans="11:27">
      <c r="K244" s="51"/>
      <c r="P244" s="50"/>
      <c r="Q244" s="51"/>
      <c r="U244" s="58"/>
      <c r="V244" s="58"/>
      <c r="W244" s="58"/>
      <c r="X244" s="58"/>
      <c r="Y244" s="58"/>
      <c r="Z244" s="58"/>
      <c r="AA244" s="58"/>
    </row>
    <row r="245" spans="11:27">
      <c r="K245" s="51"/>
      <c r="P245" s="50"/>
      <c r="Q245" s="51"/>
      <c r="U245" s="58"/>
      <c r="V245" s="58"/>
      <c r="W245" s="58"/>
      <c r="X245" s="58"/>
      <c r="Y245" s="58"/>
      <c r="Z245" s="58"/>
      <c r="AA245" s="58"/>
    </row>
    <row r="246" spans="11:27">
      <c r="K246" s="51"/>
      <c r="P246" s="50"/>
      <c r="Q246" s="51"/>
      <c r="U246" s="58"/>
      <c r="V246" s="58"/>
      <c r="W246" s="58"/>
      <c r="X246" s="58"/>
      <c r="Y246" s="58"/>
      <c r="Z246" s="58"/>
      <c r="AA246" s="58"/>
    </row>
    <row r="247" spans="11:27">
      <c r="K247" s="51"/>
      <c r="P247" s="50"/>
      <c r="Q247" s="51"/>
      <c r="U247" s="58"/>
      <c r="V247" s="58"/>
      <c r="W247" s="58"/>
      <c r="X247" s="58"/>
      <c r="Y247" s="58"/>
      <c r="Z247" s="58"/>
      <c r="AA247" s="58"/>
    </row>
    <row r="248" spans="11:27">
      <c r="K248" s="51"/>
      <c r="P248" s="50"/>
      <c r="Q248" s="51"/>
      <c r="U248" s="58"/>
      <c r="V248" s="58"/>
      <c r="W248" s="58"/>
      <c r="X248" s="58"/>
      <c r="Y248" s="58"/>
      <c r="Z248" s="58"/>
      <c r="AA248" s="58"/>
    </row>
    <row r="249" spans="11:27">
      <c r="K249" s="51"/>
      <c r="P249" s="50"/>
      <c r="Q249" s="51"/>
      <c r="U249" s="58"/>
      <c r="V249" s="58"/>
      <c r="W249" s="58"/>
      <c r="X249" s="58"/>
      <c r="Y249" s="58"/>
      <c r="Z249" s="58"/>
      <c r="AA249" s="58"/>
    </row>
    <row r="250" spans="11:27">
      <c r="K250" s="51"/>
      <c r="P250" s="50"/>
      <c r="Q250" s="51"/>
      <c r="U250" s="58"/>
      <c r="V250" s="58"/>
      <c r="W250" s="58"/>
      <c r="X250" s="58"/>
      <c r="Y250" s="58"/>
      <c r="Z250" s="58"/>
      <c r="AA250" s="58"/>
    </row>
    <row r="251" spans="11:27">
      <c r="K251" s="51"/>
      <c r="P251" s="50"/>
      <c r="Q251" s="51"/>
      <c r="U251" s="58"/>
      <c r="V251" s="58"/>
      <c r="W251" s="58"/>
      <c r="X251" s="58"/>
      <c r="Y251" s="58"/>
      <c r="Z251" s="58"/>
      <c r="AA251" s="58"/>
    </row>
    <row r="252" spans="11:27">
      <c r="K252" s="51"/>
      <c r="P252" s="50"/>
      <c r="Q252" s="51"/>
      <c r="U252" s="58"/>
      <c r="V252" s="58"/>
      <c r="W252" s="58"/>
      <c r="X252" s="58"/>
      <c r="Y252" s="58"/>
      <c r="Z252" s="58"/>
      <c r="AA252" s="58"/>
    </row>
    <row r="253" spans="11:27">
      <c r="K253" s="51"/>
      <c r="P253" s="50"/>
      <c r="Q253" s="51"/>
      <c r="U253" s="58"/>
      <c r="V253" s="58"/>
      <c r="W253" s="58"/>
      <c r="X253" s="58"/>
      <c r="Y253" s="58"/>
      <c r="Z253" s="58"/>
      <c r="AA253" s="58"/>
    </row>
    <row r="254" spans="11:27">
      <c r="K254" s="51"/>
      <c r="P254" s="50"/>
      <c r="Q254" s="51"/>
      <c r="U254" s="58"/>
      <c r="V254" s="58"/>
      <c r="W254" s="58"/>
      <c r="X254" s="58"/>
      <c r="Y254" s="58"/>
      <c r="Z254" s="58"/>
      <c r="AA254" s="58"/>
    </row>
    <row r="255" spans="11:27">
      <c r="K255" s="51"/>
      <c r="P255" s="50"/>
      <c r="Q255" s="51"/>
      <c r="U255" s="58"/>
      <c r="V255" s="58"/>
      <c r="W255" s="58"/>
      <c r="X255" s="58"/>
      <c r="Y255" s="58"/>
      <c r="Z255" s="58"/>
      <c r="AA255" s="58"/>
    </row>
    <row r="256" spans="11:27">
      <c r="K256" s="51"/>
      <c r="P256" s="50"/>
      <c r="Q256" s="51"/>
      <c r="U256" s="58"/>
      <c r="V256" s="58"/>
      <c r="W256" s="58"/>
      <c r="X256" s="58"/>
      <c r="Y256" s="58"/>
      <c r="Z256" s="58"/>
      <c r="AA256" s="58"/>
    </row>
    <row r="257" spans="11:27">
      <c r="K257" s="51"/>
      <c r="P257" s="50"/>
      <c r="Q257" s="51"/>
      <c r="U257" s="58"/>
      <c r="V257" s="58"/>
      <c r="W257" s="58"/>
      <c r="X257" s="58"/>
      <c r="Y257" s="58"/>
      <c r="Z257" s="58"/>
      <c r="AA257" s="58"/>
    </row>
    <row r="258" spans="11:27">
      <c r="K258" s="51"/>
      <c r="P258" s="50"/>
      <c r="Q258" s="51"/>
      <c r="U258" s="58"/>
      <c r="V258" s="58"/>
      <c r="W258" s="58"/>
      <c r="X258" s="58"/>
      <c r="Y258" s="58"/>
      <c r="Z258" s="58"/>
      <c r="AA258" s="58"/>
    </row>
    <row r="259" spans="11:27">
      <c r="K259" s="51"/>
      <c r="P259" s="50"/>
      <c r="Q259" s="51"/>
      <c r="U259" s="58"/>
      <c r="V259" s="58"/>
      <c r="W259" s="58"/>
      <c r="X259" s="58"/>
      <c r="Y259" s="58"/>
      <c r="Z259" s="58"/>
      <c r="AA259" s="58"/>
    </row>
    <row r="260" spans="11:27">
      <c r="K260" s="51"/>
      <c r="P260" s="50"/>
      <c r="Q260" s="51"/>
      <c r="U260" s="58"/>
      <c r="V260" s="58"/>
      <c r="W260" s="58"/>
      <c r="X260" s="58"/>
      <c r="Y260" s="58"/>
      <c r="Z260" s="58"/>
      <c r="AA260" s="58"/>
    </row>
    <row r="261" spans="11:27">
      <c r="K261" s="51"/>
      <c r="P261" s="50"/>
      <c r="Q261" s="51"/>
      <c r="U261" s="58"/>
      <c r="V261" s="58"/>
      <c r="W261" s="58"/>
      <c r="X261" s="58"/>
      <c r="Y261" s="58"/>
      <c r="Z261" s="58"/>
      <c r="AA261" s="58"/>
    </row>
    <row r="262" spans="11:27">
      <c r="K262" s="51"/>
      <c r="P262" s="50"/>
      <c r="Q262" s="51"/>
      <c r="U262" s="58"/>
      <c r="V262" s="58"/>
      <c r="W262" s="58"/>
      <c r="X262" s="58"/>
      <c r="Y262" s="58"/>
      <c r="Z262" s="58"/>
      <c r="AA262" s="58"/>
    </row>
    <row r="263" spans="11:27">
      <c r="K263" s="51"/>
      <c r="P263" s="50"/>
      <c r="Q263" s="51"/>
      <c r="U263" s="58"/>
      <c r="V263" s="58"/>
      <c r="W263" s="58"/>
      <c r="X263" s="58"/>
      <c r="Y263" s="58"/>
      <c r="Z263" s="58"/>
      <c r="AA263" s="58"/>
    </row>
    <row r="264" spans="11:27">
      <c r="K264" s="51"/>
      <c r="P264" s="50"/>
      <c r="Q264" s="51"/>
      <c r="U264" s="58"/>
      <c r="V264" s="58"/>
      <c r="W264" s="58"/>
      <c r="X264" s="58"/>
      <c r="Y264" s="58"/>
      <c r="Z264" s="58"/>
      <c r="AA264" s="58"/>
    </row>
    <row r="265" spans="11:27">
      <c r="K265" s="51"/>
      <c r="P265" s="50"/>
      <c r="Q265" s="51"/>
      <c r="U265" s="58"/>
      <c r="V265" s="58"/>
      <c r="W265" s="58"/>
      <c r="X265" s="58"/>
      <c r="Y265" s="58"/>
      <c r="Z265" s="58"/>
      <c r="AA265" s="58"/>
    </row>
    <row r="266" spans="11:27">
      <c r="K266" s="51"/>
      <c r="P266" s="50"/>
      <c r="Q266" s="51"/>
      <c r="U266" s="58"/>
      <c r="V266" s="58"/>
      <c r="W266" s="58"/>
      <c r="X266" s="58"/>
      <c r="Y266" s="58"/>
      <c r="Z266" s="58"/>
      <c r="AA266" s="58"/>
    </row>
    <row r="267" spans="11:27">
      <c r="K267" s="51"/>
      <c r="P267" s="50"/>
      <c r="Q267" s="51"/>
      <c r="U267" s="58"/>
      <c r="V267" s="58"/>
      <c r="W267" s="58"/>
      <c r="X267" s="58"/>
      <c r="Y267" s="58"/>
      <c r="Z267" s="58"/>
      <c r="AA267" s="58"/>
    </row>
    <row r="268" spans="11:27">
      <c r="K268" s="51"/>
      <c r="P268" s="50"/>
      <c r="Q268" s="51"/>
      <c r="U268" s="58"/>
      <c r="V268" s="58"/>
      <c r="W268" s="58"/>
      <c r="X268" s="58"/>
      <c r="Y268" s="58"/>
      <c r="Z268" s="58"/>
      <c r="AA268" s="58"/>
    </row>
    <row r="269" spans="11:27">
      <c r="K269" s="51"/>
      <c r="P269" s="50"/>
      <c r="Q269" s="51"/>
      <c r="U269" s="58"/>
      <c r="V269" s="58"/>
      <c r="W269" s="58"/>
      <c r="X269" s="58"/>
      <c r="Y269" s="58"/>
      <c r="Z269" s="58"/>
      <c r="AA269" s="58"/>
    </row>
    <row r="270" spans="11:27">
      <c r="K270" s="51"/>
      <c r="P270" s="50"/>
      <c r="Q270" s="51"/>
      <c r="U270" s="58"/>
      <c r="V270" s="58"/>
      <c r="W270" s="58"/>
      <c r="X270" s="58"/>
      <c r="Y270" s="58"/>
      <c r="Z270" s="58"/>
      <c r="AA270" s="58"/>
    </row>
    <row r="271" spans="11:27">
      <c r="K271" s="51"/>
      <c r="P271" s="50"/>
      <c r="Q271" s="51"/>
      <c r="U271" s="58"/>
      <c r="V271" s="58"/>
      <c r="W271" s="58"/>
      <c r="X271" s="58"/>
      <c r="Y271" s="58"/>
      <c r="Z271" s="58"/>
      <c r="AA271" s="58"/>
    </row>
    <row r="272" spans="11:27">
      <c r="K272" s="51"/>
      <c r="P272" s="50"/>
      <c r="Q272" s="51"/>
      <c r="U272" s="58"/>
      <c r="V272" s="58"/>
      <c r="W272" s="58"/>
      <c r="X272" s="58"/>
      <c r="Y272" s="58"/>
      <c r="Z272" s="58"/>
      <c r="AA272" s="58"/>
    </row>
    <row r="273" spans="11:27">
      <c r="K273" s="51"/>
      <c r="P273" s="50"/>
      <c r="Q273" s="51"/>
      <c r="U273" s="58"/>
      <c r="V273" s="58"/>
      <c r="W273" s="58"/>
      <c r="X273" s="58"/>
      <c r="Y273" s="58"/>
      <c r="Z273" s="58"/>
      <c r="AA273" s="58"/>
    </row>
    <row r="274" spans="11:27">
      <c r="K274" s="51"/>
      <c r="P274" s="50"/>
      <c r="Q274" s="51"/>
      <c r="U274" s="58"/>
      <c r="V274" s="58"/>
      <c r="W274" s="58"/>
      <c r="X274" s="58"/>
      <c r="Y274" s="58"/>
      <c r="Z274" s="58"/>
      <c r="AA274" s="58"/>
    </row>
    <row r="275" spans="11:27">
      <c r="K275" s="51"/>
      <c r="P275" s="50"/>
      <c r="Q275" s="51"/>
      <c r="U275" s="58"/>
      <c r="V275" s="58"/>
      <c r="W275" s="58"/>
      <c r="X275" s="58"/>
      <c r="Y275" s="58"/>
      <c r="Z275" s="58"/>
      <c r="AA275" s="58"/>
    </row>
    <row r="276" spans="11:27">
      <c r="K276" s="51"/>
      <c r="P276" s="50"/>
      <c r="Q276" s="51"/>
      <c r="U276" s="58"/>
      <c r="V276" s="58"/>
      <c r="W276" s="58"/>
      <c r="X276" s="58"/>
      <c r="Y276" s="58"/>
      <c r="Z276" s="58"/>
      <c r="AA276" s="58"/>
    </row>
    <row r="277" spans="11:27">
      <c r="K277" s="51"/>
      <c r="P277" s="50"/>
      <c r="Q277" s="51"/>
      <c r="U277" s="58"/>
      <c r="V277" s="58"/>
      <c r="W277" s="58"/>
      <c r="X277" s="58"/>
      <c r="Y277" s="58"/>
      <c r="Z277" s="58"/>
      <c r="AA277" s="58"/>
    </row>
    <row r="278" spans="11:27">
      <c r="K278" s="51"/>
      <c r="P278" s="50"/>
      <c r="Q278" s="51"/>
      <c r="U278" s="58"/>
      <c r="V278" s="58"/>
      <c r="W278" s="58"/>
      <c r="X278" s="58"/>
      <c r="Y278" s="58"/>
      <c r="Z278" s="58"/>
      <c r="AA278" s="58"/>
    </row>
    <row r="279" spans="11:27">
      <c r="K279" s="51"/>
      <c r="P279" s="50"/>
      <c r="Q279" s="51"/>
      <c r="U279" s="58"/>
      <c r="V279" s="58"/>
      <c r="W279" s="58"/>
      <c r="X279" s="58"/>
      <c r="Y279" s="58"/>
      <c r="Z279" s="58"/>
      <c r="AA279" s="58"/>
    </row>
    <row r="280" spans="11:27">
      <c r="K280" s="51"/>
      <c r="P280" s="50"/>
      <c r="Q280" s="51"/>
      <c r="U280" s="58"/>
      <c r="V280" s="58"/>
      <c r="W280" s="58"/>
      <c r="X280" s="58"/>
      <c r="Y280" s="58"/>
      <c r="Z280" s="58"/>
      <c r="AA280" s="58"/>
    </row>
    <row r="281" spans="11:27">
      <c r="K281" s="51"/>
      <c r="P281" s="50"/>
      <c r="Q281" s="51"/>
      <c r="U281" s="58"/>
      <c r="V281" s="58"/>
      <c r="W281" s="58"/>
      <c r="X281" s="58"/>
      <c r="Y281" s="58"/>
      <c r="Z281" s="58"/>
      <c r="AA281" s="58"/>
    </row>
    <row r="282" spans="11:27">
      <c r="K282" s="51"/>
      <c r="P282" s="50"/>
      <c r="Q282" s="51"/>
      <c r="U282" s="58"/>
      <c r="V282" s="58"/>
      <c r="W282" s="58"/>
      <c r="X282" s="58"/>
      <c r="Y282" s="58"/>
      <c r="Z282" s="58"/>
      <c r="AA282" s="58"/>
    </row>
    <row r="283" spans="11:27">
      <c r="K283" s="51"/>
      <c r="P283" s="50"/>
      <c r="Q283" s="51"/>
      <c r="U283" s="58"/>
      <c r="V283" s="58"/>
      <c r="W283" s="58"/>
      <c r="X283" s="58"/>
      <c r="Y283" s="58"/>
      <c r="Z283" s="58"/>
      <c r="AA283" s="58"/>
    </row>
    <row r="284" spans="11:27">
      <c r="K284" s="51"/>
      <c r="P284" s="50"/>
      <c r="Q284" s="51"/>
      <c r="U284" s="58"/>
      <c r="V284" s="58"/>
      <c r="W284" s="58"/>
      <c r="X284" s="58"/>
      <c r="Y284" s="58"/>
      <c r="Z284" s="58"/>
      <c r="AA284" s="58"/>
    </row>
    <row r="285" spans="11:27">
      <c r="K285" s="51"/>
      <c r="P285" s="50"/>
      <c r="Q285" s="51"/>
      <c r="U285" s="58"/>
      <c r="V285" s="58"/>
      <c r="W285" s="58"/>
      <c r="X285" s="58"/>
      <c r="Y285" s="58"/>
      <c r="Z285" s="58"/>
      <c r="AA285" s="58"/>
    </row>
    <row r="286" spans="11:27">
      <c r="K286" s="51"/>
      <c r="P286" s="50"/>
      <c r="Q286" s="51"/>
      <c r="U286" s="58"/>
      <c r="V286" s="58"/>
      <c r="W286" s="58"/>
      <c r="X286" s="58"/>
      <c r="Y286" s="58"/>
      <c r="Z286" s="58"/>
      <c r="AA286" s="58"/>
    </row>
    <row r="287" spans="11:27">
      <c r="K287" s="51"/>
      <c r="P287" s="50"/>
      <c r="Q287" s="51"/>
      <c r="U287" s="58"/>
      <c r="V287" s="58"/>
      <c r="W287" s="58"/>
      <c r="X287" s="58"/>
      <c r="Y287" s="58"/>
      <c r="Z287" s="58"/>
      <c r="AA287" s="58"/>
    </row>
    <row r="288" spans="11:27">
      <c r="K288" s="51"/>
      <c r="P288" s="50"/>
      <c r="Q288" s="51"/>
      <c r="U288" s="58"/>
      <c r="V288" s="58"/>
      <c r="W288" s="58"/>
      <c r="X288" s="58"/>
      <c r="Y288" s="58"/>
      <c r="Z288" s="58"/>
      <c r="AA288" s="58"/>
    </row>
    <row r="289" spans="11:27">
      <c r="K289" s="51"/>
      <c r="P289" s="50"/>
      <c r="Q289" s="51"/>
      <c r="U289" s="58"/>
      <c r="V289" s="58"/>
      <c r="W289" s="58"/>
      <c r="X289" s="58"/>
      <c r="Y289" s="58"/>
      <c r="Z289" s="58"/>
      <c r="AA289" s="58"/>
    </row>
    <row r="290" spans="11:27">
      <c r="K290" s="51"/>
      <c r="P290" s="50"/>
      <c r="Q290" s="51"/>
      <c r="U290" s="58"/>
      <c r="V290" s="58"/>
      <c r="W290" s="58"/>
      <c r="X290" s="58"/>
      <c r="Y290" s="58"/>
      <c r="Z290" s="58"/>
      <c r="AA290" s="58"/>
    </row>
    <row r="291" spans="11:27">
      <c r="K291" s="51"/>
      <c r="P291" s="50"/>
      <c r="Q291" s="51"/>
      <c r="U291" s="58"/>
      <c r="V291" s="58"/>
      <c r="W291" s="58"/>
      <c r="X291" s="58"/>
      <c r="Y291" s="58"/>
      <c r="Z291" s="58"/>
      <c r="AA291" s="58"/>
    </row>
    <row r="292" spans="11:27">
      <c r="K292" s="51"/>
      <c r="P292" s="50"/>
      <c r="Q292" s="51"/>
      <c r="U292" s="58"/>
      <c r="V292" s="58"/>
      <c r="W292" s="58"/>
      <c r="X292" s="58"/>
      <c r="Y292" s="58"/>
      <c r="Z292" s="58"/>
      <c r="AA292" s="58"/>
    </row>
    <row r="293" spans="11:27">
      <c r="K293" s="51"/>
      <c r="P293" s="50"/>
      <c r="Q293" s="51"/>
      <c r="U293" s="58"/>
      <c r="V293" s="58"/>
      <c r="W293" s="58"/>
      <c r="X293" s="58"/>
      <c r="Y293" s="58"/>
      <c r="Z293" s="58"/>
      <c r="AA293" s="58"/>
    </row>
    <row r="294" spans="11:27">
      <c r="K294" s="51"/>
      <c r="P294" s="50"/>
      <c r="Q294" s="51"/>
      <c r="U294" s="58"/>
      <c r="V294" s="58"/>
      <c r="W294" s="58"/>
      <c r="X294" s="58"/>
      <c r="Y294" s="58"/>
      <c r="Z294" s="58"/>
      <c r="AA294" s="58"/>
    </row>
    <row r="295" spans="11:27">
      <c r="K295" s="51"/>
      <c r="P295" s="50"/>
      <c r="Q295" s="51"/>
      <c r="U295" s="58"/>
      <c r="V295" s="58"/>
      <c r="W295" s="58"/>
      <c r="X295" s="58"/>
      <c r="Y295" s="58"/>
      <c r="Z295" s="58"/>
      <c r="AA295" s="58"/>
    </row>
    <row r="296" spans="11:27">
      <c r="K296" s="51"/>
      <c r="P296" s="50"/>
      <c r="Q296" s="51"/>
      <c r="U296" s="58"/>
      <c r="V296" s="58"/>
      <c r="W296" s="58"/>
      <c r="X296" s="58"/>
      <c r="Y296" s="58"/>
      <c r="Z296" s="58"/>
      <c r="AA296" s="58"/>
    </row>
    <row r="297" spans="11:27">
      <c r="K297" s="51"/>
      <c r="P297" s="50"/>
      <c r="Q297" s="51"/>
      <c r="U297" s="58"/>
      <c r="V297" s="58"/>
      <c r="W297" s="58"/>
      <c r="X297" s="58"/>
      <c r="Y297" s="58"/>
      <c r="Z297" s="58"/>
      <c r="AA297" s="58"/>
    </row>
    <row r="298" spans="11:27">
      <c r="K298" s="51"/>
      <c r="P298" s="50"/>
      <c r="Q298" s="51"/>
      <c r="U298" s="58"/>
      <c r="V298" s="58"/>
      <c r="W298" s="58"/>
      <c r="X298" s="58"/>
      <c r="Y298" s="58"/>
      <c r="Z298" s="58"/>
      <c r="AA298" s="58"/>
    </row>
    <row r="299" spans="11:27">
      <c r="K299" s="51"/>
      <c r="P299" s="50"/>
      <c r="Q299" s="51"/>
      <c r="U299" s="58"/>
      <c r="V299" s="58"/>
      <c r="W299" s="58"/>
      <c r="X299" s="58"/>
      <c r="Y299" s="58"/>
      <c r="Z299" s="58"/>
      <c r="AA299" s="58"/>
    </row>
    <row r="300" spans="11:27">
      <c r="K300" s="51"/>
      <c r="P300" s="50"/>
      <c r="Q300" s="51"/>
      <c r="U300" s="58"/>
      <c r="V300" s="58"/>
      <c r="W300" s="58"/>
      <c r="X300" s="58"/>
      <c r="Y300" s="58"/>
      <c r="Z300" s="58"/>
      <c r="AA300" s="58"/>
    </row>
    <row r="301" spans="11:27">
      <c r="K301" s="51"/>
      <c r="P301" s="50"/>
      <c r="Q301" s="51"/>
      <c r="U301" s="58"/>
      <c r="V301" s="58"/>
      <c r="W301" s="58"/>
      <c r="X301" s="58"/>
      <c r="Y301" s="58"/>
      <c r="Z301" s="58"/>
      <c r="AA301" s="58"/>
    </row>
    <row r="302" spans="11:27">
      <c r="K302" s="51"/>
      <c r="P302" s="50"/>
      <c r="Q302" s="51"/>
      <c r="U302" s="58"/>
      <c r="V302" s="58"/>
      <c r="W302" s="58"/>
      <c r="X302" s="58"/>
      <c r="Y302" s="58"/>
      <c r="Z302" s="58"/>
      <c r="AA302" s="58"/>
    </row>
    <row r="303" spans="11:27">
      <c r="K303" s="51"/>
      <c r="P303" s="50"/>
      <c r="Q303" s="51"/>
      <c r="U303" s="58"/>
      <c r="V303" s="58"/>
      <c r="W303" s="58"/>
      <c r="X303" s="58"/>
      <c r="Y303" s="58"/>
      <c r="Z303" s="58"/>
      <c r="AA303" s="58"/>
    </row>
    <row r="304" spans="11:27">
      <c r="K304" s="51"/>
      <c r="P304" s="50"/>
      <c r="Q304" s="51"/>
      <c r="U304" s="58"/>
      <c r="V304" s="58"/>
      <c r="W304" s="58"/>
      <c r="X304" s="58"/>
      <c r="Y304" s="58"/>
      <c r="Z304" s="58"/>
      <c r="AA304" s="58"/>
    </row>
    <row r="305" spans="11:27">
      <c r="K305" s="51"/>
      <c r="P305" s="50"/>
      <c r="Q305" s="51"/>
      <c r="U305" s="58"/>
      <c r="V305" s="58"/>
      <c r="W305" s="58"/>
      <c r="X305" s="58"/>
      <c r="Y305" s="58"/>
      <c r="Z305" s="58"/>
      <c r="AA305" s="58"/>
    </row>
    <row r="306" spans="11:27">
      <c r="K306" s="51"/>
      <c r="P306" s="50"/>
      <c r="Q306" s="51"/>
      <c r="U306" s="58"/>
      <c r="V306" s="58"/>
      <c r="W306" s="58"/>
      <c r="X306" s="58"/>
      <c r="Y306" s="58"/>
      <c r="Z306" s="58"/>
      <c r="AA306" s="58"/>
    </row>
    <row r="307" spans="11:27">
      <c r="K307" s="51"/>
      <c r="P307" s="50"/>
      <c r="Q307" s="51"/>
      <c r="U307" s="58"/>
      <c r="V307" s="58"/>
      <c r="W307" s="58"/>
      <c r="X307" s="58"/>
      <c r="Y307" s="58"/>
      <c r="Z307" s="58"/>
      <c r="AA307" s="58"/>
    </row>
    <row r="308" spans="11:27">
      <c r="K308" s="51"/>
      <c r="P308" s="50"/>
      <c r="Q308" s="51"/>
      <c r="U308" s="58"/>
      <c r="V308" s="58"/>
      <c r="W308" s="58"/>
      <c r="X308" s="58"/>
      <c r="Y308" s="58"/>
      <c r="Z308" s="58"/>
      <c r="AA308" s="58"/>
    </row>
    <row r="309" spans="11:27">
      <c r="K309" s="51"/>
      <c r="P309" s="50"/>
      <c r="Q309" s="51"/>
      <c r="U309" s="58"/>
      <c r="V309" s="58"/>
      <c r="W309" s="58"/>
      <c r="X309" s="58"/>
      <c r="Y309" s="58"/>
      <c r="Z309" s="58"/>
      <c r="AA309" s="58"/>
    </row>
    <row r="310" spans="11:27">
      <c r="K310" s="51"/>
      <c r="P310" s="50"/>
      <c r="Q310" s="51"/>
      <c r="U310" s="58"/>
      <c r="V310" s="58"/>
      <c r="W310" s="58"/>
      <c r="X310" s="58"/>
      <c r="Y310" s="58"/>
      <c r="Z310" s="58"/>
      <c r="AA310" s="58"/>
    </row>
    <row r="311" spans="11:27">
      <c r="K311" s="51"/>
      <c r="P311" s="50"/>
      <c r="Q311" s="51"/>
      <c r="U311" s="58"/>
      <c r="V311" s="58"/>
      <c r="W311" s="58"/>
      <c r="X311" s="58"/>
      <c r="Y311" s="58"/>
      <c r="Z311" s="58"/>
      <c r="AA311" s="58"/>
    </row>
    <row r="312" spans="11:27">
      <c r="K312" s="51"/>
      <c r="P312" s="50"/>
      <c r="Q312" s="51"/>
      <c r="U312" s="58"/>
      <c r="V312" s="58"/>
      <c r="W312" s="58"/>
      <c r="X312" s="58"/>
      <c r="Y312" s="58"/>
      <c r="Z312" s="58"/>
      <c r="AA312" s="58"/>
    </row>
    <row r="313" spans="11:27">
      <c r="K313" s="51"/>
      <c r="P313" s="50"/>
      <c r="Q313" s="51"/>
      <c r="U313" s="58"/>
      <c r="V313" s="58"/>
      <c r="W313" s="58"/>
      <c r="X313" s="58"/>
      <c r="Y313" s="58"/>
      <c r="Z313" s="58"/>
      <c r="AA313" s="58"/>
    </row>
    <row r="314" spans="11:27">
      <c r="K314" s="51"/>
      <c r="P314" s="50"/>
      <c r="Q314" s="51"/>
      <c r="U314" s="58"/>
      <c r="V314" s="58"/>
      <c r="W314" s="58"/>
      <c r="X314" s="58"/>
      <c r="Y314" s="58"/>
      <c r="Z314" s="58"/>
      <c r="AA314" s="58"/>
    </row>
    <row r="315" spans="11:27">
      <c r="K315" s="51"/>
      <c r="P315" s="50"/>
      <c r="Q315" s="51"/>
      <c r="U315" s="58"/>
      <c r="V315" s="58"/>
      <c r="W315" s="58"/>
      <c r="X315" s="58"/>
      <c r="Y315" s="58"/>
      <c r="Z315" s="58"/>
      <c r="AA315" s="58"/>
    </row>
    <row r="316" spans="11:27">
      <c r="K316" s="51"/>
      <c r="P316" s="50"/>
      <c r="Q316" s="51"/>
      <c r="U316" s="58"/>
      <c r="V316" s="58"/>
      <c r="W316" s="58"/>
      <c r="X316" s="58"/>
      <c r="Y316" s="58"/>
      <c r="Z316" s="58"/>
      <c r="AA316" s="58"/>
    </row>
    <row r="317" spans="11:27">
      <c r="K317" s="51"/>
      <c r="P317" s="50"/>
      <c r="Q317" s="51"/>
      <c r="U317" s="58"/>
      <c r="V317" s="58"/>
      <c r="W317" s="58"/>
      <c r="X317" s="58"/>
      <c r="Y317" s="58"/>
      <c r="Z317" s="58"/>
      <c r="AA317" s="58"/>
    </row>
    <row r="318" spans="11:27">
      <c r="K318" s="51"/>
      <c r="P318" s="50"/>
      <c r="Q318" s="51"/>
      <c r="U318" s="58"/>
      <c r="V318" s="58"/>
      <c r="W318" s="58"/>
      <c r="X318" s="58"/>
      <c r="Y318" s="58"/>
      <c r="Z318" s="58"/>
      <c r="AA318" s="58"/>
    </row>
    <row r="319" spans="11:27">
      <c r="K319" s="51"/>
      <c r="P319" s="50"/>
      <c r="Q319" s="51"/>
      <c r="U319" s="58"/>
      <c r="V319" s="58"/>
      <c r="W319" s="58"/>
      <c r="X319" s="58"/>
      <c r="Y319" s="58"/>
      <c r="Z319" s="58"/>
      <c r="AA319" s="58"/>
    </row>
    <row r="320" spans="11:27">
      <c r="K320" s="51"/>
      <c r="P320" s="50"/>
      <c r="Q320" s="51"/>
      <c r="U320" s="58"/>
      <c r="V320" s="58"/>
      <c r="W320" s="58"/>
      <c r="X320" s="58"/>
      <c r="Y320" s="58"/>
      <c r="Z320" s="58"/>
      <c r="AA320" s="58"/>
    </row>
    <row r="321" spans="11:27">
      <c r="K321" s="51"/>
      <c r="P321" s="50"/>
      <c r="Q321" s="51"/>
      <c r="U321" s="58"/>
      <c r="V321" s="58"/>
      <c r="W321" s="58"/>
      <c r="X321" s="58"/>
      <c r="Y321" s="58"/>
      <c r="Z321" s="58"/>
      <c r="AA321" s="58"/>
    </row>
    <row r="322" spans="11:27">
      <c r="K322" s="51"/>
      <c r="P322" s="50"/>
      <c r="Q322" s="51"/>
      <c r="U322" s="58"/>
      <c r="V322" s="58"/>
      <c r="W322" s="58"/>
      <c r="X322" s="58"/>
      <c r="Y322" s="58"/>
      <c r="Z322" s="58"/>
      <c r="AA322" s="58"/>
    </row>
    <row r="323" spans="11:27">
      <c r="K323" s="51"/>
      <c r="P323" s="50"/>
      <c r="Q323" s="51"/>
      <c r="U323" s="58"/>
      <c r="V323" s="58"/>
      <c r="W323" s="58"/>
      <c r="X323" s="58"/>
      <c r="Y323" s="58"/>
      <c r="Z323" s="58"/>
      <c r="AA323" s="58"/>
    </row>
    <row r="324" spans="11:27">
      <c r="K324" s="51"/>
      <c r="P324" s="50"/>
      <c r="Q324" s="51"/>
      <c r="U324" s="58"/>
      <c r="V324" s="58"/>
      <c r="W324" s="58"/>
      <c r="X324" s="58"/>
      <c r="Y324" s="58"/>
      <c r="Z324" s="58"/>
      <c r="AA324" s="58"/>
    </row>
    <row r="325" spans="11:27">
      <c r="K325" s="51"/>
      <c r="P325" s="50"/>
      <c r="Q325" s="51"/>
      <c r="U325" s="58"/>
      <c r="V325" s="58"/>
      <c r="W325" s="58"/>
      <c r="X325" s="58"/>
      <c r="Y325" s="58"/>
      <c r="Z325" s="58"/>
      <c r="AA325" s="58"/>
    </row>
    <row r="326" spans="11:27">
      <c r="K326" s="51"/>
      <c r="P326" s="50"/>
      <c r="Q326" s="51"/>
      <c r="U326" s="58"/>
      <c r="V326" s="58"/>
      <c r="W326" s="58"/>
      <c r="X326" s="58"/>
      <c r="Y326" s="58"/>
      <c r="Z326" s="58"/>
      <c r="AA326" s="58"/>
    </row>
    <row r="327" spans="11:27">
      <c r="K327" s="51"/>
      <c r="P327" s="50"/>
      <c r="Q327" s="51"/>
      <c r="U327" s="58"/>
      <c r="V327" s="58"/>
      <c r="W327" s="58"/>
      <c r="X327" s="58"/>
      <c r="Y327" s="58"/>
      <c r="Z327" s="58"/>
      <c r="AA327" s="58"/>
    </row>
    <row r="328" spans="11:27">
      <c r="K328" s="51"/>
      <c r="P328" s="50"/>
      <c r="Q328" s="51"/>
      <c r="U328" s="58"/>
      <c r="V328" s="58"/>
      <c r="W328" s="58"/>
      <c r="X328" s="58"/>
      <c r="Y328" s="58"/>
      <c r="Z328" s="58"/>
      <c r="AA328" s="58"/>
    </row>
    <row r="329" spans="11:27">
      <c r="K329" s="51"/>
      <c r="P329" s="50"/>
      <c r="Q329" s="51"/>
      <c r="U329" s="58"/>
      <c r="V329" s="58"/>
      <c r="W329" s="58"/>
      <c r="X329" s="58"/>
      <c r="Y329" s="58"/>
      <c r="Z329" s="58"/>
      <c r="AA329" s="58"/>
    </row>
    <row r="330" spans="11:27">
      <c r="K330" s="51"/>
      <c r="P330" s="50"/>
      <c r="Q330" s="51"/>
      <c r="U330" s="58"/>
      <c r="V330" s="58"/>
      <c r="W330" s="58"/>
      <c r="X330" s="58"/>
      <c r="Y330" s="58"/>
      <c r="Z330" s="58"/>
      <c r="AA330" s="58"/>
    </row>
    <row r="331" spans="11:27">
      <c r="K331" s="51"/>
      <c r="P331" s="50"/>
      <c r="Q331" s="51"/>
      <c r="U331" s="58"/>
      <c r="V331" s="58"/>
      <c r="W331" s="58"/>
      <c r="X331" s="58"/>
      <c r="Y331" s="58"/>
      <c r="Z331" s="58"/>
      <c r="AA331" s="58"/>
    </row>
    <row r="332" spans="11:27">
      <c r="K332" s="51"/>
      <c r="P332" s="50"/>
      <c r="Q332" s="51"/>
      <c r="U332" s="58"/>
      <c r="V332" s="58"/>
      <c r="W332" s="58"/>
      <c r="X332" s="58"/>
      <c r="Y332" s="58"/>
      <c r="Z332" s="58"/>
      <c r="AA332" s="58"/>
    </row>
    <row r="333" spans="11:27">
      <c r="K333" s="51"/>
      <c r="P333" s="50"/>
      <c r="Q333" s="51"/>
      <c r="U333" s="58"/>
      <c r="V333" s="58"/>
      <c r="W333" s="58"/>
      <c r="X333" s="58"/>
      <c r="Y333" s="58"/>
      <c r="Z333" s="58"/>
      <c r="AA333" s="58"/>
    </row>
    <row r="334" spans="11:27">
      <c r="K334" s="51"/>
      <c r="P334" s="50"/>
      <c r="Q334" s="51"/>
      <c r="U334" s="58"/>
      <c r="V334" s="58"/>
      <c r="W334" s="58"/>
      <c r="X334" s="58"/>
      <c r="Y334" s="58"/>
      <c r="Z334" s="58"/>
      <c r="AA334" s="58"/>
    </row>
    <row r="335" spans="11:27">
      <c r="K335" s="51"/>
      <c r="P335" s="50"/>
      <c r="Q335" s="51"/>
      <c r="U335" s="58"/>
      <c r="V335" s="58"/>
      <c r="W335" s="58"/>
      <c r="X335" s="58"/>
      <c r="Y335" s="58"/>
      <c r="Z335" s="58"/>
      <c r="AA335" s="58"/>
    </row>
    <row r="336" spans="11:27">
      <c r="K336" s="51"/>
      <c r="P336" s="50"/>
      <c r="Q336" s="51"/>
      <c r="U336" s="58"/>
      <c r="V336" s="58"/>
      <c r="W336" s="58"/>
      <c r="X336" s="58"/>
      <c r="Y336" s="58"/>
      <c r="Z336" s="58"/>
      <c r="AA336" s="58"/>
    </row>
    <row r="337" spans="11:27">
      <c r="K337" s="51"/>
      <c r="P337" s="50"/>
      <c r="Q337" s="51"/>
      <c r="U337" s="58"/>
      <c r="V337" s="58"/>
      <c r="W337" s="58"/>
      <c r="X337" s="58"/>
      <c r="Y337" s="58"/>
      <c r="Z337" s="58"/>
      <c r="AA337" s="58"/>
    </row>
    <row r="338" spans="11:27">
      <c r="K338" s="51"/>
      <c r="P338" s="50"/>
      <c r="Q338" s="51"/>
      <c r="U338" s="58"/>
      <c r="V338" s="58"/>
      <c r="W338" s="58"/>
      <c r="X338" s="58"/>
      <c r="Y338" s="58"/>
      <c r="Z338" s="58"/>
      <c r="AA338" s="58"/>
    </row>
    <row r="339" spans="11:27">
      <c r="K339" s="51"/>
      <c r="P339" s="50"/>
      <c r="Q339" s="51"/>
      <c r="U339" s="58"/>
      <c r="V339" s="58"/>
      <c r="W339" s="58"/>
      <c r="X339" s="58"/>
      <c r="Y339" s="58"/>
      <c r="Z339" s="58"/>
      <c r="AA339" s="58"/>
    </row>
    <row r="340" spans="11:27">
      <c r="K340" s="51"/>
      <c r="P340" s="50"/>
      <c r="Q340" s="51"/>
      <c r="U340" s="58"/>
      <c r="V340" s="58"/>
      <c r="W340" s="58"/>
      <c r="X340" s="58"/>
      <c r="Y340" s="58"/>
      <c r="Z340" s="58"/>
      <c r="AA340" s="58"/>
    </row>
    <row r="341" spans="11:27">
      <c r="K341" s="51"/>
      <c r="P341" s="50"/>
      <c r="Q341" s="51"/>
      <c r="U341" s="58"/>
      <c r="V341" s="58"/>
      <c r="W341" s="58"/>
      <c r="X341" s="58"/>
      <c r="Y341" s="58"/>
      <c r="Z341" s="58"/>
      <c r="AA341" s="58"/>
    </row>
    <row r="342" spans="11:27">
      <c r="K342" s="51"/>
      <c r="P342" s="50"/>
      <c r="Q342" s="51"/>
      <c r="U342" s="58"/>
      <c r="V342" s="58"/>
      <c r="W342" s="58"/>
      <c r="X342" s="58"/>
      <c r="Y342" s="58"/>
      <c r="Z342" s="58"/>
      <c r="AA342" s="58"/>
    </row>
    <row r="343" spans="11:27">
      <c r="K343" s="51"/>
      <c r="P343" s="50"/>
      <c r="Q343" s="51"/>
      <c r="U343" s="58"/>
      <c r="V343" s="58"/>
      <c r="W343" s="58"/>
      <c r="X343" s="58"/>
      <c r="Y343" s="58"/>
      <c r="Z343" s="58"/>
      <c r="AA343" s="58"/>
    </row>
    <row r="344" spans="11:27">
      <c r="K344" s="51"/>
      <c r="P344" s="50"/>
      <c r="Q344" s="51"/>
      <c r="U344" s="58"/>
      <c r="V344" s="58"/>
      <c r="W344" s="58"/>
      <c r="X344" s="58"/>
      <c r="Y344" s="58"/>
      <c r="Z344" s="58"/>
      <c r="AA344" s="58"/>
    </row>
    <row r="345" spans="11:27">
      <c r="K345" s="51"/>
      <c r="P345" s="50"/>
      <c r="Q345" s="51"/>
      <c r="U345" s="58"/>
      <c r="V345" s="58"/>
      <c r="W345" s="58"/>
      <c r="X345" s="58"/>
      <c r="Y345" s="58"/>
      <c r="Z345" s="58"/>
      <c r="AA345" s="58"/>
    </row>
    <row r="346" spans="11:27">
      <c r="K346" s="51"/>
      <c r="P346" s="50"/>
      <c r="Q346" s="51"/>
      <c r="U346" s="58"/>
      <c r="V346" s="58"/>
      <c r="W346" s="58"/>
      <c r="X346" s="58"/>
      <c r="Y346" s="58"/>
      <c r="Z346" s="58"/>
      <c r="AA346" s="58"/>
    </row>
    <row r="347" spans="11:27">
      <c r="K347" s="51"/>
      <c r="P347" s="50"/>
      <c r="Q347" s="51"/>
      <c r="U347" s="58"/>
      <c r="V347" s="58"/>
      <c r="W347" s="58"/>
      <c r="X347" s="58"/>
      <c r="Y347" s="58"/>
      <c r="Z347" s="58"/>
      <c r="AA347" s="58"/>
    </row>
    <row r="348" spans="11:27">
      <c r="K348" s="51"/>
      <c r="P348" s="50"/>
      <c r="Q348" s="51"/>
      <c r="U348" s="58"/>
      <c r="V348" s="58"/>
      <c r="W348" s="58"/>
      <c r="X348" s="58"/>
      <c r="Y348" s="58"/>
      <c r="Z348" s="58"/>
      <c r="AA348" s="58"/>
    </row>
    <row r="349" spans="11:27">
      <c r="K349" s="51"/>
      <c r="P349" s="50"/>
      <c r="Q349" s="51"/>
      <c r="U349" s="58"/>
      <c r="V349" s="58"/>
      <c r="W349" s="58"/>
      <c r="X349" s="58"/>
      <c r="Y349" s="58"/>
      <c r="Z349" s="58"/>
      <c r="AA349" s="58"/>
    </row>
    <row r="350" spans="11:27">
      <c r="K350" s="51"/>
      <c r="P350" s="50"/>
      <c r="Q350" s="51"/>
      <c r="U350" s="58"/>
      <c r="V350" s="58"/>
      <c r="W350" s="58"/>
      <c r="X350" s="58"/>
      <c r="Y350" s="58"/>
      <c r="Z350" s="58"/>
      <c r="AA350" s="58"/>
    </row>
    <row r="351" spans="11:27">
      <c r="K351" s="51"/>
      <c r="P351" s="50"/>
      <c r="Q351" s="51"/>
      <c r="U351" s="58"/>
      <c r="V351" s="58"/>
      <c r="W351" s="58"/>
      <c r="X351" s="58"/>
      <c r="Y351" s="58"/>
      <c r="Z351" s="58"/>
      <c r="AA351" s="58"/>
    </row>
    <row r="352" spans="11:27">
      <c r="K352" s="51"/>
      <c r="P352" s="50"/>
      <c r="Q352" s="51"/>
      <c r="U352" s="58"/>
      <c r="V352" s="58"/>
      <c r="W352" s="58"/>
      <c r="X352" s="58"/>
      <c r="Y352" s="58"/>
      <c r="Z352" s="58"/>
      <c r="AA352" s="58"/>
    </row>
    <row r="353" spans="11:27">
      <c r="K353" s="51"/>
      <c r="P353" s="50"/>
      <c r="Q353" s="51"/>
      <c r="U353" s="58"/>
      <c r="V353" s="58"/>
      <c r="W353" s="58"/>
      <c r="X353" s="58"/>
      <c r="Y353" s="58"/>
      <c r="Z353" s="58"/>
      <c r="AA353" s="58"/>
    </row>
    <row r="354" spans="11:27">
      <c r="K354" s="51"/>
      <c r="P354" s="50"/>
      <c r="Q354" s="51"/>
      <c r="U354" s="58"/>
      <c r="V354" s="58"/>
      <c r="W354" s="58"/>
      <c r="X354" s="58"/>
      <c r="Y354" s="58"/>
      <c r="Z354" s="58"/>
      <c r="AA354" s="58"/>
    </row>
    <row r="355" spans="11:27">
      <c r="K355" s="51"/>
      <c r="P355" s="50"/>
      <c r="Q355" s="51"/>
      <c r="U355" s="58"/>
      <c r="V355" s="58"/>
      <c r="W355" s="58"/>
      <c r="X355" s="58"/>
      <c r="Y355" s="58"/>
      <c r="Z355" s="58"/>
      <c r="AA355" s="58"/>
    </row>
    <row r="356" spans="11:27">
      <c r="K356" s="51"/>
      <c r="P356" s="50"/>
      <c r="Q356" s="51"/>
      <c r="U356" s="58"/>
      <c r="V356" s="58"/>
      <c r="W356" s="58"/>
      <c r="X356" s="58"/>
      <c r="Y356" s="58"/>
      <c r="Z356" s="58"/>
      <c r="AA356" s="58"/>
    </row>
    <row r="357" spans="11:27">
      <c r="K357" s="51"/>
      <c r="P357" s="50"/>
      <c r="Q357" s="51"/>
      <c r="U357" s="58"/>
      <c r="V357" s="58"/>
      <c r="W357" s="58"/>
      <c r="X357" s="58"/>
      <c r="Y357" s="58"/>
      <c r="Z357" s="58"/>
      <c r="AA357" s="58"/>
    </row>
    <row r="358" spans="11:27">
      <c r="K358" s="51"/>
      <c r="P358" s="50"/>
      <c r="Q358" s="51"/>
      <c r="U358" s="58"/>
      <c r="V358" s="58"/>
      <c r="W358" s="58"/>
      <c r="X358" s="58"/>
      <c r="Y358" s="58"/>
      <c r="Z358" s="58"/>
      <c r="AA358" s="58"/>
    </row>
    <row r="359" spans="11:27">
      <c r="K359" s="51"/>
      <c r="P359" s="50"/>
      <c r="Q359" s="51"/>
      <c r="U359" s="58"/>
      <c r="V359" s="58"/>
      <c r="W359" s="58"/>
      <c r="X359" s="58"/>
      <c r="Y359" s="58"/>
      <c r="Z359" s="58"/>
      <c r="AA359" s="58"/>
    </row>
    <row r="360" spans="11:27">
      <c r="K360" s="51"/>
      <c r="P360" s="50"/>
      <c r="Q360" s="51"/>
      <c r="U360" s="58"/>
      <c r="V360" s="58"/>
      <c r="W360" s="58"/>
      <c r="X360" s="58"/>
      <c r="Y360" s="58"/>
      <c r="Z360" s="58"/>
      <c r="AA360" s="58"/>
    </row>
    <row r="361" spans="11:27">
      <c r="K361" s="51"/>
      <c r="P361" s="50"/>
      <c r="Q361" s="51"/>
      <c r="U361" s="58"/>
      <c r="V361" s="58"/>
      <c r="W361" s="58"/>
      <c r="X361" s="58"/>
      <c r="Y361" s="58"/>
      <c r="Z361" s="58"/>
      <c r="AA361" s="58"/>
    </row>
    <row r="362" spans="11:27">
      <c r="K362" s="51"/>
      <c r="P362" s="50"/>
      <c r="Q362" s="51"/>
      <c r="U362" s="58"/>
      <c r="V362" s="58"/>
      <c r="W362" s="58"/>
      <c r="X362" s="58"/>
      <c r="Y362" s="58"/>
      <c r="Z362" s="58"/>
      <c r="AA362" s="58"/>
    </row>
    <row r="363" spans="11:27">
      <c r="K363" s="51"/>
      <c r="P363" s="50"/>
      <c r="Q363" s="51"/>
      <c r="U363" s="58"/>
      <c r="V363" s="58"/>
      <c r="W363" s="58"/>
      <c r="X363" s="58"/>
      <c r="Y363" s="58"/>
      <c r="Z363" s="58"/>
      <c r="AA363" s="58"/>
    </row>
    <row r="364" spans="11:27">
      <c r="K364" s="51"/>
      <c r="P364" s="50"/>
      <c r="Q364" s="51"/>
      <c r="U364" s="58"/>
      <c r="V364" s="58"/>
      <c r="W364" s="58"/>
      <c r="X364" s="58"/>
      <c r="Y364" s="58"/>
      <c r="Z364" s="58"/>
      <c r="AA364" s="58"/>
    </row>
    <row r="365" spans="11:27">
      <c r="K365" s="51"/>
      <c r="P365" s="50"/>
      <c r="Q365" s="51"/>
      <c r="U365" s="58"/>
      <c r="V365" s="58"/>
      <c r="W365" s="58"/>
      <c r="X365" s="58"/>
      <c r="Y365" s="58"/>
      <c r="Z365" s="58"/>
      <c r="AA365" s="58"/>
    </row>
    <row r="366" spans="11:27">
      <c r="K366" s="51"/>
      <c r="P366" s="50"/>
      <c r="Q366" s="51"/>
      <c r="U366" s="58"/>
      <c r="V366" s="58"/>
      <c r="W366" s="58"/>
      <c r="X366" s="58"/>
      <c r="Y366" s="58"/>
      <c r="Z366" s="58"/>
      <c r="AA366" s="58"/>
    </row>
    <row r="367" spans="11:27">
      <c r="K367" s="51"/>
      <c r="P367" s="50"/>
      <c r="Q367" s="51"/>
      <c r="U367" s="58"/>
      <c r="V367" s="58"/>
      <c r="W367" s="58"/>
      <c r="X367" s="58"/>
      <c r="Y367" s="58"/>
      <c r="Z367" s="58"/>
      <c r="AA367" s="58"/>
    </row>
    <row r="368" spans="11:27">
      <c r="K368" s="51"/>
      <c r="P368" s="50"/>
      <c r="Q368" s="51"/>
      <c r="U368" s="58"/>
      <c r="V368" s="58"/>
      <c r="W368" s="58"/>
      <c r="X368" s="58"/>
      <c r="Y368" s="58"/>
      <c r="Z368" s="58"/>
      <c r="AA368" s="58"/>
    </row>
    <row r="369" spans="11:27">
      <c r="K369" s="51"/>
      <c r="P369" s="50"/>
      <c r="Q369" s="51"/>
      <c r="U369" s="58"/>
      <c r="V369" s="58"/>
      <c r="W369" s="58"/>
      <c r="X369" s="58"/>
      <c r="Y369" s="58"/>
      <c r="Z369" s="58"/>
      <c r="AA369" s="58"/>
    </row>
    <row r="370" spans="11:27">
      <c r="K370" s="51"/>
      <c r="P370" s="50"/>
      <c r="Q370" s="51"/>
      <c r="U370" s="58"/>
      <c r="V370" s="58"/>
      <c r="W370" s="58"/>
      <c r="X370" s="58"/>
      <c r="Y370" s="58"/>
      <c r="Z370" s="58"/>
      <c r="AA370" s="58"/>
    </row>
    <row r="371" spans="11:27">
      <c r="K371" s="51"/>
      <c r="P371" s="50"/>
      <c r="Q371" s="51"/>
      <c r="U371" s="58"/>
      <c r="V371" s="58"/>
      <c r="W371" s="58"/>
      <c r="X371" s="58"/>
      <c r="Y371" s="58"/>
      <c r="Z371" s="58"/>
      <c r="AA371" s="58"/>
    </row>
    <row r="372" spans="11:27">
      <c r="K372" s="51"/>
      <c r="P372" s="50"/>
      <c r="Q372" s="51"/>
      <c r="U372" s="58"/>
      <c r="V372" s="58"/>
      <c r="W372" s="58"/>
      <c r="X372" s="58"/>
      <c r="Y372" s="58"/>
      <c r="Z372" s="58"/>
      <c r="AA372" s="58"/>
    </row>
    <row r="373" spans="11:27">
      <c r="K373" s="51"/>
      <c r="P373" s="50"/>
      <c r="Q373" s="51"/>
      <c r="U373" s="58"/>
      <c r="V373" s="58"/>
      <c r="W373" s="58"/>
      <c r="X373" s="58"/>
      <c r="Y373" s="58"/>
      <c r="Z373" s="58"/>
      <c r="AA373" s="58"/>
    </row>
    <row r="374" spans="11:27">
      <c r="K374" s="51"/>
      <c r="P374" s="50"/>
      <c r="Q374" s="51"/>
      <c r="U374" s="58"/>
      <c r="V374" s="58"/>
      <c r="W374" s="58"/>
      <c r="X374" s="58"/>
      <c r="Y374" s="58"/>
      <c r="Z374" s="58"/>
      <c r="AA374" s="58"/>
    </row>
    <row r="375" spans="11:27">
      <c r="K375" s="51"/>
      <c r="P375" s="50"/>
      <c r="Q375" s="51"/>
      <c r="U375" s="58"/>
      <c r="V375" s="58"/>
      <c r="W375" s="58"/>
      <c r="X375" s="58"/>
      <c r="Y375" s="58"/>
      <c r="Z375" s="58"/>
      <c r="AA375" s="58"/>
    </row>
    <row r="376" spans="11:27">
      <c r="K376" s="51"/>
      <c r="P376" s="50"/>
      <c r="Q376" s="51"/>
      <c r="U376" s="58"/>
      <c r="V376" s="58"/>
      <c r="W376" s="58"/>
      <c r="X376" s="58"/>
      <c r="Y376" s="58"/>
      <c r="Z376" s="58"/>
      <c r="AA376" s="58"/>
    </row>
    <row r="377" spans="11:27">
      <c r="K377" s="51"/>
      <c r="P377" s="50"/>
      <c r="Q377" s="51"/>
      <c r="U377" s="58"/>
      <c r="V377" s="58"/>
      <c r="W377" s="58"/>
      <c r="X377" s="58"/>
      <c r="Y377" s="58"/>
      <c r="Z377" s="58"/>
      <c r="AA377" s="58"/>
    </row>
    <row r="378" spans="11:27">
      <c r="K378" s="51"/>
      <c r="P378" s="50"/>
      <c r="Q378" s="51"/>
      <c r="U378" s="58"/>
      <c r="V378" s="58"/>
      <c r="W378" s="58"/>
      <c r="X378" s="58"/>
      <c r="Y378" s="58"/>
      <c r="Z378" s="58"/>
      <c r="AA378" s="58"/>
    </row>
    <row r="379" spans="11:27">
      <c r="K379" s="51"/>
      <c r="P379" s="50"/>
      <c r="Q379" s="51"/>
      <c r="U379" s="58"/>
      <c r="V379" s="58"/>
      <c r="W379" s="58"/>
      <c r="X379" s="58"/>
      <c r="Y379" s="58"/>
      <c r="Z379" s="58"/>
      <c r="AA379" s="58"/>
    </row>
    <row r="380" spans="11:27">
      <c r="K380" s="51"/>
      <c r="P380" s="50"/>
      <c r="Q380" s="51"/>
      <c r="U380" s="58"/>
      <c r="V380" s="58"/>
      <c r="W380" s="58"/>
      <c r="X380" s="58"/>
      <c r="Y380" s="58"/>
      <c r="Z380" s="58"/>
      <c r="AA380" s="58"/>
    </row>
    <row r="381" spans="11:27">
      <c r="K381" s="51"/>
      <c r="P381" s="50"/>
      <c r="Q381" s="51"/>
      <c r="U381" s="58"/>
      <c r="V381" s="58"/>
      <c r="W381" s="58"/>
      <c r="X381" s="58"/>
      <c r="Y381" s="58"/>
      <c r="Z381" s="58"/>
      <c r="AA381" s="58"/>
    </row>
    <row r="382" spans="11:27">
      <c r="K382" s="51"/>
      <c r="P382" s="50"/>
      <c r="Q382" s="51"/>
      <c r="U382" s="58"/>
      <c r="V382" s="58"/>
      <c r="W382" s="58"/>
      <c r="X382" s="58"/>
      <c r="Y382" s="58"/>
      <c r="Z382" s="58"/>
      <c r="AA382" s="58"/>
    </row>
    <row r="383" spans="11:27">
      <c r="K383" s="51"/>
      <c r="P383" s="50"/>
      <c r="Q383" s="51"/>
      <c r="U383" s="58"/>
      <c r="V383" s="58"/>
      <c r="W383" s="58"/>
      <c r="X383" s="58"/>
      <c r="Y383" s="58"/>
      <c r="Z383" s="58"/>
      <c r="AA383" s="58"/>
    </row>
    <row r="384" spans="11:27">
      <c r="K384" s="51"/>
      <c r="P384" s="50"/>
      <c r="Q384" s="51"/>
      <c r="U384" s="58"/>
      <c r="V384" s="58"/>
      <c r="W384" s="58"/>
      <c r="X384" s="58"/>
      <c r="Y384" s="58"/>
      <c r="Z384" s="58"/>
      <c r="AA384" s="58"/>
    </row>
    <row r="385" spans="11:27">
      <c r="K385" s="51"/>
      <c r="P385" s="50"/>
      <c r="Q385" s="51"/>
      <c r="U385" s="58"/>
      <c r="V385" s="58"/>
      <c r="W385" s="58"/>
      <c r="X385" s="58"/>
      <c r="Y385" s="58"/>
      <c r="Z385" s="58"/>
      <c r="AA385" s="58"/>
    </row>
    <row r="386" spans="11:27">
      <c r="K386" s="51"/>
      <c r="P386" s="50"/>
      <c r="Q386" s="51"/>
      <c r="U386" s="58"/>
      <c r="V386" s="58"/>
      <c r="W386" s="58"/>
      <c r="X386" s="58"/>
      <c r="Y386" s="58"/>
      <c r="Z386" s="58"/>
      <c r="AA386" s="58"/>
    </row>
    <row r="387" spans="11:27">
      <c r="K387" s="51"/>
      <c r="P387" s="50"/>
      <c r="Q387" s="51"/>
      <c r="U387" s="58"/>
      <c r="V387" s="58"/>
      <c r="W387" s="58"/>
      <c r="X387" s="58"/>
      <c r="Y387" s="58"/>
      <c r="Z387" s="58"/>
      <c r="AA387" s="58"/>
    </row>
    <row r="388" spans="11:27">
      <c r="K388" s="51"/>
      <c r="P388" s="50"/>
      <c r="Q388" s="51"/>
      <c r="U388" s="58"/>
      <c r="V388" s="58"/>
      <c r="W388" s="58"/>
      <c r="X388" s="58"/>
      <c r="Y388" s="58"/>
      <c r="Z388" s="58"/>
      <c r="AA388" s="58"/>
    </row>
    <row r="389" spans="11:27">
      <c r="K389" s="51"/>
      <c r="P389" s="50"/>
      <c r="Q389" s="51"/>
      <c r="U389" s="58"/>
      <c r="V389" s="58"/>
      <c r="W389" s="58"/>
      <c r="X389" s="58"/>
      <c r="Y389" s="58"/>
      <c r="Z389" s="58"/>
      <c r="AA389" s="58"/>
    </row>
    <row r="390" spans="11:27">
      <c r="K390" s="51"/>
      <c r="P390" s="50"/>
      <c r="Q390" s="51"/>
      <c r="U390" s="58"/>
      <c r="V390" s="58"/>
      <c r="W390" s="58"/>
      <c r="X390" s="58"/>
      <c r="Y390" s="58"/>
      <c r="Z390" s="58"/>
      <c r="AA390" s="58"/>
    </row>
    <row r="391" spans="11:27">
      <c r="K391" s="51"/>
      <c r="P391" s="50"/>
      <c r="Q391" s="51"/>
      <c r="U391" s="58"/>
      <c r="V391" s="58"/>
      <c r="W391" s="58"/>
      <c r="X391" s="58"/>
      <c r="Y391" s="58"/>
      <c r="Z391" s="58"/>
      <c r="AA391" s="58"/>
    </row>
    <row r="392" spans="11:27">
      <c r="K392" s="51"/>
      <c r="P392" s="50"/>
      <c r="Q392" s="51"/>
      <c r="U392" s="58"/>
      <c r="V392" s="58"/>
      <c r="W392" s="58"/>
      <c r="X392" s="58"/>
      <c r="Y392" s="58"/>
      <c r="Z392" s="58"/>
      <c r="AA392" s="58"/>
    </row>
    <row r="393" spans="11:27">
      <c r="K393" s="51"/>
      <c r="P393" s="50"/>
      <c r="Q393" s="51"/>
      <c r="U393" s="58"/>
      <c r="V393" s="58"/>
      <c r="W393" s="58"/>
      <c r="X393" s="58"/>
      <c r="Y393" s="58"/>
      <c r="Z393" s="58"/>
      <c r="AA393" s="58"/>
    </row>
    <row r="394" spans="11:27">
      <c r="K394" s="51"/>
      <c r="P394" s="50"/>
      <c r="Q394" s="51"/>
      <c r="U394" s="58"/>
      <c r="V394" s="58"/>
      <c r="W394" s="58"/>
      <c r="X394" s="58"/>
      <c r="Y394" s="58"/>
      <c r="Z394" s="58"/>
      <c r="AA394" s="58"/>
    </row>
    <row r="395" spans="11:27">
      <c r="K395" s="51"/>
      <c r="P395" s="50"/>
      <c r="Q395" s="51"/>
      <c r="U395" s="58"/>
      <c r="V395" s="58"/>
      <c r="W395" s="58"/>
      <c r="X395" s="58"/>
      <c r="Y395" s="58"/>
      <c r="Z395" s="58"/>
      <c r="AA395" s="58"/>
    </row>
    <row r="396" spans="11:27">
      <c r="K396" s="51"/>
      <c r="P396" s="50"/>
      <c r="Q396" s="51"/>
      <c r="U396" s="58"/>
      <c r="V396" s="58"/>
      <c r="W396" s="58"/>
      <c r="X396" s="58"/>
      <c r="Y396" s="58"/>
      <c r="Z396" s="58"/>
      <c r="AA396" s="58"/>
    </row>
    <row r="397" spans="11:27">
      <c r="K397" s="51"/>
      <c r="P397" s="50"/>
      <c r="Q397" s="51"/>
      <c r="U397" s="58"/>
      <c r="V397" s="58"/>
      <c r="W397" s="58"/>
      <c r="X397" s="58"/>
      <c r="Y397" s="58"/>
      <c r="Z397" s="58"/>
      <c r="AA397" s="58"/>
    </row>
    <row r="398" spans="11:27">
      <c r="K398" s="51"/>
      <c r="P398" s="50"/>
      <c r="Q398" s="51"/>
      <c r="U398" s="58"/>
      <c r="V398" s="58"/>
      <c r="W398" s="58"/>
      <c r="X398" s="58"/>
      <c r="Y398" s="58"/>
      <c r="Z398" s="58"/>
      <c r="AA398" s="58"/>
    </row>
    <row r="399" spans="11:27">
      <c r="K399" s="51"/>
      <c r="P399" s="50"/>
      <c r="Q399" s="51"/>
      <c r="U399" s="58"/>
      <c r="V399" s="58"/>
      <c r="W399" s="58"/>
      <c r="X399" s="58"/>
      <c r="Y399" s="58"/>
      <c r="Z399" s="58"/>
      <c r="AA399" s="58"/>
    </row>
    <row r="400" spans="11:27">
      <c r="K400" s="51"/>
      <c r="P400" s="50"/>
      <c r="Q400" s="51"/>
      <c r="U400" s="58"/>
      <c r="V400" s="58"/>
      <c r="W400" s="58"/>
      <c r="X400" s="58"/>
      <c r="Y400" s="58"/>
      <c r="Z400" s="58"/>
      <c r="AA400" s="58"/>
    </row>
    <row r="401" spans="11:27">
      <c r="K401" s="51"/>
      <c r="P401" s="50"/>
      <c r="Q401" s="51"/>
      <c r="U401" s="58"/>
      <c r="V401" s="58"/>
      <c r="W401" s="58"/>
      <c r="X401" s="58"/>
      <c r="Y401" s="58"/>
      <c r="Z401" s="58"/>
      <c r="AA401" s="58"/>
    </row>
    <row r="402" spans="11:27">
      <c r="K402" s="51"/>
      <c r="P402" s="50"/>
      <c r="Q402" s="51"/>
      <c r="U402" s="58"/>
      <c r="V402" s="58"/>
      <c r="W402" s="58"/>
      <c r="X402" s="58"/>
      <c r="Y402" s="58"/>
      <c r="Z402" s="58"/>
      <c r="AA402" s="58"/>
    </row>
    <row r="403" spans="11:27">
      <c r="K403" s="51"/>
      <c r="P403" s="50"/>
      <c r="Q403" s="51"/>
      <c r="U403" s="58"/>
      <c r="V403" s="58"/>
      <c r="W403" s="58"/>
      <c r="X403" s="58"/>
      <c r="Y403" s="58"/>
      <c r="Z403" s="58"/>
      <c r="AA403" s="58"/>
    </row>
    <row r="404" spans="11:27">
      <c r="K404" s="51"/>
      <c r="P404" s="50"/>
      <c r="Q404" s="51"/>
      <c r="U404" s="58"/>
      <c r="V404" s="58"/>
      <c r="W404" s="58"/>
      <c r="X404" s="58"/>
      <c r="Y404" s="58"/>
      <c r="Z404" s="58"/>
      <c r="AA404" s="58"/>
    </row>
    <row r="405" spans="11:27">
      <c r="K405" s="51"/>
      <c r="P405" s="50"/>
      <c r="Q405" s="51"/>
      <c r="U405" s="58"/>
      <c r="V405" s="58"/>
      <c r="W405" s="58"/>
      <c r="X405" s="58"/>
      <c r="Y405" s="58"/>
      <c r="Z405" s="58"/>
      <c r="AA405" s="58"/>
    </row>
    <row r="406" spans="11:27">
      <c r="K406" s="51"/>
      <c r="P406" s="50"/>
      <c r="Q406" s="51"/>
      <c r="U406" s="58"/>
      <c r="V406" s="58"/>
      <c r="W406" s="58"/>
      <c r="X406" s="58"/>
      <c r="Y406" s="58"/>
      <c r="Z406" s="58"/>
      <c r="AA406" s="58"/>
    </row>
    <row r="407" spans="11:27">
      <c r="K407" s="51"/>
      <c r="P407" s="50"/>
      <c r="Q407" s="51"/>
      <c r="U407" s="58"/>
      <c r="V407" s="58"/>
      <c r="W407" s="58"/>
      <c r="X407" s="58"/>
      <c r="Y407" s="58"/>
      <c r="Z407" s="58"/>
      <c r="AA407" s="58"/>
    </row>
    <row r="408" spans="11:27">
      <c r="K408" s="51"/>
      <c r="P408" s="50"/>
      <c r="Q408" s="51"/>
      <c r="U408" s="58"/>
      <c r="V408" s="58"/>
      <c r="W408" s="58"/>
      <c r="X408" s="58"/>
      <c r="Y408" s="58"/>
      <c r="Z408" s="58"/>
      <c r="AA408" s="58"/>
    </row>
    <row r="409" spans="11:27">
      <c r="K409" s="51"/>
      <c r="P409" s="50"/>
      <c r="Q409" s="51"/>
      <c r="U409" s="58"/>
      <c r="V409" s="58"/>
      <c r="W409" s="58"/>
      <c r="X409" s="58"/>
      <c r="Y409" s="58"/>
      <c r="Z409" s="58"/>
      <c r="AA409" s="58"/>
    </row>
    <row r="410" spans="11:27">
      <c r="K410" s="51"/>
      <c r="P410" s="50"/>
      <c r="Q410" s="51"/>
      <c r="U410" s="58"/>
      <c r="V410" s="58"/>
      <c r="W410" s="58"/>
      <c r="X410" s="58"/>
      <c r="Y410" s="58"/>
      <c r="Z410" s="58"/>
      <c r="AA410" s="58"/>
    </row>
    <row r="411" spans="11:27">
      <c r="K411" s="51"/>
      <c r="P411" s="50"/>
      <c r="Q411" s="51"/>
      <c r="U411" s="58"/>
      <c r="V411" s="58"/>
      <c r="W411" s="58"/>
      <c r="X411" s="58"/>
      <c r="Y411" s="58"/>
      <c r="Z411" s="58"/>
      <c r="AA411" s="58"/>
    </row>
    <row r="412" spans="11:27">
      <c r="K412" s="51"/>
      <c r="P412" s="50"/>
      <c r="Q412" s="51"/>
      <c r="U412" s="58"/>
      <c r="V412" s="58"/>
      <c r="W412" s="58"/>
      <c r="X412" s="58"/>
      <c r="Y412" s="58"/>
      <c r="Z412" s="58"/>
      <c r="AA412" s="58"/>
    </row>
    <row r="413" spans="11:27">
      <c r="K413" s="51"/>
      <c r="P413" s="50"/>
      <c r="Q413" s="51"/>
      <c r="U413" s="58"/>
      <c r="V413" s="58"/>
      <c r="W413" s="58"/>
      <c r="X413" s="58"/>
      <c r="Y413" s="58"/>
      <c r="Z413" s="58"/>
      <c r="AA413" s="58"/>
    </row>
    <row r="414" spans="11:27">
      <c r="K414" s="51"/>
      <c r="P414" s="50"/>
      <c r="Q414" s="51"/>
      <c r="U414" s="58"/>
      <c r="V414" s="58"/>
      <c r="W414" s="58"/>
      <c r="X414" s="58"/>
      <c r="Y414" s="58"/>
      <c r="Z414" s="58"/>
      <c r="AA414" s="58"/>
    </row>
    <row r="415" spans="11:27">
      <c r="K415" s="51"/>
      <c r="P415" s="50"/>
      <c r="Q415" s="51"/>
      <c r="U415" s="58"/>
      <c r="V415" s="58"/>
      <c r="W415" s="58"/>
      <c r="X415" s="58"/>
      <c r="Y415" s="58"/>
      <c r="Z415" s="58"/>
      <c r="AA415" s="58"/>
    </row>
    <row r="416" spans="11:27">
      <c r="K416" s="51"/>
      <c r="P416" s="50"/>
      <c r="Q416" s="51"/>
      <c r="U416" s="58"/>
      <c r="V416" s="58"/>
      <c r="W416" s="58"/>
      <c r="X416" s="58"/>
      <c r="Y416" s="58"/>
      <c r="Z416" s="58"/>
      <c r="AA416" s="58"/>
    </row>
    <row r="417" spans="11:27">
      <c r="K417" s="51"/>
      <c r="P417" s="50"/>
      <c r="Q417" s="51"/>
      <c r="U417" s="58"/>
      <c r="V417" s="58"/>
      <c r="W417" s="58"/>
      <c r="X417" s="58"/>
      <c r="Y417" s="58"/>
      <c r="Z417" s="58"/>
      <c r="AA417" s="58"/>
    </row>
    <row r="418" spans="11:27">
      <c r="K418" s="51"/>
      <c r="P418" s="50"/>
      <c r="Q418" s="51"/>
      <c r="U418" s="58"/>
      <c r="V418" s="58"/>
      <c r="W418" s="58"/>
      <c r="X418" s="58"/>
      <c r="Y418" s="58"/>
      <c r="Z418" s="58"/>
      <c r="AA418" s="58"/>
    </row>
    <row r="419" spans="11:27">
      <c r="K419" s="51"/>
      <c r="P419" s="50"/>
      <c r="Q419" s="51"/>
      <c r="U419" s="58"/>
      <c r="V419" s="58"/>
      <c r="W419" s="58"/>
      <c r="X419" s="58"/>
      <c r="Y419" s="58"/>
      <c r="Z419" s="58"/>
      <c r="AA419" s="58"/>
    </row>
    <row r="420" spans="11:27">
      <c r="K420" s="51"/>
      <c r="P420" s="50"/>
      <c r="Q420" s="51"/>
      <c r="U420" s="58"/>
      <c r="V420" s="58"/>
      <c r="W420" s="58"/>
      <c r="X420" s="58"/>
      <c r="Y420" s="58"/>
      <c r="Z420" s="58"/>
      <c r="AA420" s="58"/>
    </row>
    <row r="421" spans="11:27">
      <c r="K421" s="51"/>
      <c r="P421" s="50"/>
      <c r="Q421" s="51"/>
      <c r="U421" s="58"/>
      <c r="V421" s="58"/>
      <c r="W421" s="58"/>
      <c r="X421" s="58"/>
      <c r="Y421" s="58"/>
      <c r="Z421" s="58"/>
      <c r="AA421" s="58"/>
    </row>
    <row r="422" spans="11:27">
      <c r="K422" s="51"/>
      <c r="P422" s="50"/>
      <c r="Q422" s="51"/>
      <c r="U422" s="58"/>
      <c r="V422" s="58"/>
      <c r="W422" s="58"/>
      <c r="X422" s="58"/>
      <c r="Y422" s="58"/>
      <c r="Z422" s="58"/>
      <c r="AA422" s="58"/>
    </row>
    <row r="423" spans="11:27">
      <c r="K423" s="51"/>
      <c r="P423" s="50"/>
      <c r="Q423" s="51"/>
      <c r="U423" s="58"/>
      <c r="V423" s="58"/>
      <c r="W423" s="58"/>
      <c r="X423" s="58"/>
      <c r="Y423" s="58"/>
      <c r="Z423" s="58"/>
      <c r="AA423" s="58"/>
    </row>
    <row r="424" spans="11:27">
      <c r="K424" s="51"/>
      <c r="P424" s="50"/>
      <c r="Q424" s="51"/>
      <c r="U424" s="58"/>
      <c r="V424" s="58"/>
      <c r="W424" s="58"/>
      <c r="X424" s="58"/>
      <c r="Y424" s="58"/>
      <c r="Z424" s="58"/>
      <c r="AA424" s="58"/>
    </row>
    <row r="425" spans="11:27">
      <c r="K425" s="51"/>
      <c r="P425" s="50"/>
      <c r="Q425" s="51"/>
      <c r="U425" s="58"/>
      <c r="V425" s="58"/>
      <c r="W425" s="58"/>
      <c r="X425" s="58"/>
      <c r="Y425" s="58"/>
      <c r="Z425" s="58"/>
      <c r="AA425" s="58"/>
    </row>
    <row r="426" spans="11:27">
      <c r="K426" s="51"/>
      <c r="P426" s="50"/>
      <c r="Q426" s="51"/>
      <c r="U426" s="58"/>
      <c r="V426" s="58"/>
      <c r="W426" s="58"/>
      <c r="X426" s="58"/>
      <c r="Y426" s="58"/>
      <c r="Z426" s="58"/>
      <c r="AA426" s="58"/>
    </row>
    <row r="427" spans="11:27">
      <c r="K427" s="51"/>
      <c r="P427" s="50"/>
      <c r="Q427" s="51"/>
      <c r="U427" s="58"/>
      <c r="V427" s="58"/>
      <c r="W427" s="58"/>
      <c r="X427" s="58"/>
      <c r="Y427" s="58"/>
      <c r="Z427" s="58"/>
      <c r="AA427" s="58"/>
    </row>
    <row r="428" spans="11:27">
      <c r="K428" s="51"/>
      <c r="P428" s="50"/>
      <c r="Q428" s="51"/>
      <c r="U428" s="58"/>
      <c r="V428" s="58"/>
      <c r="W428" s="58"/>
      <c r="X428" s="58"/>
      <c r="Y428" s="58"/>
      <c r="Z428" s="58"/>
      <c r="AA428" s="58"/>
    </row>
    <row r="429" spans="11:27">
      <c r="K429" s="51"/>
      <c r="P429" s="50"/>
      <c r="Q429" s="51"/>
      <c r="U429" s="58"/>
      <c r="V429" s="58"/>
      <c r="W429" s="58"/>
      <c r="X429" s="58"/>
      <c r="Y429" s="58"/>
      <c r="Z429" s="58"/>
      <c r="AA429" s="58"/>
    </row>
    <row r="430" spans="11:27">
      <c r="K430" s="51"/>
      <c r="P430" s="50"/>
      <c r="Q430" s="51"/>
      <c r="U430" s="58"/>
      <c r="V430" s="58"/>
      <c r="W430" s="58"/>
      <c r="X430" s="58"/>
      <c r="Y430" s="58"/>
      <c r="Z430" s="58"/>
      <c r="AA430" s="58"/>
    </row>
    <row r="431" spans="11:27">
      <c r="K431" s="51"/>
      <c r="P431" s="50"/>
      <c r="Q431" s="51"/>
      <c r="U431" s="58"/>
      <c r="V431" s="58"/>
      <c r="W431" s="58"/>
      <c r="X431" s="58"/>
      <c r="Y431" s="58"/>
      <c r="Z431" s="58"/>
      <c r="AA431" s="58"/>
    </row>
    <row r="432" spans="11:27">
      <c r="K432" s="51"/>
      <c r="P432" s="50"/>
      <c r="Q432" s="51"/>
      <c r="U432" s="58"/>
      <c r="V432" s="58"/>
      <c r="W432" s="58"/>
      <c r="X432" s="58"/>
      <c r="Y432" s="58"/>
      <c r="Z432" s="58"/>
      <c r="AA432" s="58"/>
    </row>
    <row r="433" spans="11:27">
      <c r="K433" s="51"/>
      <c r="P433" s="50"/>
      <c r="Q433" s="51"/>
      <c r="U433" s="58"/>
      <c r="V433" s="58"/>
      <c r="W433" s="58"/>
      <c r="X433" s="58"/>
      <c r="Y433" s="58"/>
      <c r="Z433" s="58"/>
      <c r="AA433" s="58"/>
    </row>
    <row r="434" spans="11:27">
      <c r="K434" s="51"/>
      <c r="P434" s="50"/>
      <c r="Q434" s="51"/>
      <c r="U434" s="58"/>
      <c r="V434" s="58"/>
      <c r="W434" s="58"/>
      <c r="X434" s="58"/>
      <c r="Y434" s="58"/>
      <c r="Z434" s="58"/>
      <c r="AA434" s="58"/>
    </row>
    <row r="435" spans="11:27">
      <c r="K435" s="51"/>
      <c r="P435" s="50"/>
      <c r="Q435" s="51"/>
      <c r="U435" s="58"/>
      <c r="V435" s="58"/>
      <c r="W435" s="58"/>
      <c r="X435" s="58"/>
      <c r="Y435" s="58"/>
      <c r="Z435" s="58"/>
      <c r="AA435" s="58"/>
    </row>
    <row r="436" spans="11:27">
      <c r="K436" s="51"/>
      <c r="P436" s="50"/>
      <c r="Q436" s="51"/>
      <c r="U436" s="58"/>
      <c r="V436" s="58"/>
      <c r="W436" s="58"/>
      <c r="X436" s="58"/>
      <c r="Y436" s="58"/>
      <c r="Z436" s="58"/>
      <c r="AA436" s="58"/>
    </row>
    <row r="437" spans="11:27">
      <c r="K437" s="51"/>
      <c r="P437" s="50"/>
      <c r="Q437" s="51"/>
      <c r="U437" s="58"/>
      <c r="V437" s="58"/>
      <c r="W437" s="58"/>
      <c r="X437" s="58"/>
      <c r="Y437" s="58"/>
      <c r="Z437" s="58"/>
      <c r="AA437" s="58"/>
    </row>
    <row r="438" spans="11:27">
      <c r="K438" s="51"/>
      <c r="P438" s="50"/>
      <c r="Q438" s="51"/>
      <c r="U438" s="58"/>
      <c r="V438" s="58"/>
      <c r="W438" s="58"/>
      <c r="X438" s="58"/>
      <c r="Y438" s="58"/>
      <c r="Z438" s="58"/>
      <c r="AA438" s="58"/>
    </row>
    <row r="439" spans="11:27">
      <c r="K439" s="51"/>
      <c r="P439" s="50"/>
      <c r="Q439" s="51"/>
      <c r="U439" s="58"/>
      <c r="V439" s="58"/>
      <c r="W439" s="58"/>
      <c r="X439" s="58"/>
      <c r="Y439" s="58"/>
      <c r="Z439" s="58"/>
      <c r="AA439" s="58"/>
    </row>
    <row r="440" spans="11:27">
      <c r="K440" s="51"/>
      <c r="P440" s="50"/>
      <c r="Q440" s="51"/>
      <c r="U440" s="58"/>
      <c r="V440" s="58"/>
      <c r="W440" s="58"/>
      <c r="X440" s="58"/>
      <c r="Y440" s="58"/>
      <c r="Z440" s="58"/>
      <c r="AA440" s="58"/>
    </row>
    <row r="441" spans="11:27">
      <c r="K441" s="51"/>
      <c r="P441" s="50"/>
      <c r="Q441" s="51"/>
      <c r="U441" s="58"/>
      <c r="V441" s="58"/>
      <c r="W441" s="58"/>
      <c r="X441" s="58"/>
      <c r="Y441" s="58"/>
      <c r="Z441" s="58"/>
      <c r="AA441" s="58"/>
    </row>
    <row r="442" spans="11:27">
      <c r="K442" s="51"/>
      <c r="P442" s="50"/>
      <c r="Q442" s="51"/>
      <c r="U442" s="58"/>
      <c r="V442" s="58"/>
      <c r="W442" s="58"/>
      <c r="X442" s="58"/>
      <c r="Y442" s="58"/>
      <c r="Z442" s="58"/>
      <c r="AA442" s="58"/>
    </row>
    <row r="443" spans="11:27">
      <c r="K443" s="51"/>
      <c r="P443" s="50"/>
      <c r="Q443" s="51"/>
      <c r="U443" s="58"/>
      <c r="V443" s="58"/>
      <c r="W443" s="58"/>
      <c r="X443" s="58"/>
      <c r="Y443" s="58"/>
      <c r="Z443" s="58"/>
      <c r="AA443" s="58"/>
    </row>
    <row r="444" spans="11:27">
      <c r="K444" s="51"/>
      <c r="P444" s="50"/>
      <c r="Q444" s="51"/>
      <c r="U444" s="58"/>
      <c r="V444" s="58"/>
      <c r="W444" s="58"/>
      <c r="X444" s="58"/>
      <c r="Y444" s="58"/>
      <c r="Z444" s="58"/>
      <c r="AA444" s="58"/>
    </row>
    <row r="445" spans="11:27">
      <c r="K445" s="51"/>
      <c r="P445" s="50"/>
      <c r="Q445" s="51"/>
      <c r="U445" s="58"/>
      <c r="V445" s="58"/>
      <c r="W445" s="58"/>
      <c r="X445" s="58"/>
      <c r="Y445" s="58"/>
      <c r="Z445" s="58"/>
      <c r="AA445" s="58"/>
    </row>
    <row r="446" spans="11:27">
      <c r="K446" s="51"/>
      <c r="P446" s="50"/>
      <c r="Q446" s="51"/>
      <c r="U446" s="58"/>
      <c r="V446" s="58"/>
      <c r="W446" s="58"/>
      <c r="X446" s="58"/>
      <c r="Y446" s="58"/>
      <c r="Z446" s="58"/>
      <c r="AA446" s="58"/>
    </row>
    <row r="447" spans="11:27">
      <c r="K447" s="51"/>
      <c r="P447" s="50"/>
      <c r="Q447" s="51"/>
      <c r="U447" s="58"/>
      <c r="V447" s="58"/>
      <c r="W447" s="58"/>
      <c r="X447" s="58"/>
      <c r="Y447" s="58"/>
      <c r="Z447" s="58"/>
      <c r="AA447" s="58"/>
    </row>
    <row r="448" spans="11:27">
      <c r="K448" s="51"/>
      <c r="P448" s="50"/>
      <c r="Q448" s="51"/>
      <c r="U448" s="58"/>
      <c r="V448" s="58"/>
      <c r="W448" s="58"/>
      <c r="X448" s="58"/>
      <c r="Y448" s="58"/>
      <c r="Z448" s="58"/>
      <c r="AA448" s="58"/>
    </row>
    <row r="449" spans="11:27">
      <c r="K449" s="51"/>
      <c r="P449" s="50"/>
      <c r="Q449" s="51"/>
      <c r="U449" s="58"/>
      <c r="V449" s="58"/>
      <c r="W449" s="58"/>
      <c r="X449" s="58"/>
      <c r="Y449" s="58"/>
      <c r="Z449" s="58"/>
      <c r="AA449" s="58"/>
    </row>
    <row r="450" spans="11:27">
      <c r="K450" s="51"/>
      <c r="P450" s="50"/>
      <c r="Q450" s="51"/>
      <c r="U450" s="58"/>
      <c r="V450" s="58"/>
      <c r="W450" s="58"/>
      <c r="X450" s="58"/>
      <c r="Y450" s="58"/>
      <c r="Z450" s="58"/>
      <c r="AA450" s="58"/>
    </row>
    <row r="451" spans="11:27">
      <c r="K451" s="51"/>
      <c r="P451" s="50"/>
      <c r="Q451" s="51"/>
      <c r="U451" s="58"/>
      <c r="V451" s="58"/>
      <c r="W451" s="58"/>
      <c r="X451" s="58"/>
      <c r="Y451" s="58"/>
      <c r="Z451" s="58"/>
      <c r="AA451" s="58"/>
    </row>
    <row r="452" spans="11:27">
      <c r="K452" s="51"/>
      <c r="P452" s="50"/>
      <c r="Q452" s="51"/>
      <c r="U452" s="58"/>
      <c r="V452" s="58"/>
      <c r="W452" s="58"/>
      <c r="X452" s="58"/>
      <c r="Y452" s="58"/>
      <c r="Z452" s="58"/>
      <c r="AA452" s="58"/>
    </row>
    <row r="453" spans="11:27">
      <c r="K453" s="51"/>
      <c r="P453" s="50"/>
      <c r="Q453" s="51"/>
      <c r="U453" s="58"/>
      <c r="V453" s="58"/>
      <c r="W453" s="58"/>
      <c r="X453" s="58"/>
      <c r="Y453" s="58"/>
      <c r="Z453" s="58"/>
      <c r="AA453" s="58"/>
    </row>
    <row r="454" spans="11:27">
      <c r="K454" s="51"/>
      <c r="P454" s="50"/>
      <c r="Q454" s="51"/>
      <c r="U454" s="58"/>
      <c r="V454" s="58"/>
      <c r="W454" s="58"/>
      <c r="X454" s="58"/>
      <c r="Y454" s="58"/>
      <c r="Z454" s="58"/>
      <c r="AA454" s="58"/>
    </row>
    <row r="455" spans="11:27">
      <c r="K455" s="51"/>
      <c r="P455" s="50"/>
      <c r="Q455" s="51"/>
      <c r="U455" s="58"/>
      <c r="V455" s="58"/>
      <c r="W455" s="58"/>
      <c r="X455" s="58"/>
      <c r="Y455" s="58"/>
      <c r="Z455" s="58"/>
      <c r="AA455" s="58"/>
    </row>
    <row r="456" spans="11:27">
      <c r="K456" s="51"/>
      <c r="P456" s="50"/>
      <c r="Q456" s="51"/>
      <c r="U456" s="58"/>
      <c r="V456" s="58"/>
      <c r="W456" s="58"/>
      <c r="X456" s="58"/>
      <c r="Y456" s="58"/>
      <c r="Z456" s="58"/>
      <c r="AA456" s="58"/>
    </row>
    <row r="457" spans="11:27">
      <c r="K457" s="51"/>
      <c r="P457" s="50"/>
      <c r="Q457" s="51"/>
      <c r="U457" s="58"/>
      <c r="V457" s="58"/>
      <c r="W457" s="58"/>
      <c r="X457" s="58"/>
      <c r="Y457" s="58"/>
      <c r="Z457" s="58"/>
      <c r="AA457" s="58"/>
    </row>
    <row r="458" spans="11:27">
      <c r="K458" s="51"/>
      <c r="P458" s="50"/>
      <c r="Q458" s="51"/>
      <c r="U458" s="58"/>
      <c r="V458" s="58"/>
      <c r="W458" s="58"/>
      <c r="X458" s="58"/>
      <c r="Y458" s="58"/>
      <c r="Z458" s="58"/>
      <c r="AA458" s="58"/>
    </row>
    <row r="459" spans="11:27">
      <c r="K459" s="51"/>
      <c r="P459" s="50"/>
      <c r="Q459" s="51"/>
      <c r="U459" s="58"/>
      <c r="V459" s="58"/>
      <c r="W459" s="58"/>
      <c r="X459" s="58"/>
      <c r="Y459" s="58"/>
      <c r="Z459" s="58"/>
      <c r="AA459" s="58"/>
    </row>
    <row r="460" spans="11:27">
      <c r="K460" s="51"/>
      <c r="P460" s="50"/>
      <c r="Q460" s="51"/>
      <c r="U460" s="58"/>
      <c r="V460" s="58"/>
      <c r="W460" s="58"/>
      <c r="X460" s="58"/>
      <c r="Y460" s="58"/>
      <c r="Z460" s="58"/>
      <c r="AA460" s="58"/>
    </row>
    <row r="461" spans="11:27">
      <c r="K461" s="51"/>
      <c r="P461" s="50"/>
      <c r="Q461" s="51"/>
      <c r="U461" s="58"/>
      <c r="V461" s="58"/>
      <c r="W461" s="58"/>
      <c r="X461" s="58"/>
      <c r="Y461" s="58"/>
      <c r="Z461" s="58"/>
      <c r="AA461" s="58"/>
    </row>
    <row r="462" spans="11:27">
      <c r="K462" s="51"/>
      <c r="P462" s="50"/>
      <c r="Q462" s="51"/>
      <c r="U462" s="58"/>
      <c r="V462" s="58"/>
      <c r="W462" s="58"/>
      <c r="X462" s="58"/>
      <c r="Y462" s="58"/>
      <c r="Z462" s="58"/>
      <c r="AA462" s="58"/>
    </row>
    <row r="463" spans="11:27">
      <c r="K463" s="51"/>
      <c r="P463" s="50"/>
      <c r="Q463" s="51"/>
      <c r="U463" s="58"/>
      <c r="V463" s="58"/>
      <c r="W463" s="58"/>
      <c r="X463" s="58"/>
      <c r="Y463" s="58"/>
      <c r="Z463" s="58"/>
      <c r="AA463" s="58"/>
    </row>
    <row r="464" spans="11:27">
      <c r="K464" s="51"/>
      <c r="P464" s="50"/>
      <c r="Q464" s="51"/>
      <c r="U464" s="58"/>
      <c r="V464" s="58"/>
      <c r="W464" s="58"/>
      <c r="X464" s="58"/>
      <c r="Y464" s="58"/>
      <c r="Z464" s="58"/>
      <c r="AA464" s="58"/>
    </row>
    <row r="465" spans="11:27">
      <c r="K465" s="51"/>
      <c r="P465" s="50"/>
      <c r="Q465" s="51"/>
      <c r="U465" s="58"/>
      <c r="V465" s="58"/>
      <c r="W465" s="58"/>
      <c r="X465" s="58"/>
      <c r="Y465" s="58"/>
      <c r="Z465" s="58"/>
      <c r="AA465" s="58"/>
    </row>
    <row r="466" spans="11:27">
      <c r="K466" s="51"/>
      <c r="P466" s="50"/>
      <c r="Q466" s="51"/>
      <c r="U466" s="58"/>
      <c r="V466" s="58"/>
      <c r="W466" s="58"/>
      <c r="X466" s="58"/>
      <c r="Y466" s="58"/>
      <c r="Z466" s="58"/>
      <c r="AA466" s="58"/>
    </row>
    <row r="467" spans="11:27">
      <c r="K467" s="51"/>
      <c r="P467" s="50"/>
      <c r="Q467" s="51"/>
      <c r="U467" s="58"/>
      <c r="V467" s="58"/>
      <c r="W467" s="58"/>
      <c r="X467" s="58"/>
      <c r="Y467" s="58"/>
      <c r="Z467" s="58"/>
      <c r="AA467" s="58"/>
    </row>
    <row r="468" spans="11:27">
      <c r="K468" s="51"/>
      <c r="P468" s="50"/>
      <c r="Q468" s="51"/>
      <c r="U468" s="58"/>
      <c r="V468" s="58"/>
      <c r="W468" s="58"/>
      <c r="X468" s="58"/>
      <c r="Y468" s="58"/>
      <c r="Z468" s="58"/>
      <c r="AA468" s="58"/>
    </row>
    <row r="469" spans="11:27">
      <c r="K469" s="51"/>
      <c r="P469" s="50"/>
      <c r="Q469" s="51"/>
      <c r="U469" s="58"/>
      <c r="V469" s="58"/>
      <c r="W469" s="58"/>
      <c r="X469" s="58"/>
      <c r="Y469" s="58"/>
      <c r="Z469" s="58"/>
      <c r="AA469" s="58"/>
    </row>
    <row r="470" spans="11:27">
      <c r="K470" s="51"/>
      <c r="P470" s="50"/>
      <c r="Q470" s="51"/>
      <c r="U470" s="58"/>
      <c r="V470" s="58"/>
      <c r="W470" s="58"/>
      <c r="X470" s="58"/>
      <c r="Y470" s="58"/>
      <c r="Z470" s="58"/>
      <c r="AA470" s="58"/>
    </row>
    <row r="471" spans="11:27">
      <c r="K471" s="51"/>
      <c r="P471" s="50"/>
      <c r="Q471" s="51"/>
      <c r="U471" s="58"/>
      <c r="V471" s="58"/>
      <c r="W471" s="58"/>
      <c r="X471" s="58"/>
      <c r="Y471" s="58"/>
      <c r="Z471" s="58"/>
      <c r="AA471" s="58"/>
    </row>
    <row r="472" spans="11:27">
      <c r="K472" s="51"/>
      <c r="P472" s="50"/>
      <c r="Q472" s="51"/>
      <c r="U472" s="58"/>
      <c r="V472" s="58"/>
      <c r="W472" s="58"/>
      <c r="X472" s="58"/>
      <c r="Y472" s="58"/>
      <c r="Z472" s="58"/>
      <c r="AA472" s="58"/>
    </row>
    <row r="473" spans="11:27">
      <c r="K473" s="51"/>
      <c r="P473" s="50"/>
      <c r="Q473" s="51"/>
      <c r="U473" s="58"/>
      <c r="V473" s="58"/>
      <c r="W473" s="58"/>
      <c r="X473" s="58"/>
      <c r="Y473" s="58"/>
      <c r="Z473" s="58"/>
      <c r="AA473" s="58"/>
    </row>
    <row r="474" spans="11:27">
      <c r="K474" s="51"/>
      <c r="P474" s="50"/>
      <c r="Q474" s="51"/>
      <c r="U474" s="58"/>
      <c r="V474" s="58"/>
      <c r="W474" s="58"/>
      <c r="X474" s="58"/>
      <c r="Y474" s="58"/>
      <c r="Z474" s="58"/>
      <c r="AA474" s="58"/>
    </row>
    <row r="475" spans="11:27">
      <c r="K475" s="51"/>
      <c r="P475" s="50"/>
      <c r="Q475" s="51"/>
      <c r="U475" s="58"/>
      <c r="V475" s="58"/>
      <c r="W475" s="58"/>
      <c r="X475" s="58"/>
      <c r="Y475" s="58"/>
      <c r="Z475" s="58"/>
      <c r="AA475" s="58"/>
    </row>
    <row r="476" spans="11:27">
      <c r="K476" s="51"/>
      <c r="P476" s="50"/>
      <c r="Q476" s="51"/>
      <c r="U476" s="58"/>
      <c r="V476" s="58"/>
      <c r="W476" s="58"/>
      <c r="X476" s="58"/>
      <c r="Y476" s="58"/>
      <c r="Z476" s="58"/>
      <c r="AA476" s="58"/>
    </row>
    <row r="477" spans="11:27">
      <c r="K477" s="51"/>
      <c r="P477" s="50"/>
      <c r="Q477" s="51"/>
      <c r="U477" s="58"/>
      <c r="V477" s="58"/>
      <c r="W477" s="58"/>
      <c r="X477" s="58"/>
      <c r="Y477" s="58"/>
      <c r="Z477" s="58"/>
      <c r="AA477" s="58"/>
    </row>
    <row r="478" spans="11:27">
      <c r="K478" s="51"/>
      <c r="P478" s="50"/>
      <c r="Q478" s="51"/>
      <c r="U478" s="58"/>
      <c r="V478" s="58"/>
      <c r="W478" s="58"/>
      <c r="X478" s="58"/>
      <c r="Y478" s="58"/>
      <c r="Z478" s="58"/>
      <c r="AA478" s="58"/>
    </row>
    <row r="479" spans="11:27">
      <c r="K479" s="51"/>
      <c r="P479" s="50"/>
      <c r="Q479" s="51"/>
      <c r="U479" s="58"/>
      <c r="V479" s="58"/>
      <c r="W479" s="58"/>
      <c r="X479" s="58"/>
      <c r="Y479" s="58"/>
      <c r="Z479" s="58"/>
      <c r="AA479" s="58"/>
    </row>
    <row r="480" spans="11:27">
      <c r="K480" s="51"/>
      <c r="P480" s="50"/>
      <c r="Q480" s="51"/>
      <c r="U480" s="58"/>
      <c r="V480" s="58"/>
      <c r="W480" s="58"/>
      <c r="X480" s="58"/>
      <c r="Y480" s="58"/>
      <c r="Z480" s="58"/>
      <c r="AA480" s="58"/>
    </row>
    <row r="481" spans="11:27">
      <c r="K481" s="51"/>
      <c r="P481" s="50"/>
      <c r="Q481" s="51"/>
      <c r="U481" s="58"/>
      <c r="V481" s="58"/>
      <c r="W481" s="58"/>
      <c r="X481" s="58"/>
      <c r="Y481" s="58"/>
      <c r="Z481" s="58"/>
      <c r="AA481" s="58"/>
    </row>
    <row r="482" spans="11:27">
      <c r="K482" s="51"/>
      <c r="P482" s="50"/>
      <c r="Q482" s="51"/>
      <c r="U482" s="58"/>
      <c r="V482" s="58"/>
      <c r="W482" s="58"/>
      <c r="X482" s="58"/>
      <c r="Y482" s="58"/>
      <c r="Z482" s="58"/>
      <c r="AA482" s="58"/>
    </row>
    <row r="483" spans="11:27">
      <c r="K483" s="51"/>
      <c r="P483" s="50"/>
      <c r="Q483" s="51"/>
      <c r="U483" s="58"/>
      <c r="V483" s="58"/>
      <c r="W483" s="58"/>
      <c r="X483" s="58"/>
      <c r="Y483" s="58"/>
      <c r="Z483" s="58"/>
      <c r="AA483" s="58"/>
    </row>
    <row r="484" spans="11:27">
      <c r="K484" s="51"/>
      <c r="P484" s="50"/>
      <c r="Q484" s="51"/>
      <c r="U484" s="58"/>
      <c r="V484" s="58"/>
      <c r="W484" s="58"/>
      <c r="X484" s="58"/>
      <c r="Y484" s="58"/>
      <c r="Z484" s="58"/>
      <c r="AA484" s="58"/>
    </row>
    <row r="485" spans="11:27">
      <c r="K485" s="51"/>
      <c r="P485" s="50"/>
      <c r="Q485" s="51"/>
      <c r="U485" s="58"/>
      <c r="V485" s="58"/>
      <c r="W485" s="58"/>
      <c r="X485" s="58"/>
      <c r="Y485" s="58"/>
      <c r="Z485" s="58"/>
      <c r="AA485" s="58"/>
    </row>
    <row r="486" spans="11:27">
      <c r="K486" s="51"/>
      <c r="P486" s="50"/>
      <c r="Q486" s="51"/>
      <c r="U486" s="58"/>
      <c r="V486" s="58"/>
      <c r="W486" s="58"/>
      <c r="X486" s="58"/>
      <c r="Y486" s="58"/>
      <c r="Z486" s="58"/>
      <c r="AA486" s="58"/>
    </row>
    <row r="487" spans="11:27">
      <c r="K487" s="51"/>
      <c r="P487" s="50"/>
      <c r="Q487" s="51"/>
      <c r="U487" s="58"/>
      <c r="V487" s="58"/>
      <c r="W487" s="58"/>
      <c r="X487" s="58"/>
      <c r="Y487" s="58"/>
      <c r="Z487" s="58"/>
      <c r="AA487" s="58"/>
    </row>
    <row r="488" spans="11:27">
      <c r="K488" s="51"/>
      <c r="P488" s="50"/>
      <c r="Q488" s="51"/>
      <c r="U488" s="58"/>
      <c r="V488" s="58"/>
      <c r="W488" s="58"/>
      <c r="X488" s="58"/>
      <c r="Y488" s="58"/>
      <c r="Z488" s="58"/>
      <c r="AA488" s="58"/>
    </row>
    <row r="489" spans="11:27">
      <c r="K489" s="51"/>
      <c r="P489" s="50"/>
      <c r="Q489" s="51"/>
      <c r="U489" s="58"/>
      <c r="V489" s="58"/>
      <c r="W489" s="58"/>
      <c r="X489" s="58"/>
      <c r="Y489" s="58"/>
      <c r="Z489" s="58"/>
      <c r="AA489" s="58"/>
    </row>
    <row r="490" spans="11:27">
      <c r="K490" s="51"/>
      <c r="P490" s="50"/>
      <c r="Q490" s="51"/>
      <c r="U490" s="58"/>
      <c r="V490" s="58"/>
      <c r="W490" s="58"/>
      <c r="X490" s="58"/>
      <c r="Y490" s="58"/>
      <c r="Z490" s="58"/>
      <c r="AA490" s="58"/>
    </row>
    <row r="491" spans="11:27">
      <c r="K491" s="51"/>
      <c r="P491" s="50"/>
      <c r="Q491" s="51"/>
      <c r="U491" s="58"/>
      <c r="V491" s="58"/>
      <c r="W491" s="58"/>
      <c r="X491" s="58"/>
      <c r="Y491" s="58"/>
      <c r="Z491" s="58"/>
      <c r="AA491" s="58"/>
    </row>
    <row r="492" spans="11:27">
      <c r="K492" s="51"/>
      <c r="P492" s="50"/>
      <c r="Q492" s="51"/>
      <c r="U492" s="58"/>
      <c r="V492" s="58"/>
      <c r="W492" s="58"/>
      <c r="X492" s="58"/>
      <c r="Y492" s="58"/>
      <c r="Z492" s="58"/>
      <c r="AA492" s="58"/>
    </row>
    <row r="493" spans="11:27">
      <c r="K493" s="51"/>
      <c r="P493" s="50"/>
      <c r="Q493" s="51"/>
      <c r="U493" s="58"/>
      <c r="V493" s="58"/>
      <c r="W493" s="58"/>
      <c r="X493" s="58"/>
      <c r="Y493" s="58"/>
      <c r="Z493" s="58"/>
      <c r="AA493" s="58"/>
    </row>
    <row r="494" spans="11:27">
      <c r="K494" s="51"/>
      <c r="P494" s="50"/>
      <c r="Q494" s="51"/>
      <c r="U494" s="58"/>
      <c r="V494" s="58"/>
      <c r="W494" s="58"/>
      <c r="X494" s="58"/>
      <c r="Y494" s="58"/>
      <c r="Z494" s="58"/>
      <c r="AA494" s="58"/>
    </row>
    <row r="495" spans="11:27">
      <c r="K495" s="51"/>
      <c r="P495" s="50"/>
      <c r="Q495" s="51"/>
      <c r="U495" s="58"/>
      <c r="V495" s="58"/>
      <c r="W495" s="58"/>
      <c r="X495" s="58"/>
      <c r="Y495" s="58"/>
      <c r="Z495" s="58"/>
      <c r="AA495" s="58"/>
    </row>
    <row r="496" spans="11:27">
      <c r="K496" s="51"/>
      <c r="P496" s="50"/>
      <c r="Q496" s="51"/>
      <c r="U496" s="58"/>
      <c r="V496" s="58"/>
      <c r="W496" s="58"/>
      <c r="X496" s="58"/>
      <c r="Y496" s="58"/>
      <c r="Z496" s="58"/>
      <c r="AA496" s="58"/>
    </row>
    <row r="497" spans="11:27">
      <c r="K497" s="51"/>
      <c r="P497" s="50"/>
      <c r="Q497" s="51"/>
      <c r="U497" s="58"/>
      <c r="V497" s="58"/>
      <c r="W497" s="58"/>
      <c r="X497" s="58"/>
      <c r="Y497" s="58"/>
      <c r="Z497" s="58"/>
      <c r="AA497" s="58"/>
    </row>
    <row r="498" spans="11:27">
      <c r="K498" s="51"/>
      <c r="P498" s="50"/>
      <c r="Q498" s="51"/>
      <c r="U498" s="58"/>
      <c r="V498" s="58"/>
      <c r="W498" s="58"/>
      <c r="X498" s="58"/>
      <c r="Y498" s="58"/>
      <c r="Z498" s="58"/>
      <c r="AA498" s="58"/>
    </row>
    <row r="499" spans="11:27">
      <c r="K499" s="51"/>
      <c r="P499" s="50"/>
      <c r="Q499" s="51"/>
      <c r="U499" s="58"/>
      <c r="V499" s="58"/>
      <c r="W499" s="58"/>
      <c r="X499" s="58"/>
      <c r="Y499" s="58"/>
      <c r="Z499" s="58"/>
      <c r="AA499" s="58"/>
    </row>
    <row r="500" spans="11:27">
      <c r="K500" s="51"/>
      <c r="P500" s="50"/>
      <c r="Q500" s="51"/>
      <c r="U500" s="58"/>
      <c r="V500" s="58"/>
      <c r="W500" s="58"/>
      <c r="X500" s="58"/>
      <c r="Y500" s="58"/>
      <c r="Z500" s="58"/>
      <c r="AA500" s="58"/>
    </row>
    <row r="501" spans="11:27">
      <c r="K501" s="51"/>
      <c r="P501" s="50"/>
      <c r="Q501" s="51"/>
      <c r="U501" s="58"/>
      <c r="V501" s="58"/>
      <c r="W501" s="58"/>
      <c r="X501" s="58"/>
      <c r="Y501" s="58"/>
      <c r="Z501" s="58"/>
      <c r="AA501" s="58"/>
    </row>
    <row r="502" spans="11:27">
      <c r="K502" s="51"/>
      <c r="P502" s="50"/>
      <c r="Q502" s="51"/>
      <c r="U502" s="58"/>
      <c r="V502" s="58"/>
      <c r="W502" s="58"/>
      <c r="X502" s="58"/>
      <c r="Y502" s="58"/>
      <c r="Z502" s="58"/>
      <c r="AA502" s="58"/>
    </row>
    <row r="503" spans="11:27">
      <c r="K503" s="51"/>
      <c r="P503" s="50"/>
      <c r="Q503" s="51"/>
      <c r="U503" s="58"/>
      <c r="V503" s="58"/>
      <c r="W503" s="58"/>
      <c r="X503" s="58"/>
      <c r="Y503" s="58"/>
      <c r="Z503" s="58"/>
      <c r="AA503" s="58"/>
    </row>
    <row r="504" spans="11:27">
      <c r="K504" s="51"/>
      <c r="P504" s="50"/>
      <c r="Q504" s="51"/>
      <c r="U504" s="58"/>
      <c r="V504" s="58"/>
      <c r="W504" s="58"/>
      <c r="X504" s="58"/>
      <c r="Y504" s="58"/>
      <c r="Z504" s="58"/>
      <c r="AA504" s="58"/>
    </row>
    <row r="505" spans="11:27">
      <c r="K505" s="51"/>
      <c r="P505" s="50"/>
      <c r="Q505" s="51"/>
      <c r="U505" s="58"/>
      <c r="V505" s="58"/>
      <c r="W505" s="58"/>
      <c r="X505" s="58"/>
      <c r="Y505" s="58"/>
      <c r="Z505" s="58"/>
      <c r="AA505" s="58"/>
    </row>
    <row r="506" spans="11:27">
      <c r="K506" s="51"/>
      <c r="P506" s="50"/>
      <c r="Q506" s="51"/>
      <c r="U506" s="58"/>
      <c r="V506" s="58"/>
      <c r="W506" s="58"/>
      <c r="X506" s="58"/>
      <c r="Y506" s="58"/>
      <c r="Z506" s="58"/>
      <c r="AA506" s="58"/>
    </row>
    <row r="507" spans="11:27">
      <c r="K507" s="51"/>
      <c r="P507" s="50"/>
      <c r="Q507" s="51"/>
      <c r="U507" s="58"/>
      <c r="V507" s="58"/>
      <c r="W507" s="58"/>
      <c r="X507" s="58"/>
      <c r="Y507" s="58"/>
      <c r="Z507" s="58"/>
      <c r="AA507" s="58"/>
    </row>
    <row r="508" spans="11:27">
      <c r="K508" s="51"/>
      <c r="P508" s="50"/>
      <c r="Q508" s="51"/>
      <c r="U508" s="58"/>
      <c r="V508" s="58"/>
      <c r="W508" s="58"/>
      <c r="X508" s="58"/>
      <c r="Y508" s="58"/>
      <c r="Z508" s="58"/>
      <c r="AA508" s="58"/>
    </row>
    <row r="509" spans="11:27">
      <c r="K509" s="51"/>
      <c r="P509" s="50"/>
      <c r="Q509" s="51"/>
      <c r="U509" s="58"/>
      <c r="V509" s="58"/>
      <c r="W509" s="58"/>
      <c r="X509" s="58"/>
      <c r="Y509" s="58"/>
      <c r="Z509" s="58"/>
      <c r="AA509" s="58"/>
    </row>
    <row r="510" spans="11:27">
      <c r="K510" s="51"/>
      <c r="P510" s="50"/>
      <c r="Q510" s="51"/>
      <c r="U510" s="58"/>
      <c r="V510" s="58"/>
      <c r="W510" s="58"/>
      <c r="X510" s="58"/>
      <c r="Y510" s="58"/>
      <c r="Z510" s="58"/>
      <c r="AA510" s="58"/>
    </row>
    <row r="511" spans="11:27">
      <c r="K511" s="51"/>
      <c r="P511" s="50"/>
      <c r="Q511" s="51"/>
      <c r="U511" s="58"/>
      <c r="V511" s="58"/>
      <c r="W511" s="58"/>
      <c r="X511" s="58"/>
      <c r="Y511" s="58"/>
      <c r="Z511" s="58"/>
      <c r="AA511" s="58"/>
    </row>
    <row r="512" spans="11:27">
      <c r="K512" s="51"/>
      <c r="P512" s="50"/>
      <c r="Q512" s="51"/>
      <c r="U512" s="58"/>
      <c r="V512" s="58"/>
      <c r="W512" s="58"/>
      <c r="X512" s="58"/>
      <c r="Y512" s="58"/>
      <c r="Z512" s="58"/>
      <c r="AA512" s="58"/>
    </row>
    <row r="513" spans="11:27">
      <c r="K513" s="51"/>
      <c r="P513" s="50"/>
      <c r="Q513" s="51"/>
      <c r="U513" s="58"/>
      <c r="V513" s="58"/>
      <c r="W513" s="58"/>
      <c r="X513" s="58"/>
      <c r="Y513" s="58"/>
      <c r="Z513" s="58"/>
      <c r="AA513" s="58"/>
    </row>
    <row r="514" spans="11:27">
      <c r="K514" s="51"/>
      <c r="P514" s="50"/>
      <c r="Q514" s="51"/>
      <c r="U514" s="58"/>
      <c r="V514" s="58"/>
      <c r="W514" s="58"/>
      <c r="X514" s="58"/>
      <c r="Y514" s="58"/>
      <c r="Z514" s="58"/>
      <c r="AA514" s="58"/>
    </row>
    <row r="515" spans="11:27">
      <c r="K515" s="51"/>
      <c r="P515" s="50"/>
      <c r="Q515" s="51"/>
      <c r="U515" s="58"/>
      <c r="V515" s="58"/>
      <c r="W515" s="58"/>
      <c r="X515" s="58"/>
      <c r="Y515" s="58"/>
      <c r="Z515" s="58"/>
      <c r="AA515" s="58"/>
    </row>
    <row r="516" spans="11:27">
      <c r="K516" s="51"/>
      <c r="P516" s="50"/>
      <c r="Q516" s="51"/>
      <c r="U516" s="58"/>
      <c r="V516" s="58"/>
      <c r="W516" s="58"/>
      <c r="X516" s="58"/>
      <c r="Y516" s="58"/>
      <c r="Z516" s="58"/>
      <c r="AA516" s="58"/>
    </row>
    <row r="517" spans="11:27">
      <c r="K517" s="51"/>
      <c r="P517" s="50"/>
      <c r="Q517" s="51"/>
      <c r="U517" s="58"/>
      <c r="V517" s="58"/>
      <c r="W517" s="58"/>
      <c r="X517" s="58"/>
      <c r="Y517" s="58"/>
      <c r="Z517" s="58"/>
      <c r="AA517" s="58"/>
    </row>
    <row r="518" spans="11:27">
      <c r="K518" s="51"/>
      <c r="P518" s="50"/>
      <c r="Q518" s="51"/>
      <c r="U518" s="58"/>
      <c r="V518" s="58"/>
      <c r="W518" s="58"/>
      <c r="X518" s="58"/>
      <c r="Y518" s="58"/>
      <c r="Z518" s="58"/>
      <c r="AA518" s="58"/>
    </row>
    <row r="519" spans="11:27">
      <c r="K519" s="51"/>
      <c r="P519" s="50"/>
      <c r="Q519" s="51"/>
      <c r="U519" s="58"/>
      <c r="V519" s="58"/>
      <c r="W519" s="58"/>
      <c r="X519" s="58"/>
      <c r="Y519" s="58"/>
      <c r="Z519" s="58"/>
      <c r="AA519" s="58"/>
    </row>
    <row r="520" spans="11:27">
      <c r="K520" s="51"/>
      <c r="P520" s="50"/>
      <c r="Q520" s="51"/>
      <c r="U520" s="58"/>
      <c r="V520" s="58"/>
      <c r="W520" s="58"/>
      <c r="X520" s="58"/>
      <c r="Y520" s="58"/>
      <c r="Z520" s="58"/>
      <c r="AA520" s="58"/>
    </row>
    <row r="521" spans="11:27">
      <c r="K521" s="51"/>
      <c r="P521" s="50"/>
      <c r="Q521" s="51"/>
      <c r="U521" s="58"/>
      <c r="V521" s="58"/>
      <c r="W521" s="58"/>
      <c r="X521" s="58"/>
      <c r="Y521" s="58"/>
      <c r="Z521" s="58"/>
      <c r="AA521" s="58"/>
    </row>
    <row r="522" spans="11:27">
      <c r="K522" s="51"/>
      <c r="P522" s="50"/>
      <c r="Q522" s="51"/>
      <c r="U522" s="58"/>
      <c r="V522" s="58"/>
      <c r="W522" s="58"/>
      <c r="X522" s="58"/>
      <c r="Y522" s="58"/>
      <c r="Z522" s="58"/>
      <c r="AA522" s="58"/>
    </row>
    <row r="523" spans="11:27">
      <c r="K523" s="51"/>
      <c r="P523" s="50"/>
      <c r="Q523" s="51"/>
      <c r="U523" s="58"/>
      <c r="V523" s="58"/>
      <c r="W523" s="58"/>
      <c r="X523" s="58"/>
      <c r="Y523" s="58"/>
      <c r="Z523" s="58"/>
      <c r="AA523" s="58"/>
    </row>
    <row r="524" spans="11:27">
      <c r="K524" s="51"/>
      <c r="P524" s="50"/>
      <c r="Q524" s="51"/>
      <c r="U524" s="58"/>
      <c r="V524" s="58"/>
      <c r="W524" s="58"/>
      <c r="X524" s="58"/>
      <c r="Y524" s="58"/>
      <c r="Z524" s="58"/>
      <c r="AA524" s="58"/>
    </row>
    <row r="525" spans="11:27">
      <c r="K525" s="51"/>
      <c r="P525" s="50"/>
      <c r="Q525" s="51"/>
      <c r="U525" s="58"/>
      <c r="V525" s="58"/>
      <c r="W525" s="58"/>
      <c r="X525" s="58"/>
      <c r="Y525" s="58"/>
      <c r="Z525" s="58"/>
      <c r="AA525" s="58"/>
    </row>
    <row r="526" spans="11:27">
      <c r="K526" s="51"/>
      <c r="P526" s="50"/>
      <c r="Q526" s="51"/>
      <c r="U526" s="58"/>
      <c r="V526" s="58"/>
      <c r="W526" s="58"/>
      <c r="X526" s="58"/>
      <c r="Y526" s="58"/>
      <c r="Z526" s="58"/>
      <c r="AA526" s="58"/>
    </row>
    <row r="527" spans="11:27">
      <c r="K527" s="51"/>
      <c r="P527" s="50"/>
      <c r="Q527" s="51"/>
      <c r="U527" s="58"/>
      <c r="V527" s="58"/>
      <c r="W527" s="58"/>
      <c r="X527" s="58"/>
      <c r="Y527" s="58"/>
      <c r="Z527" s="58"/>
      <c r="AA527" s="58"/>
    </row>
    <row r="528" spans="11:27">
      <c r="K528" s="51"/>
      <c r="P528" s="50"/>
      <c r="Q528" s="51"/>
      <c r="U528" s="58"/>
      <c r="V528" s="58"/>
      <c r="W528" s="58"/>
      <c r="X528" s="58"/>
      <c r="Y528" s="58"/>
      <c r="Z528" s="58"/>
      <c r="AA528" s="58"/>
    </row>
    <row r="529" spans="11:27">
      <c r="K529" s="51"/>
      <c r="P529" s="50"/>
      <c r="Q529" s="51"/>
      <c r="U529" s="58"/>
      <c r="V529" s="58"/>
      <c r="W529" s="58"/>
      <c r="X529" s="58"/>
      <c r="Y529" s="58"/>
      <c r="Z529" s="58"/>
      <c r="AA529" s="58"/>
    </row>
    <row r="530" spans="11:27">
      <c r="K530" s="51"/>
      <c r="P530" s="50"/>
      <c r="Q530" s="51"/>
      <c r="U530" s="58"/>
      <c r="V530" s="58"/>
      <c r="W530" s="58"/>
      <c r="X530" s="58"/>
      <c r="Y530" s="58"/>
      <c r="Z530" s="58"/>
      <c r="AA530" s="58"/>
    </row>
    <row r="531" spans="11:27">
      <c r="K531" s="51"/>
      <c r="P531" s="50"/>
      <c r="Q531" s="51"/>
      <c r="U531" s="58"/>
      <c r="V531" s="58"/>
      <c r="W531" s="58"/>
      <c r="X531" s="58"/>
      <c r="Y531" s="58"/>
      <c r="Z531" s="58"/>
      <c r="AA531" s="58"/>
    </row>
    <row r="532" spans="11:27">
      <c r="K532" s="51"/>
      <c r="P532" s="50"/>
      <c r="Q532" s="51"/>
      <c r="U532" s="58"/>
      <c r="V532" s="58"/>
      <c r="W532" s="58"/>
      <c r="X532" s="58"/>
      <c r="Y532" s="58"/>
      <c r="Z532" s="58"/>
      <c r="AA532" s="58"/>
    </row>
    <row r="533" spans="11:27">
      <c r="K533" s="51"/>
      <c r="P533" s="50"/>
      <c r="Q533" s="51"/>
      <c r="U533" s="58"/>
      <c r="V533" s="58"/>
      <c r="W533" s="58"/>
      <c r="X533" s="58"/>
      <c r="Y533" s="58"/>
      <c r="Z533" s="58"/>
      <c r="AA533" s="58"/>
    </row>
    <row r="534" spans="11:27">
      <c r="K534" s="51"/>
      <c r="P534" s="50"/>
      <c r="Q534" s="51"/>
      <c r="U534" s="58"/>
      <c r="V534" s="58"/>
      <c r="W534" s="58"/>
      <c r="X534" s="58"/>
      <c r="Y534" s="58"/>
      <c r="Z534" s="58"/>
      <c r="AA534" s="58"/>
    </row>
    <row r="535" spans="11:27">
      <c r="K535" s="51"/>
      <c r="P535" s="50"/>
      <c r="Q535" s="51"/>
      <c r="U535" s="58"/>
      <c r="V535" s="58"/>
      <c r="W535" s="58"/>
      <c r="X535" s="58"/>
      <c r="Y535" s="58"/>
      <c r="Z535" s="58"/>
      <c r="AA535" s="58"/>
    </row>
    <row r="536" spans="11:27">
      <c r="K536" s="51"/>
      <c r="P536" s="50"/>
      <c r="Q536" s="51"/>
      <c r="U536" s="58"/>
      <c r="V536" s="58"/>
      <c r="W536" s="58"/>
      <c r="X536" s="58"/>
      <c r="Y536" s="58"/>
      <c r="Z536" s="58"/>
      <c r="AA536" s="58"/>
    </row>
    <row r="537" spans="11:27">
      <c r="K537" s="51"/>
      <c r="P537" s="50"/>
      <c r="Q537" s="51"/>
      <c r="U537" s="58"/>
      <c r="V537" s="58"/>
      <c r="W537" s="58"/>
      <c r="X537" s="58"/>
      <c r="Y537" s="58"/>
      <c r="Z537" s="58"/>
      <c r="AA537" s="58"/>
    </row>
    <row r="538" spans="11:27">
      <c r="K538" s="51"/>
      <c r="P538" s="50"/>
      <c r="Q538" s="51"/>
      <c r="U538" s="58"/>
      <c r="V538" s="58"/>
      <c r="W538" s="58"/>
      <c r="X538" s="58"/>
      <c r="Y538" s="58"/>
      <c r="Z538" s="58"/>
      <c r="AA538" s="58"/>
    </row>
    <row r="539" spans="11:27">
      <c r="K539" s="51"/>
      <c r="P539" s="50"/>
      <c r="Q539" s="51"/>
      <c r="U539" s="58"/>
      <c r="V539" s="58"/>
      <c r="W539" s="58"/>
      <c r="X539" s="58"/>
      <c r="Y539" s="58"/>
      <c r="Z539" s="58"/>
      <c r="AA539" s="58"/>
    </row>
    <row r="540" spans="11:27">
      <c r="K540" s="51"/>
      <c r="P540" s="50"/>
      <c r="Q540" s="51"/>
      <c r="U540" s="58"/>
      <c r="V540" s="58"/>
      <c r="W540" s="58"/>
      <c r="X540" s="58"/>
      <c r="Y540" s="58"/>
      <c r="Z540" s="58"/>
      <c r="AA540" s="58"/>
    </row>
    <row r="541" spans="11:27">
      <c r="K541" s="51"/>
      <c r="P541" s="50"/>
      <c r="Q541" s="51"/>
      <c r="U541" s="58"/>
      <c r="V541" s="58"/>
      <c r="W541" s="58"/>
      <c r="X541" s="58"/>
      <c r="Y541" s="58"/>
      <c r="Z541" s="58"/>
      <c r="AA541" s="58"/>
    </row>
    <row r="542" spans="11:27">
      <c r="K542" s="51"/>
      <c r="P542" s="50"/>
      <c r="Q542" s="51"/>
      <c r="U542" s="58"/>
      <c r="V542" s="58"/>
      <c r="W542" s="58"/>
      <c r="X542" s="58"/>
      <c r="Y542" s="58"/>
      <c r="Z542" s="58"/>
      <c r="AA542" s="58"/>
    </row>
    <row r="543" spans="11:27">
      <c r="K543" s="51"/>
      <c r="P543" s="50"/>
      <c r="Q543" s="51"/>
      <c r="U543" s="58"/>
      <c r="V543" s="58"/>
      <c r="W543" s="58"/>
      <c r="X543" s="58"/>
      <c r="Y543" s="58"/>
      <c r="Z543" s="58"/>
      <c r="AA543" s="58"/>
    </row>
    <row r="544" spans="11:27">
      <c r="K544" s="51"/>
      <c r="P544" s="50"/>
      <c r="Q544" s="51"/>
      <c r="U544" s="58"/>
      <c r="V544" s="58"/>
      <c r="W544" s="58"/>
      <c r="X544" s="58"/>
      <c r="Y544" s="58"/>
      <c r="Z544" s="58"/>
      <c r="AA544" s="58"/>
    </row>
    <row r="545" spans="11:27">
      <c r="K545" s="51"/>
      <c r="P545" s="50"/>
      <c r="Q545" s="51"/>
      <c r="U545" s="58"/>
      <c r="V545" s="58"/>
      <c r="W545" s="58"/>
      <c r="X545" s="58"/>
      <c r="Y545" s="58"/>
      <c r="Z545" s="58"/>
      <c r="AA545" s="58"/>
    </row>
    <row r="546" spans="11:27">
      <c r="K546" s="51"/>
      <c r="P546" s="50"/>
      <c r="Q546" s="51"/>
      <c r="U546" s="58"/>
      <c r="V546" s="58"/>
      <c r="W546" s="58"/>
      <c r="X546" s="58"/>
      <c r="Y546" s="58"/>
      <c r="Z546" s="58"/>
      <c r="AA546" s="58"/>
    </row>
    <row r="547" spans="11:27">
      <c r="K547" s="51"/>
      <c r="P547" s="50"/>
      <c r="Q547" s="51"/>
      <c r="U547" s="58"/>
      <c r="V547" s="58"/>
      <c r="W547" s="58"/>
      <c r="X547" s="58"/>
      <c r="Y547" s="58"/>
      <c r="Z547" s="58"/>
      <c r="AA547" s="58"/>
    </row>
    <row r="548" spans="11:27">
      <c r="K548" s="51"/>
      <c r="P548" s="50"/>
      <c r="Q548" s="51"/>
      <c r="U548" s="58"/>
      <c r="V548" s="58"/>
      <c r="W548" s="58"/>
      <c r="X548" s="58"/>
      <c r="Y548" s="58"/>
      <c r="Z548" s="58"/>
      <c r="AA548" s="58"/>
    </row>
    <row r="549" spans="11:27">
      <c r="K549" s="51"/>
      <c r="P549" s="50"/>
      <c r="Q549" s="51"/>
      <c r="U549" s="58"/>
      <c r="V549" s="58"/>
      <c r="W549" s="58"/>
      <c r="X549" s="58"/>
      <c r="Y549" s="58"/>
      <c r="Z549" s="58"/>
      <c r="AA549" s="58"/>
    </row>
    <row r="550" spans="11:27">
      <c r="K550" s="51"/>
      <c r="P550" s="50"/>
      <c r="Q550" s="51"/>
      <c r="U550" s="58"/>
      <c r="V550" s="58"/>
      <c r="W550" s="58"/>
      <c r="X550" s="58"/>
      <c r="Y550" s="58"/>
      <c r="Z550" s="58"/>
      <c r="AA550" s="58"/>
    </row>
    <row r="551" spans="11:27">
      <c r="K551" s="51"/>
      <c r="P551" s="50"/>
      <c r="Q551" s="51"/>
      <c r="U551" s="58"/>
      <c r="V551" s="58"/>
      <c r="W551" s="58"/>
      <c r="X551" s="58"/>
      <c r="Y551" s="58"/>
      <c r="Z551" s="58"/>
      <c r="AA551" s="58"/>
    </row>
    <row r="552" spans="11:27">
      <c r="K552" s="51"/>
      <c r="P552" s="50"/>
      <c r="Q552" s="51"/>
      <c r="U552" s="58"/>
      <c r="V552" s="58"/>
      <c r="W552" s="58"/>
      <c r="X552" s="58"/>
      <c r="Y552" s="58"/>
      <c r="Z552" s="58"/>
      <c r="AA552" s="58"/>
    </row>
    <row r="553" spans="11:27">
      <c r="K553" s="51"/>
      <c r="P553" s="50"/>
      <c r="Q553" s="51"/>
      <c r="U553" s="58"/>
      <c r="V553" s="58"/>
      <c r="W553" s="58"/>
      <c r="X553" s="58"/>
      <c r="Y553" s="58"/>
      <c r="Z553" s="58"/>
      <c r="AA553" s="58"/>
    </row>
    <row r="554" spans="11:27">
      <c r="K554" s="51"/>
      <c r="P554" s="50"/>
      <c r="Q554" s="51"/>
      <c r="U554" s="58"/>
      <c r="V554" s="58"/>
      <c r="W554" s="58"/>
      <c r="X554" s="58"/>
      <c r="Y554" s="58"/>
      <c r="Z554" s="58"/>
      <c r="AA554" s="58"/>
    </row>
    <row r="555" spans="11:27">
      <c r="K555" s="51"/>
      <c r="P555" s="50"/>
      <c r="Q555" s="51"/>
      <c r="U555" s="58"/>
      <c r="V555" s="58"/>
      <c r="W555" s="58"/>
      <c r="X555" s="58"/>
      <c r="Y555" s="58"/>
      <c r="Z555" s="58"/>
      <c r="AA555" s="58"/>
    </row>
    <row r="556" spans="11:27">
      <c r="K556" s="51"/>
      <c r="P556" s="50"/>
      <c r="Q556" s="51"/>
      <c r="U556" s="58"/>
      <c r="V556" s="58"/>
      <c r="W556" s="58"/>
      <c r="X556" s="58"/>
      <c r="Y556" s="58"/>
      <c r="Z556" s="58"/>
      <c r="AA556" s="58"/>
    </row>
    <row r="557" spans="11:27">
      <c r="K557" s="51"/>
      <c r="P557" s="50"/>
      <c r="Q557" s="51"/>
      <c r="U557" s="58"/>
      <c r="V557" s="58"/>
      <c r="W557" s="58"/>
      <c r="X557" s="58"/>
      <c r="Y557" s="58"/>
      <c r="Z557" s="58"/>
      <c r="AA557" s="58"/>
    </row>
    <row r="558" spans="11:27">
      <c r="K558" s="51"/>
      <c r="P558" s="50"/>
      <c r="Q558" s="51"/>
      <c r="U558" s="58"/>
      <c r="V558" s="58"/>
      <c r="W558" s="58"/>
      <c r="X558" s="58"/>
      <c r="Y558" s="58"/>
      <c r="Z558" s="58"/>
      <c r="AA558" s="58"/>
    </row>
    <row r="559" spans="11:27">
      <c r="K559" s="51"/>
      <c r="P559" s="50"/>
      <c r="Q559" s="51"/>
      <c r="U559" s="58"/>
      <c r="V559" s="58"/>
      <c r="W559" s="58"/>
      <c r="X559" s="58"/>
      <c r="Y559" s="58"/>
      <c r="Z559" s="58"/>
      <c r="AA559" s="58"/>
    </row>
    <row r="560" spans="11:27">
      <c r="K560" s="51"/>
      <c r="P560" s="50"/>
      <c r="Q560" s="51"/>
      <c r="U560" s="58"/>
      <c r="V560" s="58"/>
      <c r="W560" s="58"/>
      <c r="X560" s="58"/>
      <c r="Y560" s="58"/>
      <c r="Z560" s="58"/>
      <c r="AA560" s="58"/>
    </row>
    <row r="561" spans="11:27">
      <c r="K561" s="51"/>
      <c r="P561" s="50"/>
      <c r="Q561" s="51"/>
      <c r="U561" s="58"/>
      <c r="V561" s="58"/>
      <c r="W561" s="58"/>
      <c r="X561" s="58"/>
      <c r="Y561" s="58"/>
      <c r="Z561" s="58"/>
      <c r="AA561" s="58"/>
    </row>
    <row r="562" spans="11:27">
      <c r="K562" s="51"/>
      <c r="P562" s="50"/>
      <c r="Q562" s="51"/>
      <c r="U562" s="58"/>
      <c r="V562" s="58"/>
      <c r="W562" s="58"/>
      <c r="X562" s="58"/>
      <c r="Y562" s="58"/>
      <c r="Z562" s="58"/>
      <c r="AA562" s="58"/>
    </row>
    <row r="563" spans="11:27">
      <c r="K563" s="51"/>
      <c r="P563" s="50"/>
      <c r="Q563" s="51"/>
      <c r="U563" s="58"/>
      <c r="V563" s="58"/>
      <c r="W563" s="58"/>
      <c r="X563" s="58"/>
      <c r="Y563" s="58"/>
      <c r="Z563" s="58"/>
      <c r="AA563" s="58"/>
    </row>
    <row r="564" spans="11:27">
      <c r="K564" s="51"/>
      <c r="P564" s="50"/>
      <c r="Q564" s="51"/>
      <c r="U564" s="58"/>
      <c r="V564" s="58"/>
      <c r="W564" s="58"/>
      <c r="X564" s="58"/>
      <c r="Y564" s="58"/>
      <c r="Z564" s="58"/>
      <c r="AA564" s="58"/>
    </row>
    <row r="565" spans="11:27">
      <c r="K565" s="51"/>
      <c r="P565" s="50"/>
      <c r="Q565" s="51"/>
      <c r="U565" s="58"/>
      <c r="V565" s="58"/>
      <c r="W565" s="58"/>
      <c r="X565" s="58"/>
      <c r="Y565" s="58"/>
      <c r="Z565" s="58"/>
      <c r="AA565" s="58"/>
    </row>
    <row r="566" spans="11:27">
      <c r="K566" s="51"/>
      <c r="P566" s="50"/>
      <c r="Q566" s="51"/>
      <c r="U566" s="58"/>
      <c r="V566" s="58"/>
      <c r="W566" s="58"/>
      <c r="X566" s="58"/>
      <c r="Y566" s="58"/>
      <c r="Z566" s="58"/>
      <c r="AA566" s="58"/>
    </row>
    <row r="567" spans="11:27">
      <c r="K567" s="51"/>
      <c r="P567" s="50"/>
      <c r="Q567" s="51"/>
      <c r="U567" s="58"/>
      <c r="V567" s="58"/>
      <c r="W567" s="58"/>
      <c r="X567" s="58"/>
      <c r="Y567" s="58"/>
      <c r="Z567" s="58"/>
      <c r="AA567" s="58"/>
    </row>
    <row r="568" spans="11:27">
      <c r="K568" s="51"/>
      <c r="P568" s="50"/>
      <c r="Q568" s="51"/>
      <c r="U568" s="58"/>
      <c r="V568" s="58"/>
      <c r="W568" s="58"/>
      <c r="X568" s="58"/>
      <c r="Y568" s="58"/>
      <c r="Z568" s="58"/>
      <c r="AA568" s="58"/>
    </row>
    <row r="569" spans="11:27">
      <c r="K569" s="51"/>
      <c r="P569" s="50"/>
      <c r="Q569" s="51"/>
      <c r="U569" s="58"/>
      <c r="V569" s="58"/>
      <c r="W569" s="58"/>
      <c r="X569" s="58"/>
      <c r="Y569" s="58"/>
      <c r="Z569" s="58"/>
      <c r="AA569" s="58"/>
    </row>
    <row r="570" spans="11:27">
      <c r="K570" s="51"/>
      <c r="P570" s="50"/>
      <c r="Q570" s="51"/>
      <c r="U570" s="58"/>
      <c r="V570" s="58"/>
      <c r="W570" s="58"/>
      <c r="X570" s="58"/>
      <c r="Y570" s="58"/>
      <c r="Z570" s="58"/>
      <c r="AA570" s="58"/>
    </row>
    <row r="571" spans="11:27">
      <c r="K571" s="51"/>
      <c r="P571" s="50"/>
      <c r="Q571" s="51"/>
      <c r="U571" s="58"/>
      <c r="V571" s="58"/>
      <c r="W571" s="58"/>
      <c r="X571" s="58"/>
      <c r="Y571" s="58"/>
      <c r="Z571" s="58"/>
      <c r="AA571" s="58"/>
    </row>
    <row r="572" spans="11:27">
      <c r="K572" s="51"/>
      <c r="P572" s="50"/>
      <c r="Q572" s="51"/>
      <c r="U572" s="58"/>
      <c r="V572" s="58"/>
      <c r="W572" s="58"/>
      <c r="X572" s="58"/>
      <c r="Y572" s="58"/>
      <c r="Z572" s="58"/>
      <c r="AA572" s="58"/>
    </row>
    <row r="573" spans="11:27">
      <c r="K573" s="51"/>
      <c r="P573" s="50"/>
      <c r="Q573" s="51"/>
      <c r="U573" s="58"/>
      <c r="V573" s="58"/>
      <c r="W573" s="58"/>
      <c r="X573" s="58"/>
      <c r="Y573" s="58"/>
      <c r="Z573" s="58"/>
      <c r="AA573" s="58"/>
    </row>
    <row r="574" spans="11:27">
      <c r="K574" s="51"/>
      <c r="P574" s="50"/>
      <c r="Q574" s="51"/>
      <c r="U574" s="58"/>
      <c r="V574" s="58"/>
      <c r="W574" s="58"/>
      <c r="X574" s="58"/>
      <c r="Y574" s="58"/>
      <c r="Z574" s="58"/>
      <c r="AA574" s="58"/>
    </row>
    <row r="575" spans="11:27">
      <c r="K575" s="51"/>
      <c r="P575" s="50"/>
      <c r="Q575" s="51"/>
      <c r="U575" s="58"/>
      <c r="V575" s="58"/>
      <c r="W575" s="58"/>
      <c r="X575" s="58"/>
      <c r="Y575" s="58"/>
      <c r="Z575" s="58"/>
      <c r="AA575" s="58"/>
    </row>
    <row r="576" spans="11:27">
      <c r="K576" s="51"/>
      <c r="P576" s="50"/>
      <c r="Q576" s="51"/>
      <c r="U576" s="58"/>
      <c r="V576" s="58"/>
      <c r="W576" s="58"/>
      <c r="X576" s="58"/>
      <c r="Y576" s="58"/>
      <c r="Z576" s="58"/>
      <c r="AA576" s="58"/>
    </row>
    <row r="577" spans="11:27">
      <c r="K577" s="51"/>
      <c r="P577" s="50"/>
      <c r="Q577" s="51"/>
      <c r="U577" s="58"/>
      <c r="V577" s="58"/>
      <c r="W577" s="58"/>
      <c r="X577" s="58"/>
      <c r="Y577" s="58"/>
      <c r="Z577" s="58"/>
      <c r="AA577" s="58"/>
    </row>
    <row r="578" spans="11:27">
      <c r="K578" s="51"/>
      <c r="P578" s="50"/>
      <c r="Q578" s="51"/>
      <c r="U578" s="58"/>
      <c r="V578" s="58"/>
      <c r="W578" s="58"/>
      <c r="X578" s="58"/>
      <c r="Y578" s="58"/>
      <c r="Z578" s="58"/>
      <c r="AA578" s="58"/>
    </row>
    <row r="579" spans="11:27">
      <c r="K579" s="51"/>
      <c r="P579" s="50"/>
      <c r="Q579" s="51"/>
      <c r="U579" s="58"/>
      <c r="V579" s="58"/>
      <c r="W579" s="58"/>
      <c r="X579" s="58"/>
      <c r="Y579" s="58"/>
      <c r="Z579" s="58"/>
      <c r="AA579" s="58"/>
    </row>
    <row r="580" spans="11:27">
      <c r="K580" s="51"/>
      <c r="P580" s="50"/>
      <c r="Q580" s="51"/>
      <c r="U580" s="58"/>
      <c r="V580" s="58"/>
      <c r="W580" s="58"/>
      <c r="X580" s="58"/>
      <c r="Y580" s="58"/>
      <c r="Z580" s="58"/>
      <c r="AA580" s="58"/>
    </row>
    <row r="581" spans="11:27">
      <c r="K581" s="51"/>
      <c r="P581" s="50"/>
      <c r="Q581" s="51"/>
      <c r="U581" s="58"/>
      <c r="V581" s="58"/>
      <c r="W581" s="58"/>
      <c r="X581" s="58"/>
      <c r="Y581" s="58"/>
      <c r="Z581" s="58"/>
      <c r="AA581" s="58"/>
    </row>
    <row r="582" spans="11:27">
      <c r="K582" s="51"/>
      <c r="P582" s="50"/>
      <c r="Q582" s="51"/>
      <c r="U582" s="58"/>
      <c r="V582" s="58"/>
      <c r="W582" s="58"/>
      <c r="X582" s="58"/>
      <c r="Y582" s="58"/>
      <c r="Z582" s="58"/>
      <c r="AA582" s="58"/>
    </row>
    <row r="583" spans="11:27">
      <c r="K583" s="51"/>
      <c r="P583" s="50"/>
      <c r="Q583" s="51"/>
      <c r="U583" s="58"/>
      <c r="V583" s="58"/>
      <c r="W583" s="58"/>
      <c r="X583" s="58"/>
      <c r="Y583" s="58"/>
      <c r="Z583" s="58"/>
      <c r="AA583" s="58"/>
    </row>
    <row r="584" spans="11:27">
      <c r="K584" s="51"/>
      <c r="P584" s="50"/>
      <c r="Q584" s="51"/>
      <c r="U584" s="58"/>
      <c r="V584" s="58"/>
      <c r="W584" s="58"/>
      <c r="X584" s="58"/>
      <c r="Y584" s="58"/>
      <c r="Z584" s="58"/>
      <c r="AA584" s="58"/>
    </row>
    <row r="585" spans="11:27">
      <c r="K585" s="51"/>
      <c r="P585" s="50"/>
      <c r="Q585" s="51"/>
      <c r="U585" s="58"/>
      <c r="V585" s="58"/>
      <c r="W585" s="58"/>
      <c r="X585" s="58"/>
      <c r="Y585" s="58"/>
      <c r="Z585" s="58"/>
      <c r="AA585" s="58"/>
    </row>
    <row r="586" spans="11:27">
      <c r="K586" s="51"/>
      <c r="P586" s="50"/>
      <c r="Q586" s="51"/>
      <c r="U586" s="58"/>
      <c r="V586" s="58"/>
      <c r="W586" s="58"/>
      <c r="X586" s="58"/>
      <c r="Y586" s="58"/>
      <c r="Z586" s="58"/>
      <c r="AA586" s="58"/>
    </row>
    <row r="587" spans="11:27">
      <c r="K587" s="51"/>
      <c r="P587" s="50"/>
      <c r="Q587" s="51"/>
      <c r="U587" s="58"/>
      <c r="V587" s="58"/>
      <c r="W587" s="58"/>
      <c r="X587" s="58"/>
      <c r="Y587" s="58"/>
      <c r="Z587" s="58"/>
      <c r="AA587" s="58"/>
    </row>
    <row r="588" spans="11:27">
      <c r="K588" s="51"/>
      <c r="P588" s="50"/>
      <c r="Q588" s="51"/>
      <c r="U588" s="58"/>
      <c r="V588" s="58"/>
      <c r="W588" s="58"/>
      <c r="X588" s="58"/>
      <c r="Y588" s="58"/>
      <c r="Z588" s="58"/>
      <c r="AA588" s="58"/>
    </row>
    <row r="589" spans="11:27">
      <c r="K589" s="51"/>
      <c r="P589" s="50"/>
      <c r="Q589" s="51"/>
      <c r="U589" s="58"/>
      <c r="V589" s="58"/>
      <c r="W589" s="58"/>
      <c r="X589" s="58"/>
      <c r="Y589" s="58"/>
      <c r="Z589" s="58"/>
      <c r="AA589" s="58"/>
    </row>
    <row r="590" spans="11:27">
      <c r="K590" s="51"/>
      <c r="P590" s="50"/>
      <c r="Q590" s="51"/>
      <c r="U590" s="58"/>
      <c r="V590" s="58"/>
      <c r="W590" s="58"/>
      <c r="X590" s="58"/>
      <c r="Y590" s="58"/>
      <c r="Z590" s="58"/>
      <c r="AA590" s="58"/>
    </row>
    <row r="591" spans="11:27">
      <c r="K591" s="51"/>
      <c r="P591" s="50"/>
      <c r="Q591" s="51"/>
      <c r="U591" s="58"/>
      <c r="V591" s="58"/>
      <c r="W591" s="58"/>
      <c r="X591" s="58"/>
      <c r="Y591" s="58"/>
      <c r="Z591" s="58"/>
      <c r="AA591" s="58"/>
    </row>
    <row r="592" spans="11:27">
      <c r="K592" s="51"/>
      <c r="P592" s="50"/>
      <c r="Q592" s="51"/>
      <c r="U592" s="58"/>
      <c r="V592" s="58"/>
      <c r="W592" s="58"/>
      <c r="X592" s="58"/>
      <c r="Y592" s="58"/>
      <c r="Z592" s="58"/>
      <c r="AA592" s="58"/>
    </row>
    <row r="593" spans="11:27">
      <c r="K593" s="51"/>
      <c r="P593" s="50"/>
      <c r="Q593" s="51"/>
      <c r="U593" s="58"/>
      <c r="V593" s="58"/>
      <c r="W593" s="58"/>
      <c r="X593" s="58"/>
      <c r="Y593" s="58"/>
      <c r="Z593" s="58"/>
      <c r="AA593" s="58"/>
    </row>
    <row r="594" spans="11:27">
      <c r="K594" s="51"/>
      <c r="P594" s="50"/>
      <c r="Q594" s="51"/>
      <c r="U594" s="58"/>
      <c r="V594" s="58"/>
      <c r="W594" s="58"/>
      <c r="X594" s="58"/>
      <c r="Y594" s="58"/>
      <c r="Z594" s="58"/>
      <c r="AA594" s="58"/>
    </row>
    <row r="595" spans="11:27">
      <c r="K595" s="51"/>
      <c r="P595" s="50"/>
      <c r="Q595" s="51"/>
      <c r="U595" s="58"/>
      <c r="V595" s="58"/>
      <c r="W595" s="58"/>
      <c r="X595" s="58"/>
      <c r="Y595" s="58"/>
      <c r="Z595" s="58"/>
      <c r="AA595" s="58"/>
    </row>
    <row r="596" spans="11:27">
      <c r="K596" s="51"/>
      <c r="P596" s="50"/>
      <c r="Q596" s="51"/>
      <c r="U596" s="58"/>
      <c r="V596" s="58"/>
      <c r="W596" s="58"/>
      <c r="X596" s="58"/>
      <c r="Y596" s="58"/>
      <c r="Z596" s="58"/>
      <c r="AA596" s="58"/>
    </row>
    <row r="597" spans="11:27">
      <c r="K597" s="51"/>
      <c r="P597" s="50"/>
      <c r="Q597" s="51"/>
      <c r="U597" s="58"/>
      <c r="V597" s="58"/>
      <c r="W597" s="58"/>
      <c r="X597" s="58"/>
      <c r="Y597" s="58"/>
      <c r="Z597" s="58"/>
      <c r="AA597" s="58"/>
    </row>
    <row r="598" spans="11:27">
      <c r="K598" s="51"/>
      <c r="P598" s="50"/>
      <c r="Q598" s="51"/>
      <c r="U598" s="58"/>
      <c r="V598" s="58"/>
      <c r="W598" s="58"/>
      <c r="X598" s="58"/>
      <c r="Y598" s="58"/>
      <c r="Z598" s="58"/>
      <c r="AA598" s="58"/>
    </row>
    <row r="599" spans="11:27">
      <c r="K599" s="51"/>
      <c r="P599" s="50"/>
      <c r="Q599" s="51"/>
      <c r="U599" s="58"/>
      <c r="V599" s="58"/>
      <c r="W599" s="58"/>
      <c r="X599" s="58"/>
      <c r="Y599" s="58"/>
      <c r="Z599" s="58"/>
      <c r="AA599" s="58"/>
    </row>
    <row r="600" spans="11:27">
      <c r="K600" s="51"/>
      <c r="P600" s="50"/>
      <c r="Q600" s="51"/>
      <c r="U600" s="58"/>
      <c r="V600" s="58"/>
      <c r="W600" s="58"/>
      <c r="X600" s="58"/>
      <c r="Y600" s="58"/>
      <c r="Z600" s="58"/>
      <c r="AA600" s="58"/>
    </row>
    <row r="601" spans="11:27">
      <c r="K601" s="51"/>
      <c r="P601" s="50"/>
      <c r="Q601" s="51"/>
      <c r="U601" s="58"/>
      <c r="V601" s="58"/>
      <c r="W601" s="58"/>
      <c r="X601" s="58"/>
      <c r="Y601" s="58"/>
      <c r="Z601" s="58"/>
      <c r="AA601" s="58"/>
    </row>
    <row r="602" spans="11:27">
      <c r="K602" s="51"/>
      <c r="P602" s="50"/>
      <c r="Q602" s="51"/>
      <c r="U602" s="58"/>
      <c r="V602" s="58"/>
      <c r="W602" s="58"/>
      <c r="X602" s="58"/>
      <c r="Y602" s="58"/>
      <c r="Z602" s="58"/>
      <c r="AA602" s="58"/>
    </row>
    <row r="603" spans="11:27">
      <c r="K603" s="51"/>
      <c r="P603" s="50"/>
      <c r="Q603" s="51"/>
      <c r="U603" s="58"/>
      <c r="V603" s="58"/>
      <c r="W603" s="58"/>
      <c r="X603" s="58"/>
      <c r="Y603" s="58"/>
      <c r="Z603" s="58"/>
      <c r="AA603" s="58"/>
    </row>
    <row r="604" spans="11:27">
      <c r="K604" s="51"/>
      <c r="P604" s="50"/>
      <c r="Q604" s="51"/>
      <c r="U604" s="58"/>
      <c r="V604" s="58"/>
      <c r="W604" s="58"/>
      <c r="X604" s="58"/>
      <c r="Y604" s="58"/>
      <c r="Z604" s="58"/>
      <c r="AA604" s="58"/>
    </row>
    <row r="605" spans="11:27">
      <c r="K605" s="51"/>
      <c r="P605" s="50"/>
      <c r="Q605" s="51"/>
      <c r="U605" s="58"/>
      <c r="V605" s="58"/>
      <c r="W605" s="58"/>
      <c r="X605" s="58"/>
      <c r="Y605" s="58"/>
      <c r="Z605" s="58"/>
      <c r="AA605" s="58"/>
    </row>
    <row r="606" spans="11:27">
      <c r="K606" s="51"/>
      <c r="P606" s="50"/>
      <c r="Q606" s="51"/>
      <c r="U606" s="58"/>
      <c r="V606" s="58"/>
      <c r="W606" s="58"/>
      <c r="X606" s="58"/>
      <c r="Y606" s="58"/>
      <c r="Z606" s="58"/>
      <c r="AA606" s="58"/>
    </row>
    <row r="607" spans="11:27">
      <c r="K607" s="51"/>
      <c r="P607" s="50"/>
      <c r="Q607" s="51"/>
      <c r="U607" s="58"/>
      <c r="V607" s="58"/>
      <c r="W607" s="58"/>
      <c r="X607" s="58"/>
      <c r="Y607" s="58"/>
      <c r="Z607" s="58"/>
      <c r="AA607" s="58"/>
    </row>
    <row r="608" spans="11:27">
      <c r="K608" s="51"/>
      <c r="P608" s="50"/>
      <c r="Q608" s="51"/>
      <c r="U608" s="58"/>
      <c r="V608" s="58"/>
      <c r="W608" s="58"/>
      <c r="X608" s="58"/>
      <c r="Y608" s="58"/>
      <c r="Z608" s="58"/>
      <c r="AA608" s="58"/>
    </row>
    <row r="609" spans="11:27">
      <c r="K609" s="51"/>
      <c r="P609" s="50"/>
      <c r="Q609" s="51"/>
      <c r="U609" s="58"/>
      <c r="V609" s="58"/>
      <c r="W609" s="58"/>
      <c r="X609" s="58"/>
      <c r="Y609" s="58"/>
      <c r="Z609" s="58"/>
      <c r="AA609" s="58"/>
    </row>
    <row r="610" spans="11:27">
      <c r="K610" s="51"/>
      <c r="P610" s="50"/>
      <c r="Q610" s="51"/>
      <c r="U610" s="58"/>
      <c r="V610" s="58"/>
      <c r="W610" s="58"/>
      <c r="X610" s="58"/>
      <c r="Y610" s="58"/>
      <c r="Z610" s="58"/>
      <c r="AA610" s="58"/>
    </row>
    <row r="611" spans="11:27">
      <c r="K611" s="51"/>
      <c r="P611" s="50"/>
      <c r="Q611" s="51"/>
      <c r="U611" s="58"/>
      <c r="V611" s="58"/>
      <c r="W611" s="58"/>
      <c r="X611" s="58"/>
      <c r="Y611" s="58"/>
      <c r="Z611" s="58"/>
      <c r="AA611" s="58"/>
    </row>
    <row r="612" spans="11:27">
      <c r="K612" s="51"/>
      <c r="P612" s="50"/>
      <c r="Q612" s="51"/>
      <c r="U612" s="58"/>
      <c r="V612" s="58"/>
      <c r="W612" s="58"/>
      <c r="X612" s="58"/>
      <c r="Y612" s="58"/>
      <c r="Z612" s="58"/>
      <c r="AA612" s="58"/>
    </row>
    <row r="613" spans="11:27">
      <c r="K613" s="51"/>
      <c r="P613" s="50"/>
      <c r="Q613" s="51"/>
      <c r="U613" s="58"/>
      <c r="V613" s="58"/>
      <c r="W613" s="58"/>
      <c r="X613" s="58"/>
      <c r="Y613" s="58"/>
      <c r="Z613" s="58"/>
      <c r="AA613" s="58"/>
    </row>
    <row r="614" spans="11:27">
      <c r="K614" s="51"/>
      <c r="P614" s="50"/>
      <c r="Q614" s="51"/>
      <c r="U614" s="58"/>
      <c r="V614" s="58"/>
      <c r="W614" s="58"/>
      <c r="X614" s="58"/>
      <c r="Y614" s="58"/>
      <c r="Z614" s="58"/>
      <c r="AA614" s="58"/>
    </row>
    <row r="615" spans="11:27">
      <c r="K615" s="51"/>
      <c r="P615" s="50"/>
      <c r="Q615" s="51"/>
      <c r="U615" s="58"/>
      <c r="V615" s="58"/>
      <c r="W615" s="58"/>
      <c r="X615" s="58"/>
      <c r="Y615" s="58"/>
      <c r="Z615" s="58"/>
      <c r="AA615" s="58"/>
    </row>
    <row r="616" spans="11:27">
      <c r="K616" s="51"/>
      <c r="P616" s="50"/>
      <c r="Q616" s="51"/>
      <c r="U616" s="58"/>
      <c r="V616" s="58"/>
      <c r="W616" s="58"/>
      <c r="X616" s="58"/>
      <c r="Y616" s="58"/>
      <c r="Z616" s="58"/>
      <c r="AA616" s="58"/>
    </row>
    <row r="617" spans="11:27">
      <c r="K617" s="51"/>
      <c r="P617" s="50"/>
      <c r="Q617" s="51"/>
      <c r="U617" s="58"/>
      <c r="V617" s="58"/>
      <c r="W617" s="58"/>
      <c r="X617" s="58"/>
      <c r="Y617" s="58"/>
      <c r="Z617" s="58"/>
      <c r="AA617" s="58"/>
    </row>
    <row r="618" spans="11:27">
      <c r="K618" s="51"/>
      <c r="P618" s="50"/>
      <c r="Q618" s="51"/>
      <c r="U618" s="58"/>
      <c r="V618" s="58"/>
      <c r="W618" s="58"/>
      <c r="X618" s="58"/>
      <c r="Y618" s="58"/>
      <c r="Z618" s="58"/>
      <c r="AA618" s="58"/>
    </row>
    <row r="619" spans="11:27">
      <c r="K619" s="51"/>
      <c r="P619" s="50"/>
      <c r="Q619" s="51"/>
      <c r="U619" s="58"/>
      <c r="V619" s="58"/>
      <c r="W619" s="58"/>
      <c r="X619" s="58"/>
      <c r="Y619" s="58"/>
      <c r="Z619" s="58"/>
      <c r="AA619" s="58"/>
    </row>
    <row r="620" spans="11:27">
      <c r="K620" s="51"/>
      <c r="P620" s="50"/>
      <c r="Q620" s="51"/>
      <c r="U620" s="58"/>
      <c r="V620" s="58"/>
      <c r="W620" s="58"/>
      <c r="X620" s="58"/>
      <c r="Y620" s="58"/>
      <c r="Z620" s="58"/>
      <c r="AA620" s="58"/>
    </row>
    <row r="621" spans="11:27">
      <c r="K621" s="51"/>
      <c r="P621" s="50"/>
      <c r="Q621" s="51"/>
      <c r="U621" s="58"/>
      <c r="V621" s="58"/>
      <c r="W621" s="58"/>
      <c r="X621" s="58"/>
      <c r="Y621" s="58"/>
      <c r="Z621" s="58"/>
      <c r="AA621" s="58"/>
    </row>
    <row r="622" spans="11:27">
      <c r="K622" s="51"/>
      <c r="P622" s="50"/>
      <c r="Q622" s="51"/>
      <c r="U622" s="58"/>
      <c r="V622" s="58"/>
      <c r="W622" s="58"/>
      <c r="X622" s="58"/>
      <c r="Y622" s="58"/>
      <c r="Z622" s="58"/>
      <c r="AA622" s="58"/>
    </row>
    <row r="623" spans="11:27">
      <c r="K623" s="51"/>
      <c r="P623" s="50"/>
      <c r="Q623" s="51"/>
      <c r="U623" s="58"/>
      <c r="V623" s="58"/>
      <c r="W623" s="58"/>
      <c r="X623" s="58"/>
      <c r="Y623" s="58"/>
      <c r="Z623" s="58"/>
      <c r="AA623" s="58"/>
    </row>
    <row r="624" spans="11:27">
      <c r="K624" s="51"/>
      <c r="P624" s="50"/>
      <c r="Q624" s="51"/>
      <c r="U624" s="58"/>
      <c r="V624" s="58"/>
      <c r="W624" s="58"/>
      <c r="X624" s="58"/>
      <c r="Y624" s="58"/>
      <c r="Z624" s="58"/>
      <c r="AA624" s="58"/>
    </row>
    <row r="625" spans="11:27">
      <c r="K625" s="51"/>
      <c r="P625" s="50"/>
      <c r="Q625" s="51"/>
      <c r="U625" s="58"/>
      <c r="V625" s="58"/>
      <c r="W625" s="58"/>
      <c r="X625" s="58"/>
      <c r="Y625" s="58"/>
      <c r="Z625" s="58"/>
      <c r="AA625" s="58"/>
    </row>
    <row r="626" spans="11:27">
      <c r="K626" s="51"/>
      <c r="P626" s="50"/>
      <c r="Q626" s="51"/>
      <c r="U626" s="58"/>
      <c r="V626" s="58"/>
      <c r="W626" s="58"/>
      <c r="X626" s="58"/>
      <c r="Y626" s="58"/>
      <c r="Z626" s="58"/>
      <c r="AA626" s="58"/>
    </row>
    <row r="627" spans="11:27">
      <c r="K627" s="51"/>
      <c r="P627" s="50"/>
      <c r="Q627" s="51"/>
      <c r="U627" s="58"/>
      <c r="V627" s="58"/>
      <c r="W627" s="58"/>
      <c r="X627" s="58"/>
      <c r="Y627" s="58"/>
      <c r="Z627" s="58"/>
      <c r="AA627" s="58"/>
    </row>
    <row r="628" spans="11:27">
      <c r="K628" s="51"/>
      <c r="P628" s="50"/>
      <c r="Q628" s="51"/>
      <c r="U628" s="58"/>
      <c r="V628" s="58"/>
      <c r="W628" s="58"/>
      <c r="X628" s="58"/>
      <c r="Y628" s="58"/>
      <c r="Z628" s="58"/>
      <c r="AA628" s="58"/>
    </row>
    <row r="629" spans="11:27">
      <c r="K629" s="51"/>
      <c r="P629" s="50"/>
      <c r="Q629" s="51"/>
      <c r="U629" s="58"/>
      <c r="V629" s="58"/>
      <c r="W629" s="58"/>
      <c r="X629" s="58"/>
      <c r="Y629" s="58"/>
      <c r="Z629" s="58"/>
      <c r="AA629" s="58"/>
    </row>
    <row r="630" spans="11:27">
      <c r="K630" s="51"/>
      <c r="P630" s="50"/>
      <c r="Q630" s="51"/>
      <c r="U630" s="58"/>
      <c r="V630" s="58"/>
      <c r="W630" s="58"/>
      <c r="X630" s="58"/>
      <c r="Y630" s="58"/>
      <c r="Z630" s="58"/>
      <c r="AA630" s="58"/>
    </row>
    <row r="631" spans="11:27">
      <c r="K631" s="51"/>
      <c r="P631" s="50"/>
      <c r="Q631" s="51"/>
      <c r="U631" s="58"/>
      <c r="V631" s="58"/>
      <c r="W631" s="58"/>
      <c r="X631" s="58"/>
      <c r="Y631" s="58"/>
      <c r="Z631" s="58"/>
      <c r="AA631" s="58"/>
    </row>
    <row r="632" spans="11:27">
      <c r="K632" s="51"/>
      <c r="P632" s="50"/>
      <c r="Q632" s="51"/>
      <c r="U632" s="58"/>
      <c r="V632" s="58"/>
      <c r="W632" s="58"/>
      <c r="X632" s="58"/>
      <c r="Y632" s="58"/>
      <c r="Z632" s="58"/>
      <c r="AA632" s="58"/>
    </row>
    <row r="633" spans="11:27">
      <c r="K633" s="51"/>
      <c r="P633" s="50"/>
      <c r="Q633" s="51"/>
      <c r="U633" s="58"/>
      <c r="V633" s="58"/>
      <c r="W633" s="58"/>
      <c r="X633" s="58"/>
      <c r="Y633" s="58"/>
      <c r="Z633" s="58"/>
      <c r="AA633" s="58"/>
    </row>
    <row r="634" spans="11:27">
      <c r="K634" s="51"/>
      <c r="P634" s="50"/>
      <c r="Q634" s="51"/>
      <c r="U634" s="58"/>
      <c r="V634" s="58"/>
      <c r="W634" s="58"/>
      <c r="X634" s="58"/>
      <c r="Y634" s="58"/>
      <c r="Z634" s="58"/>
      <c r="AA634" s="58"/>
    </row>
    <row r="635" spans="11:27">
      <c r="K635" s="51"/>
      <c r="P635" s="50"/>
      <c r="Q635" s="51"/>
      <c r="U635" s="58"/>
      <c r="V635" s="58"/>
      <c r="W635" s="58"/>
      <c r="X635" s="58"/>
      <c r="Y635" s="58"/>
      <c r="Z635" s="58"/>
      <c r="AA635" s="58"/>
    </row>
    <row r="636" spans="11:27">
      <c r="K636" s="51"/>
      <c r="P636" s="50"/>
      <c r="Q636" s="51"/>
      <c r="U636" s="58"/>
      <c r="V636" s="58"/>
      <c r="W636" s="58"/>
      <c r="X636" s="58"/>
      <c r="Y636" s="58"/>
      <c r="Z636" s="58"/>
      <c r="AA636" s="58"/>
    </row>
    <row r="637" spans="11:27">
      <c r="K637" s="51"/>
      <c r="P637" s="50"/>
      <c r="Q637" s="51"/>
      <c r="U637" s="58"/>
      <c r="V637" s="58"/>
      <c r="W637" s="58"/>
      <c r="X637" s="58"/>
      <c r="Y637" s="58"/>
      <c r="Z637" s="58"/>
      <c r="AA637" s="58"/>
    </row>
    <row r="638" spans="11:27">
      <c r="K638" s="51"/>
      <c r="P638" s="50"/>
      <c r="Q638" s="51"/>
      <c r="U638" s="58"/>
      <c r="V638" s="58"/>
      <c r="W638" s="58"/>
      <c r="X638" s="58"/>
      <c r="Y638" s="58"/>
      <c r="Z638" s="58"/>
      <c r="AA638" s="58"/>
    </row>
    <row r="639" spans="11:27">
      <c r="K639" s="51"/>
      <c r="P639" s="50"/>
      <c r="Q639" s="51"/>
      <c r="U639" s="58"/>
      <c r="V639" s="58"/>
      <c r="W639" s="58"/>
      <c r="X639" s="58"/>
      <c r="Y639" s="58"/>
      <c r="Z639" s="58"/>
      <c r="AA639" s="58"/>
    </row>
    <row r="640" spans="11:27">
      <c r="K640" s="51"/>
      <c r="P640" s="50"/>
      <c r="Q640" s="51"/>
      <c r="U640" s="58"/>
      <c r="V640" s="58"/>
      <c r="W640" s="58"/>
      <c r="X640" s="58"/>
      <c r="Y640" s="58"/>
      <c r="Z640" s="58"/>
      <c r="AA640" s="58"/>
    </row>
    <row r="641" spans="11:27">
      <c r="K641" s="51"/>
      <c r="P641" s="50"/>
      <c r="Q641" s="51"/>
      <c r="U641" s="58"/>
      <c r="V641" s="58"/>
      <c r="W641" s="58"/>
      <c r="X641" s="58"/>
      <c r="Y641" s="58"/>
      <c r="Z641" s="58"/>
      <c r="AA641" s="58"/>
    </row>
    <row r="642" spans="11:27">
      <c r="K642" s="51"/>
      <c r="P642" s="50"/>
      <c r="Q642" s="51"/>
      <c r="U642" s="58"/>
      <c r="V642" s="58"/>
      <c r="W642" s="58"/>
      <c r="X642" s="58"/>
      <c r="Y642" s="58"/>
      <c r="Z642" s="58"/>
      <c r="AA642" s="58"/>
    </row>
    <row r="643" spans="11:27">
      <c r="K643" s="51"/>
      <c r="P643" s="50"/>
      <c r="Q643" s="51"/>
      <c r="U643" s="58"/>
      <c r="V643" s="58"/>
      <c r="W643" s="58"/>
      <c r="X643" s="58"/>
      <c r="Y643" s="58"/>
      <c r="Z643" s="58"/>
      <c r="AA643" s="58"/>
    </row>
    <row r="644" spans="11:27">
      <c r="K644" s="51"/>
      <c r="P644" s="50"/>
      <c r="Q644" s="51"/>
      <c r="U644" s="58"/>
      <c r="V644" s="58"/>
      <c r="W644" s="58"/>
      <c r="X644" s="58"/>
      <c r="Y644" s="58"/>
      <c r="Z644" s="58"/>
      <c r="AA644" s="58"/>
    </row>
    <row r="645" spans="11:27">
      <c r="K645" s="51"/>
      <c r="P645" s="50"/>
      <c r="Q645" s="51"/>
      <c r="U645" s="58"/>
      <c r="V645" s="58"/>
      <c r="W645" s="58"/>
      <c r="X645" s="58"/>
      <c r="Y645" s="58"/>
      <c r="Z645" s="58"/>
      <c r="AA645" s="58"/>
    </row>
    <row r="646" spans="11:27">
      <c r="K646" s="51"/>
      <c r="P646" s="50"/>
      <c r="Q646" s="51"/>
      <c r="U646" s="58"/>
      <c r="V646" s="58"/>
      <c r="W646" s="58"/>
      <c r="X646" s="58"/>
      <c r="Y646" s="58"/>
      <c r="Z646" s="58"/>
      <c r="AA646" s="58"/>
    </row>
    <row r="647" spans="11:27">
      <c r="K647" s="51"/>
      <c r="P647" s="50"/>
      <c r="Q647" s="51"/>
      <c r="U647" s="58"/>
      <c r="V647" s="58"/>
      <c r="W647" s="58"/>
      <c r="X647" s="58"/>
      <c r="Y647" s="58"/>
      <c r="Z647" s="58"/>
      <c r="AA647" s="58"/>
    </row>
    <row r="648" spans="11:27">
      <c r="K648" s="51"/>
      <c r="P648" s="50"/>
      <c r="Q648" s="51"/>
      <c r="U648" s="58"/>
      <c r="V648" s="58"/>
      <c r="W648" s="58"/>
      <c r="X648" s="58"/>
      <c r="Y648" s="58"/>
      <c r="Z648" s="58"/>
      <c r="AA648" s="58"/>
    </row>
    <row r="649" spans="11:27">
      <c r="K649" s="51"/>
      <c r="P649" s="50"/>
      <c r="Q649" s="51"/>
      <c r="U649" s="58"/>
      <c r="V649" s="58"/>
      <c r="W649" s="58"/>
      <c r="X649" s="58"/>
      <c r="Y649" s="58"/>
      <c r="Z649" s="58"/>
      <c r="AA649" s="58"/>
    </row>
    <row r="650" spans="11:27">
      <c r="K650" s="51"/>
      <c r="P650" s="50"/>
      <c r="Q650" s="51"/>
      <c r="U650" s="58"/>
      <c r="V650" s="58"/>
      <c r="W650" s="58"/>
      <c r="X650" s="58"/>
      <c r="Y650" s="58"/>
      <c r="Z650" s="58"/>
      <c r="AA650" s="58"/>
    </row>
    <row r="651" spans="11:27">
      <c r="K651" s="51"/>
      <c r="P651" s="50"/>
      <c r="Q651" s="51"/>
      <c r="U651" s="58"/>
      <c r="V651" s="58"/>
      <c r="W651" s="58"/>
      <c r="X651" s="58"/>
      <c r="Y651" s="58"/>
      <c r="Z651" s="58"/>
      <c r="AA651" s="58"/>
    </row>
    <row r="652" spans="11:27">
      <c r="K652" s="51"/>
      <c r="P652" s="50"/>
      <c r="Q652" s="51"/>
      <c r="U652" s="58"/>
      <c r="V652" s="58"/>
      <c r="W652" s="58"/>
      <c r="X652" s="58"/>
      <c r="Y652" s="58"/>
      <c r="Z652" s="58"/>
      <c r="AA652" s="58"/>
    </row>
    <row r="653" spans="11:27">
      <c r="K653" s="51"/>
      <c r="P653" s="50"/>
      <c r="Q653" s="51"/>
      <c r="U653" s="58"/>
      <c r="V653" s="58"/>
      <c r="W653" s="58"/>
      <c r="X653" s="58"/>
      <c r="Y653" s="58"/>
      <c r="Z653" s="58"/>
      <c r="AA653" s="58"/>
    </row>
    <row r="654" spans="11:27">
      <c r="K654" s="51"/>
      <c r="P654" s="50"/>
      <c r="Q654" s="51"/>
      <c r="U654" s="58"/>
      <c r="V654" s="58"/>
      <c r="W654" s="58"/>
      <c r="X654" s="58"/>
      <c r="Y654" s="58"/>
      <c r="Z654" s="58"/>
      <c r="AA654" s="58"/>
    </row>
    <row r="655" spans="11:27">
      <c r="K655" s="51"/>
      <c r="P655" s="50"/>
      <c r="Q655" s="51"/>
      <c r="U655" s="58"/>
      <c r="V655" s="58"/>
      <c r="W655" s="58"/>
      <c r="X655" s="58"/>
      <c r="Y655" s="58"/>
      <c r="Z655" s="58"/>
      <c r="AA655" s="58"/>
    </row>
    <row r="656" spans="11:27">
      <c r="K656" s="51"/>
      <c r="P656" s="50"/>
      <c r="Q656" s="51"/>
      <c r="U656" s="58"/>
      <c r="V656" s="58"/>
      <c r="W656" s="58"/>
      <c r="X656" s="58"/>
      <c r="Y656" s="58"/>
      <c r="Z656" s="58"/>
      <c r="AA656" s="58"/>
    </row>
    <row r="657" spans="11:27">
      <c r="K657" s="51"/>
      <c r="P657" s="50"/>
      <c r="Q657" s="51"/>
      <c r="U657" s="58"/>
      <c r="V657" s="58"/>
      <c r="W657" s="58"/>
      <c r="X657" s="58"/>
      <c r="Y657" s="58"/>
      <c r="Z657" s="58"/>
      <c r="AA657" s="58"/>
    </row>
    <row r="658" spans="11:27">
      <c r="K658" s="51"/>
      <c r="P658" s="50"/>
      <c r="Q658" s="51"/>
      <c r="U658" s="58"/>
      <c r="V658" s="58"/>
      <c r="W658" s="58"/>
      <c r="X658" s="58"/>
      <c r="Y658" s="58"/>
      <c r="Z658" s="58"/>
      <c r="AA658" s="58"/>
    </row>
    <row r="659" spans="11:27">
      <c r="K659" s="51"/>
      <c r="P659" s="50"/>
      <c r="Q659" s="51"/>
      <c r="U659" s="58"/>
      <c r="V659" s="58"/>
      <c r="W659" s="58"/>
      <c r="X659" s="58"/>
      <c r="Y659" s="58"/>
      <c r="Z659" s="58"/>
      <c r="AA659" s="58"/>
    </row>
    <row r="660" spans="11:27">
      <c r="K660" s="51"/>
      <c r="P660" s="50"/>
      <c r="Q660" s="51"/>
      <c r="U660" s="58"/>
      <c r="V660" s="58"/>
      <c r="W660" s="58"/>
      <c r="X660" s="58"/>
      <c r="Y660" s="58"/>
      <c r="Z660" s="58"/>
      <c r="AA660" s="58"/>
    </row>
    <row r="661" spans="11:27">
      <c r="K661" s="51"/>
      <c r="P661" s="50"/>
      <c r="Q661" s="51"/>
      <c r="U661" s="58"/>
      <c r="V661" s="58"/>
      <c r="W661" s="58"/>
      <c r="X661" s="58"/>
      <c r="Y661" s="58"/>
      <c r="Z661" s="58"/>
      <c r="AA661" s="58"/>
    </row>
    <row r="662" spans="11:27">
      <c r="K662" s="51"/>
      <c r="P662" s="50"/>
      <c r="Q662" s="51"/>
      <c r="U662" s="58"/>
      <c r="V662" s="58"/>
      <c r="W662" s="58"/>
      <c r="X662" s="58"/>
      <c r="Y662" s="58"/>
      <c r="Z662" s="58"/>
      <c r="AA662" s="58"/>
    </row>
    <row r="663" spans="11:27">
      <c r="K663" s="51"/>
      <c r="P663" s="50"/>
      <c r="Q663" s="51"/>
      <c r="U663" s="58"/>
      <c r="V663" s="58"/>
      <c r="W663" s="58"/>
      <c r="X663" s="58"/>
      <c r="Y663" s="58"/>
      <c r="Z663" s="58"/>
      <c r="AA663" s="58"/>
    </row>
    <row r="664" spans="11:27">
      <c r="K664" s="51"/>
      <c r="P664" s="50"/>
      <c r="Q664" s="51"/>
      <c r="U664" s="58"/>
      <c r="V664" s="58"/>
      <c r="W664" s="58"/>
      <c r="X664" s="58"/>
      <c r="Y664" s="58"/>
      <c r="Z664" s="58"/>
      <c r="AA664" s="58"/>
    </row>
    <row r="665" spans="11:27">
      <c r="K665" s="51"/>
      <c r="P665" s="50"/>
      <c r="Q665" s="51"/>
      <c r="U665" s="58"/>
      <c r="V665" s="58"/>
      <c r="W665" s="58"/>
      <c r="X665" s="58"/>
      <c r="Y665" s="58"/>
      <c r="Z665" s="58"/>
      <c r="AA665" s="58"/>
    </row>
    <row r="666" spans="11:27">
      <c r="K666" s="51"/>
      <c r="P666" s="50"/>
      <c r="Q666" s="51"/>
      <c r="U666" s="58"/>
      <c r="V666" s="58"/>
      <c r="W666" s="58"/>
      <c r="X666" s="58"/>
      <c r="Y666" s="58"/>
      <c r="Z666" s="58"/>
      <c r="AA666" s="58"/>
    </row>
    <row r="667" spans="11:27">
      <c r="K667" s="51"/>
      <c r="P667" s="50"/>
      <c r="Q667" s="51"/>
      <c r="U667" s="58"/>
      <c r="V667" s="58"/>
      <c r="W667" s="58"/>
      <c r="X667" s="58"/>
      <c r="Y667" s="58"/>
      <c r="Z667" s="58"/>
      <c r="AA667" s="58"/>
    </row>
    <row r="668" spans="11:27">
      <c r="K668" s="51"/>
      <c r="P668" s="50"/>
      <c r="Q668" s="51"/>
      <c r="U668" s="58"/>
      <c r="V668" s="58"/>
      <c r="W668" s="58"/>
      <c r="X668" s="58"/>
      <c r="Y668" s="58"/>
      <c r="Z668" s="58"/>
      <c r="AA668" s="58"/>
    </row>
    <row r="669" spans="11:27">
      <c r="K669" s="51"/>
      <c r="P669" s="50"/>
      <c r="Q669" s="51"/>
      <c r="U669" s="58"/>
      <c r="V669" s="58"/>
      <c r="W669" s="58"/>
      <c r="X669" s="58"/>
      <c r="Y669" s="58"/>
      <c r="Z669" s="58"/>
      <c r="AA669" s="58"/>
    </row>
    <row r="670" spans="11:27">
      <c r="K670" s="51"/>
      <c r="P670" s="50"/>
      <c r="Q670" s="51"/>
      <c r="U670" s="58"/>
      <c r="V670" s="58"/>
      <c r="W670" s="58"/>
      <c r="X670" s="58"/>
      <c r="Y670" s="58"/>
      <c r="Z670" s="58"/>
      <c r="AA670" s="58"/>
    </row>
    <row r="671" spans="11:27">
      <c r="K671" s="51"/>
      <c r="P671" s="50"/>
      <c r="Q671" s="51"/>
      <c r="U671" s="58"/>
      <c r="V671" s="58"/>
      <c r="W671" s="58"/>
      <c r="X671" s="58"/>
      <c r="Y671" s="58"/>
      <c r="Z671" s="58"/>
      <c r="AA671" s="58"/>
    </row>
    <row r="672" spans="11:27">
      <c r="K672" s="51"/>
      <c r="P672" s="50"/>
      <c r="Q672" s="51"/>
      <c r="U672" s="58"/>
      <c r="V672" s="58"/>
      <c r="W672" s="58"/>
      <c r="X672" s="58"/>
      <c r="Y672" s="58"/>
      <c r="Z672" s="58"/>
      <c r="AA672" s="58"/>
    </row>
    <row r="673" spans="11:27">
      <c r="K673" s="51"/>
      <c r="P673" s="50"/>
      <c r="Q673" s="51"/>
      <c r="U673" s="58"/>
      <c r="V673" s="58"/>
      <c r="W673" s="58"/>
      <c r="X673" s="58"/>
      <c r="Y673" s="58"/>
      <c r="Z673" s="58"/>
      <c r="AA673" s="58"/>
    </row>
    <row r="674" spans="11:27">
      <c r="K674" s="51"/>
      <c r="P674" s="50"/>
      <c r="Q674" s="51"/>
      <c r="U674" s="58"/>
      <c r="V674" s="58"/>
      <c r="W674" s="58"/>
      <c r="X674" s="58"/>
      <c r="Y674" s="58"/>
      <c r="Z674" s="58"/>
      <c r="AA674" s="58"/>
    </row>
    <row r="675" spans="11:27">
      <c r="K675" s="51"/>
      <c r="P675" s="50"/>
      <c r="Q675" s="51"/>
      <c r="U675" s="58"/>
      <c r="V675" s="58"/>
      <c r="W675" s="58"/>
      <c r="X675" s="58"/>
      <c r="Y675" s="58"/>
      <c r="Z675" s="58"/>
      <c r="AA675" s="58"/>
    </row>
    <row r="676" spans="11:27">
      <c r="K676" s="51"/>
      <c r="P676" s="50"/>
      <c r="Q676" s="51"/>
      <c r="U676" s="58"/>
      <c r="V676" s="58"/>
      <c r="W676" s="58"/>
      <c r="X676" s="58"/>
      <c r="Y676" s="58"/>
      <c r="Z676" s="58"/>
      <c r="AA676" s="58"/>
    </row>
    <row r="677" spans="11:27">
      <c r="K677" s="51"/>
      <c r="P677" s="50"/>
      <c r="Q677" s="51"/>
      <c r="U677" s="58"/>
      <c r="V677" s="58"/>
      <c r="W677" s="58"/>
      <c r="X677" s="58"/>
      <c r="Y677" s="58"/>
      <c r="Z677" s="58"/>
      <c r="AA677" s="58"/>
    </row>
    <row r="678" spans="11:27">
      <c r="K678" s="51"/>
      <c r="P678" s="50"/>
      <c r="Q678" s="51"/>
      <c r="U678" s="58"/>
      <c r="V678" s="58"/>
      <c r="W678" s="58"/>
      <c r="X678" s="58"/>
      <c r="Y678" s="58"/>
      <c r="Z678" s="58"/>
      <c r="AA678" s="58"/>
    </row>
    <row r="679" spans="11:27">
      <c r="K679" s="51"/>
      <c r="P679" s="50"/>
      <c r="Q679" s="51"/>
      <c r="U679" s="58"/>
      <c r="V679" s="58"/>
      <c r="W679" s="58"/>
      <c r="X679" s="58"/>
      <c r="Y679" s="58"/>
      <c r="Z679" s="58"/>
      <c r="AA679" s="58"/>
    </row>
    <row r="680" spans="11:27">
      <c r="K680" s="51"/>
      <c r="P680" s="50"/>
      <c r="Q680" s="51"/>
      <c r="U680" s="58"/>
      <c r="V680" s="58"/>
      <c r="W680" s="58"/>
      <c r="X680" s="58"/>
      <c r="Y680" s="58"/>
      <c r="Z680" s="58"/>
      <c r="AA680" s="58"/>
    </row>
    <row r="681" spans="11:27">
      <c r="K681" s="51"/>
      <c r="P681" s="50"/>
      <c r="Q681" s="51"/>
      <c r="U681" s="58"/>
      <c r="V681" s="58"/>
      <c r="W681" s="58"/>
      <c r="X681" s="58"/>
      <c r="Y681" s="58"/>
      <c r="Z681" s="58"/>
      <c r="AA681" s="58"/>
    </row>
    <row r="682" spans="11:27">
      <c r="K682" s="51"/>
      <c r="P682" s="50"/>
      <c r="Q682" s="51"/>
      <c r="U682" s="58"/>
      <c r="V682" s="58"/>
      <c r="W682" s="58"/>
      <c r="X682" s="58"/>
      <c r="Y682" s="58"/>
      <c r="Z682" s="58"/>
      <c r="AA682" s="58"/>
    </row>
    <row r="683" spans="11:27">
      <c r="K683" s="51"/>
      <c r="P683" s="50"/>
      <c r="Q683" s="51"/>
      <c r="U683" s="58"/>
      <c r="V683" s="58"/>
      <c r="W683" s="58"/>
      <c r="X683" s="58"/>
      <c r="Y683" s="58"/>
      <c r="Z683" s="58"/>
      <c r="AA683" s="58"/>
    </row>
    <row r="684" spans="11:27">
      <c r="K684" s="51"/>
      <c r="P684" s="50"/>
      <c r="Q684" s="51"/>
      <c r="U684" s="58"/>
      <c r="V684" s="58"/>
      <c r="W684" s="58"/>
      <c r="X684" s="58"/>
      <c r="Y684" s="58"/>
      <c r="Z684" s="58"/>
      <c r="AA684" s="58"/>
    </row>
    <row r="685" spans="11:27">
      <c r="K685" s="51"/>
      <c r="P685" s="50"/>
      <c r="Q685" s="51"/>
      <c r="U685" s="58"/>
      <c r="V685" s="58"/>
      <c r="W685" s="58"/>
      <c r="X685" s="58"/>
      <c r="Y685" s="58"/>
      <c r="Z685" s="58"/>
      <c r="AA685" s="58"/>
    </row>
    <row r="686" spans="11:27">
      <c r="K686" s="51"/>
      <c r="P686" s="50"/>
      <c r="Q686" s="51"/>
      <c r="U686" s="58"/>
      <c r="V686" s="58"/>
      <c r="W686" s="58"/>
      <c r="X686" s="58"/>
      <c r="Y686" s="58"/>
      <c r="Z686" s="58"/>
      <c r="AA686" s="58"/>
    </row>
    <row r="687" spans="11:27">
      <c r="K687" s="51"/>
      <c r="P687" s="50"/>
      <c r="Q687" s="51"/>
      <c r="U687" s="58"/>
      <c r="V687" s="58"/>
      <c r="W687" s="58"/>
      <c r="X687" s="58"/>
      <c r="Y687" s="58"/>
      <c r="Z687" s="58"/>
      <c r="AA687" s="58"/>
    </row>
    <row r="688" spans="11:27">
      <c r="K688" s="51"/>
      <c r="P688" s="50"/>
      <c r="Q688" s="51"/>
      <c r="U688" s="58"/>
      <c r="V688" s="58"/>
      <c r="W688" s="58"/>
      <c r="X688" s="58"/>
      <c r="Y688" s="58"/>
      <c r="Z688" s="58"/>
      <c r="AA688" s="58"/>
    </row>
    <row r="689" spans="11:27">
      <c r="K689" s="51"/>
      <c r="P689" s="50"/>
      <c r="Q689" s="51"/>
      <c r="U689" s="58"/>
      <c r="V689" s="58"/>
      <c r="W689" s="58"/>
      <c r="X689" s="58"/>
      <c r="Y689" s="58"/>
      <c r="Z689" s="58"/>
      <c r="AA689" s="58"/>
    </row>
    <row r="690" spans="11:27">
      <c r="K690" s="51"/>
      <c r="P690" s="50"/>
      <c r="Q690" s="51"/>
      <c r="U690" s="58"/>
      <c r="V690" s="58"/>
      <c r="W690" s="58"/>
      <c r="X690" s="58"/>
      <c r="Y690" s="58"/>
      <c r="Z690" s="58"/>
      <c r="AA690" s="58"/>
    </row>
    <row r="691" spans="11:27">
      <c r="K691" s="51"/>
      <c r="P691" s="50"/>
      <c r="Q691" s="51"/>
      <c r="U691" s="58"/>
      <c r="V691" s="58"/>
      <c r="W691" s="58"/>
      <c r="X691" s="58"/>
      <c r="Y691" s="58"/>
      <c r="Z691" s="58"/>
      <c r="AA691" s="58"/>
    </row>
    <row r="692" spans="11:27">
      <c r="K692" s="51"/>
      <c r="P692" s="50"/>
      <c r="Q692" s="51"/>
      <c r="U692" s="58"/>
      <c r="V692" s="58"/>
      <c r="W692" s="58"/>
      <c r="X692" s="58"/>
      <c r="Y692" s="58"/>
      <c r="Z692" s="58"/>
      <c r="AA692" s="58"/>
    </row>
    <row r="693" spans="11:27">
      <c r="K693" s="51"/>
      <c r="P693" s="50"/>
      <c r="Q693" s="51"/>
      <c r="U693" s="58"/>
      <c r="V693" s="58"/>
      <c r="W693" s="58"/>
      <c r="X693" s="58"/>
      <c r="Y693" s="58"/>
      <c r="Z693" s="58"/>
      <c r="AA693" s="58"/>
    </row>
    <row r="694" spans="11:27">
      <c r="K694" s="51"/>
      <c r="P694" s="50"/>
      <c r="Q694" s="51"/>
      <c r="U694" s="58"/>
      <c r="V694" s="58"/>
      <c r="W694" s="58"/>
      <c r="X694" s="58"/>
      <c r="Y694" s="58"/>
      <c r="Z694" s="58"/>
      <c r="AA694" s="58"/>
    </row>
    <row r="695" spans="11:27">
      <c r="K695" s="51"/>
      <c r="P695" s="50"/>
      <c r="Q695" s="51"/>
      <c r="U695" s="58"/>
      <c r="V695" s="58"/>
      <c r="W695" s="58"/>
      <c r="X695" s="58"/>
      <c r="Y695" s="58"/>
      <c r="Z695" s="58"/>
      <c r="AA695" s="58"/>
    </row>
    <row r="696" spans="11:27">
      <c r="K696" s="51"/>
      <c r="P696" s="50"/>
      <c r="Q696" s="51"/>
      <c r="U696" s="58"/>
      <c r="V696" s="58"/>
      <c r="W696" s="58"/>
      <c r="X696" s="58"/>
      <c r="Y696" s="58"/>
      <c r="Z696" s="58"/>
      <c r="AA696" s="58"/>
    </row>
    <row r="697" spans="11:27">
      <c r="K697" s="51"/>
      <c r="P697" s="50"/>
      <c r="Q697" s="51"/>
      <c r="U697" s="58"/>
      <c r="V697" s="58"/>
      <c r="W697" s="58"/>
      <c r="X697" s="58"/>
      <c r="Y697" s="58"/>
      <c r="Z697" s="58"/>
      <c r="AA697" s="58"/>
    </row>
    <row r="698" spans="11:27">
      <c r="K698" s="51"/>
      <c r="P698" s="50"/>
      <c r="Q698" s="51"/>
      <c r="U698" s="58"/>
      <c r="V698" s="58"/>
      <c r="W698" s="58"/>
      <c r="X698" s="58"/>
      <c r="Y698" s="58"/>
      <c r="Z698" s="58"/>
      <c r="AA698" s="58"/>
    </row>
    <row r="699" spans="11:27">
      <c r="K699" s="51"/>
      <c r="P699" s="50"/>
      <c r="Q699" s="51"/>
      <c r="U699" s="58"/>
      <c r="V699" s="58"/>
      <c r="W699" s="58"/>
      <c r="X699" s="58"/>
      <c r="Y699" s="58"/>
      <c r="Z699" s="58"/>
      <c r="AA699" s="58"/>
    </row>
    <row r="700" spans="11:27">
      <c r="K700" s="51"/>
      <c r="P700" s="50"/>
      <c r="Q700" s="51"/>
      <c r="U700" s="58"/>
      <c r="V700" s="58"/>
      <c r="W700" s="58"/>
      <c r="X700" s="58"/>
      <c r="Y700" s="58"/>
      <c r="Z700" s="58"/>
      <c r="AA700" s="58"/>
    </row>
    <row r="701" spans="11:27">
      <c r="K701" s="51"/>
      <c r="P701" s="50"/>
      <c r="Q701" s="51"/>
      <c r="U701" s="58"/>
      <c r="V701" s="58"/>
      <c r="W701" s="58"/>
      <c r="X701" s="58"/>
      <c r="Y701" s="58"/>
      <c r="Z701" s="58"/>
      <c r="AA701" s="58"/>
    </row>
    <row r="702" spans="11:27">
      <c r="K702" s="51"/>
      <c r="P702" s="50"/>
      <c r="Q702" s="51"/>
      <c r="U702" s="58"/>
      <c r="V702" s="58"/>
      <c r="W702" s="58"/>
      <c r="X702" s="58"/>
      <c r="Y702" s="58"/>
      <c r="Z702" s="58"/>
      <c r="AA702" s="58"/>
    </row>
    <row r="703" spans="11:27">
      <c r="K703" s="51"/>
      <c r="P703" s="50"/>
      <c r="Q703" s="51"/>
      <c r="U703" s="58"/>
      <c r="V703" s="58"/>
      <c r="W703" s="58"/>
      <c r="X703" s="58"/>
      <c r="Y703" s="58"/>
      <c r="Z703" s="58"/>
      <c r="AA703" s="58"/>
    </row>
    <row r="704" spans="11:27">
      <c r="K704" s="51"/>
      <c r="P704" s="50"/>
      <c r="Q704" s="51"/>
      <c r="U704" s="58"/>
      <c r="V704" s="58"/>
      <c r="W704" s="58"/>
      <c r="X704" s="58"/>
      <c r="Y704" s="58"/>
      <c r="Z704" s="58"/>
      <c r="AA704" s="58"/>
    </row>
    <row r="705" spans="11:27">
      <c r="K705" s="51"/>
      <c r="P705" s="50"/>
      <c r="Q705" s="51"/>
      <c r="U705" s="58"/>
      <c r="V705" s="58"/>
      <c r="W705" s="58"/>
      <c r="X705" s="58"/>
      <c r="Y705" s="58"/>
      <c r="Z705" s="58"/>
      <c r="AA705" s="58"/>
    </row>
    <row r="706" spans="11:27">
      <c r="K706" s="51"/>
      <c r="P706" s="50"/>
      <c r="Q706" s="51"/>
      <c r="U706" s="58"/>
      <c r="V706" s="58"/>
      <c r="W706" s="58"/>
      <c r="X706" s="58"/>
      <c r="Y706" s="58"/>
      <c r="Z706" s="58"/>
      <c r="AA706" s="58"/>
    </row>
    <row r="707" spans="11:27">
      <c r="K707" s="51"/>
      <c r="P707" s="50"/>
      <c r="Q707" s="51"/>
      <c r="U707" s="58"/>
      <c r="V707" s="58"/>
      <c r="W707" s="58"/>
      <c r="X707" s="58"/>
      <c r="Y707" s="58"/>
      <c r="Z707" s="58"/>
      <c r="AA707" s="58"/>
    </row>
    <row r="708" spans="11:27">
      <c r="K708" s="51"/>
      <c r="P708" s="50"/>
      <c r="Q708" s="51"/>
      <c r="U708" s="58"/>
      <c r="V708" s="58"/>
      <c r="W708" s="58"/>
      <c r="X708" s="58"/>
      <c r="Y708" s="58"/>
      <c r="Z708" s="58"/>
      <c r="AA708" s="58"/>
    </row>
    <row r="709" spans="11:27">
      <c r="K709" s="51"/>
      <c r="P709" s="50"/>
      <c r="Q709" s="51"/>
      <c r="U709" s="58"/>
      <c r="V709" s="58"/>
      <c r="W709" s="58"/>
      <c r="X709" s="58"/>
      <c r="Y709" s="58"/>
      <c r="Z709" s="58"/>
      <c r="AA709" s="58"/>
    </row>
    <row r="710" spans="11:27">
      <c r="K710" s="51"/>
      <c r="P710" s="50"/>
      <c r="Q710" s="51"/>
      <c r="U710" s="58"/>
      <c r="V710" s="58"/>
      <c r="W710" s="58"/>
      <c r="X710" s="58"/>
      <c r="Y710" s="58"/>
      <c r="Z710" s="58"/>
      <c r="AA710" s="58"/>
    </row>
    <row r="711" spans="11:27">
      <c r="K711" s="51"/>
      <c r="P711" s="50"/>
      <c r="Q711" s="51"/>
      <c r="U711" s="58"/>
      <c r="V711" s="58"/>
      <c r="W711" s="58"/>
      <c r="X711" s="58"/>
      <c r="Y711" s="58"/>
      <c r="Z711" s="58"/>
      <c r="AA711" s="58"/>
    </row>
    <row r="712" spans="11:27">
      <c r="K712" s="51"/>
      <c r="P712" s="50"/>
      <c r="Q712" s="51"/>
      <c r="U712" s="58"/>
      <c r="V712" s="58"/>
      <c r="W712" s="58"/>
      <c r="X712" s="58"/>
      <c r="Y712" s="58"/>
      <c r="Z712" s="58"/>
      <c r="AA712" s="58"/>
    </row>
    <row r="713" spans="11:27">
      <c r="K713" s="51"/>
      <c r="P713" s="50"/>
      <c r="Q713" s="51"/>
      <c r="U713" s="58"/>
      <c r="V713" s="58"/>
      <c r="W713" s="58"/>
      <c r="X713" s="58"/>
      <c r="Y713" s="58"/>
      <c r="Z713" s="58"/>
      <c r="AA713" s="58"/>
    </row>
    <row r="714" spans="11:27">
      <c r="K714" s="51"/>
      <c r="P714" s="50"/>
      <c r="Q714" s="51"/>
      <c r="U714" s="58"/>
      <c r="V714" s="58"/>
      <c r="W714" s="58"/>
      <c r="X714" s="58"/>
      <c r="Y714" s="58"/>
      <c r="Z714" s="58"/>
      <c r="AA714" s="58"/>
    </row>
    <row r="715" spans="11:27">
      <c r="K715" s="51"/>
      <c r="P715" s="50"/>
      <c r="Q715" s="51"/>
      <c r="U715" s="58"/>
      <c r="V715" s="58"/>
      <c r="W715" s="58"/>
      <c r="X715" s="58"/>
      <c r="Y715" s="58"/>
      <c r="Z715" s="58"/>
      <c r="AA715" s="58"/>
    </row>
    <row r="716" spans="11:27">
      <c r="K716" s="51"/>
      <c r="P716" s="50"/>
      <c r="Q716" s="51"/>
      <c r="U716" s="58"/>
      <c r="V716" s="58"/>
      <c r="W716" s="58"/>
      <c r="X716" s="58"/>
      <c r="Y716" s="58"/>
      <c r="Z716" s="58"/>
      <c r="AA716" s="58"/>
    </row>
    <row r="717" spans="11:27">
      <c r="K717" s="51"/>
      <c r="P717" s="50"/>
      <c r="Q717" s="51"/>
      <c r="U717" s="58"/>
      <c r="V717" s="58"/>
      <c r="W717" s="58"/>
      <c r="X717" s="58"/>
      <c r="Y717" s="58"/>
      <c r="Z717" s="58"/>
      <c r="AA717" s="58"/>
    </row>
    <row r="718" spans="11:27">
      <c r="K718" s="51"/>
      <c r="P718" s="50"/>
      <c r="Q718" s="51"/>
      <c r="U718" s="58"/>
      <c r="V718" s="58"/>
      <c r="W718" s="58"/>
      <c r="X718" s="58"/>
      <c r="Y718" s="58"/>
      <c r="Z718" s="58"/>
      <c r="AA718" s="58"/>
    </row>
    <row r="719" spans="11:27">
      <c r="K719" s="51"/>
      <c r="P719" s="50"/>
      <c r="Q719" s="51"/>
      <c r="U719" s="58"/>
      <c r="V719" s="58"/>
      <c r="W719" s="58"/>
      <c r="X719" s="58"/>
      <c r="Y719" s="58"/>
      <c r="Z719" s="58"/>
      <c r="AA719" s="58"/>
    </row>
    <row r="720" spans="11:27">
      <c r="K720" s="51"/>
      <c r="P720" s="50"/>
      <c r="Q720" s="51"/>
      <c r="U720" s="58"/>
      <c r="V720" s="58"/>
      <c r="W720" s="58"/>
      <c r="X720" s="58"/>
      <c r="Y720" s="58"/>
      <c r="Z720" s="58"/>
      <c r="AA720" s="58"/>
    </row>
    <row r="721" spans="11:27">
      <c r="K721" s="51"/>
      <c r="P721" s="50"/>
      <c r="Q721" s="51"/>
      <c r="U721" s="58"/>
      <c r="V721" s="58"/>
      <c r="W721" s="58"/>
      <c r="X721" s="58"/>
      <c r="Y721" s="58"/>
      <c r="Z721" s="58"/>
      <c r="AA721" s="58"/>
    </row>
    <row r="722" spans="11:27">
      <c r="K722" s="51"/>
      <c r="P722" s="50"/>
      <c r="Q722" s="51"/>
      <c r="U722" s="58"/>
      <c r="V722" s="58"/>
      <c r="W722" s="58"/>
      <c r="X722" s="58"/>
      <c r="Y722" s="58"/>
      <c r="Z722" s="58"/>
      <c r="AA722" s="58"/>
    </row>
    <row r="723" spans="11:27">
      <c r="K723" s="51"/>
      <c r="P723" s="50"/>
      <c r="Q723" s="51"/>
      <c r="U723" s="58"/>
      <c r="V723" s="58"/>
      <c r="W723" s="58"/>
      <c r="X723" s="58"/>
      <c r="Y723" s="58"/>
      <c r="Z723" s="58"/>
      <c r="AA723" s="58"/>
    </row>
    <row r="724" spans="11:27">
      <c r="K724" s="51"/>
      <c r="P724" s="50"/>
      <c r="Q724" s="51"/>
      <c r="U724" s="58"/>
      <c r="V724" s="58"/>
      <c r="W724" s="58"/>
      <c r="X724" s="58"/>
      <c r="Y724" s="58"/>
      <c r="Z724" s="58"/>
      <c r="AA724" s="58"/>
    </row>
    <row r="725" spans="11:27">
      <c r="K725" s="51"/>
      <c r="P725" s="50"/>
      <c r="Q725" s="51"/>
      <c r="U725" s="58"/>
      <c r="V725" s="58"/>
      <c r="W725" s="58"/>
      <c r="X725" s="58"/>
      <c r="Y725" s="58"/>
      <c r="Z725" s="58"/>
      <c r="AA725" s="58"/>
    </row>
    <row r="726" spans="11:27">
      <c r="K726" s="51"/>
      <c r="P726" s="50"/>
      <c r="Q726" s="51"/>
      <c r="U726" s="58"/>
      <c r="V726" s="58"/>
      <c r="W726" s="58"/>
      <c r="X726" s="58"/>
      <c r="Y726" s="58"/>
      <c r="Z726" s="58"/>
      <c r="AA726" s="58"/>
    </row>
    <row r="727" spans="11:27">
      <c r="K727" s="51"/>
      <c r="P727" s="50"/>
      <c r="Q727" s="51"/>
      <c r="U727" s="58"/>
      <c r="V727" s="58"/>
      <c r="W727" s="58"/>
      <c r="X727" s="58"/>
      <c r="Y727" s="58"/>
      <c r="Z727" s="58"/>
      <c r="AA727" s="58"/>
    </row>
    <row r="728" spans="11:27">
      <c r="K728" s="51"/>
      <c r="P728" s="50"/>
      <c r="Q728" s="51"/>
      <c r="U728" s="58"/>
      <c r="V728" s="58"/>
      <c r="W728" s="58"/>
      <c r="X728" s="58"/>
      <c r="Y728" s="58"/>
      <c r="Z728" s="58"/>
      <c r="AA728" s="58"/>
    </row>
    <row r="729" spans="11:27">
      <c r="K729" s="51"/>
      <c r="P729" s="50"/>
      <c r="Q729" s="51"/>
      <c r="U729" s="58"/>
      <c r="V729" s="58"/>
      <c r="W729" s="58"/>
      <c r="X729" s="58"/>
      <c r="Y729" s="58"/>
      <c r="Z729" s="58"/>
      <c r="AA729" s="58"/>
    </row>
    <row r="730" spans="11:27">
      <c r="K730" s="51"/>
      <c r="P730" s="50"/>
      <c r="Q730" s="51"/>
      <c r="U730" s="58"/>
      <c r="V730" s="58"/>
      <c r="W730" s="58"/>
      <c r="X730" s="58"/>
      <c r="Y730" s="58"/>
      <c r="Z730" s="58"/>
      <c r="AA730" s="58"/>
    </row>
    <row r="731" spans="11:27">
      <c r="K731" s="51"/>
      <c r="P731" s="50"/>
      <c r="Q731" s="51"/>
      <c r="U731" s="58"/>
      <c r="V731" s="58"/>
      <c r="W731" s="58"/>
      <c r="X731" s="58"/>
      <c r="Y731" s="58"/>
      <c r="Z731" s="58"/>
      <c r="AA731" s="58"/>
    </row>
    <row r="732" spans="11:27">
      <c r="K732" s="51"/>
      <c r="P732" s="50"/>
      <c r="Q732" s="51"/>
      <c r="U732" s="58"/>
      <c r="V732" s="58"/>
      <c r="W732" s="58"/>
      <c r="X732" s="58"/>
      <c r="Y732" s="58"/>
      <c r="Z732" s="58"/>
      <c r="AA732" s="58"/>
    </row>
    <row r="733" spans="11:27">
      <c r="K733" s="51"/>
      <c r="P733" s="50"/>
      <c r="Q733" s="51"/>
      <c r="U733" s="58"/>
      <c r="V733" s="58"/>
      <c r="W733" s="58"/>
      <c r="X733" s="58"/>
      <c r="Y733" s="58"/>
      <c r="Z733" s="58"/>
      <c r="AA733" s="58"/>
    </row>
    <row r="734" spans="11:27">
      <c r="K734" s="51"/>
      <c r="P734" s="50"/>
      <c r="Q734" s="51"/>
      <c r="U734" s="58"/>
      <c r="V734" s="58"/>
      <c r="W734" s="58"/>
      <c r="X734" s="58"/>
      <c r="Y734" s="58"/>
      <c r="Z734" s="58"/>
      <c r="AA734" s="58"/>
    </row>
    <row r="735" spans="11:27">
      <c r="K735" s="51"/>
      <c r="P735" s="50"/>
      <c r="Q735" s="51"/>
      <c r="U735" s="58"/>
      <c r="V735" s="58"/>
      <c r="W735" s="58"/>
      <c r="X735" s="58"/>
      <c r="Y735" s="58"/>
      <c r="Z735" s="58"/>
      <c r="AA735" s="58"/>
    </row>
    <row r="736" spans="11:27">
      <c r="K736" s="51"/>
      <c r="P736" s="50"/>
      <c r="Q736" s="51"/>
      <c r="U736" s="58"/>
      <c r="V736" s="58"/>
      <c r="W736" s="58"/>
      <c r="X736" s="58"/>
      <c r="Y736" s="58"/>
      <c r="Z736" s="58"/>
      <c r="AA736" s="58"/>
    </row>
    <row r="737" spans="11:27">
      <c r="K737" s="51"/>
      <c r="P737" s="50"/>
      <c r="Q737" s="51"/>
      <c r="U737" s="58"/>
      <c r="V737" s="58"/>
      <c r="W737" s="58"/>
      <c r="X737" s="58"/>
      <c r="Y737" s="58"/>
      <c r="Z737" s="58"/>
      <c r="AA737" s="58"/>
    </row>
    <row r="738" spans="11:27">
      <c r="K738" s="51"/>
      <c r="P738" s="50"/>
      <c r="Q738" s="51"/>
      <c r="U738" s="58"/>
      <c r="V738" s="58"/>
      <c r="W738" s="58"/>
      <c r="X738" s="58"/>
      <c r="Y738" s="58"/>
      <c r="Z738" s="58"/>
      <c r="AA738" s="58"/>
    </row>
    <row r="739" spans="11:27">
      <c r="K739" s="51"/>
      <c r="P739" s="50"/>
      <c r="Q739" s="51"/>
      <c r="U739" s="58"/>
      <c r="V739" s="58"/>
      <c r="W739" s="58"/>
      <c r="X739" s="58"/>
      <c r="Y739" s="58"/>
      <c r="Z739" s="58"/>
      <c r="AA739" s="58"/>
    </row>
    <row r="740" spans="11:27">
      <c r="K740" s="51"/>
      <c r="P740" s="50"/>
      <c r="Q740" s="51"/>
      <c r="U740" s="58"/>
      <c r="V740" s="58"/>
      <c r="W740" s="58"/>
      <c r="X740" s="58"/>
      <c r="Y740" s="58"/>
      <c r="Z740" s="58"/>
      <c r="AA740" s="58"/>
    </row>
    <row r="741" spans="11:27">
      <c r="K741" s="51"/>
      <c r="P741" s="50"/>
      <c r="Q741" s="51"/>
      <c r="U741" s="58"/>
      <c r="V741" s="58"/>
      <c r="W741" s="58"/>
      <c r="X741" s="58"/>
      <c r="Y741" s="58"/>
      <c r="Z741" s="58"/>
      <c r="AA741" s="58"/>
    </row>
    <row r="742" spans="11:27">
      <c r="K742" s="51"/>
      <c r="P742" s="50"/>
      <c r="Q742" s="51"/>
      <c r="U742" s="58"/>
      <c r="V742" s="58"/>
      <c r="W742" s="58"/>
      <c r="X742" s="58"/>
      <c r="Y742" s="58"/>
      <c r="Z742" s="58"/>
      <c r="AA742" s="58"/>
    </row>
    <row r="743" spans="11:27">
      <c r="K743" s="51"/>
      <c r="P743" s="50"/>
      <c r="Q743" s="51"/>
      <c r="U743" s="58"/>
      <c r="V743" s="58"/>
      <c r="W743" s="58"/>
      <c r="X743" s="58"/>
      <c r="Y743" s="58"/>
      <c r="Z743" s="58"/>
      <c r="AA743" s="58"/>
    </row>
    <row r="744" spans="11:27">
      <c r="K744" s="51"/>
      <c r="P744" s="50"/>
      <c r="Q744" s="51"/>
      <c r="U744" s="58"/>
      <c r="V744" s="58"/>
      <c r="W744" s="58"/>
      <c r="X744" s="58"/>
      <c r="Y744" s="58"/>
      <c r="Z744" s="58"/>
      <c r="AA744" s="58"/>
    </row>
    <row r="745" spans="11:27">
      <c r="K745" s="51"/>
      <c r="P745" s="50"/>
      <c r="Q745" s="51"/>
      <c r="U745" s="58"/>
      <c r="V745" s="58"/>
      <c r="W745" s="58"/>
      <c r="X745" s="58"/>
      <c r="Y745" s="58"/>
      <c r="Z745" s="58"/>
      <c r="AA745" s="58"/>
    </row>
    <row r="746" spans="11:27">
      <c r="K746" s="51"/>
      <c r="P746" s="50"/>
      <c r="Q746" s="51"/>
      <c r="U746" s="58"/>
      <c r="V746" s="58"/>
      <c r="W746" s="58"/>
      <c r="X746" s="58"/>
      <c r="Y746" s="58"/>
      <c r="Z746" s="58"/>
      <c r="AA746" s="58"/>
    </row>
    <row r="747" spans="11:27">
      <c r="K747" s="51"/>
      <c r="P747" s="50"/>
      <c r="Q747" s="51"/>
      <c r="U747" s="58"/>
      <c r="V747" s="58"/>
      <c r="W747" s="58"/>
      <c r="X747" s="58"/>
      <c r="Y747" s="58"/>
      <c r="Z747" s="58"/>
      <c r="AA747" s="58"/>
    </row>
    <row r="748" spans="11:27">
      <c r="K748" s="51"/>
      <c r="P748" s="50"/>
      <c r="Q748" s="51"/>
      <c r="U748" s="58"/>
      <c r="V748" s="58"/>
      <c r="W748" s="58"/>
      <c r="X748" s="58"/>
      <c r="Y748" s="58"/>
      <c r="Z748" s="58"/>
      <c r="AA748" s="58"/>
    </row>
    <row r="749" spans="11:27">
      <c r="K749" s="51"/>
      <c r="P749" s="50"/>
      <c r="Q749" s="51"/>
      <c r="U749" s="58"/>
      <c r="V749" s="58"/>
      <c r="W749" s="58"/>
      <c r="X749" s="58"/>
      <c r="Y749" s="58"/>
      <c r="Z749" s="58"/>
      <c r="AA749" s="58"/>
    </row>
    <row r="750" spans="11:27">
      <c r="K750" s="51"/>
      <c r="P750" s="50"/>
      <c r="Q750" s="51"/>
      <c r="U750" s="58"/>
      <c r="V750" s="58"/>
      <c r="W750" s="58"/>
      <c r="X750" s="58"/>
      <c r="Y750" s="58"/>
      <c r="Z750" s="58"/>
      <c r="AA750" s="58"/>
    </row>
    <row r="751" spans="11:27">
      <c r="K751" s="51"/>
      <c r="P751" s="50"/>
      <c r="Q751" s="51"/>
      <c r="U751" s="58"/>
      <c r="V751" s="58"/>
      <c r="W751" s="58"/>
      <c r="X751" s="58"/>
      <c r="Y751" s="58"/>
      <c r="Z751" s="58"/>
      <c r="AA751" s="58"/>
    </row>
    <row r="752" spans="11:27">
      <c r="K752" s="51"/>
      <c r="P752" s="50"/>
      <c r="Q752" s="51"/>
      <c r="U752" s="58"/>
      <c r="V752" s="58"/>
      <c r="W752" s="58"/>
      <c r="X752" s="58"/>
      <c r="Y752" s="58"/>
      <c r="Z752" s="58"/>
      <c r="AA752" s="58"/>
    </row>
    <row r="753" spans="11:27">
      <c r="K753" s="51"/>
      <c r="P753" s="50"/>
      <c r="Q753" s="51"/>
      <c r="U753" s="58"/>
      <c r="V753" s="58"/>
      <c r="W753" s="58"/>
      <c r="X753" s="58"/>
      <c r="Y753" s="58"/>
      <c r="Z753" s="58"/>
      <c r="AA753" s="58"/>
    </row>
    <row r="754" spans="11:27">
      <c r="K754" s="51"/>
      <c r="P754" s="50"/>
      <c r="Q754" s="51"/>
      <c r="U754" s="58"/>
      <c r="V754" s="58"/>
      <c r="W754" s="58"/>
      <c r="X754" s="58"/>
      <c r="Y754" s="58"/>
      <c r="Z754" s="58"/>
      <c r="AA754" s="58"/>
    </row>
    <row r="755" spans="11:27">
      <c r="K755" s="51"/>
      <c r="P755" s="50"/>
      <c r="Q755" s="51"/>
      <c r="U755" s="58"/>
      <c r="V755" s="58"/>
      <c r="W755" s="58"/>
      <c r="X755" s="58"/>
      <c r="Y755" s="58"/>
      <c r="Z755" s="58"/>
      <c r="AA755" s="58"/>
    </row>
    <row r="756" spans="11:27">
      <c r="K756" s="51"/>
      <c r="P756" s="50"/>
      <c r="Q756" s="51"/>
      <c r="U756" s="58"/>
      <c r="V756" s="58"/>
      <c r="W756" s="58"/>
      <c r="X756" s="58"/>
      <c r="Y756" s="58"/>
      <c r="Z756" s="58"/>
      <c r="AA756" s="58"/>
    </row>
    <row r="757" spans="11:27">
      <c r="K757" s="51"/>
      <c r="P757" s="50"/>
      <c r="Q757" s="51"/>
      <c r="U757" s="58"/>
      <c r="V757" s="58"/>
      <c r="W757" s="58"/>
      <c r="X757" s="58"/>
      <c r="Y757" s="58"/>
      <c r="Z757" s="58"/>
      <c r="AA757" s="58"/>
    </row>
    <row r="758" spans="11:27">
      <c r="K758" s="51"/>
      <c r="P758" s="50"/>
      <c r="Q758" s="51"/>
      <c r="U758" s="58"/>
      <c r="V758" s="58"/>
      <c r="W758" s="58"/>
      <c r="X758" s="58"/>
      <c r="Y758" s="58"/>
      <c r="Z758" s="58"/>
      <c r="AA758" s="58"/>
    </row>
    <row r="759" spans="11:27">
      <c r="K759" s="51"/>
      <c r="P759" s="50"/>
      <c r="Q759" s="51"/>
      <c r="U759" s="58"/>
      <c r="V759" s="58"/>
      <c r="W759" s="58"/>
      <c r="X759" s="58"/>
      <c r="Y759" s="58"/>
      <c r="Z759" s="58"/>
      <c r="AA759" s="58"/>
    </row>
    <row r="760" spans="11:27">
      <c r="K760" s="51"/>
      <c r="P760" s="50"/>
      <c r="Q760" s="51"/>
      <c r="U760" s="58"/>
      <c r="V760" s="58"/>
      <c r="W760" s="58"/>
      <c r="X760" s="58"/>
      <c r="Y760" s="58"/>
      <c r="Z760" s="58"/>
      <c r="AA760" s="58"/>
    </row>
    <row r="761" spans="11:27">
      <c r="K761" s="51"/>
      <c r="P761" s="50"/>
      <c r="Q761" s="51"/>
      <c r="U761" s="58"/>
      <c r="V761" s="58"/>
      <c r="W761" s="58"/>
      <c r="X761" s="58"/>
      <c r="Y761" s="58"/>
      <c r="Z761" s="58"/>
      <c r="AA761" s="58"/>
    </row>
    <row r="762" spans="11:27">
      <c r="K762" s="51"/>
      <c r="P762" s="50"/>
      <c r="Q762" s="51"/>
      <c r="U762" s="58"/>
      <c r="V762" s="58"/>
      <c r="W762" s="58"/>
      <c r="X762" s="58"/>
      <c r="Y762" s="58"/>
      <c r="Z762" s="58"/>
      <c r="AA762" s="58"/>
    </row>
    <row r="763" spans="11:27">
      <c r="K763" s="51"/>
      <c r="P763" s="50"/>
      <c r="Q763" s="51"/>
      <c r="U763" s="58"/>
      <c r="V763" s="58"/>
      <c r="W763" s="58"/>
      <c r="X763" s="58"/>
      <c r="Y763" s="58"/>
      <c r="Z763" s="58"/>
      <c r="AA763" s="58"/>
    </row>
    <row r="764" spans="11:27">
      <c r="K764" s="51"/>
      <c r="P764" s="50"/>
      <c r="Q764" s="51"/>
      <c r="U764" s="58"/>
      <c r="V764" s="58"/>
      <c r="W764" s="58"/>
      <c r="X764" s="58"/>
      <c r="Y764" s="58"/>
      <c r="Z764" s="58"/>
      <c r="AA764" s="58"/>
    </row>
    <row r="765" spans="11:27">
      <c r="K765" s="51"/>
      <c r="P765" s="50"/>
      <c r="Q765" s="51"/>
      <c r="U765" s="58"/>
      <c r="V765" s="58"/>
      <c r="W765" s="58"/>
      <c r="X765" s="58"/>
      <c r="Y765" s="58"/>
      <c r="Z765" s="58"/>
      <c r="AA765" s="58"/>
    </row>
    <row r="766" spans="11:27">
      <c r="K766" s="51"/>
      <c r="P766" s="50"/>
      <c r="Q766" s="51"/>
      <c r="U766" s="58"/>
      <c r="V766" s="58"/>
      <c r="W766" s="58"/>
      <c r="X766" s="58"/>
      <c r="Y766" s="58"/>
      <c r="Z766" s="58"/>
      <c r="AA766" s="58"/>
    </row>
    <row r="767" spans="11:27">
      <c r="K767" s="51"/>
      <c r="P767" s="50"/>
      <c r="Q767" s="51"/>
      <c r="U767" s="58"/>
      <c r="V767" s="58"/>
      <c r="W767" s="58"/>
      <c r="X767" s="58"/>
      <c r="Y767" s="58"/>
      <c r="Z767" s="58"/>
      <c r="AA767" s="58"/>
    </row>
    <row r="768" spans="11:27">
      <c r="K768" s="51"/>
      <c r="P768" s="50"/>
      <c r="Q768" s="51"/>
      <c r="U768" s="58"/>
      <c r="V768" s="58"/>
      <c r="W768" s="58"/>
      <c r="X768" s="58"/>
      <c r="Y768" s="58"/>
      <c r="Z768" s="58"/>
      <c r="AA768" s="58"/>
    </row>
    <row r="769" spans="11:27">
      <c r="K769" s="51"/>
      <c r="P769" s="50"/>
      <c r="Q769" s="51"/>
      <c r="U769" s="58"/>
      <c r="V769" s="58"/>
      <c r="W769" s="58"/>
      <c r="X769" s="58"/>
      <c r="Y769" s="58"/>
      <c r="Z769" s="58"/>
      <c r="AA769" s="58"/>
    </row>
    <row r="770" spans="11:27">
      <c r="K770" s="51"/>
      <c r="P770" s="50"/>
      <c r="Q770" s="51"/>
      <c r="U770" s="58"/>
      <c r="V770" s="58"/>
      <c r="W770" s="58"/>
      <c r="X770" s="58"/>
      <c r="Y770" s="58"/>
      <c r="Z770" s="58"/>
      <c r="AA770" s="58"/>
    </row>
    <row r="771" spans="11:27">
      <c r="K771" s="51"/>
      <c r="P771" s="50"/>
      <c r="Q771" s="51"/>
      <c r="U771" s="58"/>
      <c r="V771" s="58"/>
      <c r="W771" s="58"/>
      <c r="X771" s="58"/>
      <c r="Y771" s="58"/>
      <c r="Z771" s="58"/>
      <c r="AA771" s="58"/>
    </row>
    <row r="772" spans="11:27">
      <c r="K772" s="51"/>
      <c r="P772" s="50"/>
      <c r="Q772" s="51"/>
      <c r="U772" s="58"/>
      <c r="V772" s="58"/>
      <c r="W772" s="58"/>
      <c r="X772" s="58"/>
      <c r="Y772" s="58"/>
      <c r="Z772" s="58"/>
      <c r="AA772" s="58"/>
    </row>
    <row r="773" spans="11:27">
      <c r="K773" s="51"/>
      <c r="P773" s="50"/>
      <c r="Q773" s="51"/>
      <c r="U773" s="58"/>
      <c r="V773" s="58"/>
      <c r="W773" s="58"/>
      <c r="X773" s="58"/>
      <c r="Y773" s="58"/>
      <c r="Z773" s="58"/>
      <c r="AA773" s="58"/>
    </row>
    <row r="774" spans="11:27">
      <c r="K774" s="51"/>
      <c r="P774" s="50"/>
      <c r="Q774" s="51"/>
      <c r="U774" s="58"/>
      <c r="V774" s="58"/>
      <c r="W774" s="58"/>
      <c r="X774" s="58"/>
      <c r="Y774" s="58"/>
      <c r="Z774" s="58"/>
      <c r="AA774" s="58"/>
    </row>
    <row r="775" spans="11:27">
      <c r="K775" s="51"/>
      <c r="P775" s="50"/>
      <c r="Q775" s="51"/>
      <c r="U775" s="58"/>
      <c r="V775" s="58"/>
      <c r="W775" s="58"/>
      <c r="X775" s="58"/>
      <c r="Y775" s="58"/>
      <c r="Z775" s="58"/>
      <c r="AA775" s="58"/>
    </row>
    <row r="776" spans="11:27">
      <c r="K776" s="51"/>
      <c r="P776" s="50"/>
      <c r="Q776" s="51"/>
      <c r="U776" s="58"/>
      <c r="V776" s="58"/>
      <c r="W776" s="58"/>
      <c r="X776" s="58"/>
      <c r="Y776" s="58"/>
      <c r="Z776" s="58"/>
      <c r="AA776" s="58"/>
    </row>
    <row r="777" spans="11:27">
      <c r="K777" s="51"/>
      <c r="P777" s="50"/>
      <c r="Q777" s="51"/>
      <c r="U777" s="58"/>
      <c r="V777" s="58"/>
      <c r="W777" s="58"/>
      <c r="X777" s="58"/>
      <c r="Y777" s="58"/>
      <c r="Z777" s="58"/>
      <c r="AA777" s="58"/>
    </row>
    <row r="778" spans="11:27">
      <c r="K778" s="51"/>
      <c r="P778" s="50"/>
      <c r="Q778" s="51"/>
      <c r="U778" s="58"/>
      <c r="V778" s="58"/>
      <c r="W778" s="58"/>
      <c r="X778" s="58"/>
      <c r="Y778" s="58"/>
      <c r="Z778" s="58"/>
      <c r="AA778" s="58"/>
    </row>
    <row r="779" spans="11:27">
      <c r="K779" s="51"/>
      <c r="P779" s="50"/>
      <c r="Q779" s="51"/>
      <c r="U779" s="58"/>
      <c r="V779" s="58"/>
      <c r="W779" s="58"/>
      <c r="X779" s="58"/>
      <c r="Y779" s="58"/>
      <c r="Z779" s="58"/>
      <c r="AA779" s="58"/>
    </row>
    <row r="780" spans="11:27">
      <c r="K780" s="51"/>
      <c r="P780" s="50"/>
      <c r="Q780" s="51"/>
      <c r="U780" s="58"/>
      <c r="V780" s="58"/>
      <c r="W780" s="58"/>
      <c r="X780" s="58"/>
      <c r="Y780" s="58"/>
      <c r="Z780" s="58"/>
      <c r="AA780" s="58"/>
    </row>
    <row r="781" spans="11:27">
      <c r="K781" s="51"/>
      <c r="P781" s="50"/>
      <c r="Q781" s="51"/>
      <c r="U781" s="58"/>
      <c r="V781" s="58"/>
      <c r="W781" s="58"/>
      <c r="X781" s="58"/>
      <c r="Y781" s="58"/>
      <c r="Z781" s="58"/>
      <c r="AA781" s="58"/>
    </row>
    <row r="782" spans="11:27">
      <c r="K782" s="51"/>
      <c r="P782" s="50"/>
      <c r="Q782" s="51"/>
      <c r="U782" s="58"/>
      <c r="V782" s="58"/>
      <c r="W782" s="58"/>
      <c r="X782" s="58"/>
      <c r="Y782" s="58"/>
      <c r="Z782" s="58"/>
      <c r="AA782" s="58"/>
    </row>
    <row r="783" spans="11:27">
      <c r="K783" s="51"/>
      <c r="P783" s="50"/>
      <c r="Q783" s="51"/>
      <c r="U783" s="58"/>
      <c r="V783" s="58"/>
      <c r="W783" s="58"/>
      <c r="X783" s="58"/>
      <c r="Y783" s="58"/>
      <c r="Z783" s="58"/>
      <c r="AA783" s="58"/>
    </row>
    <row r="784" spans="11:27">
      <c r="K784" s="51"/>
      <c r="P784" s="50"/>
      <c r="Q784" s="51"/>
      <c r="U784" s="58"/>
      <c r="V784" s="58"/>
      <c r="W784" s="58"/>
      <c r="X784" s="58"/>
      <c r="Y784" s="58"/>
      <c r="Z784" s="58"/>
      <c r="AA784" s="58"/>
    </row>
    <row r="785" spans="11:27">
      <c r="K785" s="51"/>
      <c r="P785" s="50"/>
      <c r="Q785" s="51"/>
      <c r="U785" s="58"/>
      <c r="V785" s="58"/>
      <c r="W785" s="58"/>
      <c r="X785" s="58"/>
      <c r="Y785" s="58"/>
      <c r="Z785" s="58"/>
      <c r="AA785" s="58"/>
    </row>
    <row r="786" spans="11:27">
      <c r="K786" s="51"/>
      <c r="P786" s="50"/>
      <c r="Q786" s="51"/>
      <c r="U786" s="58"/>
      <c r="V786" s="58"/>
      <c r="W786" s="58"/>
      <c r="X786" s="58"/>
      <c r="Y786" s="58"/>
      <c r="Z786" s="58"/>
      <c r="AA786" s="58"/>
    </row>
    <row r="787" spans="11:27">
      <c r="K787" s="51"/>
      <c r="P787" s="50"/>
      <c r="Q787" s="51"/>
      <c r="U787" s="58"/>
      <c r="V787" s="58"/>
      <c r="W787" s="58"/>
      <c r="X787" s="58"/>
      <c r="Y787" s="58"/>
      <c r="Z787" s="58"/>
      <c r="AA787" s="58"/>
    </row>
    <row r="788" spans="11:27">
      <c r="K788" s="51"/>
      <c r="P788" s="50"/>
      <c r="Q788" s="51"/>
      <c r="U788" s="58"/>
      <c r="V788" s="58"/>
      <c r="W788" s="58"/>
      <c r="X788" s="58"/>
      <c r="Y788" s="58"/>
      <c r="Z788" s="58"/>
      <c r="AA788" s="58"/>
    </row>
    <row r="789" spans="11:27">
      <c r="K789" s="51"/>
      <c r="P789" s="50"/>
      <c r="Q789" s="51"/>
      <c r="U789" s="58"/>
      <c r="V789" s="58"/>
      <c r="W789" s="58"/>
      <c r="X789" s="58"/>
      <c r="Y789" s="58"/>
      <c r="Z789" s="58"/>
      <c r="AA789" s="58"/>
    </row>
    <row r="790" spans="11:27">
      <c r="K790" s="51"/>
      <c r="P790" s="50"/>
      <c r="Q790" s="51"/>
      <c r="U790" s="58"/>
      <c r="V790" s="58"/>
      <c r="W790" s="58"/>
      <c r="X790" s="58"/>
      <c r="Y790" s="58"/>
      <c r="Z790" s="58"/>
      <c r="AA790" s="58"/>
    </row>
    <row r="791" spans="11:27">
      <c r="K791" s="51"/>
      <c r="P791" s="50"/>
      <c r="Q791" s="51"/>
      <c r="U791" s="58"/>
      <c r="V791" s="58"/>
      <c r="W791" s="58"/>
      <c r="X791" s="58"/>
      <c r="Y791" s="58"/>
      <c r="Z791" s="58"/>
      <c r="AA791" s="58"/>
    </row>
    <row r="792" spans="11:27">
      <c r="K792" s="51"/>
      <c r="P792" s="50"/>
      <c r="Q792" s="51"/>
      <c r="U792" s="58"/>
      <c r="V792" s="58"/>
      <c r="W792" s="58"/>
      <c r="X792" s="58"/>
      <c r="Y792" s="58"/>
      <c r="Z792" s="58"/>
      <c r="AA792" s="58"/>
    </row>
    <row r="793" spans="11:27">
      <c r="K793" s="51"/>
      <c r="P793" s="50"/>
      <c r="Q793" s="51"/>
      <c r="U793" s="58"/>
      <c r="V793" s="58"/>
      <c r="W793" s="58"/>
      <c r="X793" s="58"/>
      <c r="Y793" s="58"/>
      <c r="Z793" s="58"/>
      <c r="AA793" s="58"/>
    </row>
    <row r="794" spans="11:27">
      <c r="K794" s="51"/>
      <c r="P794" s="50"/>
      <c r="Q794" s="51"/>
      <c r="U794" s="58"/>
      <c r="V794" s="58"/>
      <c r="W794" s="58"/>
      <c r="X794" s="58"/>
      <c r="Y794" s="58"/>
      <c r="Z794" s="58"/>
      <c r="AA794" s="58"/>
    </row>
    <row r="795" spans="11:27">
      <c r="K795" s="51"/>
      <c r="P795" s="50"/>
      <c r="Q795" s="51"/>
      <c r="U795" s="58"/>
      <c r="V795" s="58"/>
      <c r="W795" s="58"/>
      <c r="X795" s="58"/>
      <c r="Y795" s="58"/>
      <c r="Z795" s="58"/>
      <c r="AA795" s="58"/>
    </row>
    <row r="796" spans="11:27">
      <c r="K796" s="51"/>
      <c r="P796" s="50"/>
      <c r="Q796" s="51"/>
      <c r="U796" s="58"/>
      <c r="V796" s="58"/>
      <c r="W796" s="58"/>
      <c r="X796" s="58"/>
      <c r="Y796" s="58"/>
      <c r="Z796" s="58"/>
      <c r="AA796" s="58"/>
    </row>
    <row r="797" spans="11:27">
      <c r="K797" s="51"/>
      <c r="P797" s="50"/>
      <c r="Q797" s="51"/>
      <c r="U797" s="58"/>
      <c r="V797" s="58"/>
      <c r="W797" s="58"/>
      <c r="X797" s="58"/>
      <c r="Y797" s="58"/>
      <c r="Z797" s="58"/>
      <c r="AA797" s="58"/>
    </row>
    <row r="798" spans="11:27">
      <c r="K798" s="51"/>
      <c r="P798" s="50"/>
      <c r="Q798" s="51"/>
      <c r="U798" s="58"/>
      <c r="V798" s="58"/>
      <c r="W798" s="58"/>
      <c r="X798" s="58"/>
      <c r="Y798" s="58"/>
      <c r="Z798" s="58"/>
      <c r="AA798" s="58"/>
    </row>
    <row r="799" spans="11:27">
      <c r="K799" s="51"/>
      <c r="P799" s="50"/>
      <c r="Q799" s="51"/>
      <c r="U799" s="58"/>
      <c r="V799" s="58"/>
      <c r="W799" s="58"/>
      <c r="X799" s="58"/>
      <c r="Y799" s="58"/>
      <c r="Z799" s="58"/>
      <c r="AA799" s="58"/>
    </row>
    <row r="800" spans="11:27">
      <c r="K800" s="51"/>
      <c r="P800" s="50"/>
      <c r="Q800" s="51"/>
      <c r="U800" s="58"/>
      <c r="V800" s="58"/>
      <c r="W800" s="58"/>
      <c r="X800" s="58"/>
      <c r="Y800" s="58"/>
      <c r="Z800" s="58"/>
      <c r="AA800" s="58"/>
    </row>
    <row r="801" spans="11:27">
      <c r="K801" s="51"/>
      <c r="P801" s="50"/>
      <c r="Q801" s="51"/>
      <c r="U801" s="58"/>
      <c r="V801" s="58"/>
      <c r="W801" s="58"/>
      <c r="X801" s="58"/>
      <c r="Y801" s="58"/>
      <c r="Z801" s="58"/>
      <c r="AA801" s="58"/>
    </row>
    <row r="802" spans="11:27">
      <c r="K802" s="51"/>
      <c r="P802" s="50"/>
      <c r="Q802" s="51"/>
      <c r="U802" s="58"/>
      <c r="V802" s="58"/>
      <c r="W802" s="58"/>
      <c r="X802" s="58"/>
      <c r="Y802" s="58"/>
      <c r="Z802" s="58"/>
      <c r="AA802" s="58"/>
    </row>
    <row r="803" spans="11:27">
      <c r="K803" s="51"/>
      <c r="P803" s="50"/>
      <c r="Q803" s="51"/>
      <c r="U803" s="58"/>
      <c r="V803" s="58"/>
      <c r="W803" s="58"/>
      <c r="X803" s="58"/>
      <c r="Y803" s="58"/>
      <c r="Z803" s="58"/>
      <c r="AA803" s="58"/>
    </row>
    <row r="804" spans="11:27">
      <c r="K804" s="51"/>
      <c r="P804" s="50"/>
      <c r="Q804" s="51"/>
      <c r="U804" s="58"/>
      <c r="V804" s="58"/>
      <c r="W804" s="58"/>
      <c r="X804" s="58"/>
      <c r="Y804" s="58"/>
      <c r="Z804" s="58"/>
      <c r="AA804" s="58"/>
    </row>
    <row r="805" spans="11:27">
      <c r="K805" s="51"/>
      <c r="P805" s="50"/>
      <c r="Q805" s="51"/>
      <c r="U805" s="58"/>
      <c r="V805" s="58"/>
      <c r="W805" s="58"/>
      <c r="X805" s="58"/>
      <c r="Y805" s="58"/>
      <c r="Z805" s="58"/>
      <c r="AA805" s="58"/>
    </row>
    <row r="806" spans="11:27">
      <c r="K806" s="51"/>
      <c r="P806" s="50"/>
      <c r="Q806" s="51"/>
      <c r="U806" s="58"/>
      <c r="V806" s="58"/>
      <c r="W806" s="58"/>
      <c r="X806" s="58"/>
      <c r="Y806" s="58"/>
      <c r="Z806" s="58"/>
      <c r="AA806" s="58"/>
    </row>
    <row r="807" spans="11:27">
      <c r="K807" s="51"/>
      <c r="P807" s="50"/>
      <c r="Q807" s="51"/>
      <c r="U807" s="58"/>
      <c r="V807" s="58"/>
      <c r="W807" s="58"/>
      <c r="X807" s="58"/>
      <c r="Y807" s="58"/>
      <c r="Z807" s="58"/>
      <c r="AA807" s="58"/>
    </row>
    <row r="808" spans="11:27">
      <c r="K808" s="51"/>
      <c r="P808" s="50"/>
      <c r="Q808" s="51"/>
      <c r="U808" s="58"/>
      <c r="V808" s="58"/>
      <c r="W808" s="58"/>
      <c r="X808" s="58"/>
      <c r="Y808" s="58"/>
      <c r="Z808" s="58"/>
      <c r="AA808" s="58"/>
    </row>
    <row r="809" spans="11:27">
      <c r="K809" s="51"/>
      <c r="P809" s="50"/>
      <c r="Q809" s="51"/>
      <c r="U809" s="58"/>
      <c r="V809" s="58"/>
      <c r="W809" s="58"/>
      <c r="X809" s="58"/>
      <c r="Y809" s="58"/>
      <c r="Z809" s="58"/>
      <c r="AA809" s="58"/>
    </row>
    <row r="810" spans="11:27">
      <c r="K810" s="51"/>
      <c r="P810" s="50"/>
      <c r="Q810" s="51"/>
      <c r="U810" s="58"/>
      <c r="V810" s="58"/>
      <c r="W810" s="58"/>
      <c r="X810" s="58"/>
      <c r="Y810" s="58"/>
      <c r="Z810" s="58"/>
      <c r="AA810" s="58"/>
    </row>
    <row r="811" spans="11:27">
      <c r="K811" s="51"/>
      <c r="P811" s="50"/>
      <c r="Q811" s="51"/>
      <c r="U811" s="58"/>
      <c r="V811" s="58"/>
      <c r="W811" s="58"/>
      <c r="X811" s="58"/>
      <c r="Y811" s="58"/>
      <c r="Z811" s="58"/>
      <c r="AA811" s="58"/>
    </row>
    <row r="812" spans="11:27">
      <c r="K812" s="51"/>
      <c r="P812" s="50"/>
      <c r="Q812" s="51"/>
      <c r="U812" s="58"/>
      <c r="V812" s="58"/>
      <c r="W812" s="58"/>
      <c r="X812" s="58"/>
      <c r="Y812" s="58"/>
      <c r="Z812" s="58"/>
      <c r="AA812" s="58"/>
    </row>
    <row r="813" spans="11:27">
      <c r="K813" s="51"/>
      <c r="P813" s="50"/>
      <c r="Q813" s="51"/>
      <c r="U813" s="58"/>
      <c r="V813" s="58"/>
      <c r="W813" s="58"/>
      <c r="X813" s="58"/>
      <c r="Y813" s="58"/>
      <c r="Z813" s="58"/>
      <c r="AA813" s="58"/>
    </row>
    <row r="814" spans="11:27">
      <c r="K814" s="51"/>
      <c r="P814" s="50"/>
      <c r="Q814" s="51"/>
      <c r="U814" s="58"/>
      <c r="V814" s="58"/>
      <c r="W814" s="58"/>
      <c r="X814" s="58"/>
      <c r="Y814" s="58"/>
      <c r="Z814" s="58"/>
      <c r="AA814" s="58"/>
    </row>
    <row r="815" spans="11:27">
      <c r="K815" s="51"/>
      <c r="P815" s="50"/>
      <c r="Q815" s="51"/>
      <c r="U815" s="58"/>
      <c r="V815" s="58"/>
      <c r="W815" s="58"/>
      <c r="X815" s="58"/>
      <c r="Y815" s="58"/>
      <c r="Z815" s="58"/>
      <c r="AA815" s="58"/>
    </row>
    <row r="816" spans="11:27">
      <c r="K816" s="51"/>
      <c r="P816" s="50"/>
      <c r="Q816" s="51"/>
      <c r="U816" s="58"/>
      <c r="V816" s="58"/>
      <c r="W816" s="58"/>
      <c r="X816" s="58"/>
      <c r="Y816" s="58"/>
      <c r="Z816" s="58"/>
      <c r="AA816" s="58"/>
    </row>
    <row r="817" spans="11:27">
      <c r="K817" s="51"/>
      <c r="P817" s="50"/>
      <c r="Q817" s="51"/>
      <c r="U817" s="58"/>
      <c r="V817" s="58"/>
      <c r="W817" s="58"/>
      <c r="X817" s="58"/>
      <c r="Y817" s="58"/>
      <c r="Z817" s="58"/>
      <c r="AA817" s="58"/>
    </row>
    <row r="818" spans="11:27">
      <c r="K818" s="51"/>
      <c r="P818" s="50"/>
      <c r="Q818" s="51"/>
      <c r="U818" s="58"/>
      <c r="V818" s="58"/>
      <c r="W818" s="58"/>
      <c r="X818" s="58"/>
      <c r="Y818" s="58"/>
      <c r="Z818" s="58"/>
      <c r="AA818" s="58"/>
    </row>
    <row r="819" spans="11:27">
      <c r="K819" s="51"/>
      <c r="P819" s="50"/>
      <c r="Q819" s="51"/>
      <c r="U819" s="58"/>
      <c r="V819" s="58"/>
      <c r="W819" s="58"/>
      <c r="X819" s="58"/>
      <c r="Y819" s="58"/>
      <c r="Z819" s="58"/>
      <c r="AA819" s="58"/>
    </row>
    <row r="820" spans="11:27">
      <c r="K820" s="51"/>
      <c r="P820" s="50"/>
      <c r="Q820" s="51"/>
      <c r="U820" s="58"/>
      <c r="V820" s="58"/>
      <c r="W820" s="58"/>
      <c r="X820" s="58"/>
      <c r="Y820" s="58"/>
      <c r="Z820" s="58"/>
      <c r="AA820" s="58"/>
    </row>
    <row r="821" spans="11:27">
      <c r="K821" s="51"/>
      <c r="P821" s="50"/>
      <c r="Q821" s="51"/>
      <c r="U821" s="58"/>
      <c r="V821" s="58"/>
      <c r="W821" s="58"/>
      <c r="X821" s="58"/>
      <c r="Y821" s="58"/>
      <c r="Z821" s="58"/>
      <c r="AA821" s="58"/>
    </row>
    <row r="822" spans="11:27">
      <c r="K822" s="51"/>
      <c r="P822" s="50"/>
      <c r="Q822" s="51"/>
      <c r="U822" s="58"/>
      <c r="V822" s="58"/>
      <c r="W822" s="58"/>
      <c r="X822" s="58"/>
      <c r="Y822" s="58"/>
      <c r="Z822" s="58"/>
      <c r="AA822" s="58"/>
    </row>
    <row r="823" spans="11:27">
      <c r="K823" s="51"/>
      <c r="P823" s="50"/>
      <c r="Q823" s="51"/>
      <c r="U823" s="58"/>
      <c r="V823" s="58"/>
      <c r="W823" s="58"/>
      <c r="X823" s="58"/>
      <c r="Y823" s="58"/>
      <c r="Z823" s="58"/>
      <c r="AA823" s="58"/>
    </row>
    <row r="824" spans="11:27">
      <c r="K824" s="51"/>
      <c r="P824" s="50"/>
      <c r="Q824" s="51"/>
      <c r="U824" s="58"/>
      <c r="V824" s="58"/>
      <c r="W824" s="58"/>
      <c r="X824" s="58"/>
      <c r="Y824" s="58"/>
      <c r="Z824" s="58"/>
      <c r="AA824" s="58"/>
    </row>
    <row r="825" spans="11:27">
      <c r="K825" s="51"/>
      <c r="P825" s="50"/>
      <c r="Q825" s="51"/>
      <c r="U825" s="58"/>
      <c r="V825" s="58"/>
      <c r="W825" s="58"/>
      <c r="X825" s="58"/>
      <c r="Y825" s="58"/>
      <c r="Z825" s="58"/>
      <c r="AA825" s="58"/>
    </row>
    <row r="826" spans="11:27">
      <c r="K826" s="51"/>
      <c r="P826" s="50"/>
      <c r="Q826" s="51"/>
      <c r="U826" s="58"/>
      <c r="V826" s="58"/>
      <c r="W826" s="58"/>
      <c r="X826" s="58"/>
      <c r="Y826" s="58"/>
      <c r="Z826" s="58"/>
      <c r="AA826" s="58"/>
    </row>
    <row r="827" spans="11:27">
      <c r="K827" s="51"/>
      <c r="P827" s="50"/>
      <c r="Q827" s="51"/>
      <c r="U827" s="58"/>
      <c r="V827" s="58"/>
      <c r="W827" s="58"/>
      <c r="X827" s="58"/>
      <c r="Y827" s="58"/>
      <c r="Z827" s="58"/>
      <c r="AA827" s="58"/>
    </row>
    <row r="828" spans="11:27">
      <c r="K828" s="51"/>
      <c r="P828" s="50"/>
      <c r="Q828" s="51"/>
      <c r="U828" s="58"/>
      <c r="V828" s="58"/>
      <c r="W828" s="58"/>
      <c r="X828" s="58"/>
      <c r="Y828" s="58"/>
      <c r="Z828" s="58"/>
      <c r="AA828" s="58"/>
    </row>
    <row r="829" spans="11:27">
      <c r="K829" s="51"/>
      <c r="P829" s="50"/>
      <c r="Q829" s="51"/>
      <c r="U829" s="58"/>
      <c r="V829" s="58"/>
      <c r="W829" s="58"/>
      <c r="X829" s="58"/>
      <c r="Y829" s="58"/>
      <c r="Z829" s="58"/>
      <c r="AA829" s="58"/>
    </row>
    <row r="830" spans="11:27">
      <c r="K830" s="51"/>
      <c r="P830" s="50"/>
      <c r="Q830" s="51"/>
      <c r="U830" s="58"/>
      <c r="V830" s="58"/>
      <c r="W830" s="58"/>
      <c r="X830" s="58"/>
      <c r="Y830" s="58"/>
      <c r="Z830" s="58"/>
      <c r="AA830" s="58"/>
    </row>
    <row r="831" spans="11:27">
      <c r="K831" s="51"/>
      <c r="P831" s="50"/>
      <c r="Q831" s="51"/>
      <c r="U831" s="58"/>
      <c r="V831" s="58"/>
      <c r="W831" s="58"/>
      <c r="X831" s="58"/>
      <c r="Y831" s="58"/>
      <c r="Z831" s="58"/>
      <c r="AA831" s="58"/>
    </row>
    <row r="832" spans="11:27">
      <c r="K832" s="51"/>
      <c r="P832" s="50"/>
      <c r="Q832" s="51"/>
      <c r="U832" s="58"/>
      <c r="V832" s="58"/>
      <c r="W832" s="58"/>
      <c r="X832" s="58"/>
      <c r="Y832" s="58"/>
      <c r="Z832" s="58"/>
      <c r="AA832" s="58"/>
    </row>
    <row r="833" spans="11:27">
      <c r="K833" s="51"/>
      <c r="P833" s="50"/>
      <c r="Q833" s="51"/>
      <c r="U833" s="58"/>
      <c r="V833" s="58"/>
      <c r="W833" s="58"/>
      <c r="X833" s="58"/>
      <c r="Y833" s="58"/>
      <c r="Z833" s="58"/>
      <c r="AA833" s="58"/>
    </row>
    <row r="834" spans="11:27">
      <c r="K834" s="51"/>
      <c r="P834" s="50"/>
      <c r="Q834" s="51"/>
      <c r="U834" s="58"/>
      <c r="V834" s="58"/>
      <c r="W834" s="58"/>
      <c r="X834" s="58"/>
      <c r="Y834" s="58"/>
      <c r="Z834" s="58"/>
      <c r="AA834" s="58"/>
    </row>
    <row r="835" spans="11:27">
      <c r="K835" s="51"/>
      <c r="P835" s="50"/>
      <c r="Q835" s="51"/>
      <c r="U835" s="58"/>
      <c r="V835" s="58"/>
      <c r="W835" s="58"/>
      <c r="X835" s="58"/>
      <c r="Y835" s="58"/>
      <c r="Z835" s="58"/>
      <c r="AA835" s="58"/>
    </row>
    <row r="836" spans="11:27">
      <c r="K836" s="51"/>
      <c r="P836" s="50"/>
      <c r="Q836" s="51"/>
      <c r="U836" s="58"/>
      <c r="V836" s="58"/>
      <c r="W836" s="58"/>
      <c r="X836" s="58"/>
      <c r="Y836" s="58"/>
      <c r="Z836" s="58"/>
      <c r="AA836" s="58"/>
    </row>
    <row r="837" spans="11:27">
      <c r="K837" s="51"/>
      <c r="P837" s="50"/>
      <c r="Q837" s="51"/>
      <c r="U837" s="58"/>
      <c r="V837" s="58"/>
      <c r="W837" s="58"/>
      <c r="X837" s="58"/>
      <c r="Y837" s="58"/>
      <c r="Z837" s="58"/>
      <c r="AA837" s="58"/>
    </row>
    <row r="838" spans="11:27">
      <c r="K838" s="51"/>
      <c r="P838" s="50"/>
      <c r="Q838" s="51"/>
      <c r="U838" s="58"/>
      <c r="V838" s="58"/>
      <c r="W838" s="58"/>
      <c r="X838" s="58"/>
      <c r="Y838" s="58"/>
      <c r="Z838" s="58"/>
      <c r="AA838" s="58"/>
    </row>
    <row r="839" spans="11:27">
      <c r="K839" s="51"/>
      <c r="P839" s="50"/>
      <c r="Q839" s="51"/>
      <c r="U839" s="58"/>
      <c r="V839" s="58"/>
      <c r="W839" s="58"/>
      <c r="X839" s="58"/>
      <c r="Y839" s="58"/>
      <c r="Z839" s="58"/>
      <c r="AA839" s="58"/>
    </row>
    <row r="840" spans="11:27">
      <c r="K840" s="51"/>
      <c r="P840" s="50"/>
      <c r="Q840" s="51"/>
      <c r="U840" s="58"/>
      <c r="V840" s="58"/>
      <c r="W840" s="58"/>
      <c r="X840" s="58"/>
      <c r="Y840" s="58"/>
      <c r="Z840" s="58"/>
      <c r="AA840" s="58"/>
    </row>
    <row r="841" spans="11:27">
      <c r="K841" s="51"/>
      <c r="P841" s="50"/>
      <c r="Q841" s="51"/>
      <c r="U841" s="58"/>
      <c r="V841" s="58"/>
      <c r="W841" s="58"/>
      <c r="X841" s="58"/>
      <c r="Y841" s="58"/>
      <c r="Z841" s="58"/>
      <c r="AA841" s="58"/>
    </row>
    <row r="842" spans="11:27">
      <c r="K842" s="51"/>
      <c r="P842" s="50"/>
      <c r="Q842" s="51"/>
      <c r="U842" s="58"/>
      <c r="V842" s="58"/>
      <c r="W842" s="58"/>
      <c r="X842" s="58"/>
      <c r="Y842" s="58"/>
      <c r="Z842" s="58"/>
      <c r="AA842" s="58"/>
    </row>
    <row r="843" spans="11:27">
      <c r="K843" s="51"/>
      <c r="P843" s="50"/>
      <c r="Q843" s="51"/>
      <c r="U843" s="58"/>
      <c r="V843" s="58"/>
      <c r="W843" s="58"/>
      <c r="X843" s="58"/>
      <c r="Y843" s="58"/>
      <c r="Z843" s="58"/>
      <c r="AA843" s="58"/>
    </row>
    <row r="844" spans="11:27">
      <c r="K844" s="51"/>
      <c r="P844" s="50"/>
      <c r="Q844" s="51"/>
      <c r="U844" s="58"/>
      <c r="V844" s="58"/>
      <c r="W844" s="58"/>
      <c r="X844" s="58"/>
      <c r="Y844" s="58"/>
      <c r="Z844" s="58"/>
      <c r="AA844" s="58"/>
    </row>
    <row r="845" spans="11:27">
      <c r="K845" s="51"/>
      <c r="P845" s="50"/>
      <c r="Q845" s="51"/>
      <c r="U845" s="58"/>
      <c r="V845" s="58"/>
      <c r="W845" s="58"/>
      <c r="X845" s="58"/>
      <c r="Y845" s="58"/>
      <c r="Z845" s="58"/>
      <c r="AA845" s="58"/>
    </row>
    <row r="846" spans="11:27">
      <c r="K846" s="51"/>
      <c r="P846" s="50"/>
      <c r="Q846" s="51"/>
      <c r="U846" s="58"/>
      <c r="V846" s="58"/>
      <c r="W846" s="58"/>
      <c r="X846" s="58"/>
      <c r="Y846" s="58"/>
      <c r="Z846" s="58"/>
      <c r="AA846" s="58"/>
    </row>
    <row r="847" spans="11:27">
      <c r="K847" s="51"/>
      <c r="P847" s="50"/>
      <c r="Q847" s="51"/>
      <c r="U847" s="58"/>
      <c r="V847" s="58"/>
      <c r="W847" s="58"/>
      <c r="X847" s="58"/>
      <c r="Y847" s="58"/>
      <c r="Z847" s="58"/>
      <c r="AA847" s="58"/>
    </row>
    <row r="848" spans="11:27">
      <c r="K848" s="51"/>
      <c r="P848" s="50"/>
      <c r="Q848" s="51"/>
      <c r="U848" s="58"/>
      <c r="V848" s="58"/>
      <c r="W848" s="58"/>
      <c r="X848" s="58"/>
      <c r="Y848" s="58"/>
      <c r="Z848" s="58"/>
      <c r="AA848" s="58"/>
    </row>
    <row r="849" spans="11:27">
      <c r="K849" s="51"/>
      <c r="P849" s="50"/>
      <c r="Q849" s="51"/>
      <c r="U849" s="58"/>
      <c r="V849" s="58"/>
      <c r="W849" s="58"/>
      <c r="X849" s="58"/>
      <c r="Y849" s="58"/>
      <c r="Z849" s="58"/>
      <c r="AA849" s="58"/>
    </row>
    <row r="850" spans="11:27">
      <c r="K850" s="51"/>
      <c r="P850" s="50"/>
      <c r="Q850" s="51"/>
      <c r="U850" s="58"/>
      <c r="V850" s="58"/>
      <c r="W850" s="58"/>
      <c r="X850" s="58"/>
      <c r="Y850" s="58"/>
      <c r="Z850" s="58"/>
      <c r="AA850" s="58"/>
    </row>
    <row r="851" spans="11:27">
      <c r="K851" s="51"/>
      <c r="P851" s="50"/>
      <c r="Q851" s="51"/>
      <c r="U851" s="58"/>
      <c r="V851" s="58"/>
      <c r="W851" s="58"/>
      <c r="X851" s="58"/>
      <c r="Y851" s="58"/>
      <c r="Z851" s="58"/>
      <c r="AA851" s="58"/>
    </row>
    <row r="852" spans="11:27">
      <c r="K852" s="51"/>
      <c r="P852" s="50"/>
      <c r="Q852" s="51"/>
      <c r="U852" s="58"/>
      <c r="V852" s="58"/>
      <c r="W852" s="58"/>
      <c r="X852" s="58"/>
      <c r="Y852" s="58"/>
      <c r="Z852" s="58"/>
      <c r="AA852" s="58"/>
    </row>
    <row r="853" spans="11:27">
      <c r="K853" s="51"/>
      <c r="P853" s="50"/>
      <c r="Q853" s="51"/>
      <c r="U853" s="58"/>
      <c r="V853" s="58"/>
      <c r="W853" s="58"/>
      <c r="X853" s="58"/>
      <c r="Y853" s="58"/>
      <c r="Z853" s="58"/>
      <c r="AA853" s="58"/>
    </row>
    <row r="854" spans="11:27">
      <c r="K854" s="51"/>
      <c r="P854" s="50"/>
      <c r="Q854" s="51"/>
      <c r="U854" s="58"/>
      <c r="V854" s="58"/>
      <c r="W854" s="58"/>
      <c r="X854" s="58"/>
      <c r="Y854" s="58"/>
      <c r="Z854" s="58"/>
      <c r="AA854" s="58"/>
    </row>
    <row r="855" spans="11:27">
      <c r="K855" s="51"/>
      <c r="P855" s="50"/>
      <c r="Q855" s="51"/>
      <c r="U855" s="58"/>
      <c r="V855" s="58"/>
      <c r="W855" s="58"/>
      <c r="X855" s="58"/>
      <c r="Y855" s="58"/>
      <c r="Z855" s="58"/>
      <c r="AA855" s="58"/>
    </row>
    <row r="856" spans="11:27">
      <c r="K856" s="51"/>
      <c r="P856" s="50"/>
      <c r="Q856" s="51"/>
      <c r="U856" s="58"/>
      <c r="V856" s="58"/>
      <c r="W856" s="58"/>
      <c r="X856" s="58"/>
      <c r="Y856" s="58"/>
      <c r="Z856" s="58"/>
      <c r="AA856" s="58"/>
    </row>
    <row r="857" spans="11:27">
      <c r="K857" s="51"/>
      <c r="P857" s="50"/>
      <c r="Q857" s="51"/>
      <c r="U857" s="58"/>
      <c r="V857" s="58"/>
      <c r="W857" s="58"/>
      <c r="X857" s="58"/>
      <c r="Y857" s="58"/>
      <c r="Z857" s="58"/>
      <c r="AA857" s="58"/>
    </row>
    <row r="858" spans="11:27">
      <c r="K858" s="51"/>
      <c r="P858" s="50"/>
      <c r="Q858" s="51"/>
      <c r="U858" s="58"/>
      <c r="V858" s="58"/>
      <c r="W858" s="58"/>
      <c r="X858" s="58"/>
      <c r="Y858" s="58"/>
      <c r="Z858" s="58"/>
      <c r="AA858" s="58"/>
    </row>
    <row r="859" spans="11:27">
      <c r="K859" s="51"/>
      <c r="P859" s="50"/>
      <c r="Q859" s="51"/>
      <c r="U859" s="58"/>
      <c r="V859" s="58"/>
      <c r="W859" s="58"/>
      <c r="X859" s="58"/>
      <c r="Y859" s="58"/>
      <c r="Z859" s="58"/>
      <c r="AA859" s="58"/>
    </row>
    <row r="860" spans="11:27">
      <c r="K860" s="51"/>
      <c r="P860" s="50"/>
      <c r="Q860" s="51"/>
      <c r="U860" s="58"/>
      <c r="V860" s="58"/>
      <c r="W860" s="58"/>
      <c r="X860" s="58"/>
      <c r="Y860" s="58"/>
      <c r="Z860" s="58"/>
      <c r="AA860" s="58"/>
    </row>
    <row r="861" spans="11:27">
      <c r="K861" s="51"/>
      <c r="P861" s="50"/>
      <c r="Q861" s="51"/>
      <c r="U861" s="58"/>
      <c r="V861" s="58"/>
      <c r="W861" s="58"/>
      <c r="X861" s="58"/>
      <c r="Y861" s="58"/>
      <c r="Z861" s="58"/>
      <c r="AA861" s="58"/>
    </row>
    <row r="862" spans="11:27">
      <c r="K862" s="51"/>
      <c r="P862" s="50"/>
      <c r="Q862" s="51"/>
      <c r="U862" s="58"/>
      <c r="V862" s="58"/>
      <c r="W862" s="58"/>
      <c r="X862" s="58"/>
      <c r="Y862" s="58"/>
      <c r="Z862" s="58"/>
      <c r="AA862" s="58"/>
    </row>
    <row r="863" spans="11:27">
      <c r="K863" s="51"/>
      <c r="P863" s="50"/>
      <c r="Q863" s="51"/>
      <c r="U863" s="58"/>
      <c r="V863" s="58"/>
      <c r="W863" s="58"/>
      <c r="X863" s="58"/>
      <c r="Y863" s="58"/>
      <c r="Z863" s="58"/>
      <c r="AA863" s="58"/>
    </row>
    <row r="864" spans="11:27">
      <c r="K864" s="51"/>
      <c r="P864" s="50"/>
      <c r="Q864" s="51"/>
      <c r="U864" s="58"/>
      <c r="V864" s="58"/>
      <c r="W864" s="58"/>
      <c r="X864" s="58"/>
      <c r="Y864" s="58"/>
      <c r="Z864" s="58"/>
      <c r="AA864" s="58"/>
    </row>
    <row r="865" spans="11:27">
      <c r="K865" s="51"/>
      <c r="P865" s="50"/>
      <c r="Q865" s="51"/>
      <c r="U865" s="58"/>
      <c r="V865" s="58"/>
      <c r="W865" s="58"/>
      <c r="X865" s="58"/>
      <c r="Y865" s="58"/>
      <c r="Z865" s="58"/>
      <c r="AA865" s="58"/>
    </row>
    <row r="866" spans="11:27">
      <c r="K866" s="51"/>
      <c r="P866" s="50"/>
      <c r="Q866" s="51"/>
      <c r="U866" s="58"/>
      <c r="V866" s="58"/>
      <c r="W866" s="58"/>
      <c r="X866" s="58"/>
      <c r="Y866" s="58"/>
      <c r="Z866" s="58"/>
      <c r="AA866" s="58"/>
    </row>
    <row r="867" spans="11:27">
      <c r="K867" s="51"/>
      <c r="P867" s="50"/>
      <c r="Q867" s="51"/>
      <c r="U867" s="58"/>
      <c r="V867" s="58"/>
      <c r="W867" s="58"/>
      <c r="X867" s="58"/>
      <c r="Y867" s="58"/>
      <c r="Z867" s="58"/>
      <c r="AA867" s="58"/>
    </row>
    <row r="868" spans="11:27">
      <c r="K868" s="51"/>
      <c r="P868" s="50"/>
      <c r="Q868" s="51"/>
      <c r="U868" s="58"/>
      <c r="V868" s="58"/>
      <c r="W868" s="58"/>
      <c r="X868" s="58"/>
      <c r="Y868" s="58"/>
      <c r="Z868" s="58"/>
      <c r="AA868" s="58"/>
    </row>
    <row r="869" spans="11:27">
      <c r="K869" s="51"/>
      <c r="P869" s="50"/>
      <c r="Q869" s="51"/>
      <c r="U869" s="58"/>
      <c r="V869" s="58"/>
      <c r="W869" s="58"/>
      <c r="X869" s="58"/>
      <c r="Y869" s="58"/>
      <c r="Z869" s="58"/>
      <c r="AA869" s="58"/>
    </row>
    <row r="870" spans="11:27">
      <c r="K870" s="51"/>
      <c r="P870" s="50"/>
      <c r="Q870" s="51"/>
      <c r="U870" s="58"/>
      <c r="V870" s="58"/>
      <c r="W870" s="58"/>
      <c r="X870" s="58"/>
      <c r="Y870" s="58"/>
      <c r="Z870" s="58"/>
      <c r="AA870" s="58"/>
    </row>
    <row r="871" spans="11:27">
      <c r="K871" s="51"/>
      <c r="P871" s="50"/>
      <c r="Q871" s="51"/>
      <c r="U871" s="58"/>
      <c r="V871" s="58"/>
      <c r="W871" s="58"/>
      <c r="X871" s="58"/>
      <c r="Y871" s="58"/>
      <c r="Z871" s="58"/>
      <c r="AA871" s="58"/>
    </row>
    <row r="872" spans="11:27">
      <c r="K872" s="51"/>
      <c r="P872" s="50"/>
      <c r="Q872" s="51"/>
      <c r="U872" s="58"/>
      <c r="V872" s="58"/>
      <c r="W872" s="58"/>
      <c r="X872" s="58"/>
      <c r="Y872" s="58"/>
      <c r="Z872" s="58"/>
      <c r="AA872" s="58"/>
    </row>
    <row r="873" spans="11:27">
      <c r="K873" s="51"/>
      <c r="P873" s="50"/>
      <c r="Q873" s="51"/>
      <c r="U873" s="58"/>
      <c r="V873" s="58"/>
      <c r="W873" s="58"/>
      <c r="X873" s="58"/>
      <c r="Y873" s="58"/>
      <c r="Z873" s="58"/>
      <c r="AA873" s="58"/>
    </row>
    <row r="874" spans="11:27">
      <c r="K874" s="51"/>
      <c r="P874" s="50"/>
      <c r="Q874" s="51"/>
      <c r="U874" s="58"/>
      <c r="V874" s="58"/>
      <c r="W874" s="58"/>
      <c r="X874" s="58"/>
      <c r="Y874" s="58"/>
      <c r="Z874" s="58"/>
      <c r="AA874" s="58"/>
    </row>
    <row r="875" spans="11:27">
      <c r="K875" s="51"/>
      <c r="P875" s="50"/>
      <c r="Q875" s="51"/>
      <c r="U875" s="58"/>
      <c r="V875" s="58"/>
      <c r="W875" s="58"/>
      <c r="X875" s="58"/>
      <c r="Y875" s="58"/>
      <c r="Z875" s="58"/>
      <c r="AA875" s="58"/>
    </row>
    <row r="876" spans="11:27">
      <c r="K876" s="51"/>
      <c r="P876" s="50"/>
      <c r="Q876" s="51"/>
      <c r="U876" s="58"/>
      <c r="V876" s="58"/>
      <c r="W876" s="58"/>
      <c r="X876" s="58"/>
      <c r="Y876" s="58"/>
      <c r="Z876" s="58"/>
      <c r="AA876" s="58"/>
    </row>
    <row r="877" spans="11:27">
      <c r="K877" s="51"/>
      <c r="P877" s="50"/>
      <c r="Q877" s="51"/>
      <c r="U877" s="58"/>
      <c r="V877" s="58"/>
      <c r="W877" s="58"/>
      <c r="X877" s="58"/>
      <c r="Y877" s="58"/>
      <c r="Z877" s="58"/>
      <c r="AA877" s="58"/>
    </row>
    <row r="878" spans="11:27">
      <c r="K878" s="51"/>
      <c r="P878" s="50"/>
      <c r="Q878" s="51"/>
      <c r="U878" s="58"/>
      <c r="V878" s="58"/>
      <c r="W878" s="58"/>
      <c r="X878" s="58"/>
      <c r="Y878" s="58"/>
      <c r="Z878" s="58"/>
      <c r="AA878" s="58"/>
    </row>
    <row r="879" spans="11:27">
      <c r="K879" s="51"/>
      <c r="P879" s="50"/>
      <c r="Q879" s="51"/>
      <c r="U879" s="58"/>
      <c r="V879" s="58"/>
      <c r="W879" s="58"/>
      <c r="X879" s="58"/>
      <c r="Y879" s="58"/>
      <c r="Z879" s="58"/>
      <c r="AA879" s="58"/>
    </row>
    <row r="880" spans="11:27">
      <c r="K880" s="51"/>
      <c r="P880" s="50"/>
      <c r="Q880" s="51"/>
      <c r="U880" s="58"/>
      <c r="V880" s="58"/>
      <c r="W880" s="58"/>
      <c r="X880" s="58"/>
      <c r="Y880" s="58"/>
      <c r="Z880" s="58"/>
      <c r="AA880" s="58"/>
    </row>
    <row r="881" spans="11:27">
      <c r="K881" s="51"/>
      <c r="P881" s="50"/>
      <c r="Q881" s="51"/>
      <c r="U881" s="58"/>
      <c r="V881" s="58"/>
      <c r="W881" s="58"/>
      <c r="X881" s="58"/>
      <c r="Y881" s="58"/>
      <c r="Z881" s="58"/>
      <c r="AA881" s="58"/>
    </row>
    <row r="882" spans="11:27">
      <c r="K882" s="51"/>
      <c r="P882" s="50"/>
      <c r="Q882" s="51"/>
      <c r="U882" s="58"/>
      <c r="V882" s="58"/>
      <c r="W882" s="58"/>
      <c r="X882" s="58"/>
      <c r="Y882" s="58"/>
      <c r="Z882" s="58"/>
      <c r="AA882" s="58"/>
    </row>
    <row r="883" spans="11:27">
      <c r="K883" s="51"/>
      <c r="P883" s="50"/>
      <c r="Q883" s="51"/>
      <c r="U883" s="58"/>
      <c r="V883" s="58"/>
      <c r="W883" s="58"/>
      <c r="X883" s="58"/>
      <c r="Y883" s="58"/>
      <c r="Z883" s="58"/>
      <c r="AA883" s="58"/>
    </row>
    <row r="884" spans="11:27">
      <c r="K884" s="51"/>
      <c r="P884" s="50"/>
      <c r="Q884" s="51"/>
      <c r="U884" s="58"/>
      <c r="V884" s="58"/>
      <c r="W884" s="58"/>
      <c r="X884" s="58"/>
      <c r="Y884" s="58"/>
      <c r="Z884" s="58"/>
      <c r="AA884" s="58"/>
    </row>
    <row r="885" spans="11:27">
      <c r="K885" s="51"/>
      <c r="P885" s="50"/>
      <c r="Q885" s="51"/>
      <c r="U885" s="58"/>
      <c r="V885" s="58"/>
      <c r="W885" s="58"/>
      <c r="X885" s="58"/>
      <c r="Y885" s="58"/>
      <c r="Z885" s="58"/>
      <c r="AA885" s="58"/>
    </row>
    <row r="886" spans="11:27">
      <c r="K886" s="51"/>
      <c r="P886" s="50"/>
      <c r="Q886" s="51"/>
      <c r="U886" s="58"/>
      <c r="V886" s="58"/>
      <c r="W886" s="58"/>
      <c r="X886" s="58"/>
      <c r="Y886" s="58"/>
      <c r="Z886" s="58"/>
      <c r="AA886" s="58"/>
    </row>
    <row r="887" spans="11:27">
      <c r="K887" s="51"/>
      <c r="P887" s="50"/>
      <c r="Q887" s="51"/>
      <c r="U887" s="58"/>
      <c r="V887" s="58"/>
      <c r="W887" s="58"/>
      <c r="X887" s="58"/>
      <c r="Y887" s="58"/>
      <c r="Z887" s="58"/>
      <c r="AA887" s="58"/>
    </row>
    <row r="888" spans="11:27">
      <c r="K888" s="51"/>
      <c r="P888" s="50"/>
      <c r="Q888" s="51"/>
      <c r="U888" s="58"/>
      <c r="V888" s="58"/>
      <c r="W888" s="58"/>
      <c r="X888" s="58"/>
      <c r="Y888" s="58"/>
      <c r="Z888" s="58"/>
      <c r="AA888" s="58"/>
    </row>
    <row r="889" spans="11:27">
      <c r="K889" s="51"/>
      <c r="P889" s="50"/>
      <c r="Q889" s="51"/>
      <c r="U889" s="58"/>
      <c r="V889" s="58"/>
      <c r="W889" s="58"/>
      <c r="X889" s="58"/>
      <c r="Y889" s="58"/>
      <c r="Z889" s="58"/>
      <c r="AA889" s="58"/>
    </row>
    <row r="890" spans="11:27">
      <c r="K890" s="51"/>
      <c r="P890" s="50"/>
      <c r="Q890" s="51"/>
      <c r="U890" s="58"/>
      <c r="V890" s="58"/>
      <c r="W890" s="58"/>
      <c r="X890" s="58"/>
      <c r="Y890" s="58"/>
      <c r="Z890" s="58"/>
      <c r="AA890" s="58"/>
    </row>
    <row r="891" spans="11:27">
      <c r="K891" s="51"/>
      <c r="P891" s="50"/>
      <c r="Q891" s="51"/>
      <c r="U891" s="58"/>
      <c r="V891" s="58"/>
      <c r="W891" s="58"/>
      <c r="X891" s="58"/>
      <c r="Y891" s="58"/>
      <c r="Z891" s="58"/>
      <c r="AA891" s="58"/>
    </row>
    <row r="892" spans="11:27">
      <c r="K892" s="51"/>
      <c r="P892" s="50"/>
      <c r="Q892" s="51"/>
      <c r="U892" s="58"/>
      <c r="V892" s="58"/>
      <c r="W892" s="58"/>
      <c r="X892" s="58"/>
      <c r="Y892" s="58"/>
      <c r="Z892" s="58"/>
      <c r="AA892" s="58"/>
    </row>
    <row r="893" spans="11:27">
      <c r="K893" s="51"/>
      <c r="P893" s="50"/>
      <c r="Q893" s="51"/>
      <c r="U893" s="58"/>
      <c r="V893" s="58"/>
      <c r="W893" s="58"/>
      <c r="X893" s="58"/>
      <c r="Y893" s="58"/>
      <c r="Z893" s="58"/>
      <c r="AA893" s="58"/>
    </row>
    <row r="894" spans="11:27">
      <c r="K894" s="51"/>
      <c r="P894" s="50"/>
      <c r="Q894" s="51"/>
      <c r="U894" s="58"/>
      <c r="V894" s="58"/>
      <c r="W894" s="58"/>
      <c r="X894" s="58"/>
      <c r="Y894" s="58"/>
      <c r="Z894" s="58"/>
      <c r="AA894" s="58"/>
    </row>
    <row r="895" spans="11:27">
      <c r="K895" s="51"/>
      <c r="P895" s="50"/>
      <c r="Q895" s="51"/>
      <c r="U895" s="58"/>
      <c r="V895" s="58"/>
      <c r="W895" s="58"/>
      <c r="X895" s="58"/>
      <c r="Y895" s="58"/>
      <c r="Z895" s="58"/>
      <c r="AA895" s="58"/>
    </row>
    <row r="896" spans="11:27">
      <c r="K896" s="51"/>
      <c r="P896" s="50"/>
      <c r="Q896" s="51"/>
      <c r="U896" s="58"/>
      <c r="V896" s="58"/>
      <c r="W896" s="58"/>
      <c r="X896" s="58"/>
      <c r="Y896" s="58"/>
      <c r="Z896" s="58"/>
      <c r="AA896" s="58"/>
    </row>
    <row r="897" spans="11:27">
      <c r="K897" s="51"/>
      <c r="P897" s="50"/>
      <c r="Q897" s="51"/>
      <c r="U897" s="58"/>
      <c r="V897" s="58"/>
      <c r="W897" s="58"/>
      <c r="X897" s="58"/>
      <c r="Y897" s="58"/>
      <c r="Z897" s="58"/>
      <c r="AA897" s="58"/>
    </row>
    <row r="898" spans="11:27">
      <c r="K898" s="51"/>
      <c r="P898" s="50"/>
      <c r="Q898" s="51"/>
      <c r="U898" s="58"/>
      <c r="V898" s="58"/>
      <c r="W898" s="58"/>
      <c r="X898" s="58"/>
      <c r="Y898" s="58"/>
      <c r="Z898" s="58"/>
      <c r="AA898" s="58"/>
    </row>
    <row r="899" spans="11:27">
      <c r="K899" s="51"/>
      <c r="P899" s="50"/>
      <c r="Q899" s="51"/>
      <c r="U899" s="58"/>
      <c r="V899" s="58"/>
      <c r="W899" s="58"/>
      <c r="X899" s="58"/>
      <c r="Y899" s="58"/>
      <c r="Z899" s="58"/>
      <c r="AA899" s="58"/>
    </row>
    <row r="900" spans="11:27">
      <c r="K900" s="51"/>
      <c r="P900" s="50"/>
      <c r="Q900" s="51"/>
      <c r="U900" s="58"/>
      <c r="V900" s="58"/>
      <c r="W900" s="58"/>
      <c r="X900" s="58"/>
      <c r="Y900" s="58"/>
      <c r="Z900" s="58"/>
      <c r="AA900" s="58"/>
    </row>
    <row r="901" spans="11:27">
      <c r="K901" s="51"/>
      <c r="P901" s="50"/>
      <c r="Q901" s="51"/>
      <c r="U901" s="58"/>
      <c r="V901" s="58"/>
      <c r="W901" s="58"/>
      <c r="X901" s="58"/>
      <c r="Y901" s="58"/>
      <c r="Z901" s="58"/>
      <c r="AA901" s="58"/>
    </row>
    <row r="902" spans="11:27">
      <c r="K902" s="51"/>
      <c r="P902" s="50"/>
      <c r="Q902" s="51"/>
      <c r="U902" s="58"/>
      <c r="V902" s="58"/>
      <c r="W902" s="58"/>
      <c r="X902" s="58"/>
      <c r="Y902" s="58"/>
      <c r="Z902" s="58"/>
      <c r="AA902" s="58"/>
    </row>
    <row r="903" spans="11:27">
      <c r="K903" s="51"/>
      <c r="P903" s="50"/>
      <c r="Q903" s="51"/>
      <c r="U903" s="58"/>
      <c r="V903" s="58"/>
      <c r="W903" s="58"/>
      <c r="X903" s="58"/>
      <c r="Y903" s="58"/>
      <c r="Z903" s="58"/>
      <c r="AA903" s="58"/>
    </row>
    <row r="904" spans="11:27">
      <c r="K904" s="51"/>
      <c r="P904" s="50"/>
      <c r="Q904" s="51"/>
      <c r="U904" s="58"/>
      <c r="V904" s="58"/>
      <c r="W904" s="58"/>
      <c r="X904" s="58"/>
      <c r="Y904" s="58"/>
      <c r="Z904" s="58"/>
      <c r="AA904" s="58"/>
    </row>
    <row r="905" spans="11:27">
      <c r="K905" s="51"/>
      <c r="P905" s="50"/>
      <c r="Q905" s="51"/>
      <c r="U905" s="58"/>
      <c r="V905" s="58"/>
      <c r="W905" s="58"/>
      <c r="X905" s="58"/>
      <c r="Y905" s="58"/>
      <c r="Z905" s="58"/>
      <c r="AA905" s="58"/>
    </row>
    <row r="906" spans="11:27">
      <c r="K906" s="51"/>
      <c r="P906" s="50"/>
      <c r="Q906" s="51"/>
      <c r="U906" s="58"/>
      <c r="V906" s="58"/>
      <c r="W906" s="58"/>
      <c r="X906" s="58"/>
      <c r="Y906" s="58"/>
      <c r="Z906" s="58"/>
      <c r="AA906" s="58"/>
    </row>
    <row r="907" spans="11:27">
      <c r="K907" s="51"/>
      <c r="P907" s="50"/>
      <c r="Q907" s="51"/>
      <c r="U907" s="58"/>
      <c r="V907" s="58"/>
      <c r="W907" s="58"/>
      <c r="X907" s="58"/>
      <c r="Y907" s="58"/>
      <c r="Z907" s="58"/>
      <c r="AA907" s="58"/>
    </row>
    <row r="908" spans="11:27">
      <c r="K908" s="51"/>
      <c r="P908" s="50"/>
      <c r="Q908" s="51"/>
      <c r="U908" s="58"/>
      <c r="V908" s="58"/>
      <c r="W908" s="58"/>
      <c r="X908" s="58"/>
      <c r="Y908" s="58"/>
      <c r="Z908" s="58"/>
      <c r="AA908" s="58"/>
    </row>
    <row r="909" spans="11:27">
      <c r="K909" s="51"/>
      <c r="P909" s="50"/>
      <c r="Q909" s="51"/>
      <c r="U909" s="58"/>
      <c r="V909" s="58"/>
      <c r="W909" s="58"/>
      <c r="X909" s="58"/>
      <c r="Y909" s="58"/>
      <c r="Z909" s="58"/>
      <c r="AA909" s="58"/>
    </row>
    <row r="910" spans="11:27">
      <c r="K910" s="51"/>
      <c r="P910" s="50"/>
      <c r="Q910" s="51"/>
      <c r="U910" s="58"/>
      <c r="V910" s="58"/>
      <c r="W910" s="58"/>
      <c r="X910" s="58"/>
      <c r="Y910" s="58"/>
      <c r="Z910" s="58"/>
      <c r="AA910" s="58"/>
    </row>
    <row r="911" spans="11:27">
      <c r="K911" s="51"/>
      <c r="P911" s="50"/>
      <c r="Q911" s="51"/>
      <c r="U911" s="58"/>
      <c r="V911" s="58"/>
      <c r="W911" s="58"/>
      <c r="X911" s="58"/>
      <c r="Y911" s="58"/>
      <c r="Z911" s="58"/>
      <c r="AA911" s="58"/>
    </row>
    <row r="912" spans="11:27">
      <c r="K912" s="51"/>
      <c r="P912" s="50"/>
      <c r="Q912" s="51"/>
      <c r="U912" s="58"/>
      <c r="V912" s="58"/>
      <c r="W912" s="58"/>
      <c r="X912" s="58"/>
      <c r="Y912" s="58"/>
      <c r="Z912" s="58"/>
      <c r="AA912" s="58"/>
    </row>
    <row r="913" spans="11:27">
      <c r="K913" s="51"/>
      <c r="P913" s="50"/>
      <c r="Q913" s="51"/>
      <c r="U913" s="58"/>
      <c r="V913" s="58"/>
      <c r="W913" s="58"/>
      <c r="X913" s="58"/>
      <c r="Y913" s="58"/>
      <c r="Z913" s="58"/>
      <c r="AA913" s="58"/>
    </row>
    <row r="914" spans="11:27">
      <c r="K914" s="51"/>
      <c r="P914" s="50"/>
      <c r="Q914" s="51"/>
      <c r="U914" s="58"/>
      <c r="V914" s="58"/>
      <c r="W914" s="58"/>
      <c r="X914" s="58"/>
      <c r="Y914" s="58"/>
      <c r="Z914" s="58"/>
      <c r="AA914" s="58"/>
    </row>
    <row r="915" spans="11:27">
      <c r="K915" s="51"/>
      <c r="P915" s="50"/>
      <c r="Q915" s="51"/>
      <c r="U915" s="58"/>
      <c r="V915" s="58"/>
      <c r="W915" s="58"/>
      <c r="X915" s="58"/>
      <c r="Y915" s="58"/>
      <c r="Z915" s="58"/>
      <c r="AA915" s="58"/>
    </row>
    <row r="916" spans="11:27">
      <c r="K916" s="51"/>
      <c r="P916" s="50"/>
      <c r="Q916" s="51"/>
      <c r="U916" s="58"/>
      <c r="V916" s="58"/>
      <c r="W916" s="58"/>
      <c r="X916" s="58"/>
      <c r="Y916" s="58"/>
      <c r="Z916" s="58"/>
      <c r="AA916" s="58"/>
    </row>
    <row r="917" spans="11:27">
      <c r="K917" s="51"/>
      <c r="P917" s="50"/>
      <c r="Q917" s="51"/>
      <c r="U917" s="58"/>
      <c r="V917" s="58"/>
      <c r="W917" s="58"/>
      <c r="X917" s="58"/>
      <c r="Y917" s="58"/>
      <c r="Z917" s="58"/>
      <c r="AA917" s="58"/>
    </row>
    <row r="918" spans="11:27">
      <c r="K918" s="51"/>
      <c r="P918" s="50"/>
      <c r="Q918" s="51"/>
      <c r="U918" s="58"/>
      <c r="V918" s="58"/>
      <c r="W918" s="58"/>
      <c r="X918" s="58"/>
      <c r="Y918" s="58"/>
      <c r="Z918" s="58"/>
      <c r="AA918" s="58"/>
    </row>
    <row r="919" spans="11:27">
      <c r="K919" s="51"/>
      <c r="P919" s="50"/>
      <c r="Q919" s="51"/>
      <c r="U919" s="58"/>
      <c r="V919" s="58"/>
      <c r="W919" s="58"/>
      <c r="X919" s="58"/>
      <c r="Y919" s="58"/>
      <c r="Z919" s="58"/>
      <c r="AA919" s="58"/>
    </row>
    <row r="920" spans="11:27">
      <c r="K920" s="51"/>
      <c r="P920" s="50"/>
      <c r="Q920" s="51"/>
      <c r="U920" s="58"/>
      <c r="V920" s="58"/>
      <c r="W920" s="58"/>
      <c r="X920" s="58"/>
      <c r="Y920" s="58"/>
      <c r="Z920" s="58"/>
      <c r="AA920" s="58"/>
    </row>
    <row r="921" spans="11:27">
      <c r="K921" s="51"/>
      <c r="P921" s="50"/>
      <c r="Q921" s="51"/>
      <c r="U921" s="58"/>
      <c r="V921" s="58"/>
      <c r="W921" s="58"/>
      <c r="X921" s="58"/>
      <c r="Y921" s="58"/>
      <c r="Z921" s="58"/>
      <c r="AA921" s="58"/>
    </row>
    <row r="922" spans="11:27">
      <c r="K922" s="51"/>
      <c r="P922" s="50"/>
      <c r="Q922" s="51"/>
      <c r="U922" s="58"/>
      <c r="V922" s="58"/>
      <c r="W922" s="58"/>
      <c r="X922" s="58"/>
      <c r="Y922" s="58"/>
      <c r="Z922" s="58"/>
      <c r="AA922" s="58"/>
    </row>
    <row r="923" spans="11:27">
      <c r="K923" s="51"/>
      <c r="P923" s="50"/>
      <c r="Q923" s="51"/>
      <c r="U923" s="58"/>
      <c r="V923" s="58"/>
      <c r="W923" s="58"/>
      <c r="X923" s="58"/>
      <c r="Y923" s="58"/>
      <c r="Z923" s="58"/>
      <c r="AA923" s="58"/>
    </row>
    <row r="924" spans="11:27">
      <c r="K924" s="51"/>
      <c r="P924" s="50"/>
      <c r="Q924" s="51"/>
      <c r="U924" s="58"/>
      <c r="V924" s="58"/>
      <c r="W924" s="58"/>
      <c r="X924" s="58"/>
      <c r="Y924" s="58"/>
      <c r="Z924" s="58"/>
      <c r="AA924" s="58"/>
    </row>
    <row r="925" spans="11:27">
      <c r="K925" s="51"/>
      <c r="P925" s="50"/>
      <c r="Q925" s="51"/>
      <c r="U925" s="58"/>
      <c r="V925" s="58"/>
      <c r="W925" s="58"/>
      <c r="X925" s="58"/>
      <c r="Y925" s="58"/>
      <c r="Z925" s="58"/>
      <c r="AA925" s="58"/>
    </row>
    <row r="926" spans="11:27">
      <c r="K926" s="51"/>
      <c r="P926" s="50"/>
      <c r="Q926" s="51"/>
      <c r="U926" s="58"/>
      <c r="V926" s="58"/>
      <c r="W926" s="58"/>
      <c r="X926" s="58"/>
      <c r="Y926" s="58"/>
      <c r="Z926" s="58"/>
      <c r="AA926" s="58"/>
    </row>
    <row r="927" spans="11:27">
      <c r="K927" s="51"/>
      <c r="P927" s="50"/>
      <c r="Q927" s="51"/>
      <c r="U927" s="58"/>
      <c r="V927" s="58"/>
      <c r="W927" s="58"/>
      <c r="X927" s="58"/>
      <c r="Y927" s="58"/>
      <c r="Z927" s="58"/>
      <c r="AA927" s="58"/>
    </row>
    <row r="928" spans="11:27">
      <c r="K928" s="51"/>
      <c r="P928" s="50"/>
      <c r="Q928" s="51"/>
      <c r="U928" s="58"/>
      <c r="V928" s="58"/>
      <c r="W928" s="58"/>
      <c r="X928" s="58"/>
      <c r="Y928" s="58"/>
      <c r="Z928" s="58"/>
      <c r="AA928" s="58"/>
    </row>
    <row r="929" spans="11:27">
      <c r="K929" s="51"/>
      <c r="P929" s="50"/>
      <c r="Q929" s="51"/>
      <c r="U929" s="58"/>
      <c r="V929" s="58"/>
      <c r="W929" s="58"/>
      <c r="X929" s="58"/>
      <c r="Y929" s="58"/>
      <c r="Z929" s="58"/>
      <c r="AA929" s="58"/>
    </row>
    <row r="930" spans="11:27">
      <c r="K930" s="51"/>
      <c r="P930" s="50"/>
      <c r="Q930" s="51"/>
      <c r="U930" s="58"/>
      <c r="V930" s="58"/>
      <c r="W930" s="58"/>
      <c r="X930" s="58"/>
      <c r="Y930" s="58"/>
      <c r="Z930" s="58"/>
      <c r="AA930" s="58"/>
    </row>
    <row r="931" spans="11:27">
      <c r="K931" s="51"/>
      <c r="P931" s="50"/>
      <c r="Q931" s="51"/>
      <c r="U931" s="58"/>
      <c r="V931" s="58"/>
      <c r="W931" s="58"/>
      <c r="X931" s="58"/>
      <c r="Y931" s="58"/>
      <c r="Z931" s="58"/>
      <c r="AA931" s="58"/>
    </row>
    <row r="932" spans="11:27">
      <c r="K932" s="51"/>
      <c r="P932" s="50"/>
      <c r="Q932" s="51"/>
      <c r="U932" s="58"/>
      <c r="V932" s="58"/>
      <c r="W932" s="58"/>
      <c r="X932" s="58"/>
      <c r="Y932" s="58"/>
      <c r="Z932" s="58"/>
      <c r="AA932" s="58"/>
    </row>
    <row r="933" spans="11:27">
      <c r="K933" s="51"/>
      <c r="P933" s="50"/>
      <c r="Q933" s="51"/>
      <c r="U933" s="58"/>
      <c r="V933" s="58"/>
      <c r="W933" s="58"/>
      <c r="X933" s="58"/>
      <c r="Y933" s="58"/>
      <c r="Z933" s="58"/>
      <c r="AA933" s="58"/>
    </row>
    <row r="934" spans="11:27">
      <c r="K934" s="51"/>
      <c r="P934" s="50"/>
      <c r="Q934" s="51"/>
      <c r="U934" s="58"/>
      <c r="V934" s="58"/>
      <c r="W934" s="58"/>
      <c r="X934" s="58"/>
      <c r="Y934" s="58"/>
      <c r="Z934" s="58"/>
      <c r="AA934" s="58"/>
    </row>
    <row r="935" spans="11:27">
      <c r="K935" s="51"/>
      <c r="P935" s="50"/>
      <c r="Q935" s="51"/>
      <c r="U935" s="58"/>
      <c r="V935" s="58"/>
      <c r="W935" s="58"/>
      <c r="X935" s="58"/>
      <c r="Y935" s="58"/>
      <c r="Z935" s="58"/>
      <c r="AA935" s="58"/>
    </row>
    <row r="936" spans="11:27">
      <c r="K936" s="51"/>
      <c r="P936" s="50"/>
      <c r="Q936" s="51"/>
      <c r="U936" s="58"/>
      <c r="V936" s="58"/>
      <c r="W936" s="58"/>
      <c r="X936" s="58"/>
      <c r="Y936" s="58"/>
      <c r="Z936" s="58"/>
      <c r="AA936" s="58"/>
    </row>
    <row r="937" spans="11:27">
      <c r="K937" s="51"/>
      <c r="P937" s="50"/>
      <c r="Q937" s="51"/>
      <c r="U937" s="58"/>
      <c r="V937" s="58"/>
      <c r="W937" s="58"/>
      <c r="X937" s="58"/>
      <c r="Y937" s="58"/>
      <c r="Z937" s="58"/>
      <c r="AA937" s="58"/>
    </row>
    <row r="938" spans="11:27">
      <c r="K938" s="51"/>
      <c r="P938" s="50"/>
      <c r="Q938" s="51"/>
      <c r="U938" s="58"/>
      <c r="V938" s="58"/>
      <c r="W938" s="58"/>
      <c r="X938" s="58"/>
      <c r="Y938" s="58"/>
      <c r="Z938" s="58"/>
      <c r="AA938" s="58"/>
    </row>
    <row r="939" spans="11:27">
      <c r="K939" s="51"/>
      <c r="P939" s="50"/>
      <c r="Q939" s="51"/>
      <c r="U939" s="58"/>
      <c r="V939" s="58"/>
      <c r="W939" s="58"/>
      <c r="X939" s="58"/>
      <c r="Y939" s="58"/>
      <c r="Z939" s="58"/>
      <c r="AA939" s="58"/>
    </row>
    <row r="940" spans="11:27">
      <c r="K940" s="51"/>
      <c r="P940" s="50"/>
      <c r="Q940" s="51"/>
      <c r="U940" s="58"/>
      <c r="V940" s="58"/>
      <c r="W940" s="58"/>
      <c r="X940" s="58"/>
      <c r="Y940" s="58"/>
      <c r="Z940" s="58"/>
      <c r="AA940" s="58"/>
    </row>
    <row r="941" spans="11:27">
      <c r="K941" s="51"/>
      <c r="P941" s="50"/>
      <c r="Q941" s="51"/>
      <c r="U941" s="58"/>
      <c r="V941" s="58"/>
      <c r="W941" s="58"/>
      <c r="X941" s="58"/>
      <c r="Y941" s="58"/>
      <c r="Z941" s="58"/>
      <c r="AA941" s="58"/>
    </row>
    <row r="942" spans="11:27">
      <c r="K942" s="51"/>
      <c r="P942" s="50"/>
      <c r="Q942" s="51"/>
      <c r="U942" s="58"/>
      <c r="V942" s="58"/>
      <c r="W942" s="58"/>
      <c r="X942" s="58"/>
      <c r="Y942" s="58"/>
      <c r="Z942" s="58"/>
      <c r="AA942" s="58"/>
    </row>
    <row r="943" spans="11:27">
      <c r="K943" s="51"/>
      <c r="P943" s="50"/>
      <c r="Q943" s="51"/>
      <c r="U943" s="58"/>
      <c r="V943" s="58"/>
      <c r="W943" s="58"/>
      <c r="X943" s="58"/>
      <c r="Y943" s="58"/>
      <c r="Z943" s="58"/>
      <c r="AA943" s="58"/>
    </row>
    <row r="944" spans="11:27">
      <c r="K944" s="51"/>
      <c r="P944" s="50"/>
      <c r="Q944" s="51"/>
      <c r="U944" s="58"/>
      <c r="V944" s="58"/>
      <c r="W944" s="58"/>
      <c r="X944" s="58"/>
      <c r="Y944" s="58"/>
      <c r="Z944" s="58"/>
      <c r="AA944" s="58"/>
    </row>
    <row r="945" spans="11:27">
      <c r="K945" s="51"/>
      <c r="P945" s="50"/>
      <c r="Q945" s="51"/>
      <c r="U945" s="58"/>
      <c r="V945" s="58"/>
      <c r="W945" s="58"/>
      <c r="X945" s="58"/>
      <c r="Y945" s="58"/>
      <c r="Z945" s="58"/>
      <c r="AA945" s="58"/>
    </row>
    <row r="946" spans="11:27">
      <c r="K946" s="51"/>
      <c r="P946" s="50"/>
      <c r="Q946" s="51"/>
      <c r="U946" s="58"/>
      <c r="V946" s="58"/>
      <c r="W946" s="58"/>
      <c r="X946" s="58"/>
      <c r="Y946" s="58"/>
      <c r="Z946" s="58"/>
      <c r="AA946" s="58"/>
    </row>
    <row r="947" spans="11:27">
      <c r="K947" s="51"/>
      <c r="P947" s="50"/>
      <c r="Q947" s="51"/>
      <c r="U947" s="58"/>
      <c r="V947" s="58"/>
      <c r="W947" s="58"/>
      <c r="X947" s="58"/>
      <c r="Y947" s="58"/>
      <c r="Z947" s="58"/>
      <c r="AA947" s="58"/>
    </row>
    <row r="948" spans="11:27">
      <c r="K948" s="51"/>
      <c r="P948" s="50"/>
      <c r="Q948" s="51"/>
      <c r="U948" s="58"/>
      <c r="V948" s="58"/>
      <c r="W948" s="58"/>
      <c r="X948" s="58"/>
      <c r="Y948" s="58"/>
      <c r="Z948" s="58"/>
      <c r="AA948" s="58"/>
    </row>
    <row r="949" spans="11:27">
      <c r="K949" s="51"/>
      <c r="P949" s="50"/>
      <c r="Q949" s="51"/>
      <c r="U949" s="58"/>
      <c r="V949" s="58"/>
      <c r="W949" s="58"/>
      <c r="X949" s="58"/>
      <c r="Y949" s="58"/>
      <c r="Z949" s="58"/>
      <c r="AA949" s="58"/>
    </row>
    <row r="950" spans="11:27">
      <c r="K950" s="51"/>
      <c r="P950" s="50"/>
      <c r="Q950" s="51"/>
      <c r="U950" s="58"/>
      <c r="V950" s="58"/>
      <c r="W950" s="58"/>
      <c r="X950" s="58"/>
      <c r="Y950" s="58"/>
      <c r="Z950" s="58"/>
      <c r="AA950" s="58"/>
    </row>
    <row r="951" spans="11:27">
      <c r="K951" s="51"/>
      <c r="P951" s="50"/>
      <c r="Q951" s="51"/>
      <c r="U951" s="58"/>
      <c r="V951" s="58"/>
      <c r="W951" s="58"/>
      <c r="X951" s="58"/>
      <c r="Y951" s="58"/>
      <c r="Z951" s="58"/>
      <c r="AA951" s="58"/>
    </row>
    <row r="952" spans="11:27">
      <c r="K952" s="51"/>
      <c r="P952" s="50"/>
      <c r="Q952" s="51"/>
      <c r="U952" s="58"/>
      <c r="V952" s="58"/>
      <c r="W952" s="58"/>
      <c r="X952" s="58"/>
      <c r="Y952" s="58"/>
      <c r="Z952" s="58"/>
      <c r="AA952" s="58"/>
    </row>
    <row r="953" spans="11:27">
      <c r="K953" s="51"/>
      <c r="P953" s="50"/>
      <c r="Q953" s="51"/>
      <c r="U953" s="58"/>
      <c r="V953" s="58"/>
      <c r="W953" s="58"/>
      <c r="X953" s="58"/>
      <c r="Y953" s="58"/>
      <c r="Z953" s="58"/>
      <c r="AA953" s="58"/>
    </row>
    <row r="954" spans="11:27">
      <c r="K954" s="51"/>
      <c r="P954" s="50"/>
      <c r="Q954" s="51"/>
      <c r="U954" s="58"/>
      <c r="V954" s="58"/>
      <c r="W954" s="58"/>
      <c r="X954" s="58"/>
      <c r="Y954" s="58"/>
      <c r="Z954" s="58"/>
      <c r="AA954" s="58"/>
    </row>
    <row r="955" spans="11:27">
      <c r="K955" s="51"/>
      <c r="P955" s="50"/>
      <c r="Q955" s="51"/>
      <c r="U955" s="58"/>
      <c r="V955" s="58"/>
      <c r="W955" s="58"/>
      <c r="X955" s="58"/>
      <c r="Y955" s="58"/>
      <c r="Z955" s="58"/>
      <c r="AA955" s="58"/>
    </row>
    <row r="956" spans="11:27">
      <c r="K956" s="51"/>
      <c r="P956" s="50"/>
      <c r="Q956" s="51"/>
      <c r="U956" s="58"/>
      <c r="V956" s="58"/>
      <c r="W956" s="58"/>
      <c r="X956" s="58"/>
      <c r="Y956" s="58"/>
      <c r="Z956" s="58"/>
      <c r="AA956" s="58"/>
    </row>
    <row r="957" spans="11:27">
      <c r="K957" s="51"/>
      <c r="P957" s="50"/>
      <c r="Q957" s="51"/>
      <c r="U957" s="58"/>
      <c r="V957" s="58"/>
      <c r="W957" s="58"/>
      <c r="X957" s="58"/>
      <c r="Y957" s="58"/>
      <c r="Z957" s="58"/>
      <c r="AA957" s="58"/>
    </row>
    <row r="958" spans="11:27">
      <c r="K958" s="51"/>
      <c r="P958" s="50"/>
      <c r="Q958" s="51"/>
      <c r="U958" s="58"/>
      <c r="V958" s="58"/>
      <c r="W958" s="58"/>
      <c r="X958" s="58"/>
      <c r="Y958" s="58"/>
      <c r="Z958" s="58"/>
      <c r="AA958" s="58"/>
    </row>
    <row r="959" spans="11:27">
      <c r="K959" s="51"/>
      <c r="P959" s="50"/>
      <c r="Q959" s="51"/>
      <c r="U959" s="58"/>
      <c r="V959" s="58"/>
      <c r="W959" s="58"/>
      <c r="X959" s="58"/>
      <c r="Y959" s="58"/>
      <c r="Z959" s="58"/>
      <c r="AA959" s="58"/>
    </row>
    <row r="960" spans="11:27">
      <c r="K960" s="51"/>
      <c r="P960" s="50"/>
      <c r="Q960" s="51"/>
      <c r="U960" s="58"/>
      <c r="V960" s="58"/>
      <c r="W960" s="58"/>
      <c r="X960" s="58"/>
      <c r="Y960" s="58"/>
      <c r="Z960" s="58"/>
      <c r="AA960" s="58"/>
    </row>
    <row r="961" spans="11:27">
      <c r="K961" s="51"/>
      <c r="P961" s="50"/>
      <c r="Q961" s="51"/>
      <c r="U961" s="58"/>
      <c r="V961" s="58"/>
      <c r="W961" s="58"/>
      <c r="X961" s="58"/>
      <c r="Y961" s="58"/>
      <c r="Z961" s="58"/>
      <c r="AA961" s="58"/>
    </row>
    <row r="962" spans="11:27">
      <c r="K962" s="51"/>
      <c r="P962" s="50"/>
      <c r="Q962" s="51"/>
      <c r="U962" s="58"/>
      <c r="V962" s="58"/>
      <c r="W962" s="58"/>
      <c r="X962" s="58"/>
      <c r="Y962" s="58"/>
      <c r="Z962" s="58"/>
      <c r="AA962" s="58"/>
    </row>
    <row r="963" spans="11:27">
      <c r="K963" s="51"/>
      <c r="P963" s="50"/>
      <c r="Q963" s="51"/>
      <c r="U963" s="58"/>
      <c r="V963" s="58"/>
      <c r="W963" s="58"/>
      <c r="X963" s="58"/>
      <c r="Y963" s="58"/>
      <c r="Z963" s="58"/>
      <c r="AA963" s="58"/>
    </row>
    <row r="964" spans="11:27">
      <c r="K964" s="51"/>
      <c r="P964" s="50"/>
      <c r="Q964" s="51"/>
      <c r="U964" s="58"/>
      <c r="V964" s="58"/>
      <c r="W964" s="58"/>
      <c r="X964" s="58"/>
      <c r="Y964" s="58"/>
      <c r="Z964" s="58"/>
      <c r="AA964" s="58"/>
    </row>
    <row r="965" spans="11:27">
      <c r="K965" s="51"/>
      <c r="P965" s="50"/>
      <c r="Q965" s="51"/>
      <c r="U965" s="58"/>
      <c r="V965" s="58"/>
      <c r="W965" s="58"/>
      <c r="X965" s="58"/>
      <c r="Y965" s="58"/>
      <c r="Z965" s="58"/>
      <c r="AA965" s="58"/>
    </row>
    <row r="966" spans="11:27">
      <c r="K966" s="51"/>
      <c r="P966" s="50"/>
      <c r="Q966" s="51"/>
      <c r="U966" s="58"/>
      <c r="V966" s="58"/>
      <c r="W966" s="58"/>
      <c r="X966" s="58"/>
      <c r="Y966" s="58"/>
      <c r="Z966" s="58"/>
      <c r="AA966" s="58"/>
    </row>
    <row r="967" spans="11:27">
      <c r="K967" s="51"/>
      <c r="P967" s="50"/>
      <c r="Q967" s="51"/>
      <c r="U967" s="58"/>
      <c r="V967" s="58"/>
      <c r="W967" s="58"/>
      <c r="X967" s="58"/>
      <c r="Y967" s="58"/>
      <c r="Z967" s="58"/>
      <c r="AA967" s="58"/>
    </row>
    <row r="968" spans="11:27">
      <c r="K968" s="51"/>
      <c r="P968" s="50"/>
      <c r="Q968" s="51"/>
      <c r="U968" s="58"/>
      <c r="V968" s="58"/>
      <c r="W968" s="58"/>
      <c r="X968" s="58"/>
      <c r="Y968" s="58"/>
      <c r="Z968" s="58"/>
      <c r="AA968" s="58"/>
    </row>
    <row r="969" spans="11:27">
      <c r="K969" s="51"/>
      <c r="P969" s="50"/>
      <c r="Q969" s="51"/>
      <c r="U969" s="58"/>
      <c r="V969" s="58"/>
      <c r="W969" s="58"/>
      <c r="X969" s="58"/>
      <c r="Y969" s="58"/>
      <c r="Z969" s="58"/>
      <c r="AA969" s="58"/>
    </row>
    <row r="970" spans="11:27">
      <c r="K970" s="51"/>
      <c r="P970" s="50"/>
      <c r="Q970" s="51"/>
      <c r="U970" s="58"/>
      <c r="V970" s="58"/>
      <c r="W970" s="58"/>
      <c r="X970" s="58"/>
      <c r="Y970" s="58"/>
      <c r="Z970" s="58"/>
      <c r="AA970" s="58"/>
    </row>
    <row r="971" spans="11:27">
      <c r="K971" s="51"/>
      <c r="P971" s="50"/>
      <c r="Q971" s="51"/>
      <c r="U971" s="58"/>
      <c r="V971" s="58"/>
      <c r="W971" s="58"/>
      <c r="X971" s="58"/>
      <c r="Y971" s="58"/>
      <c r="Z971" s="58"/>
      <c r="AA971" s="58"/>
    </row>
    <row r="972" spans="11:27">
      <c r="K972" s="51"/>
      <c r="P972" s="50"/>
      <c r="Q972" s="51"/>
      <c r="U972" s="58"/>
      <c r="V972" s="58"/>
      <c r="W972" s="58"/>
      <c r="X972" s="58"/>
      <c r="Y972" s="58"/>
      <c r="Z972" s="58"/>
      <c r="AA972" s="58"/>
    </row>
    <row r="973" spans="11:27">
      <c r="K973" s="51"/>
      <c r="P973" s="50"/>
      <c r="Q973" s="51"/>
      <c r="U973" s="58"/>
      <c r="V973" s="58"/>
      <c r="W973" s="58"/>
      <c r="X973" s="58"/>
      <c r="Y973" s="58"/>
      <c r="Z973" s="58"/>
      <c r="AA973" s="58"/>
    </row>
    <row r="974" spans="11:27">
      <c r="K974" s="51"/>
      <c r="P974" s="50"/>
      <c r="Q974" s="51"/>
      <c r="U974" s="58"/>
      <c r="V974" s="58"/>
      <c r="W974" s="58"/>
      <c r="X974" s="58"/>
      <c r="Y974" s="58"/>
      <c r="Z974" s="58"/>
      <c r="AA974" s="58"/>
    </row>
    <row r="975" spans="11:27">
      <c r="K975" s="51"/>
      <c r="P975" s="50"/>
      <c r="Q975" s="51"/>
      <c r="U975" s="58"/>
      <c r="V975" s="58"/>
      <c r="W975" s="58"/>
      <c r="X975" s="58"/>
      <c r="Y975" s="58"/>
      <c r="Z975" s="58"/>
      <c r="AA975" s="58"/>
    </row>
    <row r="976" spans="11:27">
      <c r="K976" s="51"/>
      <c r="P976" s="50"/>
      <c r="Q976" s="51"/>
      <c r="U976" s="58"/>
      <c r="V976" s="58"/>
      <c r="W976" s="58"/>
      <c r="X976" s="58"/>
      <c r="Y976" s="58"/>
      <c r="Z976" s="58"/>
      <c r="AA976" s="58"/>
    </row>
    <row r="977" spans="11:27">
      <c r="K977" s="51"/>
      <c r="P977" s="50"/>
      <c r="Q977" s="51"/>
      <c r="U977" s="58"/>
      <c r="V977" s="58"/>
      <c r="W977" s="58"/>
      <c r="X977" s="58"/>
      <c r="Y977" s="58"/>
      <c r="Z977" s="58"/>
      <c r="AA977" s="58"/>
    </row>
    <row r="978" spans="11:27">
      <c r="K978" s="51"/>
      <c r="P978" s="50"/>
      <c r="Q978" s="51"/>
      <c r="U978" s="58"/>
      <c r="V978" s="58"/>
      <c r="W978" s="58"/>
      <c r="X978" s="58"/>
      <c r="Y978" s="58"/>
      <c r="Z978" s="58"/>
      <c r="AA978" s="58"/>
    </row>
    <row r="979" spans="11:27">
      <c r="K979" s="51"/>
      <c r="P979" s="50"/>
      <c r="Q979" s="51"/>
      <c r="U979" s="58"/>
      <c r="V979" s="58"/>
      <c r="W979" s="58"/>
      <c r="X979" s="58"/>
      <c r="Y979" s="58"/>
      <c r="Z979" s="58"/>
      <c r="AA979" s="58"/>
    </row>
    <row r="980" spans="11:27">
      <c r="K980" s="51"/>
      <c r="P980" s="50"/>
      <c r="Q980" s="51"/>
      <c r="U980" s="58"/>
      <c r="V980" s="58"/>
      <c r="W980" s="58"/>
      <c r="X980" s="58"/>
      <c r="Y980" s="58"/>
      <c r="Z980" s="58"/>
      <c r="AA980" s="58"/>
    </row>
    <row r="981" spans="11:27">
      <c r="K981" s="51"/>
      <c r="P981" s="50"/>
      <c r="Q981" s="51"/>
      <c r="U981" s="58"/>
      <c r="V981" s="58"/>
      <c r="W981" s="58"/>
      <c r="X981" s="58"/>
      <c r="Y981" s="58"/>
      <c r="Z981" s="58"/>
      <c r="AA981" s="58"/>
    </row>
    <row r="982" spans="11:27">
      <c r="K982" s="51"/>
      <c r="P982" s="50"/>
      <c r="Q982" s="51"/>
      <c r="U982" s="58"/>
      <c r="V982" s="58"/>
      <c r="W982" s="58"/>
      <c r="X982" s="58"/>
      <c r="Y982" s="58"/>
      <c r="Z982" s="58"/>
      <c r="AA982" s="58"/>
    </row>
    <row r="983" spans="11:27">
      <c r="K983" s="51"/>
      <c r="P983" s="50"/>
      <c r="Q983" s="51"/>
      <c r="U983" s="58"/>
      <c r="V983" s="58"/>
      <c r="W983" s="58"/>
      <c r="X983" s="58"/>
      <c r="Y983" s="58"/>
      <c r="Z983" s="58"/>
      <c r="AA983" s="58"/>
    </row>
    <row r="984" spans="11:27">
      <c r="K984" s="51"/>
      <c r="P984" s="50"/>
      <c r="Q984" s="51"/>
      <c r="U984" s="58"/>
      <c r="V984" s="58"/>
      <c r="W984" s="58"/>
      <c r="X984" s="58"/>
      <c r="Y984" s="58"/>
      <c r="Z984" s="58"/>
      <c r="AA984" s="58"/>
    </row>
    <row r="985" spans="11:27">
      <c r="K985" s="51"/>
      <c r="P985" s="50"/>
      <c r="Q985" s="51"/>
      <c r="U985" s="58"/>
      <c r="V985" s="58"/>
      <c r="W985" s="58"/>
      <c r="X985" s="58"/>
      <c r="Y985" s="58"/>
      <c r="Z985" s="58"/>
      <c r="AA985" s="58"/>
    </row>
    <row r="986" spans="11:27">
      <c r="K986" s="51"/>
      <c r="P986" s="50"/>
      <c r="Q986" s="51"/>
      <c r="U986" s="58"/>
      <c r="V986" s="58"/>
      <c r="W986" s="58"/>
      <c r="X986" s="58"/>
      <c r="Y986" s="58"/>
      <c r="Z986" s="58"/>
      <c r="AA986" s="58"/>
    </row>
    <row r="987" spans="11:27">
      <c r="K987" s="51"/>
      <c r="P987" s="50"/>
      <c r="Q987" s="51"/>
      <c r="U987" s="58"/>
      <c r="V987" s="58"/>
      <c r="W987" s="58"/>
      <c r="X987" s="58"/>
      <c r="Y987" s="58"/>
      <c r="Z987" s="58"/>
      <c r="AA987" s="58"/>
    </row>
    <row r="988" spans="11:27">
      <c r="K988" s="51"/>
      <c r="P988" s="50"/>
      <c r="Q988" s="51"/>
      <c r="U988" s="58"/>
      <c r="V988" s="58"/>
      <c r="W988" s="58"/>
      <c r="X988" s="58"/>
      <c r="Y988" s="58"/>
      <c r="Z988" s="58"/>
      <c r="AA988" s="58"/>
    </row>
    <row r="989" spans="11:27">
      <c r="K989" s="51"/>
      <c r="P989" s="50"/>
      <c r="Q989" s="51"/>
      <c r="U989" s="58"/>
      <c r="V989" s="58"/>
      <c r="W989" s="58"/>
      <c r="X989" s="58"/>
      <c r="Y989" s="58"/>
      <c r="Z989" s="58"/>
      <c r="AA989" s="58"/>
    </row>
    <row r="990" spans="11:27">
      <c r="K990" s="51"/>
      <c r="P990" s="50"/>
      <c r="Q990" s="51"/>
      <c r="U990" s="58"/>
      <c r="V990" s="58"/>
      <c r="W990" s="58"/>
      <c r="X990" s="58"/>
      <c r="Y990" s="58"/>
      <c r="Z990" s="58"/>
      <c r="AA990" s="58"/>
    </row>
    <row r="991" spans="11:27">
      <c r="K991" s="51"/>
      <c r="P991" s="50"/>
      <c r="Q991" s="51"/>
      <c r="U991" s="58"/>
      <c r="V991" s="58"/>
      <c r="W991" s="58"/>
      <c r="X991" s="58"/>
      <c r="Y991" s="58"/>
      <c r="Z991" s="58"/>
      <c r="AA991" s="58"/>
    </row>
    <row r="992" spans="11:27">
      <c r="K992" s="51"/>
      <c r="P992" s="50"/>
      <c r="Q992" s="51"/>
      <c r="U992" s="58"/>
      <c r="V992" s="58"/>
      <c r="W992" s="58"/>
      <c r="X992" s="58"/>
      <c r="Y992" s="58"/>
      <c r="Z992" s="58"/>
      <c r="AA992" s="58"/>
    </row>
    <row r="993" spans="11:27">
      <c r="K993" s="51"/>
      <c r="P993" s="50"/>
      <c r="Q993" s="51"/>
      <c r="U993" s="58"/>
      <c r="V993" s="58"/>
      <c r="W993" s="58"/>
      <c r="X993" s="58"/>
      <c r="Y993" s="58"/>
      <c r="Z993" s="58"/>
      <c r="AA993" s="58"/>
    </row>
    <row r="994" spans="11:27">
      <c r="K994" s="51"/>
      <c r="P994" s="50"/>
      <c r="Q994" s="51"/>
      <c r="U994" s="58"/>
      <c r="V994" s="58"/>
      <c r="W994" s="58"/>
      <c r="X994" s="58"/>
      <c r="Y994" s="58"/>
      <c r="Z994" s="58"/>
      <c r="AA994" s="58"/>
    </row>
    <row r="995" spans="11:27">
      <c r="K995" s="51"/>
      <c r="P995" s="50"/>
      <c r="Q995" s="51"/>
      <c r="U995" s="58"/>
      <c r="V995" s="58"/>
      <c r="W995" s="58"/>
      <c r="X995" s="58"/>
      <c r="Y995" s="58"/>
      <c r="Z995" s="58"/>
      <c r="AA995" s="58"/>
    </row>
    <row r="996" spans="11:27">
      <c r="K996" s="51"/>
      <c r="P996" s="50"/>
      <c r="Q996" s="51"/>
      <c r="U996" s="58"/>
      <c r="V996" s="58"/>
      <c r="W996" s="58"/>
      <c r="X996" s="58"/>
      <c r="Y996" s="58"/>
      <c r="Z996" s="58"/>
      <c r="AA996" s="58"/>
    </row>
    <row r="997" spans="11:27">
      <c r="K997" s="51"/>
      <c r="P997" s="50"/>
      <c r="Q997" s="51"/>
      <c r="U997" s="58"/>
      <c r="V997" s="58"/>
      <c r="W997" s="58"/>
      <c r="X997" s="58"/>
      <c r="Y997" s="58"/>
      <c r="Z997" s="58"/>
      <c r="AA997" s="58"/>
    </row>
    <row r="998" spans="11:27"/>
    <row r="999" spans="11:27"/>
    <row r="1000" spans="11:27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1" max="1" width="4.7265625" customWidth="1"/>
    <col min="2" max="2" width="7.54296875" customWidth="1"/>
    <col min="3" max="3" width="34.54296875" customWidth="1"/>
    <col min="4" max="4" width="22" customWidth="1"/>
    <col min="5" max="5" width="15.7265625" customWidth="1"/>
    <col min="6" max="6" width="19.54296875" customWidth="1"/>
    <col min="7" max="7" width="20.54296875" customWidth="1"/>
    <col min="8" max="8" width="23" customWidth="1"/>
    <col min="9" max="10" width="24" customWidth="1"/>
    <col min="11" max="11" width="22.7265625" customWidth="1"/>
    <col min="12" max="12" width="24" customWidth="1"/>
    <col min="13" max="13" width="24.81640625" customWidth="1"/>
    <col min="14" max="14" width="21.81640625" customWidth="1"/>
    <col min="15" max="15" width="25.1796875" customWidth="1"/>
    <col min="16" max="16" width="24.179687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455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433</v>
      </c>
      <c r="C2" s="32" t="s">
        <v>434</v>
      </c>
      <c r="D2" s="50">
        <v>1149973619979</v>
      </c>
      <c r="E2" s="10">
        <v>6331628401699</v>
      </c>
      <c r="F2" s="10">
        <v>7725601132423</v>
      </c>
      <c r="G2" s="10">
        <f t="shared" ref="G2:G34" si="0">I2-H2</f>
        <v>956508963121</v>
      </c>
      <c r="H2" s="10">
        <v>1547711915701</v>
      </c>
      <c r="I2" s="10">
        <v>2504220878822</v>
      </c>
      <c r="J2" s="10">
        <v>5221380253601</v>
      </c>
      <c r="K2" s="8">
        <v>3000000000</v>
      </c>
      <c r="L2" s="10">
        <v>897612636308</v>
      </c>
      <c r="M2" s="10">
        <v>406766397197</v>
      </c>
      <c r="N2" s="10">
        <f>198367075354+153007062236</f>
        <v>351374137590</v>
      </c>
      <c r="O2" s="10">
        <v>146006831186</v>
      </c>
      <c r="P2" s="50">
        <v>0</v>
      </c>
      <c r="Q2" s="51">
        <v>8300</v>
      </c>
      <c r="R2" s="51">
        <f t="shared" ref="R2:R34" si="1">D2/G2</f>
        <v>1.2022612064467675</v>
      </c>
      <c r="S2" s="58">
        <f t="shared" ref="S2:S34" si="2">H2/J2</f>
        <v>0.29641815775313402</v>
      </c>
      <c r="T2" s="51">
        <f t="shared" ref="T2:T34" si="3">O2/F2</f>
        <v>1.8899090010385703E-2</v>
      </c>
      <c r="U2" s="51">
        <f t="shared" ref="U2:U34" si="4">O2/J2</f>
        <v>2.796326336993064E-2</v>
      </c>
      <c r="V2" s="51">
        <f t="shared" ref="V2:V34" si="5">O2/L2</f>
        <v>0.16266129205415991</v>
      </c>
      <c r="W2" s="51">
        <f t="shared" ref="W2:W34" si="6">(P2/K2)/Q2</f>
        <v>0</v>
      </c>
      <c r="X2" s="51">
        <f t="shared" ref="X2:X34" si="7">P2/O2</f>
        <v>0</v>
      </c>
      <c r="Y2" s="51">
        <f t="shared" ref="Y2:Y34" si="8">Q2/(O2/K2)</f>
        <v>170.53996582036334</v>
      </c>
      <c r="Z2" s="51">
        <f t="shared" ref="Z2:Z34" si="9">Q2/(J2/K2)</f>
        <v>4.7688539793337892</v>
      </c>
      <c r="AA2" s="52">
        <v>4</v>
      </c>
    </row>
    <row r="3" spans="1:27">
      <c r="A3" s="6">
        <v>2019</v>
      </c>
      <c r="B3" s="6" t="s">
        <v>433</v>
      </c>
      <c r="C3" s="32" t="s">
        <v>434</v>
      </c>
      <c r="D3" s="50">
        <v>1463644955334</v>
      </c>
      <c r="E3" s="10">
        <v>7157600562179</v>
      </c>
      <c r="F3" s="10">
        <v>8893030992719</v>
      </c>
      <c r="G3" s="10">
        <f t="shared" si="0"/>
        <v>993021427528</v>
      </c>
      <c r="H3" s="10">
        <v>2097290824729</v>
      </c>
      <c r="I3" s="10">
        <v>3090312252257</v>
      </c>
      <c r="J3" s="10">
        <v>5802718740462</v>
      </c>
      <c r="K3" s="8">
        <v>3000000000</v>
      </c>
      <c r="L3" s="10">
        <v>1087963086355</v>
      </c>
      <c r="M3" s="10">
        <v>539141827323</v>
      </c>
      <c r="N3" s="10">
        <f>170930067640+231683666926</f>
        <v>402613734566</v>
      </c>
      <c r="O3" s="10">
        <v>128831147635</v>
      </c>
      <c r="P3" s="50">
        <v>0</v>
      </c>
      <c r="Q3" s="51">
        <v>6525</v>
      </c>
      <c r="R3" s="51">
        <f t="shared" si="1"/>
        <v>1.4739308888606333</v>
      </c>
      <c r="S3" s="58">
        <f t="shared" si="2"/>
        <v>0.36143244546814246</v>
      </c>
      <c r="T3" s="51">
        <f t="shared" si="3"/>
        <v>1.4486753474768957E-2</v>
      </c>
      <c r="U3" s="51">
        <f t="shared" si="4"/>
        <v>2.2201859748374214E-2</v>
      </c>
      <c r="V3" s="51">
        <f t="shared" si="5"/>
        <v>0.11841499886418268</v>
      </c>
      <c r="W3" s="51">
        <f t="shared" si="6"/>
        <v>0</v>
      </c>
      <c r="X3" s="51">
        <f t="shared" si="7"/>
        <v>0</v>
      </c>
      <c r="Y3" s="51">
        <f t="shared" si="8"/>
        <v>151.94306935353256</v>
      </c>
      <c r="Z3" s="51">
        <f t="shared" si="9"/>
        <v>3.3734187155246271</v>
      </c>
      <c r="AA3" s="52">
        <v>4</v>
      </c>
    </row>
    <row r="4" spans="1:27">
      <c r="A4" s="6">
        <v>2020</v>
      </c>
      <c r="B4" s="6" t="s">
        <v>433</v>
      </c>
      <c r="C4" s="32" t="s">
        <v>434</v>
      </c>
      <c r="D4" s="50">
        <v>1380008830013</v>
      </c>
      <c r="E4" s="10">
        <v>7475267546394</v>
      </c>
      <c r="F4" s="10">
        <v>10412826253217</v>
      </c>
      <c r="G4" s="10">
        <f t="shared" si="0"/>
        <v>1194454114708</v>
      </c>
      <c r="H4" s="10">
        <v>3016521818693</v>
      </c>
      <c r="I4" s="10">
        <v>4210975933401</v>
      </c>
      <c r="J4" s="10">
        <v>6201850319816</v>
      </c>
      <c r="K4" s="8">
        <v>3000000000</v>
      </c>
      <c r="L4" s="10">
        <v>1122276247134</v>
      </c>
      <c r="M4" s="10">
        <v>566680887698</v>
      </c>
      <c r="N4" s="10">
        <f>177263065242+366069282337</f>
        <v>543332347579</v>
      </c>
      <c r="O4" s="10">
        <v>67204167744</v>
      </c>
      <c r="P4" s="50">
        <v>0</v>
      </c>
      <c r="Q4" s="51">
        <v>7250</v>
      </c>
      <c r="R4" s="51">
        <f t="shared" si="1"/>
        <v>1.1553468760500367</v>
      </c>
      <c r="S4" s="58">
        <f t="shared" si="2"/>
        <v>0.4863906194341201</v>
      </c>
      <c r="T4" s="51">
        <f t="shared" si="3"/>
        <v>6.4539795546129991E-3</v>
      </c>
      <c r="U4" s="51">
        <f t="shared" si="4"/>
        <v>1.0836147968497545E-2</v>
      </c>
      <c r="V4" s="51">
        <f t="shared" si="5"/>
        <v>5.9882019169185723E-2</v>
      </c>
      <c r="W4" s="51">
        <f t="shared" si="6"/>
        <v>0</v>
      </c>
      <c r="X4" s="51">
        <f t="shared" si="7"/>
        <v>0</v>
      </c>
      <c r="Y4" s="51">
        <f t="shared" si="8"/>
        <v>323.64064209309169</v>
      </c>
      <c r="Z4" s="51">
        <f t="shared" si="9"/>
        <v>3.5070178863402965</v>
      </c>
      <c r="AA4" s="52">
        <v>4</v>
      </c>
    </row>
    <row r="5" spans="1:27">
      <c r="A5" s="6">
        <v>2018</v>
      </c>
      <c r="B5" s="6" t="s">
        <v>440</v>
      </c>
      <c r="C5" s="7" t="s">
        <v>441</v>
      </c>
      <c r="D5" s="10">
        <v>2027465000000</v>
      </c>
      <c r="E5" s="10">
        <v>21878608000000</v>
      </c>
      <c r="F5" s="10">
        <v>29113747000000</v>
      </c>
      <c r="G5" s="10">
        <f t="shared" si="0"/>
        <v>6424937000000</v>
      </c>
      <c r="H5" s="10">
        <v>19009245000000</v>
      </c>
      <c r="I5" s="10">
        <v>25434182000000</v>
      </c>
      <c r="J5" s="10">
        <v>3679565000000</v>
      </c>
      <c r="K5" s="8">
        <v>14420120000</v>
      </c>
      <c r="L5" s="10">
        <v>4318137000000</v>
      </c>
      <c r="M5" s="10">
        <v>784082000000</v>
      </c>
      <c r="N5" s="10">
        <v>381463000000</v>
      </c>
      <c r="O5" s="12">
        <v>702632000000</v>
      </c>
      <c r="P5" s="50">
        <v>760910000000</v>
      </c>
      <c r="Q5" s="51">
        <v>3600</v>
      </c>
      <c r="R5" s="51">
        <f t="shared" si="1"/>
        <v>0.31556184908894824</v>
      </c>
      <c r="S5" s="58">
        <f t="shared" si="2"/>
        <v>5.1661663810803722</v>
      </c>
      <c r="T5" s="51">
        <f t="shared" si="3"/>
        <v>2.4134028505502916E-2</v>
      </c>
      <c r="U5" s="51">
        <f t="shared" si="4"/>
        <v>0.19095518084338775</v>
      </c>
      <c r="V5" s="51">
        <f t="shared" si="5"/>
        <v>0.1627164677730234</v>
      </c>
      <c r="W5" s="51">
        <f t="shared" si="6"/>
        <v>1.4657567959828968E-2</v>
      </c>
      <c r="X5" s="51">
        <f t="shared" si="7"/>
        <v>1.0829424222067883</v>
      </c>
      <c r="Y5" s="51">
        <f t="shared" si="8"/>
        <v>73.882817748124197</v>
      </c>
      <c r="Z5" s="51">
        <f t="shared" si="9"/>
        <v>14.108306824312114</v>
      </c>
      <c r="AA5" s="52">
        <v>4</v>
      </c>
    </row>
    <row r="6" spans="1:27">
      <c r="A6" s="6">
        <v>2019</v>
      </c>
      <c r="B6" s="6" t="s">
        <v>440</v>
      </c>
      <c r="C6" s="7" t="s">
        <v>441</v>
      </c>
      <c r="D6" s="9">
        <v>2376740000000</v>
      </c>
      <c r="E6" s="10">
        <v>24649294000000</v>
      </c>
      <c r="F6" s="10">
        <v>30871710000000</v>
      </c>
      <c r="G6" s="10">
        <f t="shared" si="0"/>
        <v>4513623000000</v>
      </c>
      <c r="H6" s="9">
        <v>20834803000000</v>
      </c>
      <c r="I6" s="10">
        <v>25348426000000</v>
      </c>
      <c r="J6" s="10">
        <v>5523284000000</v>
      </c>
      <c r="K6" s="8">
        <v>72100600000</v>
      </c>
      <c r="L6" s="10">
        <v>4698742000000</v>
      </c>
      <c r="M6" s="10">
        <v>903454000000</v>
      </c>
      <c r="N6" s="10">
        <v>426434000000</v>
      </c>
      <c r="O6" s="12">
        <v>866121000000</v>
      </c>
      <c r="P6" s="50">
        <f>9197000000+600000000000</f>
        <v>609197000000</v>
      </c>
      <c r="Q6" s="51">
        <v>1230</v>
      </c>
      <c r="R6" s="51">
        <f t="shared" si="1"/>
        <v>0.52657034050030316</v>
      </c>
      <c r="S6" s="58">
        <f t="shared" si="2"/>
        <v>3.7721766615658368</v>
      </c>
      <c r="T6" s="51">
        <f t="shared" si="3"/>
        <v>2.8055491581127186E-2</v>
      </c>
      <c r="U6" s="51">
        <f t="shared" si="4"/>
        <v>0.15681268607589252</v>
      </c>
      <c r="V6" s="51">
        <f t="shared" si="5"/>
        <v>0.18433040162664815</v>
      </c>
      <c r="W6" s="51">
        <f t="shared" si="6"/>
        <v>6.8693202805682361E-3</v>
      </c>
      <c r="X6" s="51">
        <f t="shared" si="7"/>
        <v>0.70336246321241491</v>
      </c>
      <c r="Y6" s="51">
        <f t="shared" si="8"/>
        <v>102.39185748873426</v>
      </c>
      <c r="Z6" s="51">
        <f t="shared" si="9"/>
        <v>16.056342205108411</v>
      </c>
      <c r="AA6" s="52">
        <v>4</v>
      </c>
    </row>
    <row r="7" spans="1:27">
      <c r="A7" s="6">
        <v>2020</v>
      </c>
      <c r="B7" s="6" t="s">
        <v>440</v>
      </c>
      <c r="C7" s="7" t="s">
        <v>441</v>
      </c>
      <c r="D7" s="50">
        <v>3227394000000</v>
      </c>
      <c r="E7" s="10">
        <v>28738362000000</v>
      </c>
      <c r="F7" s="10">
        <v>36521303000000</v>
      </c>
      <c r="G7" s="10">
        <f t="shared" si="0"/>
        <v>13777876000000</v>
      </c>
      <c r="H7" s="10">
        <v>13439589000000</v>
      </c>
      <c r="I7" s="10">
        <v>27217465000000</v>
      </c>
      <c r="J7" s="10">
        <v>9303838000000</v>
      </c>
      <c r="K7" s="8">
        <v>72100600000</v>
      </c>
      <c r="L7" s="10">
        <v>5327689000000</v>
      </c>
      <c r="M7" s="10">
        <v>1093065000000</v>
      </c>
      <c r="N7" s="10">
        <v>418623000000</v>
      </c>
      <c r="O7" s="12">
        <v>1066576000000</v>
      </c>
      <c r="P7" s="50">
        <f>11055000000+605670000000</f>
        <v>616725000000</v>
      </c>
      <c r="Q7" s="51">
        <v>1630</v>
      </c>
      <c r="R7" s="51">
        <f t="shared" si="1"/>
        <v>0.23424466877187747</v>
      </c>
      <c r="S7" s="58">
        <f t="shared" si="2"/>
        <v>1.4445209600597086</v>
      </c>
      <c r="T7" s="51">
        <f t="shared" si="3"/>
        <v>2.9204215413672397E-2</v>
      </c>
      <c r="U7" s="51">
        <f t="shared" si="4"/>
        <v>0.11463828153499664</v>
      </c>
      <c r="V7" s="51">
        <f t="shared" si="5"/>
        <v>0.20019486873201495</v>
      </c>
      <c r="W7" s="51">
        <f t="shared" si="6"/>
        <v>5.2476525258530644E-3</v>
      </c>
      <c r="X7" s="51">
        <f t="shared" si="7"/>
        <v>0.5782288369511408</v>
      </c>
      <c r="Y7" s="51">
        <f t="shared" si="8"/>
        <v>110.18809536310587</v>
      </c>
      <c r="Z7" s="51">
        <f t="shared" si="9"/>
        <v>12.631773898040789</v>
      </c>
      <c r="AA7" s="52">
        <v>4</v>
      </c>
    </row>
    <row r="8" spans="1:27">
      <c r="A8" s="6">
        <v>2018</v>
      </c>
      <c r="B8" s="6" t="s">
        <v>407</v>
      </c>
      <c r="C8" s="7" t="s">
        <v>408</v>
      </c>
      <c r="D8" s="9">
        <v>1616000000</v>
      </c>
      <c r="E8" s="10">
        <v>724000000</v>
      </c>
      <c r="F8" s="10">
        <v>713505000000</v>
      </c>
      <c r="G8" s="10">
        <f t="shared" si="0"/>
        <v>10096465000000</v>
      </c>
      <c r="H8" s="9">
        <v>6036283000000</v>
      </c>
      <c r="I8" s="10">
        <v>16132748000000</v>
      </c>
      <c r="J8" s="10">
        <v>15419243000000</v>
      </c>
      <c r="K8" s="8">
        <f t="shared" ref="K8:K10" si="10">10000000000+87111652195</f>
        <v>97111652195</v>
      </c>
      <c r="L8" s="10">
        <v>8526000000</v>
      </c>
      <c r="M8" s="10">
        <v>4720000000</v>
      </c>
      <c r="N8" s="9">
        <f>40856000000+690929000000</f>
        <v>731785000000</v>
      </c>
      <c r="O8" s="12">
        <v>-720575000000</v>
      </c>
      <c r="P8" s="50">
        <v>0</v>
      </c>
      <c r="Q8" s="51">
        <v>50</v>
      </c>
      <c r="R8" s="51">
        <f t="shared" si="1"/>
        <v>1.6005601960686241E-4</v>
      </c>
      <c r="S8" s="58">
        <f t="shared" si="2"/>
        <v>0.39147725994071175</v>
      </c>
      <c r="T8" s="51">
        <f t="shared" si="3"/>
        <v>-1.0099088303515742</v>
      </c>
      <c r="U8" s="51">
        <f t="shared" si="4"/>
        <v>-4.6732190419464824E-2</v>
      </c>
      <c r="V8" s="51">
        <f t="shared" si="5"/>
        <v>-84.51501290171241</v>
      </c>
      <c r="W8" s="51">
        <f t="shared" si="6"/>
        <v>0</v>
      </c>
      <c r="X8" s="51">
        <f t="shared" si="7"/>
        <v>0</v>
      </c>
      <c r="Y8" s="51">
        <f t="shared" si="8"/>
        <v>-6.7384833081219853</v>
      </c>
      <c r="Z8" s="51">
        <f t="shared" si="9"/>
        <v>0.31490408509354184</v>
      </c>
      <c r="AA8" s="52">
        <v>4</v>
      </c>
    </row>
    <row r="9" spans="1:27">
      <c r="A9" s="6">
        <v>2019</v>
      </c>
      <c r="B9" s="6" t="s">
        <v>407</v>
      </c>
      <c r="C9" s="7" t="s">
        <v>408</v>
      </c>
      <c r="D9" s="50">
        <v>3980000000</v>
      </c>
      <c r="E9" s="10">
        <v>425000000</v>
      </c>
      <c r="F9" s="10">
        <v>11234000000</v>
      </c>
      <c r="G9" s="10">
        <f t="shared" si="0"/>
        <v>9240180000000</v>
      </c>
      <c r="H9" s="10">
        <v>5723346000000</v>
      </c>
      <c r="I9" s="10">
        <v>14963526000000</v>
      </c>
      <c r="J9" s="10">
        <v>14952292000000</v>
      </c>
      <c r="K9" s="8">
        <f t="shared" si="10"/>
        <v>97111652195</v>
      </c>
      <c r="L9" s="10">
        <v>10275000000</v>
      </c>
      <c r="M9" s="10">
        <v>6251000000</v>
      </c>
      <c r="N9" s="9">
        <f>3423000000+8619000000+353000000+165192000000+15000000</f>
        <v>177602000000</v>
      </c>
      <c r="O9" s="19">
        <v>7280000000</v>
      </c>
      <c r="P9" s="50">
        <v>0</v>
      </c>
      <c r="Q9" s="51">
        <v>50</v>
      </c>
      <c r="R9" s="51">
        <f t="shared" si="1"/>
        <v>4.3072753993969815E-4</v>
      </c>
      <c r="S9" s="58">
        <f t="shared" si="2"/>
        <v>0.38277382490925138</v>
      </c>
      <c r="T9" s="51">
        <f t="shared" si="3"/>
        <v>0.64803275769983981</v>
      </c>
      <c r="U9" s="51">
        <f t="shared" si="4"/>
        <v>4.8688187737371637E-4</v>
      </c>
      <c r="V9" s="51">
        <f t="shared" si="5"/>
        <v>0.70851581508515815</v>
      </c>
      <c r="W9" s="51">
        <f t="shared" si="6"/>
        <v>0</v>
      </c>
      <c r="X9" s="51">
        <f t="shared" si="7"/>
        <v>0</v>
      </c>
      <c r="Y9" s="51">
        <f t="shared" si="8"/>
        <v>666.97563320741767</v>
      </c>
      <c r="Z9" s="51">
        <f t="shared" si="9"/>
        <v>0.32473834845855071</v>
      </c>
      <c r="AA9" s="52">
        <v>4</v>
      </c>
    </row>
    <row r="10" spans="1:27">
      <c r="A10" s="6">
        <v>2020</v>
      </c>
      <c r="B10" s="6" t="s">
        <v>407</v>
      </c>
      <c r="C10" s="7" t="s">
        <v>408</v>
      </c>
      <c r="D10" s="50">
        <v>2134000000</v>
      </c>
      <c r="E10" s="10">
        <v>61000000</v>
      </c>
      <c r="F10" s="10">
        <v>3266000000</v>
      </c>
      <c r="G10" s="10">
        <f t="shared" si="0"/>
        <v>881184000000</v>
      </c>
      <c r="H10" s="10">
        <v>10425635000000</v>
      </c>
      <c r="I10" s="10">
        <v>11306819000000</v>
      </c>
      <c r="J10" s="10">
        <v>11303553000000</v>
      </c>
      <c r="K10" s="8">
        <f t="shared" si="10"/>
        <v>97111652195</v>
      </c>
      <c r="L10" s="10">
        <v>10537000000</v>
      </c>
      <c r="M10" s="10">
        <v>6569000000</v>
      </c>
      <c r="N10" s="9">
        <f>132000000+8317000000+95000000+5963000000+ 89807000000</f>
        <v>104314000000</v>
      </c>
      <c r="O10" s="12">
        <v>-108137000000</v>
      </c>
      <c r="P10" s="50">
        <v>0</v>
      </c>
      <c r="Q10" s="51">
        <v>50</v>
      </c>
      <c r="R10" s="51">
        <f t="shared" si="1"/>
        <v>2.4217416566801033E-3</v>
      </c>
      <c r="S10" s="58">
        <f t="shared" si="2"/>
        <v>0.92233256215988013</v>
      </c>
      <c r="T10" s="51">
        <f t="shared" si="3"/>
        <v>-33.109920391916717</v>
      </c>
      <c r="U10" s="51">
        <f t="shared" si="4"/>
        <v>-9.5666380296531538E-3</v>
      </c>
      <c r="V10" s="51">
        <f t="shared" si="5"/>
        <v>-10.262598462560501</v>
      </c>
      <c r="W10" s="51">
        <f t="shared" si="6"/>
        <v>0</v>
      </c>
      <c r="X10" s="51">
        <f t="shared" si="7"/>
        <v>0</v>
      </c>
      <c r="Y10" s="51">
        <f t="shared" si="8"/>
        <v>-44.902139043528116</v>
      </c>
      <c r="Z10" s="51">
        <f t="shared" si="9"/>
        <v>0.42956251098658982</v>
      </c>
      <c r="AA10" s="52">
        <v>4</v>
      </c>
    </row>
    <row r="11" spans="1:27">
      <c r="A11" s="6">
        <v>2018</v>
      </c>
      <c r="B11" s="6" t="s">
        <v>411</v>
      </c>
      <c r="C11" s="7" t="s">
        <v>412</v>
      </c>
      <c r="D11" s="9">
        <v>7058652000000</v>
      </c>
      <c r="E11" s="10">
        <v>36759530000000</v>
      </c>
      <c r="F11" s="10">
        <v>57613954000000</v>
      </c>
      <c r="G11" s="10">
        <f t="shared" si="0"/>
        <v>15733294000000</v>
      </c>
      <c r="H11" s="10">
        <v>23537562000000</v>
      </c>
      <c r="I11" s="10">
        <f>23537562000000+15733294000000</f>
        <v>39270856000000</v>
      </c>
      <c r="J11" s="10">
        <v>18343098000000</v>
      </c>
      <c r="K11" s="8">
        <v>22650000000</v>
      </c>
      <c r="L11" s="10">
        <v>22938812000000</v>
      </c>
      <c r="M11" s="10">
        <v>25710191000000</v>
      </c>
      <c r="N11" s="9">
        <f>1037244000000+2038624000000+1037244000000</f>
        <v>4113112000000</v>
      </c>
      <c r="O11" s="12">
        <v>-3296890000000</v>
      </c>
      <c r="P11" s="50">
        <v>0</v>
      </c>
      <c r="Q11" s="51">
        <v>1980</v>
      </c>
      <c r="R11" s="51">
        <f t="shared" si="1"/>
        <v>0.44864425720386336</v>
      </c>
      <c r="S11" s="58">
        <f t="shared" si="2"/>
        <v>1.2831835712811435</v>
      </c>
      <c r="T11" s="51">
        <f t="shared" si="3"/>
        <v>-5.7223810745570425E-2</v>
      </c>
      <c r="U11" s="51">
        <f t="shared" si="4"/>
        <v>-0.17973463370255122</v>
      </c>
      <c r="V11" s="51">
        <f t="shared" si="5"/>
        <v>-0.1437254030417966</v>
      </c>
      <c r="W11" s="51">
        <f t="shared" si="6"/>
        <v>0</v>
      </c>
      <c r="X11" s="51">
        <f t="shared" si="7"/>
        <v>0</v>
      </c>
      <c r="Y11" s="51">
        <f t="shared" si="8"/>
        <v>-13.602819626981791</v>
      </c>
      <c r="Z11" s="51">
        <f t="shared" si="9"/>
        <v>2.4448978029774469</v>
      </c>
      <c r="AA11" s="52">
        <v>4</v>
      </c>
    </row>
    <row r="12" spans="1:27">
      <c r="A12" s="6">
        <v>2019</v>
      </c>
      <c r="B12" s="6" t="s">
        <v>411</v>
      </c>
      <c r="C12" s="7" t="s">
        <v>412</v>
      </c>
      <c r="D12" s="9">
        <v>7145648000000</v>
      </c>
      <c r="E12" s="10">
        <v>42081680000000</v>
      </c>
      <c r="F12" s="10">
        <v>62725242000000</v>
      </c>
      <c r="G12" s="10">
        <f t="shared" si="0"/>
        <v>21292684000000</v>
      </c>
      <c r="H12" s="10">
        <v>22310592000000</v>
      </c>
      <c r="I12" s="10">
        <f>H12+21292684000000</f>
        <v>43603276000000</v>
      </c>
      <c r="J12" s="10">
        <v>19121966000000</v>
      </c>
      <c r="K12" s="8">
        <v>22650000000</v>
      </c>
      <c r="L12" s="10">
        <v>25132628000000</v>
      </c>
      <c r="M12" s="10">
        <v>21858139000000</v>
      </c>
      <c r="N12" s="9">
        <f>1970279000000+1279376000000+531193000000</f>
        <v>3780848000000</v>
      </c>
      <c r="O12" s="12">
        <v>712579000000</v>
      </c>
      <c r="P12" s="50">
        <v>0</v>
      </c>
      <c r="Q12" s="51">
        <v>3150</v>
      </c>
      <c r="R12" s="51">
        <f t="shared" si="1"/>
        <v>0.33559169900797853</v>
      </c>
      <c r="S12" s="58">
        <f t="shared" si="2"/>
        <v>1.1667519961075132</v>
      </c>
      <c r="T12" s="51">
        <f t="shared" si="3"/>
        <v>1.1360322850567879E-2</v>
      </c>
      <c r="U12" s="51">
        <f t="shared" si="4"/>
        <v>3.7264944410004705E-2</v>
      </c>
      <c r="V12" s="51">
        <f t="shared" si="5"/>
        <v>2.8352745283939267E-2</v>
      </c>
      <c r="W12" s="51">
        <f t="shared" si="6"/>
        <v>0</v>
      </c>
      <c r="X12" s="51">
        <f t="shared" si="7"/>
        <v>0</v>
      </c>
      <c r="Y12" s="51">
        <f t="shared" si="8"/>
        <v>100.12574044421741</v>
      </c>
      <c r="Z12" s="51">
        <f t="shared" si="9"/>
        <v>3.7311801516643213</v>
      </c>
      <c r="AA12" s="52">
        <v>4</v>
      </c>
    </row>
    <row r="13" spans="1:27">
      <c r="A13" s="6">
        <v>2020</v>
      </c>
      <c r="B13" s="6" t="s">
        <v>411</v>
      </c>
      <c r="C13" s="7" t="s">
        <v>412</v>
      </c>
      <c r="D13" s="50">
        <v>7571123000000</v>
      </c>
      <c r="E13" s="10">
        <v>47162250000000</v>
      </c>
      <c r="F13" s="10">
        <v>67744797000000</v>
      </c>
      <c r="G13" s="10">
        <f t="shared" si="0"/>
        <v>18857026000000</v>
      </c>
      <c r="H13" s="10">
        <v>29750405000000</v>
      </c>
      <c r="I13" s="10">
        <f>H13+18857026000000</f>
        <v>48607431000000</v>
      </c>
      <c r="J13" s="10">
        <v>19137366000000</v>
      </c>
      <c r="K13" s="8">
        <v>22650000000</v>
      </c>
      <c r="L13" s="10">
        <v>26009095000000</v>
      </c>
      <c r="M13" s="10">
        <v>23377010000000</v>
      </c>
      <c r="N13" s="9">
        <f>1805207000000+1274264000000+335218000000</f>
        <v>3414689000000</v>
      </c>
      <c r="O13" s="12">
        <v>371598000000</v>
      </c>
      <c r="P13" s="50">
        <v>213024000000</v>
      </c>
      <c r="Q13" s="51">
        <v>2730</v>
      </c>
      <c r="R13" s="51">
        <f t="shared" si="1"/>
        <v>0.40150143506192332</v>
      </c>
      <c r="S13" s="58">
        <f t="shared" si="2"/>
        <v>1.5545715643417177</v>
      </c>
      <c r="T13" s="51">
        <f t="shared" si="3"/>
        <v>5.4852625803868005E-3</v>
      </c>
      <c r="U13" s="51">
        <f t="shared" si="4"/>
        <v>1.9417405718216395E-2</v>
      </c>
      <c r="V13" s="51">
        <f t="shared" si="5"/>
        <v>1.4287232985230743E-2</v>
      </c>
      <c r="W13" s="51">
        <f t="shared" si="6"/>
        <v>3.4450670742061473E-3</v>
      </c>
      <c r="X13" s="51">
        <f t="shared" si="7"/>
        <v>0.57326465696801387</v>
      </c>
      <c r="Y13" s="51">
        <f t="shared" si="8"/>
        <v>166.40159527231037</v>
      </c>
      <c r="Z13" s="51">
        <f t="shared" si="9"/>
        <v>3.2310872875608898</v>
      </c>
      <c r="AA13" s="52">
        <v>4</v>
      </c>
    </row>
    <row r="14" spans="1:27">
      <c r="A14" s="6">
        <v>2018</v>
      </c>
      <c r="B14" s="6" t="s">
        <v>413</v>
      </c>
      <c r="C14" s="7" t="s">
        <v>414</v>
      </c>
      <c r="D14" s="50">
        <v>1987582883558</v>
      </c>
      <c r="E14" s="10">
        <v>16747033996892</v>
      </c>
      <c r="F14" s="10">
        <v>26213595077036</v>
      </c>
      <c r="G14" s="10">
        <f t="shared" si="0"/>
        <v>6113366615810</v>
      </c>
      <c r="H14" s="10">
        <v>6652222637584</v>
      </c>
      <c r="I14" s="10">
        <v>12765589253394</v>
      </c>
      <c r="J14" s="10">
        <v>12448005823642</v>
      </c>
      <c r="K14" s="8">
        <f t="shared" ref="K14:K16" si="11">1011793622+6793548068+541828646880</f>
        <v>549633988570</v>
      </c>
      <c r="L14" s="10">
        <v>5490311128559</v>
      </c>
      <c r="M14" s="10">
        <v>3621087413155</v>
      </c>
      <c r="N14" s="10">
        <f>648487185301+7330018167414</f>
        <v>7978505352715</v>
      </c>
      <c r="O14" s="12">
        <v>-3532729249240</v>
      </c>
      <c r="P14" s="50">
        <v>0</v>
      </c>
      <c r="Q14" s="51">
        <v>78</v>
      </c>
      <c r="R14" s="51">
        <f t="shared" si="1"/>
        <v>0.32512083905091499</v>
      </c>
      <c r="S14" s="58">
        <f t="shared" si="2"/>
        <v>0.53440066881634163</v>
      </c>
      <c r="T14" s="51">
        <f t="shared" si="3"/>
        <v>-0.13476706414584053</v>
      </c>
      <c r="U14" s="51">
        <f t="shared" si="4"/>
        <v>-0.28379881077260011</v>
      </c>
      <c r="V14" s="51">
        <f t="shared" si="5"/>
        <v>-0.64344791515799005</v>
      </c>
      <c r="W14" s="51">
        <f t="shared" si="6"/>
        <v>0</v>
      </c>
      <c r="X14" s="51">
        <f t="shared" si="7"/>
        <v>0</v>
      </c>
      <c r="Y14" s="51">
        <f t="shared" si="8"/>
        <v>-12.135504332148574</v>
      </c>
      <c r="Z14" s="51">
        <f t="shared" si="9"/>
        <v>3.4440416975895016</v>
      </c>
      <c r="AA14" s="52">
        <v>4</v>
      </c>
    </row>
    <row r="15" spans="1:27">
      <c r="A15" s="6">
        <v>2019</v>
      </c>
      <c r="B15" s="6" t="s">
        <v>413</v>
      </c>
      <c r="C15" s="7" t="s">
        <v>414</v>
      </c>
      <c r="D15" s="9">
        <v>1774596661176</v>
      </c>
      <c r="E15" s="10">
        <v>19894482043118</v>
      </c>
      <c r="F15" s="10">
        <v>27650462178339</v>
      </c>
      <c r="G15" s="10">
        <f t="shared" si="0"/>
        <v>6119936082173</v>
      </c>
      <c r="H15" s="10">
        <v>8795039298147</v>
      </c>
      <c r="I15" s="10">
        <v>14914975380320</v>
      </c>
      <c r="J15" s="10">
        <v>12735486798019</v>
      </c>
      <c r="K15" s="8">
        <f t="shared" si="11"/>
        <v>549633988570</v>
      </c>
      <c r="L15" s="10">
        <v>6987804620572</v>
      </c>
      <c r="M15" s="10">
        <v>9290093435878</v>
      </c>
      <c r="N15" s="10">
        <f>939362411828+8093594926155</f>
        <v>9032957337983</v>
      </c>
      <c r="O15" s="12">
        <v>-2197474419923</v>
      </c>
      <c r="P15" s="50">
        <v>0</v>
      </c>
      <c r="Q15" s="51">
        <v>138</v>
      </c>
      <c r="R15" s="51">
        <f t="shared" si="1"/>
        <v>0.28996980317250237</v>
      </c>
      <c r="S15" s="58">
        <f t="shared" si="2"/>
        <v>0.69059309923787637</v>
      </c>
      <c r="T15" s="51">
        <f t="shared" si="3"/>
        <v>-7.9473334143559879E-2</v>
      </c>
      <c r="U15" s="51">
        <f t="shared" si="4"/>
        <v>-0.17254734387262027</v>
      </c>
      <c r="V15" s="51">
        <f t="shared" si="5"/>
        <v>-0.31447279070363038</v>
      </c>
      <c r="W15" s="51">
        <f t="shared" si="6"/>
        <v>0</v>
      </c>
      <c r="X15" s="51">
        <f t="shared" si="7"/>
        <v>0</v>
      </c>
      <c r="Y15" s="51">
        <f t="shared" si="8"/>
        <v>-34.516665921106735</v>
      </c>
      <c r="Z15" s="51">
        <f t="shared" si="9"/>
        <v>5.9557590240255571</v>
      </c>
      <c r="AA15" s="52">
        <v>4</v>
      </c>
    </row>
    <row r="16" spans="1:27">
      <c r="A16" s="6">
        <v>2020</v>
      </c>
      <c r="B16" s="6" t="s">
        <v>413</v>
      </c>
      <c r="C16" s="7" t="s">
        <v>414</v>
      </c>
      <c r="D16" s="10">
        <v>2646319224796</v>
      </c>
      <c r="E16" s="10">
        <v>29672953182374</v>
      </c>
      <c r="F16" s="10">
        <v>38684276546076</v>
      </c>
      <c r="G16" s="10">
        <f t="shared" si="0"/>
        <v>8417955655404</v>
      </c>
      <c r="H16" s="10">
        <v>17900388499822</v>
      </c>
      <c r="I16" s="10">
        <v>26318344155226</v>
      </c>
      <c r="J16" s="10">
        <v>12365932390850</v>
      </c>
      <c r="K16" s="8">
        <f t="shared" si="11"/>
        <v>549633988570</v>
      </c>
      <c r="L16" s="10">
        <v>9407882876396</v>
      </c>
      <c r="M16" s="10">
        <v>10192558145177</v>
      </c>
      <c r="N16" s="10">
        <f>1254597841997+8466286109995+14327760523</f>
        <v>9735211712515</v>
      </c>
      <c r="O16" s="12">
        <v>-1499720500328</v>
      </c>
      <c r="P16" s="50">
        <v>0</v>
      </c>
      <c r="Q16" s="51">
        <v>67</v>
      </c>
      <c r="R16" s="51">
        <f t="shared" si="1"/>
        <v>0.31436602105371819</v>
      </c>
      <c r="S16" s="58">
        <f t="shared" si="2"/>
        <v>1.4475567174430894</v>
      </c>
      <c r="T16" s="51">
        <f t="shared" si="3"/>
        <v>-3.8768218879360855E-2</v>
      </c>
      <c r="U16" s="51">
        <f t="shared" si="4"/>
        <v>-0.1212784004413365</v>
      </c>
      <c r="V16" s="51">
        <f t="shared" si="5"/>
        <v>-0.15941105135255654</v>
      </c>
      <c r="W16" s="51">
        <f t="shared" si="6"/>
        <v>0</v>
      </c>
      <c r="X16" s="51">
        <f t="shared" si="7"/>
        <v>0</v>
      </c>
      <c r="Y16" s="51">
        <f t="shared" si="8"/>
        <v>-24.554893545921388</v>
      </c>
      <c r="Z16" s="51">
        <f t="shared" si="9"/>
        <v>2.9779782122566432</v>
      </c>
      <c r="AA16" s="52">
        <v>4</v>
      </c>
    </row>
    <row r="17" spans="1:27">
      <c r="A17" s="6">
        <v>2018</v>
      </c>
      <c r="B17" s="6" t="s">
        <v>415</v>
      </c>
      <c r="C17" s="7" t="s">
        <v>416</v>
      </c>
      <c r="D17" s="10">
        <v>7906525000000</v>
      </c>
      <c r="E17" s="10">
        <v>36899330000000</v>
      </c>
      <c r="F17" s="10">
        <v>53139587000000</v>
      </c>
      <c r="G17" s="10">
        <f t="shared" si="0"/>
        <v>21040365000000</v>
      </c>
      <c r="H17" s="10">
        <v>19962975000000</v>
      </c>
      <c r="I17" s="10">
        <v>41003340000000</v>
      </c>
      <c r="J17" s="10">
        <v>12136247000000</v>
      </c>
      <c r="K17" s="8">
        <v>20000000000</v>
      </c>
      <c r="L17" s="9">
        <v>23139551000000</v>
      </c>
      <c r="M17" s="10">
        <v>12043307000000</v>
      </c>
      <c r="N17" s="10">
        <f>2238310000000+1228930000000+1128860000000</f>
        <v>4596100000000</v>
      </c>
      <c r="O17" s="12">
        <v>-2085059000000</v>
      </c>
      <c r="P17" s="50">
        <f>79619000000+396677000000</f>
        <v>476296000000</v>
      </c>
      <c r="Q17" s="51">
        <v>1685</v>
      </c>
      <c r="R17" s="51">
        <f t="shared" si="1"/>
        <v>0.37577888976735907</v>
      </c>
      <c r="S17" s="58">
        <f t="shared" si="2"/>
        <v>1.6449051341819263</v>
      </c>
      <c r="T17" s="51">
        <f t="shared" si="3"/>
        <v>-3.9237395653827722E-2</v>
      </c>
      <c r="U17" s="51">
        <f t="shared" si="4"/>
        <v>-0.17180426535484983</v>
      </c>
      <c r="V17" s="51">
        <f t="shared" si="5"/>
        <v>-9.0108014628287297E-2</v>
      </c>
      <c r="W17" s="51">
        <f t="shared" si="6"/>
        <v>1.4133412462908014E-2</v>
      </c>
      <c r="X17" s="51">
        <f t="shared" si="7"/>
        <v>-0.22843286448968592</v>
      </c>
      <c r="Y17" s="51">
        <f t="shared" si="8"/>
        <v>-16.16261218507486</v>
      </c>
      <c r="Z17" s="51">
        <f t="shared" si="9"/>
        <v>2.7768057126721297</v>
      </c>
      <c r="AA17" s="52">
        <v>4</v>
      </c>
    </row>
    <row r="18" spans="1:27">
      <c r="A18" s="6">
        <v>2019</v>
      </c>
      <c r="B18" s="6" t="s">
        <v>415</v>
      </c>
      <c r="C18" s="7" t="s">
        <v>416</v>
      </c>
      <c r="D18" s="10">
        <v>12444795000000</v>
      </c>
      <c r="E18" s="10">
        <v>42753285000000</v>
      </c>
      <c r="F18" s="10">
        <v>62813000000000</v>
      </c>
      <c r="G18" s="10">
        <f t="shared" si="0"/>
        <v>22129440000000</v>
      </c>
      <c r="H18" s="10">
        <v>26976367000000</v>
      </c>
      <c r="I18" s="10">
        <v>49105807000000</v>
      </c>
      <c r="J18" s="10">
        <v>13707193000000</v>
      </c>
      <c r="K18" s="8">
        <v>20000000000</v>
      </c>
      <c r="L18" s="10">
        <v>26117533000000</v>
      </c>
      <c r="M18" s="10">
        <v>12342653000000</v>
      </c>
      <c r="N18" s="10">
        <f>1934024000000+1145457000000+839338000000</f>
        <v>3918819000000</v>
      </c>
      <c r="O18" s="12">
        <v>1630372000000</v>
      </c>
      <c r="P18" s="50">
        <v>38273000000</v>
      </c>
      <c r="Q18" s="51">
        <v>2910</v>
      </c>
      <c r="R18" s="51">
        <f t="shared" si="1"/>
        <v>0.56236375615469714</v>
      </c>
      <c r="S18" s="58">
        <f t="shared" si="2"/>
        <v>1.9680445879765462</v>
      </c>
      <c r="T18" s="51">
        <f t="shared" si="3"/>
        <v>2.5955964529635583E-2</v>
      </c>
      <c r="U18" s="51">
        <f t="shared" si="4"/>
        <v>0.1189428061602401</v>
      </c>
      <c r="V18" s="51">
        <f t="shared" si="5"/>
        <v>6.2424425767931453E-2</v>
      </c>
      <c r="W18" s="51">
        <f t="shared" si="6"/>
        <v>6.5761168384879725E-4</v>
      </c>
      <c r="X18" s="51">
        <f t="shared" si="7"/>
        <v>2.3475010611075264E-2</v>
      </c>
      <c r="Y18" s="51">
        <f t="shared" si="8"/>
        <v>35.69737458690409</v>
      </c>
      <c r="Z18" s="51">
        <f t="shared" si="9"/>
        <v>4.2459459059196147</v>
      </c>
      <c r="AA18" s="52">
        <v>4</v>
      </c>
    </row>
    <row r="19" spans="1:27">
      <c r="A19" s="6">
        <v>2020</v>
      </c>
      <c r="B19" s="6" t="s">
        <v>415</v>
      </c>
      <c r="C19" s="7" t="s">
        <v>416</v>
      </c>
      <c r="D19" s="10">
        <v>9594951000000</v>
      </c>
      <c r="E19" s="10">
        <v>46522054000000</v>
      </c>
      <c r="F19" s="10">
        <v>62778740000000</v>
      </c>
      <c r="G19" s="10">
        <f t="shared" si="0"/>
        <v>22658094000000</v>
      </c>
      <c r="H19" s="10">
        <v>27207250000000</v>
      </c>
      <c r="I19" s="10">
        <v>49865344000000</v>
      </c>
      <c r="J19" s="10">
        <v>12913396000000</v>
      </c>
      <c r="K19" s="8">
        <v>20000000000</v>
      </c>
      <c r="L19" s="10">
        <v>27925661000000</v>
      </c>
      <c r="M19" s="10">
        <v>12165540000000</v>
      </c>
      <c r="N19" s="10">
        <f>2578463000000+1082774000000+665727000000</f>
        <v>4326964000000</v>
      </c>
      <c r="O19" s="12">
        <v>-630160000000</v>
      </c>
      <c r="P19" s="50">
        <v>22226000000</v>
      </c>
      <c r="Q19" s="51">
        <v>5050</v>
      </c>
      <c r="R19" s="51">
        <f t="shared" si="1"/>
        <v>0.42346681940678682</v>
      </c>
      <c r="S19" s="58">
        <f t="shared" si="2"/>
        <v>2.1069012365143918</v>
      </c>
      <c r="T19" s="51">
        <f t="shared" si="3"/>
        <v>-1.0037793049048133E-2</v>
      </c>
      <c r="U19" s="51">
        <f t="shared" si="4"/>
        <v>-4.8798937165715352E-2</v>
      </c>
      <c r="V19" s="51">
        <f t="shared" si="5"/>
        <v>-2.2565625214744246E-2</v>
      </c>
      <c r="W19" s="51">
        <f t="shared" si="6"/>
        <v>2.2005940594059406E-4</v>
      </c>
      <c r="X19" s="51">
        <f t="shared" si="7"/>
        <v>-3.5270407515551605E-2</v>
      </c>
      <c r="Y19" s="51">
        <f t="shared" si="8"/>
        <v>-160.27675510981339</v>
      </c>
      <c r="Z19" s="51">
        <f t="shared" si="9"/>
        <v>7.8213353017285305</v>
      </c>
      <c r="AA19" s="52">
        <v>4</v>
      </c>
    </row>
    <row r="20" spans="1:27">
      <c r="A20" s="6">
        <v>2018</v>
      </c>
      <c r="B20" s="6" t="s">
        <v>417</v>
      </c>
      <c r="C20" s="7" t="s">
        <v>418</v>
      </c>
      <c r="D20" s="10">
        <v>206196000000000</v>
      </c>
      <c r="E20" s="10">
        <v>143248000000000</v>
      </c>
      <c r="F20" s="10">
        <v>206196000000000</v>
      </c>
      <c r="G20" s="10">
        <f t="shared" si="0"/>
        <v>46261000000000</v>
      </c>
      <c r="H20" s="10">
        <v>42632000000000</v>
      </c>
      <c r="I20" s="10">
        <v>88893000000000</v>
      </c>
      <c r="J20" s="10">
        <v>117303000000000</v>
      </c>
      <c r="K20" s="8">
        <v>99062216600</v>
      </c>
      <c r="L20" s="10">
        <v>130784000000000</v>
      </c>
      <c r="M20" s="10">
        <f>130784000000000-38845000000000</f>
        <v>91939000000000</v>
      </c>
      <c r="N20" s="10">
        <v>6137000000000</v>
      </c>
      <c r="O20" s="12">
        <v>26979000000000</v>
      </c>
      <c r="P20" s="50">
        <f>16609000000000+10134000000000</f>
        <v>26743000000000</v>
      </c>
      <c r="Q20" s="51">
        <v>3750</v>
      </c>
      <c r="R20" s="51">
        <f t="shared" si="1"/>
        <v>4.4572317935193793</v>
      </c>
      <c r="S20" s="58">
        <f t="shared" si="2"/>
        <v>0.36343486526346303</v>
      </c>
      <c r="T20" s="51">
        <f t="shared" si="3"/>
        <v>0.13084152941861141</v>
      </c>
      <c r="U20" s="51">
        <f t="shared" si="4"/>
        <v>0.22999411779749879</v>
      </c>
      <c r="V20" s="51">
        <f t="shared" si="5"/>
        <v>0.20628670173721556</v>
      </c>
      <c r="W20" s="51">
        <f t="shared" si="6"/>
        <v>7.1989774824669797E-2</v>
      </c>
      <c r="X20" s="51">
        <f t="shared" si="7"/>
        <v>0.99125245561362541</v>
      </c>
      <c r="Y20" s="51">
        <f t="shared" si="8"/>
        <v>13.769350689425108</v>
      </c>
      <c r="Z20" s="51">
        <f t="shared" si="9"/>
        <v>3.1668696644587091</v>
      </c>
      <c r="AA20" s="52">
        <v>4</v>
      </c>
    </row>
    <row r="21" spans="1:27">
      <c r="A21" s="6">
        <v>2019</v>
      </c>
      <c r="B21" s="6" t="s">
        <v>417</v>
      </c>
      <c r="C21" s="7" t="s">
        <v>418</v>
      </c>
      <c r="D21" s="10">
        <v>221208000000000</v>
      </c>
      <c r="E21" s="10">
        <v>156973000000000</v>
      </c>
      <c r="F21" s="10">
        <v>221208000000000</v>
      </c>
      <c r="G21" s="10">
        <f t="shared" si="0"/>
        <v>58369000000000</v>
      </c>
      <c r="H21" s="10">
        <v>45589000000000</v>
      </c>
      <c r="I21" s="10">
        <v>103958000000000</v>
      </c>
      <c r="J21" s="10">
        <v>117250000000000</v>
      </c>
      <c r="K21" s="8">
        <v>99062216600</v>
      </c>
      <c r="L21" s="10">
        <v>135567000000000</v>
      </c>
      <c r="M21" s="10">
        <f>L21-42394000000000</f>
        <v>93173000000000</v>
      </c>
      <c r="N21" s="10">
        <v>6696000000000</v>
      </c>
      <c r="O21" s="12">
        <v>27592000000000</v>
      </c>
      <c r="P21" s="50">
        <f>16229000000000+9618000000000</f>
        <v>25847000000000</v>
      </c>
      <c r="Q21" s="51">
        <v>3970</v>
      </c>
      <c r="R21" s="51">
        <f t="shared" si="1"/>
        <v>3.7898199386660729</v>
      </c>
      <c r="S21" s="58">
        <f t="shared" si="2"/>
        <v>0.388818763326226</v>
      </c>
      <c r="T21" s="51">
        <f t="shared" si="3"/>
        <v>0.12473328270225309</v>
      </c>
      <c r="U21" s="51">
        <f t="shared" si="4"/>
        <v>0.23532622601279318</v>
      </c>
      <c r="V21" s="51">
        <f t="shared" si="5"/>
        <v>0.20353035768291694</v>
      </c>
      <c r="W21" s="51">
        <f t="shared" si="6"/>
        <v>6.5722124625749209E-2</v>
      </c>
      <c r="X21" s="51">
        <f t="shared" si="7"/>
        <v>0.93675703102348507</v>
      </c>
      <c r="Y21" s="51">
        <f t="shared" si="8"/>
        <v>14.253298053856192</v>
      </c>
      <c r="Z21" s="51">
        <f t="shared" si="9"/>
        <v>3.3541748392494668</v>
      </c>
      <c r="AA21" s="52">
        <v>4</v>
      </c>
    </row>
    <row r="22" spans="1:27">
      <c r="A22" s="6">
        <v>2020</v>
      </c>
      <c r="B22" s="6" t="s">
        <v>417</v>
      </c>
      <c r="C22" s="7" t="s">
        <v>418</v>
      </c>
      <c r="D22" s="10">
        <v>246943000000000</v>
      </c>
      <c r="E22" s="10">
        <v>160923000000000</v>
      </c>
      <c r="F22" s="10">
        <v>246943000000000</v>
      </c>
      <c r="G22" s="10">
        <f t="shared" si="0"/>
        <v>69093000000000</v>
      </c>
      <c r="H22" s="10">
        <v>56961000000000</v>
      </c>
      <c r="I22" s="10">
        <v>126054000000000</v>
      </c>
      <c r="J22" s="10">
        <v>120889000000000</v>
      </c>
      <c r="K22" s="8">
        <v>99062216600</v>
      </c>
      <c r="L22" s="10">
        <v>136462000000000</v>
      </c>
      <c r="M22" s="10">
        <f>L22-43505000000000</f>
        <v>92957000000000</v>
      </c>
      <c r="N22" s="10">
        <v>6511000000000</v>
      </c>
      <c r="O22" s="12">
        <v>29563000000000</v>
      </c>
      <c r="P22" s="50">
        <f>15262000000000+7778000000000</f>
        <v>23040000000000</v>
      </c>
      <c r="Q22" s="51">
        <v>3310</v>
      </c>
      <c r="R22" s="51">
        <f t="shared" si="1"/>
        <v>3.5740668374509719</v>
      </c>
      <c r="S22" s="58">
        <f t="shared" si="2"/>
        <v>0.47118430957324486</v>
      </c>
      <c r="T22" s="51">
        <f t="shared" si="3"/>
        <v>0.11971588585220071</v>
      </c>
      <c r="U22" s="51">
        <f t="shared" si="4"/>
        <v>0.24454665023285824</v>
      </c>
      <c r="V22" s="51">
        <f t="shared" si="5"/>
        <v>0.21663906435491198</v>
      </c>
      <c r="W22" s="51">
        <f t="shared" si="6"/>
        <v>7.0266195472237197E-2</v>
      </c>
      <c r="X22" s="51">
        <f t="shared" si="7"/>
        <v>0.7793525690897406</v>
      </c>
      <c r="Y22" s="51">
        <f t="shared" si="8"/>
        <v>11.091429724520514</v>
      </c>
      <c r="Z22" s="51">
        <f t="shared" si="9"/>
        <v>2.7123719854246455</v>
      </c>
      <c r="AA22" s="52">
        <v>4</v>
      </c>
    </row>
    <row r="23" spans="1:27">
      <c r="A23" s="49">
        <v>2018</v>
      </c>
      <c r="B23" s="59" t="s">
        <v>499</v>
      </c>
      <c r="C23" s="49" t="s">
        <v>500</v>
      </c>
      <c r="D23" s="10">
        <v>48775196690</v>
      </c>
      <c r="E23" s="10">
        <v>580053780</v>
      </c>
      <c r="F23" s="10">
        <v>48775196690</v>
      </c>
      <c r="G23" s="10">
        <f t="shared" si="0"/>
        <v>326647510</v>
      </c>
      <c r="H23" s="10">
        <v>337721000</v>
      </c>
      <c r="I23" s="10">
        <v>664368510</v>
      </c>
      <c r="J23" s="10">
        <v>48110828180</v>
      </c>
      <c r="K23" s="8">
        <v>358600000</v>
      </c>
      <c r="L23" s="10">
        <v>22829336499</v>
      </c>
      <c r="M23" s="10">
        <v>20373044769</v>
      </c>
      <c r="N23" s="10">
        <v>3483073937</v>
      </c>
      <c r="O23" s="50">
        <v>-758342670</v>
      </c>
      <c r="P23" s="50">
        <v>0</v>
      </c>
      <c r="Q23" s="51">
        <v>368</v>
      </c>
      <c r="R23" s="51">
        <f t="shared" si="1"/>
        <v>149.32058318766917</v>
      </c>
      <c r="S23" s="58">
        <f t="shared" si="2"/>
        <v>7.0196463618639789E-3</v>
      </c>
      <c r="T23" s="51">
        <f t="shared" si="3"/>
        <v>-1.5547711161879888E-2</v>
      </c>
      <c r="U23" s="51">
        <f t="shared" si="4"/>
        <v>-1.5762411471337927E-2</v>
      </c>
      <c r="V23" s="51">
        <f t="shared" si="5"/>
        <v>-3.3217902326386835E-2</v>
      </c>
      <c r="W23" s="51">
        <f t="shared" si="6"/>
        <v>0</v>
      </c>
      <c r="X23" s="51">
        <f t="shared" si="7"/>
        <v>0</v>
      </c>
      <c r="Y23" s="51">
        <f t="shared" si="8"/>
        <v>-174.01737396631</v>
      </c>
      <c r="Z23" s="51">
        <f t="shared" si="9"/>
        <v>2.7429334516186663</v>
      </c>
      <c r="AA23" s="52">
        <v>4</v>
      </c>
    </row>
    <row r="24" spans="1:27">
      <c r="A24" s="49">
        <v>2019</v>
      </c>
      <c r="B24" s="59" t="s">
        <v>499</v>
      </c>
      <c r="C24" s="49" t="s">
        <v>500</v>
      </c>
      <c r="D24" s="10">
        <v>46929335290</v>
      </c>
      <c r="E24" s="10">
        <v>430537309</v>
      </c>
      <c r="F24" s="10">
        <v>47359872599</v>
      </c>
      <c r="G24" s="10">
        <f t="shared" si="0"/>
        <v>292435975</v>
      </c>
      <c r="H24" s="10">
        <v>635723000</v>
      </c>
      <c r="I24" s="10">
        <v>928158975</v>
      </c>
      <c r="J24" s="10">
        <v>46431713624</v>
      </c>
      <c r="K24" s="8">
        <v>358600000</v>
      </c>
      <c r="L24" s="10">
        <v>16875355000</v>
      </c>
      <c r="M24" s="10">
        <v>15373079022</v>
      </c>
      <c r="N24" s="50">
        <v>769656280</v>
      </c>
      <c r="O24" s="50">
        <v>-1671122556</v>
      </c>
      <c r="P24" s="50">
        <v>0</v>
      </c>
      <c r="Q24" s="51">
        <v>420</v>
      </c>
      <c r="R24" s="51">
        <f t="shared" si="1"/>
        <v>160.47729862921278</v>
      </c>
      <c r="S24" s="58">
        <f t="shared" si="2"/>
        <v>1.3691568765866146E-2</v>
      </c>
      <c r="T24" s="51">
        <f t="shared" si="3"/>
        <v>-3.5285621862827514E-2</v>
      </c>
      <c r="U24" s="51">
        <f t="shared" si="4"/>
        <v>-3.5990973099390769E-2</v>
      </c>
      <c r="V24" s="51">
        <f t="shared" si="5"/>
        <v>-9.9027401556885761E-2</v>
      </c>
      <c r="W24" s="51">
        <f t="shared" si="6"/>
        <v>0</v>
      </c>
      <c r="X24" s="51">
        <f t="shared" si="7"/>
        <v>0</v>
      </c>
      <c r="Y24" s="51">
        <f t="shared" si="8"/>
        <v>-90.12624445720185</v>
      </c>
      <c r="Z24" s="51">
        <f t="shared" si="9"/>
        <v>3.2437312398082687</v>
      </c>
      <c r="AA24" s="52">
        <v>4</v>
      </c>
    </row>
    <row r="25" spans="1:27">
      <c r="A25" s="49">
        <v>2020</v>
      </c>
      <c r="B25" s="59" t="s">
        <v>499</v>
      </c>
      <c r="C25" s="49" t="s">
        <v>500</v>
      </c>
      <c r="D25" s="10">
        <v>46434428090</v>
      </c>
      <c r="E25" s="10">
        <v>321732709</v>
      </c>
      <c r="F25" s="10">
        <v>46840047799</v>
      </c>
      <c r="G25" s="10">
        <f t="shared" si="0"/>
        <v>113188050</v>
      </c>
      <c r="H25" s="10">
        <v>315928000</v>
      </c>
      <c r="I25" s="10">
        <v>429116050</v>
      </c>
      <c r="J25" s="10">
        <v>46410931749</v>
      </c>
      <c r="K25" s="8">
        <v>358600000</v>
      </c>
      <c r="L25" s="10">
        <v>1211712320</v>
      </c>
      <c r="M25" s="10">
        <v>858716337</v>
      </c>
      <c r="N25" s="10">
        <v>1748051253</v>
      </c>
      <c r="O25" s="50">
        <v>-468118875</v>
      </c>
      <c r="P25" s="50">
        <v>0</v>
      </c>
      <c r="Q25" s="51">
        <v>368</v>
      </c>
      <c r="R25" s="51">
        <f t="shared" si="1"/>
        <v>410.24143529285999</v>
      </c>
      <c r="S25" s="58">
        <f t="shared" si="2"/>
        <v>6.8071893429893738E-3</v>
      </c>
      <c r="T25" s="51">
        <f t="shared" si="3"/>
        <v>-9.9939879867072638E-3</v>
      </c>
      <c r="U25" s="51">
        <f t="shared" si="4"/>
        <v>-1.0086392523461597E-2</v>
      </c>
      <c r="V25" s="51">
        <f t="shared" si="5"/>
        <v>-0.38632839435023653</v>
      </c>
      <c r="W25" s="51">
        <f t="shared" si="6"/>
        <v>0</v>
      </c>
      <c r="X25" s="51">
        <f t="shared" si="7"/>
        <v>0</v>
      </c>
      <c r="Y25" s="51">
        <f t="shared" si="8"/>
        <v>-281.90446283542832</v>
      </c>
      <c r="Z25" s="51">
        <f t="shared" si="9"/>
        <v>2.843399066273721</v>
      </c>
      <c r="AA25" s="52">
        <v>4</v>
      </c>
    </row>
    <row r="26" spans="1:27">
      <c r="A26" s="49">
        <v>2018</v>
      </c>
      <c r="B26" s="59" t="s">
        <v>501</v>
      </c>
      <c r="C26" s="49" t="s">
        <v>502</v>
      </c>
      <c r="D26" s="10">
        <v>45955010000</v>
      </c>
      <c r="E26" s="10">
        <v>439201752000</v>
      </c>
      <c r="F26" s="10">
        <v>485156762000</v>
      </c>
      <c r="G26" s="10">
        <f t="shared" si="0"/>
        <v>63527586000</v>
      </c>
      <c r="H26" s="10">
        <v>29472212000</v>
      </c>
      <c r="I26" s="10">
        <v>92999798000</v>
      </c>
      <c r="J26" s="10">
        <v>392156964000</v>
      </c>
      <c r="K26" s="8">
        <v>152882000</v>
      </c>
      <c r="L26" s="10">
        <v>108699906000</v>
      </c>
      <c r="M26" s="10">
        <v>23419229000</v>
      </c>
      <c r="N26" s="50">
        <v>11392100000</v>
      </c>
      <c r="O26" s="50">
        <v>49423302000</v>
      </c>
      <c r="P26" s="50">
        <v>0</v>
      </c>
      <c r="Q26" s="51">
        <v>1320</v>
      </c>
      <c r="R26" s="51">
        <f t="shared" si="1"/>
        <v>0.72338668747778323</v>
      </c>
      <c r="S26" s="58">
        <f t="shared" si="2"/>
        <v>7.5154121195205911E-2</v>
      </c>
      <c r="T26" s="51">
        <f t="shared" si="3"/>
        <v>0.10187078872457311</v>
      </c>
      <c r="U26" s="51">
        <f t="shared" si="4"/>
        <v>0.12602938755921214</v>
      </c>
      <c r="V26" s="51">
        <f t="shared" si="5"/>
        <v>0.45467658454092869</v>
      </c>
      <c r="W26" s="51">
        <f t="shared" si="6"/>
        <v>0</v>
      </c>
      <c r="X26" s="51">
        <f t="shared" si="7"/>
        <v>0</v>
      </c>
      <c r="Y26" s="51">
        <f t="shared" si="8"/>
        <v>4.0831800351987813</v>
      </c>
      <c r="Z26" s="51">
        <f t="shared" si="9"/>
        <v>0.51460067913010465</v>
      </c>
      <c r="AA26" s="52">
        <v>4</v>
      </c>
    </row>
    <row r="27" spans="1:27">
      <c r="A27" s="49">
        <v>2019</v>
      </c>
      <c r="B27" s="59" t="s">
        <v>501</v>
      </c>
      <c r="C27" s="49" t="s">
        <v>502</v>
      </c>
      <c r="D27" s="10">
        <v>41885488000</v>
      </c>
      <c r="E27" s="10">
        <v>698547749000</v>
      </c>
      <c r="F27" s="10">
        <v>740433237000</v>
      </c>
      <c r="G27" s="10">
        <f t="shared" si="0"/>
        <v>62828314000</v>
      </c>
      <c r="H27" s="10">
        <v>76296298000</v>
      </c>
      <c r="I27" s="10">
        <v>139124612000</v>
      </c>
      <c r="J27" s="10">
        <v>601308625000</v>
      </c>
      <c r="K27" s="8">
        <v>152882000</v>
      </c>
      <c r="L27" s="10">
        <v>115935417000</v>
      </c>
      <c r="M27" s="10">
        <v>22558554000</v>
      </c>
      <c r="N27" s="10">
        <v>11696467000</v>
      </c>
      <c r="O27" s="50">
        <v>63509234000</v>
      </c>
      <c r="P27" s="50">
        <v>7425000000</v>
      </c>
      <c r="Q27" s="51">
        <v>1650</v>
      </c>
      <c r="R27" s="51">
        <f t="shared" si="1"/>
        <v>0.66666579657063529</v>
      </c>
      <c r="S27" s="58">
        <f t="shared" si="2"/>
        <v>0.12688375790385512</v>
      </c>
      <c r="T27" s="51">
        <f t="shared" si="3"/>
        <v>8.5773072880033344E-2</v>
      </c>
      <c r="U27" s="51">
        <f t="shared" si="4"/>
        <v>0.10561836527789702</v>
      </c>
      <c r="V27" s="51">
        <f t="shared" si="5"/>
        <v>0.54779838330162733</v>
      </c>
      <c r="W27" s="51">
        <f t="shared" si="6"/>
        <v>2.9434465797150745E-2</v>
      </c>
      <c r="X27" s="51">
        <f t="shared" si="7"/>
        <v>0.11691213280890776</v>
      </c>
      <c r="Y27" s="51">
        <f t="shared" si="8"/>
        <v>3.9719468195758747</v>
      </c>
      <c r="Z27" s="51">
        <f t="shared" si="9"/>
        <v>0.41951053005434602</v>
      </c>
      <c r="AA27" s="52">
        <v>4</v>
      </c>
    </row>
    <row r="28" spans="1:27">
      <c r="A28" s="49">
        <v>2020</v>
      </c>
      <c r="B28" s="59" t="s">
        <v>501</v>
      </c>
      <c r="C28" s="49" t="s">
        <v>502</v>
      </c>
      <c r="D28" s="10">
        <v>37262521000</v>
      </c>
      <c r="E28" s="10">
        <v>723989944000</v>
      </c>
      <c r="F28" s="10">
        <v>827628586000</v>
      </c>
      <c r="G28" s="10">
        <f t="shared" si="0"/>
        <v>112293182000</v>
      </c>
      <c r="H28" s="10">
        <v>45489063000</v>
      </c>
      <c r="I28" s="10">
        <v>157782245000</v>
      </c>
      <c r="J28" s="10">
        <v>669846341000</v>
      </c>
      <c r="K28" s="8">
        <v>152882000</v>
      </c>
      <c r="L28" s="10">
        <v>143056438000</v>
      </c>
      <c r="M28" s="10">
        <v>29580907000</v>
      </c>
      <c r="N28" s="10">
        <v>12199753000</v>
      </c>
      <c r="O28" s="50">
        <v>77752839000</v>
      </c>
      <c r="P28" s="50">
        <v>11000000000</v>
      </c>
      <c r="Q28" s="51">
        <v>1765</v>
      </c>
      <c r="R28" s="51">
        <f t="shared" si="1"/>
        <v>0.33183244375424326</v>
      </c>
      <c r="S28" s="58">
        <f t="shared" si="2"/>
        <v>6.7909698412460237E-2</v>
      </c>
      <c r="T28" s="51">
        <f t="shared" si="3"/>
        <v>9.3946536302940115E-2</v>
      </c>
      <c r="U28" s="51">
        <f t="shared" si="4"/>
        <v>0.11607563442673191</v>
      </c>
      <c r="V28" s="51">
        <f t="shared" si="5"/>
        <v>0.54351163839267413</v>
      </c>
      <c r="W28" s="51">
        <f t="shared" si="6"/>
        <v>4.0765391724099237E-2</v>
      </c>
      <c r="X28" s="51">
        <f t="shared" si="7"/>
        <v>0.1414739338328212</v>
      </c>
      <c r="Y28" s="51">
        <f t="shared" si="8"/>
        <v>3.4704421532440763</v>
      </c>
      <c r="Z28" s="51">
        <f t="shared" si="9"/>
        <v>0.40283377467907971</v>
      </c>
      <c r="AA28" s="52">
        <v>4</v>
      </c>
    </row>
    <row r="29" spans="1:27">
      <c r="A29" s="49">
        <v>2018</v>
      </c>
      <c r="B29" s="59" t="s">
        <v>503</v>
      </c>
      <c r="C29" s="49" t="s">
        <v>504</v>
      </c>
      <c r="D29" s="10">
        <v>32978084524</v>
      </c>
      <c r="E29" s="50">
        <v>45967447032</v>
      </c>
      <c r="F29" s="50">
        <v>89916165514</v>
      </c>
      <c r="G29" s="10">
        <f t="shared" si="0"/>
        <v>79756255011</v>
      </c>
      <c r="H29" s="50">
        <v>7159910503</v>
      </c>
      <c r="I29" s="50">
        <v>86916165514</v>
      </c>
      <c r="J29" s="50">
        <v>37830666886</v>
      </c>
      <c r="K29" s="51">
        <v>472920500</v>
      </c>
      <c r="L29" s="50">
        <v>111762743814</v>
      </c>
      <c r="M29" s="50">
        <v>72989985111</v>
      </c>
      <c r="N29" s="50">
        <v>33145380628</v>
      </c>
      <c r="O29" s="50">
        <v>5497953006</v>
      </c>
      <c r="P29" s="50">
        <v>2000000000</v>
      </c>
      <c r="Q29" s="49">
        <v>0</v>
      </c>
      <c r="R29" s="51">
        <f t="shared" si="1"/>
        <v>0.41348587041168938</v>
      </c>
      <c r="S29" s="58">
        <f t="shared" si="2"/>
        <v>0.189262074723025</v>
      </c>
      <c r="T29" s="51">
        <f t="shared" si="3"/>
        <v>6.1145323252735521E-2</v>
      </c>
      <c r="U29" s="51">
        <f t="shared" si="4"/>
        <v>0.14533058649395969</v>
      </c>
      <c r="V29" s="51">
        <f t="shared" si="5"/>
        <v>4.9193074707882187E-2</v>
      </c>
      <c r="W29" s="51" t="e">
        <f t="shared" si="6"/>
        <v>#DIV/0!</v>
      </c>
      <c r="X29" s="51">
        <f t="shared" si="7"/>
        <v>0.36377175247175986</v>
      </c>
      <c r="Y29" s="51">
        <f t="shared" si="8"/>
        <v>0</v>
      </c>
      <c r="Z29" s="51">
        <f t="shared" si="9"/>
        <v>0</v>
      </c>
      <c r="AA29" s="52">
        <v>4</v>
      </c>
    </row>
    <row r="30" spans="1:27">
      <c r="A30" s="49">
        <v>2019</v>
      </c>
      <c r="B30" s="59" t="s">
        <v>503</v>
      </c>
      <c r="C30" s="49" t="s">
        <v>504</v>
      </c>
      <c r="D30" s="10">
        <v>73376899889</v>
      </c>
      <c r="E30" s="50">
        <v>67255822588</v>
      </c>
      <c r="F30" s="50">
        <v>148855269670</v>
      </c>
      <c r="G30" s="10">
        <f t="shared" si="0"/>
        <v>89626480090</v>
      </c>
      <c r="H30" s="50">
        <v>59228789580</v>
      </c>
      <c r="I30" s="50">
        <v>148855269670</v>
      </c>
      <c r="J30" s="50">
        <v>89761864225</v>
      </c>
      <c r="K30" s="51">
        <v>728873908</v>
      </c>
      <c r="L30" s="50">
        <v>103155978367</v>
      </c>
      <c r="M30" s="50">
        <v>61881897426</v>
      </c>
      <c r="N30" s="50">
        <v>35799991985</v>
      </c>
      <c r="O30" s="50">
        <v>-3926009907</v>
      </c>
      <c r="P30" s="50">
        <v>0</v>
      </c>
      <c r="Q30" s="51">
        <v>1425</v>
      </c>
      <c r="R30" s="51">
        <f t="shared" si="1"/>
        <v>0.8186966599080685</v>
      </c>
      <c r="S30" s="58">
        <f t="shared" si="2"/>
        <v>0.65984357712909347</v>
      </c>
      <c r="T30" s="51">
        <f t="shared" si="3"/>
        <v>-2.6374678677507649E-2</v>
      </c>
      <c r="U30" s="51">
        <f t="shared" si="4"/>
        <v>-4.373806115656128E-2</v>
      </c>
      <c r="V30" s="51">
        <f t="shared" si="5"/>
        <v>-3.8058966326046169E-2</v>
      </c>
      <c r="W30" s="51">
        <f t="shared" si="6"/>
        <v>0</v>
      </c>
      <c r="X30" s="51">
        <f t="shared" si="7"/>
        <v>0</v>
      </c>
      <c r="Y30" s="51">
        <f t="shared" si="8"/>
        <v>-264.55494089510967</v>
      </c>
      <c r="Z30" s="51">
        <f t="shared" si="9"/>
        <v>11.571120184140762</v>
      </c>
      <c r="AA30" s="52">
        <v>4</v>
      </c>
    </row>
    <row r="31" spans="1:27">
      <c r="A31" s="49">
        <v>2020</v>
      </c>
      <c r="B31" s="59" t="s">
        <v>503</v>
      </c>
      <c r="C31" s="49" t="s">
        <v>504</v>
      </c>
      <c r="D31" s="10">
        <v>60757202496</v>
      </c>
      <c r="E31" s="50">
        <v>32166580006</v>
      </c>
      <c r="F31" s="50">
        <v>114094419513</v>
      </c>
      <c r="G31" s="10">
        <f t="shared" si="0"/>
        <v>52688677813</v>
      </c>
      <c r="H31" s="50">
        <v>5566416965</v>
      </c>
      <c r="I31" s="50">
        <v>58255094778</v>
      </c>
      <c r="J31" s="50">
        <v>55839324735</v>
      </c>
      <c r="K31" s="51">
        <v>728873908</v>
      </c>
      <c r="L31" s="50">
        <v>61431175244</v>
      </c>
      <c r="M31" s="50">
        <v>37447597131</v>
      </c>
      <c r="N31" s="50">
        <v>32024663642</v>
      </c>
      <c r="O31" s="50">
        <v>-14321581869</v>
      </c>
      <c r="P31" s="50">
        <v>0</v>
      </c>
      <c r="Q31" s="51">
        <v>252</v>
      </c>
      <c r="R31" s="51">
        <f t="shared" si="1"/>
        <v>1.1531358352099175</v>
      </c>
      <c r="S31" s="58">
        <f t="shared" si="2"/>
        <v>9.9686323060260415E-2</v>
      </c>
      <c r="T31" s="51">
        <f t="shared" si="3"/>
        <v>-0.12552394700924166</v>
      </c>
      <c r="U31" s="51">
        <f t="shared" si="4"/>
        <v>-0.25647842155983763</v>
      </c>
      <c r="V31" s="51">
        <f t="shared" si="5"/>
        <v>-0.23313214849163727</v>
      </c>
      <c r="W31" s="51">
        <f t="shared" si="6"/>
        <v>0</v>
      </c>
      <c r="X31" s="51">
        <f t="shared" si="7"/>
        <v>0</v>
      </c>
      <c r="Y31" s="51">
        <f t="shared" si="8"/>
        <v>-12.825135274587174</v>
      </c>
      <c r="Z31" s="51">
        <f t="shared" si="9"/>
        <v>3.2893704515175131</v>
      </c>
      <c r="AA31" s="52">
        <v>4</v>
      </c>
    </row>
    <row r="32" spans="1:27">
      <c r="A32" s="49">
        <v>2018</v>
      </c>
      <c r="B32" s="59" t="s">
        <v>505</v>
      </c>
      <c r="C32" s="49" t="s">
        <v>506</v>
      </c>
      <c r="D32" s="10">
        <v>2275390000000</v>
      </c>
      <c r="E32" s="50">
        <v>15980147000000</v>
      </c>
      <c r="F32" s="50">
        <v>22959618000000</v>
      </c>
      <c r="G32" s="10">
        <f t="shared" si="0"/>
        <v>4751801000000</v>
      </c>
      <c r="H32" s="50">
        <v>10174537000000</v>
      </c>
      <c r="I32" s="50">
        <v>14926338000000</v>
      </c>
      <c r="J32" s="50">
        <v>8033280000000</v>
      </c>
      <c r="K32" s="51">
        <v>50970846956</v>
      </c>
      <c r="L32" s="50">
        <v>5867860000000</v>
      </c>
      <c r="M32" s="50">
        <v>1541885000000</v>
      </c>
      <c r="N32" s="50">
        <f>109271000000+399251000000+27376000000</f>
        <v>535898000000</v>
      </c>
      <c r="O32" s="50">
        <v>2200060000000</v>
      </c>
      <c r="P32" s="50">
        <f>1205798000000+6000000</f>
        <v>1205804000000</v>
      </c>
      <c r="Q32" s="51">
        <v>690</v>
      </c>
      <c r="R32" s="51">
        <f t="shared" si="1"/>
        <v>0.4788479147169673</v>
      </c>
      <c r="S32" s="58">
        <f t="shared" si="2"/>
        <v>1.266548284137986</v>
      </c>
      <c r="T32" s="51">
        <f t="shared" si="3"/>
        <v>9.5823022839491498E-2</v>
      </c>
      <c r="U32" s="51">
        <f t="shared" si="4"/>
        <v>0.27386820825366476</v>
      </c>
      <c r="V32" s="51">
        <f t="shared" si="5"/>
        <v>0.37493396229630566</v>
      </c>
      <c r="W32" s="51">
        <f t="shared" si="6"/>
        <v>3.4285128330201239E-2</v>
      </c>
      <c r="X32" s="51">
        <f t="shared" si="7"/>
        <v>0.5480777796969174</v>
      </c>
      <c r="Y32" s="51">
        <f t="shared" si="8"/>
        <v>15.9858751123333</v>
      </c>
      <c r="Z32" s="51">
        <f t="shared" si="9"/>
        <v>4.3780229743815724</v>
      </c>
      <c r="AA32" s="52">
        <v>4</v>
      </c>
    </row>
    <row r="33" spans="1:27">
      <c r="A33" s="49">
        <v>2019</v>
      </c>
      <c r="B33" s="59" t="s">
        <v>505</v>
      </c>
      <c r="C33" s="49" t="s">
        <v>506</v>
      </c>
      <c r="D33" s="10">
        <v>2474389000000</v>
      </c>
      <c r="E33" s="50">
        <v>19648004000000</v>
      </c>
      <c r="F33" s="50">
        <v>27665695000000</v>
      </c>
      <c r="G33" s="10">
        <f t="shared" si="0"/>
        <v>4565104000000</v>
      </c>
      <c r="H33" s="50">
        <v>14339970000000</v>
      </c>
      <c r="I33" s="50">
        <v>18905074000000</v>
      </c>
      <c r="J33" s="50">
        <v>8760621000000</v>
      </c>
      <c r="K33" s="51">
        <v>50390847669</v>
      </c>
      <c r="L33" s="50">
        <v>6454302000000</v>
      </c>
      <c r="M33" s="50">
        <v>1807940000000</v>
      </c>
      <c r="N33" s="50">
        <f>147620000000+463049000000+108000000000</f>
        <v>718669000000</v>
      </c>
      <c r="O33" s="50">
        <v>2353089000000</v>
      </c>
      <c r="P33" s="50">
        <f>1187069000000+4500000000</f>
        <v>1191569000000</v>
      </c>
      <c r="Q33" s="51">
        <v>805</v>
      </c>
      <c r="R33" s="51">
        <f t="shared" si="1"/>
        <v>0.54202248185364454</v>
      </c>
      <c r="S33" s="58">
        <f t="shared" si="2"/>
        <v>1.6368668385494589</v>
      </c>
      <c r="T33" s="51">
        <f t="shared" si="3"/>
        <v>8.5054396789959547E-2</v>
      </c>
      <c r="U33" s="51">
        <f t="shared" si="4"/>
        <v>0.26859842470071471</v>
      </c>
      <c r="V33" s="51">
        <f t="shared" si="5"/>
        <v>0.36457683572909977</v>
      </c>
      <c r="W33" s="51">
        <f t="shared" si="6"/>
        <v>2.9374579042829054E-2</v>
      </c>
      <c r="X33" s="51">
        <f t="shared" si="7"/>
        <v>0.50638501136166125</v>
      </c>
      <c r="Y33" s="51">
        <f t="shared" si="8"/>
        <v>17.238885725760905</v>
      </c>
      <c r="Z33" s="51">
        <f t="shared" si="9"/>
        <v>4.6303375495350156</v>
      </c>
      <c r="AA33" s="52">
        <v>4</v>
      </c>
    </row>
    <row r="34" spans="1:27">
      <c r="A34" s="49">
        <v>2020</v>
      </c>
      <c r="B34" s="59" t="s">
        <v>505</v>
      </c>
      <c r="C34" s="49" t="s">
        <v>506</v>
      </c>
      <c r="D34" s="10">
        <v>3002332000000</v>
      </c>
      <c r="E34" s="50">
        <v>22757823000000</v>
      </c>
      <c r="F34" s="50">
        <v>34249550000000</v>
      </c>
      <c r="G34" s="10">
        <f t="shared" si="0"/>
        <v>-14433762000000</v>
      </c>
      <c r="H34" s="50">
        <v>16840314000000</v>
      </c>
      <c r="I34" s="50">
        <v>2406552000000</v>
      </c>
      <c r="J34" s="50">
        <v>10184048000000</v>
      </c>
      <c r="K34" s="51">
        <v>50148387851</v>
      </c>
      <c r="L34" s="50">
        <v>7445426000000</v>
      </c>
      <c r="M34" s="50">
        <v>2059254000000</v>
      </c>
      <c r="N34" s="50">
        <f>145996000000+47927000000+194279000000</f>
        <v>388202000000</v>
      </c>
      <c r="O34" s="50">
        <v>2853617000000</v>
      </c>
      <c r="P34" s="50">
        <f>1174043000000+23700000000</f>
        <v>1197743000000</v>
      </c>
      <c r="Q34" s="51">
        <v>960</v>
      </c>
      <c r="R34" s="51">
        <f t="shared" si="1"/>
        <v>-0.20800758665689514</v>
      </c>
      <c r="S34" s="58">
        <f t="shared" si="2"/>
        <v>1.653597272911518</v>
      </c>
      <c r="T34" s="51">
        <f t="shared" si="3"/>
        <v>8.331837936556831E-2</v>
      </c>
      <c r="U34" s="51">
        <f t="shared" si="4"/>
        <v>0.28020459055181202</v>
      </c>
      <c r="V34" s="51">
        <f t="shared" si="5"/>
        <v>0.38327115197975242</v>
      </c>
      <c r="W34" s="51">
        <f t="shared" si="6"/>
        <v>2.4879143912668256E-2</v>
      </c>
      <c r="X34" s="51">
        <f t="shared" si="7"/>
        <v>0.41972801535735171</v>
      </c>
      <c r="Y34" s="51">
        <f t="shared" si="8"/>
        <v>16.870677577600638</v>
      </c>
      <c r="Z34" s="51">
        <f t="shared" si="9"/>
        <v>4.7272413029632219</v>
      </c>
      <c r="AA34" s="52">
        <v>4</v>
      </c>
    </row>
    <row r="35" spans="1:27">
      <c r="K35" s="51"/>
      <c r="P35" s="50"/>
      <c r="W35" s="53"/>
      <c r="X35" s="53"/>
      <c r="Y35" s="51"/>
      <c r="Z35" s="51"/>
      <c r="AA35" s="51"/>
    </row>
    <row r="36" spans="1:27">
      <c r="K36" s="51"/>
      <c r="P36" s="50"/>
      <c r="W36" s="53"/>
      <c r="X36" s="53"/>
      <c r="Y36" s="51"/>
      <c r="Z36" s="51"/>
      <c r="AA36" s="51"/>
    </row>
    <row r="37" spans="1:27">
      <c r="K37" s="51"/>
      <c r="P37" s="50"/>
      <c r="W37" s="53"/>
      <c r="X37" s="53"/>
      <c r="Y37" s="51"/>
      <c r="Z37" s="51"/>
      <c r="AA37" s="51"/>
    </row>
    <row r="38" spans="1:27">
      <c r="K38" s="51"/>
      <c r="P38" s="50"/>
      <c r="W38" s="53"/>
      <c r="X38" s="53"/>
      <c r="Y38" s="51"/>
      <c r="Z38" s="51"/>
      <c r="AA38" s="51"/>
    </row>
    <row r="39" spans="1:27">
      <c r="K39" s="51"/>
      <c r="P39" s="50"/>
      <c r="W39" s="53"/>
      <c r="X39" s="53"/>
      <c r="Y39" s="51"/>
      <c r="Z39" s="51"/>
      <c r="AA39" s="51"/>
    </row>
    <row r="40" spans="1:27">
      <c r="K40" s="51"/>
      <c r="P40" s="50"/>
      <c r="W40" s="53"/>
      <c r="X40" s="53"/>
      <c r="Y40" s="51"/>
      <c r="Z40" s="51"/>
      <c r="AA40" s="51"/>
    </row>
    <row r="41" spans="1:27">
      <c r="K41" s="51"/>
      <c r="P41" s="50"/>
      <c r="W41" s="53"/>
      <c r="X41" s="53"/>
      <c r="Y41" s="51"/>
      <c r="Z41" s="51"/>
      <c r="AA41" s="51"/>
    </row>
    <row r="42" spans="1:27">
      <c r="K42" s="51"/>
      <c r="P42" s="50"/>
      <c r="W42" s="53"/>
      <c r="X42" s="53"/>
      <c r="Y42" s="51"/>
      <c r="Z42" s="51"/>
      <c r="AA42" s="51"/>
    </row>
    <row r="43" spans="1:27">
      <c r="K43" s="51"/>
      <c r="P43" s="50"/>
      <c r="W43" s="53"/>
      <c r="X43" s="53"/>
      <c r="Y43" s="51"/>
      <c r="Z43" s="51"/>
      <c r="AA43" s="51"/>
    </row>
    <row r="44" spans="1:27">
      <c r="K44" s="51"/>
      <c r="P44" s="50"/>
      <c r="W44" s="53"/>
      <c r="X44" s="53"/>
      <c r="Y44" s="51"/>
      <c r="Z44" s="51"/>
      <c r="AA44" s="51"/>
    </row>
    <row r="45" spans="1:27">
      <c r="K45" s="51"/>
      <c r="P45" s="50"/>
      <c r="W45" s="53"/>
      <c r="X45" s="53"/>
      <c r="Y45" s="51"/>
      <c r="Z45" s="51"/>
      <c r="AA45" s="51"/>
    </row>
    <row r="46" spans="1:27">
      <c r="K46" s="51"/>
      <c r="P46" s="50"/>
      <c r="W46" s="53"/>
      <c r="X46" s="53"/>
      <c r="Y46" s="51"/>
      <c r="Z46" s="51"/>
      <c r="AA46" s="51"/>
    </row>
    <row r="47" spans="1:27">
      <c r="K47" s="51"/>
      <c r="P47" s="50"/>
      <c r="W47" s="53"/>
      <c r="X47" s="53"/>
      <c r="Y47" s="51"/>
      <c r="Z47" s="51"/>
      <c r="AA47" s="51"/>
    </row>
    <row r="48" spans="1:27">
      <c r="K48" s="51"/>
      <c r="P48" s="50"/>
      <c r="W48" s="53"/>
      <c r="X48" s="53"/>
      <c r="Y48" s="51"/>
      <c r="Z48" s="51"/>
      <c r="AA48" s="51"/>
    </row>
    <row r="49" spans="11:27">
      <c r="K49" s="51"/>
      <c r="P49" s="50"/>
      <c r="W49" s="53"/>
      <c r="X49" s="53"/>
      <c r="Y49" s="51"/>
      <c r="Z49" s="51"/>
      <c r="AA49" s="51"/>
    </row>
    <row r="50" spans="11:27">
      <c r="K50" s="51"/>
      <c r="P50" s="50"/>
      <c r="W50" s="53"/>
      <c r="X50" s="53"/>
      <c r="Y50" s="51"/>
      <c r="Z50" s="51"/>
      <c r="AA50" s="51"/>
    </row>
    <row r="51" spans="11:27">
      <c r="K51" s="51"/>
      <c r="P51" s="50"/>
      <c r="W51" s="53"/>
      <c r="X51" s="53"/>
      <c r="Y51" s="51"/>
      <c r="Z51" s="51"/>
      <c r="AA51" s="51"/>
    </row>
    <row r="52" spans="11:27">
      <c r="K52" s="51"/>
      <c r="P52" s="50"/>
      <c r="W52" s="53"/>
      <c r="X52" s="53"/>
      <c r="Y52" s="51"/>
      <c r="Z52" s="51"/>
      <c r="AA52" s="51"/>
    </row>
    <row r="53" spans="11:27">
      <c r="K53" s="51"/>
      <c r="P53" s="50"/>
      <c r="W53" s="53"/>
      <c r="X53" s="53"/>
      <c r="Y53" s="51"/>
      <c r="Z53" s="51"/>
      <c r="AA53" s="51"/>
    </row>
    <row r="54" spans="11:27">
      <c r="K54" s="51"/>
      <c r="P54" s="50"/>
      <c r="W54" s="53"/>
      <c r="X54" s="53"/>
      <c r="Y54" s="51"/>
      <c r="Z54" s="51"/>
      <c r="AA54" s="51"/>
    </row>
    <row r="55" spans="11:27">
      <c r="K55" s="51"/>
      <c r="P55" s="50"/>
      <c r="W55" s="53"/>
      <c r="X55" s="53"/>
      <c r="Y55" s="51"/>
      <c r="Z55" s="51"/>
      <c r="AA55" s="51"/>
    </row>
    <row r="56" spans="11:27">
      <c r="K56" s="51"/>
      <c r="P56" s="50"/>
      <c r="W56" s="53"/>
      <c r="X56" s="53"/>
      <c r="Y56" s="51"/>
      <c r="Z56" s="51"/>
      <c r="AA56" s="51"/>
    </row>
    <row r="57" spans="11:27">
      <c r="K57" s="51"/>
      <c r="P57" s="50"/>
      <c r="W57" s="53"/>
      <c r="X57" s="53"/>
      <c r="Y57" s="51"/>
      <c r="Z57" s="51"/>
      <c r="AA57" s="51"/>
    </row>
    <row r="58" spans="11:27">
      <c r="K58" s="51"/>
      <c r="P58" s="50"/>
      <c r="W58" s="53"/>
      <c r="X58" s="53"/>
      <c r="Y58" s="51"/>
      <c r="Z58" s="51"/>
      <c r="AA58" s="51"/>
    </row>
    <row r="59" spans="11:27">
      <c r="K59" s="51"/>
      <c r="P59" s="50"/>
      <c r="W59" s="53"/>
      <c r="X59" s="53"/>
      <c r="Y59" s="51"/>
      <c r="Z59" s="51"/>
      <c r="AA59" s="51"/>
    </row>
    <row r="60" spans="11:27">
      <c r="K60" s="51"/>
      <c r="P60" s="50"/>
      <c r="W60" s="53"/>
      <c r="X60" s="53"/>
      <c r="Y60" s="51"/>
      <c r="Z60" s="51"/>
      <c r="AA60" s="51"/>
    </row>
    <row r="61" spans="11:27">
      <c r="K61" s="51"/>
      <c r="P61" s="50"/>
      <c r="W61" s="53"/>
      <c r="X61" s="53"/>
      <c r="Y61" s="51"/>
      <c r="Z61" s="51"/>
      <c r="AA61" s="51"/>
    </row>
    <row r="62" spans="11:27">
      <c r="K62" s="51"/>
      <c r="P62" s="50"/>
      <c r="W62" s="53"/>
      <c r="X62" s="53"/>
      <c r="Y62" s="51"/>
      <c r="Z62" s="51"/>
      <c r="AA62" s="51"/>
    </row>
    <row r="63" spans="11:27">
      <c r="K63" s="51"/>
      <c r="P63" s="50"/>
      <c r="W63" s="53"/>
      <c r="X63" s="53"/>
      <c r="Y63" s="51"/>
      <c r="Z63" s="51"/>
      <c r="AA63" s="51"/>
    </row>
    <row r="64" spans="11:27">
      <c r="K64" s="51"/>
      <c r="P64" s="50"/>
      <c r="W64" s="53"/>
      <c r="X64" s="53"/>
      <c r="Y64" s="51"/>
      <c r="Z64" s="51"/>
      <c r="AA64" s="51"/>
    </row>
    <row r="65" spans="11:27">
      <c r="K65" s="51"/>
      <c r="P65" s="50"/>
      <c r="W65" s="53"/>
      <c r="X65" s="53"/>
      <c r="Y65" s="51"/>
      <c r="Z65" s="51"/>
      <c r="AA65" s="51"/>
    </row>
    <row r="66" spans="11:27">
      <c r="K66" s="51"/>
      <c r="P66" s="50"/>
      <c r="W66" s="53"/>
      <c r="X66" s="53"/>
      <c r="Y66" s="51"/>
      <c r="Z66" s="51"/>
      <c r="AA66" s="51"/>
    </row>
    <row r="67" spans="11:27">
      <c r="K67" s="51"/>
      <c r="P67" s="50"/>
      <c r="W67" s="53"/>
      <c r="X67" s="53"/>
      <c r="Y67" s="51"/>
      <c r="Z67" s="51"/>
      <c r="AA67" s="51"/>
    </row>
    <row r="68" spans="11:27">
      <c r="K68" s="51"/>
      <c r="P68" s="50"/>
      <c r="W68" s="53"/>
      <c r="X68" s="53"/>
      <c r="Y68" s="51"/>
      <c r="Z68" s="51"/>
      <c r="AA68" s="51"/>
    </row>
    <row r="69" spans="11:27">
      <c r="K69" s="51"/>
      <c r="P69" s="50"/>
      <c r="W69" s="53"/>
      <c r="X69" s="53"/>
      <c r="Y69" s="51"/>
      <c r="Z69" s="51"/>
      <c r="AA69" s="51"/>
    </row>
    <row r="70" spans="11:27">
      <c r="K70" s="51"/>
      <c r="P70" s="50"/>
      <c r="W70" s="53"/>
      <c r="X70" s="53"/>
      <c r="Y70" s="51"/>
      <c r="Z70" s="51"/>
      <c r="AA70" s="51"/>
    </row>
    <row r="71" spans="11:27">
      <c r="K71" s="51"/>
      <c r="P71" s="50"/>
      <c r="W71" s="53"/>
      <c r="X71" s="53"/>
      <c r="Y71" s="51"/>
      <c r="Z71" s="51"/>
      <c r="AA71" s="51"/>
    </row>
    <row r="72" spans="11:27">
      <c r="K72" s="51"/>
      <c r="P72" s="50"/>
      <c r="W72" s="53"/>
      <c r="X72" s="53"/>
      <c r="Y72" s="51"/>
      <c r="Z72" s="51"/>
      <c r="AA72" s="51"/>
    </row>
    <row r="73" spans="11:27">
      <c r="K73" s="51"/>
      <c r="P73" s="50"/>
      <c r="W73" s="53"/>
      <c r="X73" s="53"/>
      <c r="Y73" s="51"/>
      <c r="Z73" s="51"/>
      <c r="AA73" s="51"/>
    </row>
    <row r="74" spans="11:27">
      <c r="K74" s="51"/>
      <c r="P74" s="50"/>
      <c r="W74" s="53"/>
      <c r="X74" s="53"/>
      <c r="Y74" s="51"/>
      <c r="Z74" s="51"/>
      <c r="AA74" s="51"/>
    </row>
    <row r="75" spans="11:27">
      <c r="K75" s="51"/>
      <c r="P75" s="50"/>
      <c r="W75" s="53"/>
      <c r="X75" s="53"/>
      <c r="Y75" s="51"/>
      <c r="Z75" s="51"/>
      <c r="AA75" s="51"/>
    </row>
    <row r="76" spans="11:27">
      <c r="K76" s="51"/>
      <c r="P76" s="50"/>
      <c r="W76" s="53"/>
      <c r="X76" s="53"/>
      <c r="Y76" s="51"/>
      <c r="Z76" s="51"/>
      <c r="AA76" s="51"/>
    </row>
    <row r="77" spans="11:27">
      <c r="K77" s="51"/>
      <c r="P77" s="50"/>
      <c r="W77" s="53"/>
      <c r="X77" s="53"/>
      <c r="Y77" s="51"/>
      <c r="Z77" s="51"/>
      <c r="AA77" s="51"/>
    </row>
    <row r="78" spans="11:27">
      <c r="K78" s="51"/>
      <c r="P78" s="50"/>
      <c r="W78" s="53"/>
      <c r="X78" s="53"/>
      <c r="Y78" s="51"/>
      <c r="Z78" s="51"/>
      <c r="AA78" s="51"/>
    </row>
    <row r="79" spans="11:27">
      <c r="K79" s="51"/>
      <c r="P79" s="50"/>
      <c r="W79" s="53"/>
      <c r="X79" s="53"/>
      <c r="Y79" s="51"/>
      <c r="Z79" s="51"/>
      <c r="AA79" s="51"/>
    </row>
    <row r="80" spans="11:27">
      <c r="K80" s="51"/>
      <c r="P80" s="50"/>
      <c r="W80" s="53"/>
      <c r="X80" s="53"/>
      <c r="Y80" s="51"/>
      <c r="Z80" s="51"/>
      <c r="AA80" s="51"/>
    </row>
    <row r="81" spans="11:27">
      <c r="K81" s="51"/>
      <c r="P81" s="50"/>
      <c r="W81" s="53"/>
      <c r="X81" s="53"/>
      <c r="Y81" s="51"/>
      <c r="Z81" s="51"/>
      <c r="AA81" s="51"/>
    </row>
    <row r="82" spans="11:27">
      <c r="K82" s="51"/>
      <c r="P82" s="50"/>
      <c r="W82" s="53"/>
      <c r="X82" s="53"/>
      <c r="Y82" s="51"/>
      <c r="Z82" s="51"/>
      <c r="AA82" s="51"/>
    </row>
    <row r="83" spans="11:27">
      <c r="K83" s="51"/>
      <c r="P83" s="50"/>
      <c r="W83" s="53"/>
      <c r="X83" s="53"/>
      <c r="Y83" s="51"/>
      <c r="Z83" s="51"/>
      <c r="AA83" s="51"/>
    </row>
    <row r="84" spans="11:27">
      <c r="K84" s="51"/>
      <c r="P84" s="50"/>
      <c r="W84" s="53"/>
      <c r="X84" s="53"/>
      <c r="Y84" s="51"/>
      <c r="Z84" s="51"/>
      <c r="AA84" s="51"/>
    </row>
    <row r="85" spans="11:27">
      <c r="K85" s="51"/>
      <c r="P85" s="50"/>
      <c r="W85" s="53"/>
      <c r="X85" s="53"/>
      <c r="Y85" s="51"/>
      <c r="Z85" s="51"/>
      <c r="AA85" s="51"/>
    </row>
    <row r="86" spans="11:27">
      <c r="K86" s="51"/>
      <c r="P86" s="50"/>
      <c r="W86" s="53"/>
      <c r="X86" s="53"/>
      <c r="Y86" s="51"/>
      <c r="Z86" s="51"/>
      <c r="AA86" s="51"/>
    </row>
    <row r="87" spans="11:27">
      <c r="K87" s="51"/>
      <c r="P87" s="50"/>
      <c r="W87" s="53"/>
      <c r="X87" s="53"/>
      <c r="Y87" s="51"/>
      <c r="Z87" s="51"/>
      <c r="AA87" s="51"/>
    </row>
    <row r="88" spans="11:27">
      <c r="K88" s="51"/>
      <c r="P88" s="50"/>
      <c r="W88" s="53"/>
      <c r="X88" s="53"/>
      <c r="Y88" s="51"/>
      <c r="Z88" s="51"/>
      <c r="AA88" s="51"/>
    </row>
    <row r="89" spans="11:27">
      <c r="K89" s="51"/>
      <c r="P89" s="50"/>
      <c r="W89" s="53"/>
      <c r="X89" s="53"/>
      <c r="Y89" s="51"/>
      <c r="Z89" s="51"/>
      <c r="AA89" s="51"/>
    </row>
    <row r="90" spans="11:27">
      <c r="K90" s="51"/>
      <c r="P90" s="50"/>
      <c r="W90" s="53"/>
      <c r="X90" s="53"/>
      <c r="Y90" s="51"/>
      <c r="Z90" s="51"/>
      <c r="AA90" s="51"/>
    </row>
    <row r="91" spans="11:27">
      <c r="K91" s="51"/>
      <c r="P91" s="50"/>
      <c r="W91" s="53"/>
      <c r="X91" s="53"/>
      <c r="Y91" s="51"/>
      <c r="Z91" s="51"/>
      <c r="AA91" s="51"/>
    </row>
    <row r="92" spans="11:27">
      <c r="K92" s="51"/>
      <c r="P92" s="50"/>
      <c r="W92" s="53"/>
      <c r="X92" s="53"/>
      <c r="Y92" s="51"/>
      <c r="Z92" s="51"/>
      <c r="AA92" s="51"/>
    </row>
    <row r="93" spans="11:27">
      <c r="K93" s="51"/>
      <c r="P93" s="50"/>
      <c r="W93" s="53"/>
      <c r="X93" s="53"/>
      <c r="Y93" s="51"/>
      <c r="Z93" s="51"/>
      <c r="AA93" s="51"/>
    </row>
    <row r="94" spans="11:27">
      <c r="K94" s="51"/>
      <c r="P94" s="50"/>
      <c r="W94" s="53"/>
      <c r="X94" s="53"/>
      <c r="Y94" s="51"/>
      <c r="Z94" s="51"/>
      <c r="AA94" s="51"/>
    </row>
    <row r="95" spans="11:27">
      <c r="K95" s="51"/>
      <c r="P95" s="50"/>
      <c r="W95" s="53"/>
      <c r="X95" s="53"/>
      <c r="Y95" s="51"/>
      <c r="Z95" s="51"/>
      <c r="AA95" s="51"/>
    </row>
    <row r="96" spans="11:27">
      <c r="K96" s="51"/>
      <c r="P96" s="50"/>
      <c r="W96" s="53"/>
      <c r="X96" s="53"/>
      <c r="Y96" s="51"/>
      <c r="Z96" s="51"/>
      <c r="AA96" s="51"/>
    </row>
    <row r="97" spans="11:27">
      <c r="K97" s="51"/>
      <c r="P97" s="50"/>
      <c r="W97" s="53"/>
      <c r="X97" s="53"/>
      <c r="Y97" s="51"/>
      <c r="Z97" s="51"/>
      <c r="AA97" s="51"/>
    </row>
    <row r="98" spans="11:27">
      <c r="K98" s="51"/>
      <c r="P98" s="50"/>
      <c r="W98" s="53"/>
      <c r="X98" s="53"/>
      <c r="Y98" s="51"/>
      <c r="Z98" s="51"/>
      <c r="AA98" s="51"/>
    </row>
    <row r="99" spans="11:27">
      <c r="K99" s="51"/>
      <c r="P99" s="50"/>
      <c r="W99" s="53"/>
      <c r="X99" s="53"/>
      <c r="Y99" s="51"/>
      <c r="Z99" s="51"/>
      <c r="AA99" s="51"/>
    </row>
    <row r="100" spans="11:27">
      <c r="K100" s="51"/>
      <c r="P100" s="50"/>
      <c r="W100" s="53"/>
      <c r="X100" s="53"/>
      <c r="Y100" s="51"/>
      <c r="Z100" s="51"/>
      <c r="AA100" s="51"/>
    </row>
    <row r="101" spans="11:27">
      <c r="K101" s="51"/>
      <c r="P101" s="50"/>
      <c r="W101" s="53"/>
      <c r="X101" s="53"/>
      <c r="Y101" s="51"/>
      <c r="Z101" s="51"/>
      <c r="AA101" s="51"/>
    </row>
    <row r="102" spans="11:27">
      <c r="K102" s="51"/>
      <c r="P102" s="50"/>
      <c r="W102" s="53"/>
      <c r="X102" s="53"/>
      <c r="Y102" s="51"/>
      <c r="Z102" s="51"/>
      <c r="AA102" s="51"/>
    </row>
    <row r="103" spans="11:27">
      <c r="K103" s="51"/>
      <c r="P103" s="50"/>
      <c r="W103" s="53"/>
      <c r="X103" s="53"/>
      <c r="Y103" s="51"/>
      <c r="Z103" s="51"/>
      <c r="AA103" s="51"/>
    </row>
    <row r="104" spans="11:27">
      <c r="K104" s="51"/>
      <c r="P104" s="50"/>
      <c r="W104" s="53"/>
      <c r="X104" s="53"/>
      <c r="Y104" s="51"/>
      <c r="Z104" s="51"/>
      <c r="AA104" s="51"/>
    </row>
    <row r="105" spans="11:27">
      <c r="K105" s="51"/>
      <c r="P105" s="50"/>
      <c r="W105" s="53"/>
      <c r="X105" s="53"/>
      <c r="Y105" s="51"/>
      <c r="Z105" s="51"/>
      <c r="AA105" s="51"/>
    </row>
    <row r="106" spans="11:27">
      <c r="K106" s="51"/>
      <c r="P106" s="50"/>
      <c r="W106" s="53"/>
      <c r="X106" s="53"/>
      <c r="Y106" s="51"/>
      <c r="Z106" s="51"/>
      <c r="AA106" s="51"/>
    </row>
    <row r="107" spans="11:27">
      <c r="K107" s="51"/>
      <c r="P107" s="50"/>
      <c r="W107" s="53"/>
      <c r="X107" s="53"/>
      <c r="Y107" s="51"/>
      <c r="Z107" s="51"/>
      <c r="AA107" s="51"/>
    </row>
    <row r="108" spans="11:27">
      <c r="K108" s="51"/>
      <c r="P108" s="50"/>
      <c r="W108" s="53"/>
      <c r="X108" s="53"/>
      <c r="Y108" s="51"/>
      <c r="Z108" s="51"/>
      <c r="AA108" s="51"/>
    </row>
    <row r="109" spans="11:27">
      <c r="K109" s="51"/>
      <c r="P109" s="50"/>
      <c r="W109" s="53"/>
      <c r="X109" s="53"/>
      <c r="Y109" s="51"/>
      <c r="Z109" s="51"/>
      <c r="AA109" s="51"/>
    </row>
    <row r="110" spans="11:27">
      <c r="K110" s="51"/>
      <c r="P110" s="50"/>
      <c r="W110" s="53"/>
      <c r="X110" s="53"/>
      <c r="Y110" s="51"/>
      <c r="Z110" s="51"/>
      <c r="AA110" s="51"/>
    </row>
    <row r="111" spans="11:27">
      <c r="K111" s="51"/>
      <c r="P111" s="50"/>
      <c r="W111" s="53"/>
      <c r="X111" s="53"/>
      <c r="Y111" s="51"/>
      <c r="Z111" s="51"/>
      <c r="AA111" s="51"/>
    </row>
    <row r="112" spans="11:27">
      <c r="K112" s="51"/>
      <c r="P112" s="50"/>
      <c r="W112" s="53"/>
      <c r="X112" s="53"/>
      <c r="Y112" s="51"/>
      <c r="Z112" s="51"/>
      <c r="AA112" s="51"/>
    </row>
    <row r="113" spans="11:27">
      <c r="K113" s="51"/>
      <c r="P113" s="50"/>
      <c r="W113" s="53"/>
      <c r="X113" s="53"/>
      <c r="Y113" s="51"/>
      <c r="Z113" s="51"/>
      <c r="AA113" s="51"/>
    </row>
    <row r="114" spans="11:27">
      <c r="K114" s="51"/>
      <c r="P114" s="50"/>
      <c r="W114" s="53"/>
      <c r="X114" s="53"/>
      <c r="Y114" s="51"/>
      <c r="Z114" s="51"/>
      <c r="AA114" s="51"/>
    </row>
    <row r="115" spans="11:27">
      <c r="K115" s="51"/>
      <c r="P115" s="50"/>
      <c r="W115" s="53"/>
      <c r="X115" s="53"/>
      <c r="Y115" s="51"/>
      <c r="Z115" s="51"/>
      <c r="AA115" s="51"/>
    </row>
    <row r="116" spans="11:27">
      <c r="K116" s="51"/>
      <c r="P116" s="50"/>
      <c r="W116" s="53"/>
      <c r="X116" s="53"/>
      <c r="Y116" s="51"/>
      <c r="Z116" s="51"/>
      <c r="AA116" s="51"/>
    </row>
    <row r="117" spans="11:27">
      <c r="K117" s="51"/>
      <c r="P117" s="50"/>
      <c r="W117" s="53"/>
      <c r="X117" s="53"/>
      <c r="Y117" s="51"/>
      <c r="Z117" s="51"/>
      <c r="AA117" s="51"/>
    </row>
    <row r="118" spans="11:27">
      <c r="K118" s="51"/>
      <c r="P118" s="50"/>
      <c r="W118" s="53"/>
      <c r="X118" s="53"/>
      <c r="Y118" s="51"/>
      <c r="Z118" s="51"/>
      <c r="AA118" s="51"/>
    </row>
    <row r="119" spans="11:27">
      <c r="K119" s="51"/>
      <c r="P119" s="50"/>
      <c r="W119" s="53"/>
      <c r="X119" s="53"/>
      <c r="Y119" s="51"/>
      <c r="Z119" s="51"/>
      <c r="AA119" s="51"/>
    </row>
    <row r="120" spans="11:27">
      <c r="K120" s="51"/>
      <c r="P120" s="50"/>
      <c r="W120" s="53"/>
      <c r="X120" s="53"/>
      <c r="Y120" s="51"/>
      <c r="Z120" s="51"/>
      <c r="AA120" s="51"/>
    </row>
    <row r="121" spans="11:27">
      <c r="K121" s="51"/>
      <c r="P121" s="50"/>
      <c r="W121" s="53"/>
      <c r="X121" s="53"/>
      <c r="Y121" s="51"/>
      <c r="Z121" s="51"/>
      <c r="AA121" s="51"/>
    </row>
    <row r="122" spans="11:27">
      <c r="K122" s="51"/>
      <c r="P122" s="50"/>
      <c r="W122" s="53"/>
      <c r="X122" s="53"/>
      <c r="Y122" s="51"/>
      <c r="Z122" s="51"/>
      <c r="AA122" s="51"/>
    </row>
    <row r="123" spans="11:27">
      <c r="K123" s="51"/>
      <c r="P123" s="50"/>
      <c r="W123" s="53"/>
      <c r="X123" s="53"/>
      <c r="Y123" s="51"/>
      <c r="Z123" s="51"/>
      <c r="AA123" s="51"/>
    </row>
    <row r="124" spans="11:27">
      <c r="K124" s="51"/>
      <c r="P124" s="50"/>
      <c r="W124" s="53"/>
      <c r="X124" s="53"/>
      <c r="Y124" s="51"/>
      <c r="Z124" s="51"/>
      <c r="AA124" s="51"/>
    </row>
    <row r="125" spans="11:27">
      <c r="K125" s="51"/>
      <c r="P125" s="50"/>
      <c r="W125" s="53"/>
      <c r="X125" s="53"/>
      <c r="Y125" s="51"/>
      <c r="Z125" s="51"/>
      <c r="AA125" s="51"/>
    </row>
    <row r="126" spans="11:27">
      <c r="K126" s="51"/>
      <c r="P126" s="50"/>
      <c r="W126" s="53"/>
      <c r="X126" s="53"/>
      <c r="Y126" s="51"/>
      <c r="Z126" s="51"/>
      <c r="AA126" s="51"/>
    </row>
    <row r="127" spans="11:27">
      <c r="K127" s="51"/>
      <c r="P127" s="50"/>
      <c r="W127" s="53"/>
      <c r="X127" s="53"/>
      <c r="Y127" s="51"/>
      <c r="Z127" s="51"/>
      <c r="AA127" s="51"/>
    </row>
    <row r="128" spans="11:27">
      <c r="K128" s="51"/>
      <c r="P128" s="50"/>
      <c r="W128" s="53"/>
      <c r="X128" s="53"/>
      <c r="Y128" s="51"/>
      <c r="Z128" s="51"/>
      <c r="AA128" s="51"/>
    </row>
    <row r="129" spans="11:27">
      <c r="K129" s="51"/>
      <c r="P129" s="50"/>
      <c r="W129" s="53"/>
      <c r="X129" s="53"/>
      <c r="Y129" s="51"/>
      <c r="Z129" s="51"/>
      <c r="AA129" s="51"/>
    </row>
    <row r="130" spans="11:27">
      <c r="K130" s="51"/>
      <c r="P130" s="50"/>
      <c r="W130" s="53"/>
      <c r="X130" s="53"/>
      <c r="Y130" s="51"/>
      <c r="Z130" s="51"/>
      <c r="AA130" s="51"/>
    </row>
    <row r="131" spans="11:27">
      <c r="K131" s="51"/>
      <c r="P131" s="50"/>
      <c r="W131" s="53"/>
      <c r="X131" s="53"/>
      <c r="Y131" s="51"/>
      <c r="Z131" s="51"/>
      <c r="AA131" s="51"/>
    </row>
    <row r="132" spans="11:27">
      <c r="K132" s="51"/>
      <c r="P132" s="50"/>
      <c r="W132" s="53"/>
      <c r="X132" s="53"/>
      <c r="Y132" s="51"/>
      <c r="Z132" s="51"/>
      <c r="AA132" s="51"/>
    </row>
    <row r="133" spans="11:27">
      <c r="K133" s="51"/>
      <c r="P133" s="50"/>
      <c r="W133" s="53"/>
      <c r="X133" s="53"/>
      <c r="Y133" s="51"/>
      <c r="Z133" s="51"/>
      <c r="AA133" s="51"/>
    </row>
    <row r="134" spans="11:27">
      <c r="K134" s="51"/>
      <c r="P134" s="50"/>
      <c r="W134" s="53"/>
      <c r="X134" s="53"/>
      <c r="Y134" s="51"/>
      <c r="Z134" s="51"/>
      <c r="AA134" s="51"/>
    </row>
    <row r="135" spans="11:27">
      <c r="K135" s="51"/>
      <c r="P135" s="50"/>
      <c r="W135" s="53"/>
      <c r="X135" s="53"/>
      <c r="Y135" s="51"/>
      <c r="Z135" s="51"/>
      <c r="AA135" s="51"/>
    </row>
    <row r="136" spans="11:27">
      <c r="K136" s="51"/>
      <c r="P136" s="50"/>
      <c r="W136" s="53"/>
      <c r="X136" s="53"/>
      <c r="Y136" s="51"/>
      <c r="Z136" s="51"/>
      <c r="AA136" s="51"/>
    </row>
    <row r="137" spans="11:27">
      <c r="K137" s="51"/>
      <c r="P137" s="50"/>
      <c r="W137" s="53"/>
      <c r="X137" s="53"/>
      <c r="Y137" s="51"/>
      <c r="Z137" s="51"/>
      <c r="AA137" s="51"/>
    </row>
    <row r="138" spans="11:27">
      <c r="K138" s="51"/>
      <c r="P138" s="50"/>
      <c r="W138" s="53"/>
      <c r="X138" s="53"/>
      <c r="Y138" s="51"/>
      <c r="Z138" s="51"/>
      <c r="AA138" s="51"/>
    </row>
    <row r="139" spans="11:27">
      <c r="K139" s="51"/>
      <c r="P139" s="50"/>
      <c r="W139" s="53"/>
      <c r="X139" s="53"/>
      <c r="Y139" s="51"/>
      <c r="Z139" s="51"/>
      <c r="AA139" s="51"/>
    </row>
    <row r="140" spans="11:27">
      <c r="K140" s="51"/>
      <c r="P140" s="50"/>
      <c r="W140" s="53"/>
      <c r="X140" s="53"/>
      <c r="Y140" s="51"/>
      <c r="Z140" s="51"/>
      <c r="AA140" s="51"/>
    </row>
    <row r="141" spans="11:27">
      <c r="K141" s="51"/>
      <c r="P141" s="50"/>
      <c r="W141" s="53"/>
      <c r="X141" s="53"/>
      <c r="Y141" s="51"/>
      <c r="Z141" s="51"/>
      <c r="AA141" s="51"/>
    </row>
    <row r="142" spans="11:27">
      <c r="K142" s="51"/>
      <c r="P142" s="50"/>
      <c r="W142" s="53"/>
      <c r="X142" s="53"/>
      <c r="Y142" s="51"/>
      <c r="Z142" s="51"/>
      <c r="AA142" s="51"/>
    </row>
    <row r="143" spans="11:27">
      <c r="K143" s="51"/>
      <c r="P143" s="50"/>
      <c r="W143" s="53"/>
      <c r="X143" s="53"/>
      <c r="Y143" s="51"/>
      <c r="Z143" s="51"/>
      <c r="AA143" s="51"/>
    </row>
    <row r="144" spans="11:27">
      <c r="K144" s="51"/>
      <c r="P144" s="50"/>
      <c r="W144" s="53"/>
      <c r="X144" s="53"/>
      <c r="Y144" s="51"/>
      <c r="Z144" s="51"/>
      <c r="AA144" s="51"/>
    </row>
    <row r="145" spans="11:27">
      <c r="K145" s="51"/>
      <c r="P145" s="50"/>
      <c r="W145" s="53"/>
      <c r="X145" s="53"/>
      <c r="Y145" s="51"/>
      <c r="Z145" s="51"/>
      <c r="AA145" s="51"/>
    </row>
    <row r="146" spans="11:27">
      <c r="K146" s="51"/>
      <c r="P146" s="50"/>
      <c r="W146" s="53"/>
      <c r="X146" s="53"/>
      <c r="Y146" s="51"/>
      <c r="Z146" s="51"/>
      <c r="AA146" s="51"/>
    </row>
    <row r="147" spans="11:27">
      <c r="K147" s="51"/>
      <c r="P147" s="50"/>
      <c r="W147" s="53"/>
      <c r="X147" s="53"/>
      <c r="Y147" s="51"/>
      <c r="Z147" s="51"/>
      <c r="AA147" s="51"/>
    </row>
    <row r="148" spans="11:27">
      <c r="K148" s="51"/>
      <c r="P148" s="50"/>
      <c r="W148" s="53"/>
      <c r="X148" s="53"/>
      <c r="Y148" s="51"/>
      <c r="Z148" s="51"/>
      <c r="AA148" s="51"/>
    </row>
    <row r="149" spans="11:27">
      <c r="K149" s="51"/>
      <c r="P149" s="50"/>
      <c r="W149" s="53"/>
      <c r="X149" s="53"/>
      <c r="Y149" s="51"/>
      <c r="Z149" s="51"/>
      <c r="AA149" s="51"/>
    </row>
    <row r="150" spans="11:27">
      <c r="K150" s="51"/>
      <c r="P150" s="50"/>
      <c r="W150" s="53"/>
      <c r="X150" s="53"/>
      <c r="Y150" s="51"/>
      <c r="Z150" s="51"/>
      <c r="AA150" s="51"/>
    </row>
    <row r="151" spans="11:27">
      <c r="K151" s="51"/>
      <c r="P151" s="50"/>
      <c r="W151" s="53"/>
      <c r="X151" s="53"/>
      <c r="Y151" s="51"/>
      <c r="Z151" s="51"/>
      <c r="AA151" s="51"/>
    </row>
    <row r="152" spans="11:27">
      <c r="K152" s="51"/>
      <c r="P152" s="50"/>
      <c r="W152" s="53"/>
      <c r="X152" s="53"/>
      <c r="Y152" s="51"/>
      <c r="Z152" s="51"/>
      <c r="AA152" s="51"/>
    </row>
    <row r="153" spans="11:27">
      <c r="K153" s="51"/>
      <c r="P153" s="50"/>
      <c r="W153" s="53"/>
      <c r="X153" s="53"/>
      <c r="Y153" s="51"/>
      <c r="Z153" s="51"/>
      <c r="AA153" s="51"/>
    </row>
    <row r="154" spans="11:27">
      <c r="K154" s="51"/>
      <c r="P154" s="50"/>
      <c r="W154" s="53"/>
      <c r="X154" s="53"/>
      <c r="Y154" s="51"/>
      <c r="Z154" s="51"/>
      <c r="AA154" s="51"/>
    </row>
    <row r="155" spans="11:27">
      <c r="K155" s="51"/>
      <c r="P155" s="50"/>
      <c r="W155" s="53"/>
      <c r="X155" s="53"/>
      <c r="Y155" s="51"/>
      <c r="Z155" s="51"/>
      <c r="AA155" s="51"/>
    </row>
    <row r="156" spans="11:27">
      <c r="K156" s="51"/>
      <c r="P156" s="50"/>
      <c r="W156" s="53"/>
      <c r="X156" s="53"/>
      <c r="Y156" s="51"/>
      <c r="Z156" s="51"/>
      <c r="AA156" s="51"/>
    </row>
    <row r="157" spans="11:27">
      <c r="K157" s="51"/>
      <c r="P157" s="50"/>
      <c r="W157" s="53"/>
      <c r="X157" s="53"/>
      <c r="Y157" s="51"/>
      <c r="Z157" s="51"/>
      <c r="AA157" s="51"/>
    </row>
    <row r="158" spans="11:27">
      <c r="K158" s="51"/>
      <c r="P158" s="50"/>
      <c r="W158" s="53"/>
      <c r="X158" s="53"/>
      <c r="Y158" s="51"/>
      <c r="Z158" s="51"/>
      <c r="AA158" s="51"/>
    </row>
    <row r="159" spans="11:27">
      <c r="K159" s="51"/>
      <c r="P159" s="50"/>
      <c r="W159" s="53"/>
      <c r="X159" s="53"/>
      <c r="Y159" s="51"/>
      <c r="Z159" s="51"/>
      <c r="AA159" s="51"/>
    </row>
    <row r="160" spans="11:27">
      <c r="K160" s="51"/>
      <c r="P160" s="50"/>
      <c r="W160" s="53"/>
      <c r="X160" s="53"/>
      <c r="Y160" s="51"/>
      <c r="Z160" s="51"/>
      <c r="AA160" s="51"/>
    </row>
    <row r="161" spans="11:27">
      <c r="K161" s="51"/>
      <c r="P161" s="50"/>
      <c r="W161" s="53"/>
      <c r="X161" s="53"/>
      <c r="Y161" s="51"/>
      <c r="Z161" s="51"/>
      <c r="AA161" s="51"/>
    </row>
    <row r="162" spans="11:27">
      <c r="K162" s="51"/>
      <c r="P162" s="50"/>
      <c r="W162" s="53"/>
      <c r="X162" s="53"/>
      <c r="Y162" s="51"/>
      <c r="Z162" s="51"/>
      <c r="AA162" s="51"/>
    </row>
    <row r="163" spans="11:27">
      <c r="K163" s="51"/>
      <c r="P163" s="50"/>
      <c r="W163" s="53"/>
      <c r="X163" s="53"/>
      <c r="Y163" s="51"/>
      <c r="Z163" s="51"/>
      <c r="AA163" s="51"/>
    </row>
    <row r="164" spans="11:27">
      <c r="K164" s="51"/>
      <c r="P164" s="50"/>
      <c r="W164" s="53"/>
      <c r="X164" s="53"/>
      <c r="Y164" s="51"/>
      <c r="Z164" s="51"/>
      <c r="AA164" s="51"/>
    </row>
    <row r="165" spans="11:27">
      <c r="K165" s="51"/>
      <c r="P165" s="50"/>
      <c r="W165" s="53"/>
      <c r="X165" s="53"/>
      <c r="Y165" s="51"/>
      <c r="Z165" s="51"/>
      <c r="AA165" s="51"/>
    </row>
    <row r="166" spans="11:27">
      <c r="K166" s="51"/>
      <c r="P166" s="50"/>
      <c r="W166" s="53"/>
      <c r="X166" s="53"/>
      <c r="Y166" s="51"/>
      <c r="Z166" s="51"/>
      <c r="AA166" s="51"/>
    </row>
    <row r="167" spans="11:27">
      <c r="K167" s="51"/>
      <c r="P167" s="50"/>
      <c r="W167" s="53"/>
      <c r="X167" s="53"/>
      <c r="Y167" s="51"/>
      <c r="Z167" s="51"/>
      <c r="AA167" s="51"/>
    </row>
    <row r="168" spans="11:27">
      <c r="K168" s="51"/>
      <c r="P168" s="50"/>
      <c r="W168" s="53"/>
      <c r="X168" s="53"/>
      <c r="Y168" s="51"/>
      <c r="Z168" s="51"/>
      <c r="AA168" s="51"/>
    </row>
    <row r="169" spans="11:27">
      <c r="K169" s="51"/>
      <c r="P169" s="50"/>
      <c r="W169" s="53"/>
      <c r="X169" s="53"/>
      <c r="Y169" s="51"/>
      <c r="Z169" s="51"/>
      <c r="AA169" s="51"/>
    </row>
    <row r="170" spans="11:27">
      <c r="K170" s="51"/>
      <c r="P170" s="50"/>
      <c r="W170" s="53"/>
      <c r="X170" s="53"/>
      <c r="Y170" s="51"/>
      <c r="Z170" s="51"/>
      <c r="AA170" s="51"/>
    </row>
    <row r="171" spans="11:27">
      <c r="K171" s="51"/>
      <c r="P171" s="50"/>
      <c r="W171" s="53"/>
      <c r="X171" s="53"/>
      <c r="Y171" s="51"/>
      <c r="Z171" s="51"/>
      <c r="AA171" s="51"/>
    </row>
    <row r="172" spans="11:27">
      <c r="K172" s="51"/>
      <c r="P172" s="50"/>
      <c r="W172" s="53"/>
      <c r="X172" s="53"/>
      <c r="Y172" s="51"/>
      <c r="Z172" s="51"/>
      <c r="AA172" s="51"/>
    </row>
    <row r="173" spans="11:27">
      <c r="K173" s="51"/>
      <c r="P173" s="50"/>
      <c r="W173" s="53"/>
      <c r="X173" s="53"/>
      <c r="Y173" s="51"/>
      <c r="Z173" s="51"/>
      <c r="AA173" s="51"/>
    </row>
    <row r="174" spans="11:27">
      <c r="K174" s="51"/>
      <c r="P174" s="50"/>
      <c r="W174" s="53"/>
      <c r="X174" s="53"/>
      <c r="Y174" s="51"/>
      <c r="Z174" s="51"/>
      <c r="AA174" s="51"/>
    </row>
    <row r="175" spans="11:27">
      <c r="K175" s="51"/>
      <c r="P175" s="50"/>
      <c r="W175" s="53"/>
      <c r="X175" s="53"/>
      <c r="Y175" s="51"/>
      <c r="Z175" s="51"/>
      <c r="AA175" s="51"/>
    </row>
    <row r="176" spans="11:27">
      <c r="K176" s="51"/>
      <c r="P176" s="50"/>
      <c r="W176" s="53"/>
      <c r="X176" s="53"/>
      <c r="Y176" s="51"/>
      <c r="Z176" s="51"/>
      <c r="AA176" s="51"/>
    </row>
    <row r="177" spans="11:27">
      <c r="K177" s="51"/>
      <c r="P177" s="50"/>
      <c r="W177" s="53"/>
      <c r="X177" s="53"/>
      <c r="Y177" s="51"/>
      <c r="Z177" s="51"/>
      <c r="AA177" s="51"/>
    </row>
    <row r="178" spans="11:27">
      <c r="K178" s="51"/>
      <c r="P178" s="50"/>
      <c r="W178" s="53"/>
      <c r="X178" s="53"/>
      <c r="Y178" s="51"/>
      <c r="Z178" s="51"/>
      <c r="AA178" s="51"/>
    </row>
    <row r="179" spans="11:27">
      <c r="K179" s="51"/>
      <c r="P179" s="50"/>
      <c r="W179" s="53"/>
      <c r="X179" s="53"/>
      <c r="Y179" s="51"/>
      <c r="Z179" s="51"/>
      <c r="AA179" s="51"/>
    </row>
    <row r="180" spans="11:27">
      <c r="K180" s="51"/>
      <c r="P180" s="50"/>
      <c r="W180" s="53"/>
      <c r="X180" s="53"/>
      <c r="Y180" s="51"/>
      <c r="Z180" s="51"/>
      <c r="AA180" s="51"/>
    </row>
    <row r="181" spans="11:27">
      <c r="K181" s="51"/>
      <c r="P181" s="50"/>
      <c r="W181" s="53"/>
      <c r="X181" s="53"/>
      <c r="Y181" s="51"/>
      <c r="Z181" s="51"/>
      <c r="AA181" s="51"/>
    </row>
    <row r="182" spans="11:27">
      <c r="K182" s="51"/>
      <c r="P182" s="50"/>
      <c r="W182" s="53"/>
      <c r="X182" s="53"/>
      <c r="Y182" s="51"/>
      <c r="Z182" s="51"/>
      <c r="AA182" s="51"/>
    </row>
    <row r="183" spans="11:27">
      <c r="K183" s="51"/>
      <c r="P183" s="50"/>
      <c r="W183" s="53"/>
      <c r="X183" s="53"/>
      <c r="Y183" s="51"/>
      <c r="Z183" s="51"/>
      <c r="AA183" s="51"/>
    </row>
    <row r="184" spans="11:27">
      <c r="K184" s="51"/>
      <c r="P184" s="50"/>
      <c r="W184" s="53"/>
      <c r="X184" s="53"/>
      <c r="Y184" s="51"/>
      <c r="Z184" s="51"/>
      <c r="AA184" s="51"/>
    </row>
    <row r="185" spans="11:27">
      <c r="K185" s="51"/>
      <c r="P185" s="50"/>
      <c r="W185" s="53"/>
      <c r="X185" s="53"/>
      <c r="Y185" s="51"/>
      <c r="Z185" s="51"/>
      <c r="AA185" s="51"/>
    </row>
    <row r="186" spans="11:27">
      <c r="K186" s="51"/>
      <c r="P186" s="50"/>
      <c r="W186" s="53"/>
      <c r="X186" s="53"/>
      <c r="Y186" s="51"/>
      <c r="Z186" s="51"/>
      <c r="AA186" s="51"/>
    </row>
    <row r="187" spans="11:27">
      <c r="K187" s="51"/>
      <c r="P187" s="50"/>
      <c r="W187" s="53"/>
      <c r="X187" s="53"/>
      <c r="Y187" s="51"/>
      <c r="Z187" s="51"/>
      <c r="AA187" s="51"/>
    </row>
    <row r="188" spans="11:27">
      <c r="K188" s="51"/>
      <c r="P188" s="50"/>
      <c r="W188" s="53"/>
      <c r="X188" s="53"/>
      <c r="Y188" s="51"/>
      <c r="Z188" s="51"/>
      <c r="AA188" s="51"/>
    </row>
    <row r="189" spans="11:27">
      <c r="K189" s="51"/>
      <c r="P189" s="50"/>
      <c r="W189" s="53"/>
      <c r="X189" s="53"/>
      <c r="Y189" s="51"/>
      <c r="Z189" s="51"/>
      <c r="AA189" s="51"/>
    </row>
    <row r="190" spans="11:27">
      <c r="K190" s="51"/>
      <c r="P190" s="50"/>
      <c r="W190" s="53"/>
      <c r="X190" s="53"/>
      <c r="Y190" s="51"/>
      <c r="Z190" s="51"/>
      <c r="AA190" s="51"/>
    </row>
    <row r="191" spans="11:27">
      <c r="K191" s="51"/>
      <c r="P191" s="50"/>
      <c r="W191" s="53"/>
      <c r="X191" s="53"/>
      <c r="Y191" s="51"/>
      <c r="Z191" s="51"/>
      <c r="AA191" s="51"/>
    </row>
    <row r="192" spans="11:27">
      <c r="K192" s="51"/>
      <c r="P192" s="50"/>
      <c r="W192" s="53"/>
      <c r="X192" s="53"/>
      <c r="Y192" s="51"/>
      <c r="Z192" s="51"/>
      <c r="AA192" s="51"/>
    </row>
    <row r="193" spans="11:27">
      <c r="K193" s="51"/>
      <c r="P193" s="50"/>
      <c r="W193" s="53"/>
      <c r="X193" s="53"/>
      <c r="Y193" s="51"/>
      <c r="Z193" s="51"/>
      <c r="AA193" s="51"/>
    </row>
    <row r="194" spans="11:27">
      <c r="K194" s="51"/>
      <c r="P194" s="50"/>
      <c r="W194" s="53"/>
      <c r="X194" s="53"/>
      <c r="Y194" s="51"/>
      <c r="Z194" s="51"/>
      <c r="AA194" s="51"/>
    </row>
    <row r="195" spans="11:27">
      <c r="K195" s="51"/>
      <c r="P195" s="50"/>
      <c r="W195" s="53"/>
      <c r="X195" s="53"/>
      <c r="Y195" s="51"/>
      <c r="Z195" s="51"/>
      <c r="AA195" s="51"/>
    </row>
    <row r="196" spans="11:27">
      <c r="K196" s="51"/>
      <c r="P196" s="50"/>
      <c r="W196" s="53"/>
      <c r="X196" s="53"/>
      <c r="Y196" s="51"/>
      <c r="Z196" s="51"/>
      <c r="AA196" s="51"/>
    </row>
    <row r="197" spans="11:27">
      <c r="K197" s="51"/>
      <c r="P197" s="50"/>
      <c r="W197" s="53"/>
      <c r="X197" s="53"/>
      <c r="Y197" s="51"/>
      <c r="Z197" s="51"/>
      <c r="AA197" s="51"/>
    </row>
    <row r="198" spans="11:27">
      <c r="K198" s="51"/>
      <c r="P198" s="50"/>
      <c r="W198" s="53"/>
      <c r="X198" s="53"/>
      <c r="Y198" s="51"/>
      <c r="Z198" s="51"/>
      <c r="AA198" s="51"/>
    </row>
    <row r="199" spans="11:27">
      <c r="K199" s="51"/>
      <c r="P199" s="50"/>
      <c r="W199" s="53"/>
      <c r="X199" s="53"/>
      <c r="Y199" s="51"/>
      <c r="Z199" s="51"/>
      <c r="AA199" s="51"/>
    </row>
    <row r="200" spans="11:27">
      <c r="K200" s="51"/>
      <c r="P200" s="50"/>
      <c r="W200" s="53"/>
      <c r="X200" s="53"/>
      <c r="Y200" s="51"/>
      <c r="Z200" s="51"/>
      <c r="AA200" s="51"/>
    </row>
    <row r="201" spans="11:27">
      <c r="K201" s="51"/>
      <c r="P201" s="50"/>
      <c r="W201" s="53"/>
      <c r="X201" s="53"/>
      <c r="Y201" s="51"/>
      <c r="Z201" s="51"/>
      <c r="AA201" s="51"/>
    </row>
    <row r="202" spans="11:27">
      <c r="K202" s="51"/>
      <c r="P202" s="50"/>
      <c r="W202" s="53"/>
      <c r="X202" s="53"/>
      <c r="Y202" s="51"/>
      <c r="Z202" s="51"/>
      <c r="AA202" s="51"/>
    </row>
    <row r="203" spans="11:27">
      <c r="K203" s="51"/>
      <c r="P203" s="50"/>
      <c r="W203" s="53"/>
      <c r="X203" s="53"/>
      <c r="Y203" s="51"/>
      <c r="Z203" s="51"/>
      <c r="AA203" s="51"/>
    </row>
    <row r="204" spans="11:27">
      <c r="K204" s="51"/>
      <c r="P204" s="50"/>
      <c r="W204" s="53"/>
      <c r="X204" s="53"/>
      <c r="Y204" s="51"/>
      <c r="Z204" s="51"/>
      <c r="AA204" s="51"/>
    </row>
    <row r="205" spans="11:27">
      <c r="K205" s="51"/>
      <c r="P205" s="50"/>
      <c r="W205" s="53"/>
      <c r="X205" s="53"/>
      <c r="Y205" s="51"/>
      <c r="Z205" s="51"/>
      <c r="AA205" s="51"/>
    </row>
    <row r="206" spans="11:27">
      <c r="K206" s="51"/>
      <c r="P206" s="50"/>
      <c r="W206" s="53"/>
      <c r="X206" s="53"/>
      <c r="Y206" s="51"/>
      <c r="Z206" s="51"/>
      <c r="AA206" s="51"/>
    </row>
    <row r="207" spans="11:27">
      <c r="K207" s="51"/>
      <c r="P207" s="50"/>
      <c r="W207" s="53"/>
      <c r="X207" s="53"/>
      <c r="Y207" s="51"/>
      <c r="Z207" s="51"/>
      <c r="AA207" s="51"/>
    </row>
    <row r="208" spans="11:27">
      <c r="K208" s="51"/>
      <c r="P208" s="50"/>
      <c r="W208" s="53"/>
      <c r="X208" s="53"/>
      <c r="Y208" s="51"/>
      <c r="Z208" s="51"/>
      <c r="AA208" s="51"/>
    </row>
    <row r="209" spans="11:27">
      <c r="K209" s="51"/>
      <c r="P209" s="50"/>
      <c r="W209" s="53"/>
      <c r="X209" s="53"/>
      <c r="Y209" s="51"/>
      <c r="Z209" s="51"/>
      <c r="AA209" s="51"/>
    </row>
    <row r="210" spans="11:27">
      <c r="K210" s="51"/>
      <c r="P210" s="50"/>
      <c r="W210" s="53"/>
      <c r="X210" s="53"/>
      <c r="Y210" s="51"/>
      <c r="Z210" s="51"/>
      <c r="AA210" s="51"/>
    </row>
    <row r="211" spans="11:27">
      <c r="K211" s="51"/>
      <c r="P211" s="50"/>
      <c r="W211" s="53"/>
      <c r="X211" s="53"/>
      <c r="Y211" s="51"/>
      <c r="Z211" s="51"/>
      <c r="AA211" s="51"/>
    </row>
    <row r="212" spans="11:27">
      <c r="K212" s="51"/>
      <c r="P212" s="50"/>
      <c r="W212" s="53"/>
      <c r="X212" s="53"/>
      <c r="Y212" s="51"/>
      <c r="Z212" s="51"/>
      <c r="AA212" s="51"/>
    </row>
    <row r="213" spans="11:27">
      <c r="K213" s="51"/>
      <c r="P213" s="50"/>
      <c r="W213" s="53"/>
      <c r="X213" s="53"/>
      <c r="Y213" s="51"/>
      <c r="Z213" s="51"/>
      <c r="AA213" s="51"/>
    </row>
    <row r="214" spans="11:27">
      <c r="K214" s="51"/>
      <c r="P214" s="50"/>
      <c r="W214" s="53"/>
      <c r="X214" s="53"/>
      <c r="Y214" s="51"/>
      <c r="Z214" s="51"/>
      <c r="AA214" s="51"/>
    </row>
    <row r="215" spans="11:27">
      <c r="K215" s="51"/>
      <c r="P215" s="50"/>
      <c r="W215" s="53"/>
      <c r="X215" s="53"/>
      <c r="Y215" s="51"/>
      <c r="Z215" s="51"/>
      <c r="AA215" s="51"/>
    </row>
    <row r="216" spans="11:27">
      <c r="K216" s="51"/>
      <c r="P216" s="50"/>
      <c r="W216" s="53"/>
      <c r="X216" s="53"/>
      <c r="Y216" s="51"/>
      <c r="Z216" s="51"/>
      <c r="AA216" s="51"/>
    </row>
    <row r="217" spans="11:27">
      <c r="K217" s="51"/>
      <c r="P217" s="50"/>
      <c r="W217" s="53"/>
      <c r="X217" s="53"/>
      <c r="Y217" s="51"/>
      <c r="Z217" s="51"/>
      <c r="AA217" s="51"/>
    </row>
    <row r="218" spans="11:27">
      <c r="K218" s="51"/>
      <c r="P218" s="50"/>
      <c r="W218" s="53"/>
      <c r="X218" s="53"/>
      <c r="Y218" s="51"/>
      <c r="Z218" s="51"/>
      <c r="AA218" s="51"/>
    </row>
    <row r="219" spans="11:27">
      <c r="K219" s="51"/>
      <c r="P219" s="50"/>
      <c r="W219" s="53"/>
      <c r="X219" s="53"/>
      <c r="Y219" s="51"/>
      <c r="Z219" s="51"/>
      <c r="AA219" s="51"/>
    </row>
    <row r="220" spans="11:27">
      <c r="K220" s="51"/>
      <c r="P220" s="50"/>
      <c r="W220" s="53"/>
      <c r="X220" s="53"/>
      <c r="Y220" s="51"/>
      <c r="Z220" s="51"/>
      <c r="AA220" s="51"/>
    </row>
    <row r="221" spans="11:27">
      <c r="K221" s="51"/>
      <c r="P221" s="50"/>
      <c r="W221" s="53"/>
      <c r="X221" s="53"/>
      <c r="Y221" s="51"/>
      <c r="Z221" s="51"/>
      <c r="AA221" s="51"/>
    </row>
    <row r="222" spans="11:27">
      <c r="K222" s="51"/>
      <c r="P222" s="50"/>
      <c r="W222" s="53"/>
      <c r="X222" s="53"/>
      <c r="Y222" s="51"/>
      <c r="Z222" s="51"/>
      <c r="AA222" s="51"/>
    </row>
    <row r="223" spans="11:27">
      <c r="K223" s="51"/>
      <c r="P223" s="50"/>
      <c r="W223" s="53"/>
      <c r="X223" s="53"/>
      <c r="Y223" s="51"/>
      <c r="Z223" s="51"/>
      <c r="AA223" s="51"/>
    </row>
    <row r="224" spans="11:27">
      <c r="K224" s="51"/>
      <c r="P224" s="50"/>
      <c r="W224" s="53"/>
      <c r="X224" s="53"/>
      <c r="Y224" s="51"/>
      <c r="Z224" s="51"/>
      <c r="AA224" s="51"/>
    </row>
    <row r="225" spans="11:27">
      <c r="K225" s="51"/>
      <c r="P225" s="50"/>
      <c r="W225" s="53"/>
      <c r="X225" s="53"/>
      <c r="Y225" s="51"/>
      <c r="Z225" s="51"/>
      <c r="AA225" s="51"/>
    </row>
    <row r="226" spans="11:27">
      <c r="K226" s="51"/>
      <c r="P226" s="50"/>
      <c r="W226" s="53"/>
      <c r="X226" s="53"/>
      <c r="Y226" s="51"/>
      <c r="Z226" s="51"/>
      <c r="AA226" s="51"/>
    </row>
    <row r="227" spans="11:27">
      <c r="K227" s="51"/>
      <c r="P227" s="50"/>
      <c r="W227" s="53"/>
      <c r="X227" s="53"/>
      <c r="Y227" s="51"/>
      <c r="Z227" s="51"/>
      <c r="AA227" s="51"/>
    </row>
    <row r="228" spans="11:27">
      <c r="K228" s="51"/>
      <c r="P228" s="50"/>
      <c r="W228" s="53"/>
      <c r="X228" s="53"/>
      <c r="Y228" s="51"/>
      <c r="Z228" s="51"/>
      <c r="AA228" s="51"/>
    </row>
    <row r="229" spans="11:27">
      <c r="K229" s="51"/>
      <c r="P229" s="50"/>
      <c r="W229" s="53"/>
      <c r="X229" s="53"/>
      <c r="Y229" s="51"/>
      <c r="Z229" s="51"/>
      <c r="AA229" s="51"/>
    </row>
    <row r="230" spans="11:27">
      <c r="K230" s="51"/>
      <c r="P230" s="50"/>
      <c r="W230" s="53"/>
      <c r="X230" s="53"/>
      <c r="Y230" s="51"/>
      <c r="Z230" s="51"/>
      <c r="AA230" s="51"/>
    </row>
    <row r="231" spans="11:27">
      <c r="K231" s="51"/>
      <c r="P231" s="50"/>
      <c r="W231" s="53"/>
      <c r="X231" s="53"/>
      <c r="Y231" s="51"/>
      <c r="Z231" s="51"/>
      <c r="AA231" s="51"/>
    </row>
    <row r="232" spans="11:27">
      <c r="K232" s="51"/>
      <c r="P232" s="50"/>
      <c r="W232" s="53"/>
      <c r="X232" s="53"/>
      <c r="Y232" s="51"/>
      <c r="Z232" s="51"/>
      <c r="AA232" s="51"/>
    </row>
    <row r="233" spans="11:27">
      <c r="K233" s="51"/>
      <c r="P233" s="50"/>
      <c r="W233" s="53"/>
      <c r="X233" s="53"/>
      <c r="Y233" s="51"/>
      <c r="Z233" s="51"/>
      <c r="AA233" s="51"/>
    </row>
    <row r="234" spans="11:27">
      <c r="K234" s="51"/>
      <c r="P234" s="50"/>
      <c r="W234" s="53"/>
      <c r="X234" s="53"/>
      <c r="Y234" s="51"/>
      <c r="Z234" s="51"/>
      <c r="AA234" s="51"/>
    </row>
    <row r="235" spans="11:27">
      <c r="K235" s="51"/>
      <c r="P235" s="50"/>
      <c r="W235" s="53"/>
      <c r="X235" s="53"/>
      <c r="Y235" s="51"/>
      <c r="Z235" s="51"/>
      <c r="AA235" s="51"/>
    </row>
    <row r="236" spans="11:27">
      <c r="K236" s="51"/>
      <c r="P236" s="50"/>
      <c r="W236" s="53"/>
      <c r="X236" s="53"/>
      <c r="Y236" s="51"/>
      <c r="Z236" s="51"/>
      <c r="AA236" s="51"/>
    </row>
    <row r="237" spans="11:27">
      <c r="K237" s="51"/>
      <c r="P237" s="50"/>
      <c r="W237" s="53"/>
      <c r="X237" s="53"/>
      <c r="Y237" s="51"/>
      <c r="Z237" s="51"/>
      <c r="AA237" s="51"/>
    </row>
    <row r="238" spans="11:27">
      <c r="K238" s="51"/>
      <c r="P238" s="50"/>
      <c r="W238" s="53"/>
      <c r="X238" s="53"/>
      <c r="Y238" s="51"/>
      <c r="Z238" s="51"/>
      <c r="AA238" s="51"/>
    </row>
    <row r="239" spans="11:27">
      <c r="K239" s="51"/>
      <c r="P239" s="50"/>
      <c r="W239" s="53"/>
      <c r="X239" s="53"/>
      <c r="Y239" s="51"/>
      <c r="Z239" s="51"/>
      <c r="AA239" s="51"/>
    </row>
    <row r="240" spans="11:27">
      <c r="K240" s="51"/>
      <c r="P240" s="50"/>
      <c r="W240" s="53"/>
      <c r="X240" s="53"/>
      <c r="Y240" s="51"/>
      <c r="Z240" s="51"/>
      <c r="AA240" s="51"/>
    </row>
    <row r="241" spans="11:27">
      <c r="K241" s="51"/>
      <c r="P241" s="50"/>
      <c r="W241" s="53"/>
      <c r="X241" s="53"/>
      <c r="Y241" s="51"/>
      <c r="Z241" s="51"/>
      <c r="AA241" s="51"/>
    </row>
    <row r="242" spans="11:27">
      <c r="K242" s="51"/>
      <c r="P242" s="50"/>
      <c r="W242" s="53"/>
      <c r="X242" s="53"/>
      <c r="Y242" s="51"/>
      <c r="Z242" s="51"/>
      <c r="AA242" s="51"/>
    </row>
    <row r="243" spans="11:27">
      <c r="K243" s="51"/>
      <c r="P243" s="50"/>
      <c r="W243" s="53"/>
      <c r="X243" s="53"/>
      <c r="Y243" s="51"/>
      <c r="Z243" s="51"/>
      <c r="AA243" s="51"/>
    </row>
    <row r="244" spans="11:27">
      <c r="K244" s="51"/>
      <c r="P244" s="50"/>
      <c r="W244" s="53"/>
      <c r="X244" s="53"/>
      <c r="Y244" s="51"/>
      <c r="Z244" s="51"/>
      <c r="AA244" s="51"/>
    </row>
    <row r="245" spans="11:27">
      <c r="K245" s="51"/>
      <c r="P245" s="50"/>
      <c r="W245" s="53"/>
      <c r="X245" s="53"/>
      <c r="Y245" s="51"/>
      <c r="Z245" s="51"/>
      <c r="AA245" s="51"/>
    </row>
    <row r="246" spans="11:27">
      <c r="K246" s="51"/>
      <c r="P246" s="50"/>
      <c r="W246" s="53"/>
      <c r="X246" s="53"/>
      <c r="Y246" s="51"/>
      <c r="Z246" s="51"/>
      <c r="AA246" s="51"/>
    </row>
    <row r="247" spans="11:27">
      <c r="K247" s="51"/>
      <c r="P247" s="50"/>
      <c r="W247" s="53"/>
      <c r="X247" s="53"/>
      <c r="Y247" s="51"/>
      <c r="Z247" s="51"/>
      <c r="AA247" s="51"/>
    </row>
    <row r="248" spans="11:27">
      <c r="K248" s="51"/>
      <c r="P248" s="50"/>
      <c r="W248" s="53"/>
      <c r="X248" s="53"/>
      <c r="Y248" s="51"/>
      <c r="Z248" s="51"/>
      <c r="AA248" s="51"/>
    </row>
    <row r="249" spans="11:27">
      <c r="K249" s="51"/>
      <c r="P249" s="50"/>
      <c r="W249" s="53"/>
      <c r="X249" s="53"/>
      <c r="Y249" s="51"/>
      <c r="Z249" s="51"/>
      <c r="AA249" s="51"/>
    </row>
    <row r="250" spans="11:27">
      <c r="K250" s="51"/>
      <c r="P250" s="50"/>
      <c r="W250" s="53"/>
      <c r="X250" s="53"/>
      <c r="Y250" s="51"/>
      <c r="Z250" s="51"/>
      <c r="AA250" s="51"/>
    </row>
    <row r="251" spans="11:27">
      <c r="K251" s="51"/>
      <c r="P251" s="50"/>
      <c r="W251" s="53"/>
      <c r="X251" s="53"/>
      <c r="Y251" s="51"/>
      <c r="Z251" s="51"/>
      <c r="AA251" s="51"/>
    </row>
    <row r="252" spans="11:27">
      <c r="K252" s="51"/>
      <c r="P252" s="50"/>
      <c r="W252" s="53"/>
      <c r="X252" s="53"/>
      <c r="Y252" s="51"/>
      <c r="Z252" s="51"/>
      <c r="AA252" s="51"/>
    </row>
    <row r="253" spans="11:27">
      <c r="K253" s="51"/>
      <c r="P253" s="50"/>
      <c r="W253" s="53"/>
      <c r="X253" s="53"/>
      <c r="Y253" s="51"/>
      <c r="Z253" s="51"/>
      <c r="AA253" s="51"/>
    </row>
    <row r="254" spans="11:27">
      <c r="K254" s="51"/>
      <c r="P254" s="50"/>
      <c r="W254" s="53"/>
      <c r="X254" s="53"/>
      <c r="Y254" s="51"/>
      <c r="Z254" s="51"/>
      <c r="AA254" s="51"/>
    </row>
    <row r="255" spans="11:27">
      <c r="K255" s="51"/>
      <c r="P255" s="50"/>
      <c r="W255" s="53"/>
      <c r="X255" s="53"/>
      <c r="Y255" s="51"/>
      <c r="Z255" s="51"/>
      <c r="AA255" s="51"/>
    </row>
    <row r="256" spans="11:27">
      <c r="K256" s="51"/>
      <c r="P256" s="50"/>
      <c r="W256" s="53"/>
      <c r="X256" s="53"/>
      <c r="Y256" s="51"/>
      <c r="Z256" s="51"/>
      <c r="AA256" s="51"/>
    </row>
    <row r="257" spans="11:27">
      <c r="K257" s="51"/>
      <c r="P257" s="50"/>
      <c r="W257" s="53"/>
      <c r="X257" s="53"/>
      <c r="Y257" s="51"/>
      <c r="Z257" s="51"/>
      <c r="AA257" s="51"/>
    </row>
    <row r="258" spans="11:27">
      <c r="K258" s="51"/>
      <c r="P258" s="50"/>
      <c r="W258" s="53"/>
      <c r="X258" s="53"/>
      <c r="Y258" s="51"/>
      <c r="Z258" s="51"/>
      <c r="AA258" s="51"/>
    </row>
    <row r="259" spans="11:27">
      <c r="K259" s="51"/>
      <c r="P259" s="50"/>
      <c r="W259" s="53"/>
      <c r="X259" s="53"/>
      <c r="Y259" s="51"/>
      <c r="Z259" s="51"/>
      <c r="AA259" s="51"/>
    </row>
    <row r="260" spans="11:27">
      <c r="K260" s="51"/>
      <c r="P260" s="50"/>
      <c r="W260" s="53"/>
      <c r="X260" s="53"/>
      <c r="Y260" s="51"/>
      <c r="Z260" s="51"/>
      <c r="AA260" s="51"/>
    </row>
    <row r="261" spans="11:27">
      <c r="K261" s="51"/>
      <c r="P261" s="50"/>
      <c r="W261" s="53"/>
      <c r="X261" s="53"/>
      <c r="Y261" s="51"/>
      <c r="Z261" s="51"/>
      <c r="AA261" s="51"/>
    </row>
    <row r="262" spans="11:27">
      <c r="K262" s="51"/>
      <c r="P262" s="50"/>
      <c r="W262" s="53"/>
      <c r="X262" s="53"/>
      <c r="Y262" s="51"/>
      <c r="Z262" s="51"/>
      <c r="AA262" s="51"/>
    </row>
    <row r="263" spans="11:27">
      <c r="K263" s="51"/>
      <c r="P263" s="50"/>
      <c r="W263" s="53"/>
      <c r="X263" s="53"/>
      <c r="Y263" s="51"/>
      <c r="Z263" s="51"/>
      <c r="AA263" s="51"/>
    </row>
    <row r="264" spans="11:27">
      <c r="K264" s="51"/>
      <c r="P264" s="50"/>
      <c r="W264" s="53"/>
      <c r="X264" s="53"/>
      <c r="Y264" s="51"/>
      <c r="Z264" s="51"/>
      <c r="AA264" s="51"/>
    </row>
    <row r="265" spans="11:27">
      <c r="K265" s="51"/>
      <c r="P265" s="50"/>
      <c r="W265" s="53"/>
      <c r="X265" s="53"/>
      <c r="Y265" s="51"/>
      <c r="Z265" s="51"/>
      <c r="AA265" s="51"/>
    </row>
    <row r="266" spans="11:27">
      <c r="K266" s="51"/>
      <c r="P266" s="50"/>
      <c r="W266" s="53"/>
      <c r="X266" s="53"/>
      <c r="Y266" s="51"/>
      <c r="Z266" s="51"/>
      <c r="AA266" s="51"/>
    </row>
    <row r="267" spans="11:27">
      <c r="K267" s="51"/>
      <c r="P267" s="50"/>
      <c r="W267" s="53"/>
      <c r="X267" s="53"/>
      <c r="Y267" s="51"/>
      <c r="Z267" s="51"/>
      <c r="AA267" s="51"/>
    </row>
    <row r="268" spans="11:27">
      <c r="K268" s="51"/>
      <c r="P268" s="50"/>
      <c r="W268" s="53"/>
      <c r="X268" s="53"/>
      <c r="Y268" s="51"/>
      <c r="Z268" s="51"/>
      <c r="AA268" s="51"/>
    </row>
    <row r="269" spans="11:27">
      <c r="K269" s="51"/>
      <c r="P269" s="50"/>
      <c r="W269" s="53"/>
      <c r="X269" s="53"/>
      <c r="Y269" s="51"/>
      <c r="Z269" s="51"/>
      <c r="AA269" s="51"/>
    </row>
    <row r="270" spans="11:27">
      <c r="K270" s="51"/>
      <c r="P270" s="50"/>
      <c r="W270" s="53"/>
      <c r="X270" s="53"/>
      <c r="Y270" s="51"/>
      <c r="Z270" s="51"/>
      <c r="AA270" s="51"/>
    </row>
    <row r="271" spans="11:27">
      <c r="K271" s="51"/>
      <c r="P271" s="50"/>
      <c r="W271" s="53"/>
      <c r="X271" s="53"/>
      <c r="Y271" s="51"/>
      <c r="Z271" s="51"/>
      <c r="AA271" s="51"/>
    </row>
    <row r="272" spans="11:27">
      <c r="K272" s="51"/>
      <c r="P272" s="50"/>
      <c r="W272" s="53"/>
      <c r="X272" s="53"/>
      <c r="Y272" s="51"/>
      <c r="Z272" s="51"/>
      <c r="AA272" s="51"/>
    </row>
    <row r="273" spans="11:27">
      <c r="K273" s="51"/>
      <c r="P273" s="50"/>
      <c r="W273" s="53"/>
      <c r="X273" s="53"/>
      <c r="Y273" s="51"/>
      <c r="Z273" s="51"/>
      <c r="AA273" s="51"/>
    </row>
    <row r="274" spans="11:27">
      <c r="K274" s="51"/>
      <c r="P274" s="50"/>
      <c r="W274" s="53"/>
      <c r="X274" s="53"/>
      <c r="Y274" s="51"/>
      <c r="Z274" s="51"/>
      <c r="AA274" s="51"/>
    </row>
    <row r="275" spans="11:27">
      <c r="K275" s="51"/>
      <c r="P275" s="50"/>
      <c r="W275" s="53"/>
      <c r="X275" s="53"/>
      <c r="Y275" s="51"/>
      <c r="Z275" s="51"/>
      <c r="AA275" s="51"/>
    </row>
    <row r="276" spans="11:27">
      <c r="K276" s="51"/>
      <c r="P276" s="50"/>
      <c r="W276" s="53"/>
      <c r="X276" s="53"/>
      <c r="Y276" s="51"/>
      <c r="Z276" s="51"/>
      <c r="AA276" s="51"/>
    </row>
    <row r="277" spans="11:27">
      <c r="K277" s="51"/>
      <c r="P277" s="50"/>
      <c r="W277" s="53"/>
      <c r="X277" s="53"/>
      <c r="Y277" s="51"/>
      <c r="Z277" s="51"/>
      <c r="AA277" s="51"/>
    </row>
    <row r="278" spans="11:27">
      <c r="K278" s="51"/>
      <c r="P278" s="50"/>
      <c r="W278" s="53"/>
      <c r="X278" s="53"/>
      <c r="Y278" s="51"/>
      <c r="Z278" s="51"/>
      <c r="AA278" s="51"/>
    </row>
    <row r="279" spans="11:27">
      <c r="K279" s="51"/>
      <c r="P279" s="50"/>
      <c r="W279" s="53"/>
      <c r="X279" s="53"/>
      <c r="Y279" s="51"/>
      <c r="Z279" s="51"/>
      <c r="AA279" s="51"/>
    </row>
    <row r="280" spans="11:27">
      <c r="K280" s="51"/>
      <c r="P280" s="50"/>
      <c r="W280" s="53"/>
      <c r="X280" s="53"/>
      <c r="Y280" s="51"/>
      <c r="Z280" s="51"/>
      <c r="AA280" s="51"/>
    </row>
    <row r="281" spans="11:27">
      <c r="K281" s="51"/>
      <c r="P281" s="50"/>
      <c r="W281" s="53"/>
      <c r="X281" s="53"/>
      <c r="Y281" s="51"/>
      <c r="Z281" s="51"/>
      <c r="AA281" s="51"/>
    </row>
    <row r="282" spans="11:27">
      <c r="K282" s="51"/>
      <c r="P282" s="50"/>
      <c r="W282" s="53"/>
      <c r="X282" s="53"/>
      <c r="Y282" s="51"/>
      <c r="Z282" s="51"/>
      <c r="AA282" s="51"/>
    </row>
    <row r="283" spans="11:27">
      <c r="K283" s="51"/>
      <c r="P283" s="50"/>
      <c r="W283" s="53"/>
      <c r="X283" s="53"/>
      <c r="Y283" s="51"/>
      <c r="Z283" s="51"/>
      <c r="AA283" s="51"/>
    </row>
    <row r="284" spans="11:27">
      <c r="K284" s="51"/>
      <c r="P284" s="50"/>
      <c r="W284" s="53"/>
      <c r="X284" s="53"/>
      <c r="Y284" s="51"/>
      <c r="Z284" s="51"/>
      <c r="AA284" s="51"/>
    </row>
    <row r="285" spans="11:27">
      <c r="K285" s="51"/>
      <c r="P285" s="50"/>
      <c r="W285" s="53"/>
      <c r="X285" s="53"/>
      <c r="Y285" s="51"/>
      <c r="Z285" s="51"/>
      <c r="AA285" s="51"/>
    </row>
    <row r="286" spans="11:27">
      <c r="K286" s="51"/>
      <c r="P286" s="50"/>
      <c r="W286" s="53"/>
      <c r="X286" s="53"/>
      <c r="Y286" s="51"/>
      <c r="Z286" s="51"/>
      <c r="AA286" s="51"/>
    </row>
    <row r="287" spans="11:27">
      <c r="K287" s="51"/>
      <c r="P287" s="50"/>
      <c r="W287" s="53"/>
      <c r="X287" s="53"/>
      <c r="Y287" s="51"/>
      <c r="Z287" s="51"/>
      <c r="AA287" s="51"/>
    </row>
    <row r="288" spans="11:27">
      <c r="K288" s="51"/>
      <c r="P288" s="50"/>
      <c r="W288" s="53"/>
      <c r="X288" s="53"/>
      <c r="Y288" s="51"/>
      <c r="Z288" s="51"/>
      <c r="AA288" s="51"/>
    </row>
    <row r="289" spans="11:27">
      <c r="K289" s="51"/>
      <c r="P289" s="50"/>
      <c r="W289" s="53"/>
      <c r="X289" s="53"/>
      <c r="Y289" s="51"/>
      <c r="Z289" s="51"/>
      <c r="AA289" s="51"/>
    </row>
    <row r="290" spans="11:27">
      <c r="K290" s="51"/>
      <c r="P290" s="50"/>
      <c r="W290" s="53"/>
      <c r="X290" s="53"/>
      <c r="Y290" s="51"/>
      <c r="Z290" s="51"/>
      <c r="AA290" s="51"/>
    </row>
    <row r="291" spans="11:27">
      <c r="K291" s="51"/>
      <c r="P291" s="50"/>
      <c r="W291" s="53"/>
      <c r="X291" s="53"/>
      <c r="Y291" s="51"/>
      <c r="Z291" s="51"/>
      <c r="AA291" s="51"/>
    </row>
    <row r="292" spans="11:27">
      <c r="K292" s="51"/>
      <c r="P292" s="50"/>
      <c r="W292" s="53"/>
      <c r="X292" s="53"/>
      <c r="Y292" s="51"/>
      <c r="Z292" s="51"/>
      <c r="AA292" s="51"/>
    </row>
    <row r="293" spans="11:27">
      <c r="K293" s="51"/>
      <c r="P293" s="50"/>
      <c r="W293" s="53"/>
      <c r="X293" s="53"/>
      <c r="Y293" s="51"/>
      <c r="Z293" s="51"/>
      <c r="AA293" s="51"/>
    </row>
    <row r="294" spans="11:27">
      <c r="K294" s="51"/>
      <c r="P294" s="50"/>
      <c r="W294" s="53"/>
      <c r="X294" s="53"/>
      <c r="Y294" s="51"/>
      <c r="Z294" s="51"/>
      <c r="AA294" s="51"/>
    </row>
    <row r="295" spans="11:27">
      <c r="K295" s="51"/>
      <c r="P295" s="50"/>
      <c r="W295" s="53"/>
      <c r="X295" s="53"/>
      <c r="Y295" s="51"/>
      <c r="Z295" s="51"/>
      <c r="AA295" s="51"/>
    </row>
    <row r="296" spans="11:27">
      <c r="K296" s="51"/>
      <c r="P296" s="50"/>
      <c r="W296" s="53"/>
      <c r="X296" s="53"/>
      <c r="Y296" s="51"/>
      <c r="Z296" s="51"/>
      <c r="AA296" s="51"/>
    </row>
    <row r="297" spans="11:27">
      <c r="K297" s="51"/>
      <c r="P297" s="50"/>
      <c r="W297" s="53"/>
      <c r="X297" s="53"/>
      <c r="Y297" s="51"/>
      <c r="Z297" s="51"/>
      <c r="AA297" s="51"/>
    </row>
    <row r="298" spans="11:27">
      <c r="K298" s="51"/>
      <c r="P298" s="50"/>
      <c r="W298" s="53"/>
      <c r="X298" s="53"/>
      <c r="Y298" s="51"/>
      <c r="Z298" s="51"/>
      <c r="AA298" s="51"/>
    </row>
    <row r="299" spans="11:27">
      <c r="K299" s="51"/>
      <c r="P299" s="50"/>
      <c r="W299" s="53"/>
      <c r="X299" s="53"/>
      <c r="Y299" s="51"/>
      <c r="Z299" s="51"/>
      <c r="AA299" s="51"/>
    </row>
    <row r="300" spans="11:27">
      <c r="K300" s="51"/>
      <c r="P300" s="50"/>
      <c r="W300" s="53"/>
      <c r="X300" s="53"/>
      <c r="Y300" s="51"/>
      <c r="Z300" s="51"/>
      <c r="AA300" s="51"/>
    </row>
    <row r="301" spans="11:27">
      <c r="K301" s="51"/>
      <c r="P301" s="50"/>
      <c r="W301" s="53"/>
      <c r="X301" s="53"/>
      <c r="Y301" s="51"/>
      <c r="Z301" s="51"/>
      <c r="AA301" s="51"/>
    </row>
    <row r="302" spans="11:27">
      <c r="K302" s="51"/>
      <c r="P302" s="50"/>
      <c r="W302" s="53"/>
      <c r="X302" s="53"/>
      <c r="Y302" s="51"/>
      <c r="Z302" s="51"/>
      <c r="AA302" s="51"/>
    </row>
    <row r="303" spans="11:27">
      <c r="K303" s="51"/>
      <c r="P303" s="50"/>
      <c r="W303" s="53"/>
      <c r="X303" s="53"/>
      <c r="Y303" s="51"/>
      <c r="Z303" s="51"/>
      <c r="AA303" s="51"/>
    </row>
    <row r="304" spans="11:27">
      <c r="K304" s="51"/>
      <c r="P304" s="50"/>
      <c r="W304" s="53"/>
      <c r="X304" s="53"/>
      <c r="Y304" s="51"/>
      <c r="Z304" s="51"/>
      <c r="AA304" s="51"/>
    </row>
    <row r="305" spans="11:27">
      <c r="K305" s="51"/>
      <c r="P305" s="50"/>
      <c r="W305" s="53"/>
      <c r="X305" s="53"/>
      <c r="Y305" s="51"/>
      <c r="Z305" s="51"/>
      <c r="AA305" s="51"/>
    </row>
    <row r="306" spans="11:27">
      <c r="K306" s="51"/>
      <c r="P306" s="50"/>
      <c r="W306" s="53"/>
      <c r="X306" s="53"/>
      <c r="Y306" s="51"/>
      <c r="Z306" s="51"/>
      <c r="AA306" s="51"/>
    </row>
    <row r="307" spans="11:27">
      <c r="K307" s="51"/>
      <c r="P307" s="50"/>
      <c r="W307" s="53"/>
      <c r="X307" s="53"/>
      <c r="Y307" s="51"/>
      <c r="Z307" s="51"/>
      <c r="AA307" s="51"/>
    </row>
    <row r="308" spans="11:27">
      <c r="K308" s="51"/>
      <c r="P308" s="50"/>
      <c r="W308" s="53"/>
      <c r="X308" s="53"/>
      <c r="Y308" s="51"/>
      <c r="Z308" s="51"/>
      <c r="AA308" s="51"/>
    </row>
    <row r="309" spans="11:27">
      <c r="K309" s="51"/>
      <c r="P309" s="50"/>
      <c r="W309" s="53"/>
      <c r="X309" s="53"/>
      <c r="Y309" s="51"/>
      <c r="Z309" s="51"/>
      <c r="AA309" s="51"/>
    </row>
    <row r="310" spans="11:27">
      <c r="K310" s="51"/>
      <c r="P310" s="50"/>
      <c r="W310" s="53"/>
      <c r="X310" s="53"/>
      <c r="Y310" s="51"/>
      <c r="Z310" s="51"/>
      <c r="AA310" s="51"/>
    </row>
    <row r="311" spans="11:27">
      <c r="K311" s="51"/>
      <c r="P311" s="50"/>
      <c r="W311" s="53"/>
      <c r="X311" s="53"/>
      <c r="Y311" s="51"/>
      <c r="Z311" s="51"/>
      <c r="AA311" s="51"/>
    </row>
    <row r="312" spans="11:27">
      <c r="K312" s="51"/>
      <c r="P312" s="50"/>
      <c r="W312" s="53"/>
      <c r="X312" s="53"/>
      <c r="Y312" s="51"/>
      <c r="Z312" s="51"/>
      <c r="AA312" s="51"/>
    </row>
    <row r="313" spans="11:27">
      <c r="K313" s="51"/>
      <c r="P313" s="50"/>
      <c r="W313" s="53"/>
      <c r="X313" s="53"/>
      <c r="Y313" s="51"/>
      <c r="Z313" s="51"/>
      <c r="AA313" s="51"/>
    </row>
    <row r="314" spans="11:27">
      <c r="K314" s="51"/>
      <c r="P314" s="50"/>
      <c r="W314" s="53"/>
      <c r="X314" s="53"/>
      <c r="Y314" s="51"/>
      <c r="Z314" s="51"/>
      <c r="AA314" s="51"/>
    </row>
    <row r="315" spans="11:27">
      <c r="K315" s="51"/>
      <c r="P315" s="50"/>
      <c r="W315" s="53"/>
      <c r="X315" s="53"/>
      <c r="Y315" s="51"/>
      <c r="Z315" s="51"/>
      <c r="AA315" s="51"/>
    </row>
    <row r="316" spans="11:27">
      <c r="K316" s="51"/>
      <c r="P316" s="50"/>
      <c r="W316" s="53"/>
      <c r="X316" s="53"/>
      <c r="Y316" s="51"/>
      <c r="Z316" s="51"/>
      <c r="AA316" s="51"/>
    </row>
    <row r="317" spans="11:27">
      <c r="K317" s="51"/>
      <c r="P317" s="50"/>
      <c r="W317" s="53"/>
      <c r="X317" s="53"/>
      <c r="Y317" s="51"/>
      <c r="Z317" s="51"/>
      <c r="AA317" s="51"/>
    </row>
    <row r="318" spans="11:27">
      <c r="K318" s="51"/>
      <c r="P318" s="50"/>
      <c r="W318" s="53"/>
      <c r="X318" s="53"/>
      <c r="Y318" s="51"/>
      <c r="Z318" s="51"/>
      <c r="AA318" s="51"/>
    </row>
    <row r="319" spans="11:27">
      <c r="K319" s="51"/>
      <c r="P319" s="50"/>
      <c r="W319" s="53"/>
      <c r="X319" s="53"/>
      <c r="Y319" s="51"/>
      <c r="Z319" s="51"/>
      <c r="AA319" s="51"/>
    </row>
    <row r="320" spans="11:27">
      <c r="K320" s="51"/>
      <c r="P320" s="50"/>
      <c r="W320" s="53"/>
      <c r="X320" s="53"/>
      <c r="Y320" s="51"/>
      <c r="Z320" s="51"/>
      <c r="AA320" s="51"/>
    </row>
    <row r="321" spans="11:27">
      <c r="K321" s="51"/>
      <c r="P321" s="50"/>
      <c r="W321" s="53"/>
      <c r="X321" s="53"/>
      <c r="Y321" s="51"/>
      <c r="Z321" s="51"/>
      <c r="AA321" s="51"/>
    </row>
    <row r="322" spans="11:27">
      <c r="K322" s="51"/>
      <c r="P322" s="50"/>
      <c r="W322" s="53"/>
      <c r="X322" s="53"/>
      <c r="Y322" s="51"/>
      <c r="Z322" s="51"/>
      <c r="AA322" s="51"/>
    </row>
    <row r="323" spans="11:27">
      <c r="K323" s="51"/>
      <c r="P323" s="50"/>
      <c r="W323" s="53"/>
      <c r="X323" s="53"/>
      <c r="Y323" s="51"/>
      <c r="Z323" s="51"/>
      <c r="AA323" s="51"/>
    </row>
    <row r="324" spans="11:27">
      <c r="K324" s="51"/>
      <c r="P324" s="50"/>
      <c r="W324" s="53"/>
      <c r="X324" s="53"/>
      <c r="Y324" s="51"/>
      <c r="Z324" s="51"/>
      <c r="AA324" s="51"/>
    </row>
    <row r="325" spans="11:27">
      <c r="K325" s="51"/>
      <c r="P325" s="50"/>
      <c r="W325" s="53"/>
      <c r="X325" s="53"/>
      <c r="Y325" s="51"/>
      <c r="Z325" s="51"/>
      <c r="AA325" s="51"/>
    </row>
    <row r="326" spans="11:27">
      <c r="K326" s="51"/>
      <c r="P326" s="50"/>
      <c r="W326" s="53"/>
      <c r="X326" s="53"/>
      <c r="Y326" s="51"/>
      <c r="Z326" s="51"/>
      <c r="AA326" s="51"/>
    </row>
    <row r="327" spans="11:27">
      <c r="K327" s="51"/>
      <c r="P327" s="50"/>
      <c r="W327" s="53"/>
      <c r="X327" s="53"/>
      <c r="Y327" s="51"/>
      <c r="Z327" s="51"/>
      <c r="AA327" s="51"/>
    </row>
    <row r="328" spans="11:27">
      <c r="K328" s="51"/>
      <c r="P328" s="50"/>
      <c r="W328" s="53"/>
      <c r="X328" s="53"/>
      <c r="Y328" s="51"/>
      <c r="Z328" s="51"/>
      <c r="AA328" s="51"/>
    </row>
    <row r="329" spans="11:27">
      <c r="K329" s="51"/>
      <c r="P329" s="50"/>
      <c r="W329" s="53"/>
      <c r="X329" s="53"/>
      <c r="Y329" s="51"/>
      <c r="Z329" s="51"/>
      <c r="AA329" s="51"/>
    </row>
    <row r="330" spans="11:27">
      <c r="K330" s="51"/>
      <c r="P330" s="50"/>
      <c r="W330" s="53"/>
      <c r="X330" s="53"/>
      <c r="Y330" s="51"/>
      <c r="Z330" s="51"/>
      <c r="AA330" s="51"/>
    </row>
    <row r="331" spans="11:27">
      <c r="K331" s="51"/>
      <c r="P331" s="50"/>
      <c r="W331" s="53"/>
      <c r="X331" s="53"/>
      <c r="Y331" s="51"/>
      <c r="Z331" s="51"/>
      <c r="AA331" s="51"/>
    </row>
    <row r="332" spans="11:27">
      <c r="K332" s="51"/>
      <c r="P332" s="50"/>
      <c r="W332" s="53"/>
      <c r="X332" s="53"/>
      <c r="Y332" s="51"/>
      <c r="Z332" s="51"/>
      <c r="AA332" s="51"/>
    </row>
    <row r="333" spans="11:27">
      <c r="K333" s="51"/>
      <c r="P333" s="50"/>
      <c r="W333" s="53"/>
      <c r="X333" s="53"/>
      <c r="Y333" s="51"/>
      <c r="Z333" s="51"/>
      <c r="AA333" s="51"/>
    </row>
    <row r="334" spans="11:27">
      <c r="K334" s="51"/>
      <c r="P334" s="50"/>
      <c r="W334" s="53"/>
      <c r="X334" s="53"/>
      <c r="Y334" s="51"/>
      <c r="Z334" s="51"/>
      <c r="AA334" s="51"/>
    </row>
    <row r="335" spans="11:27">
      <c r="K335" s="51"/>
      <c r="P335" s="50"/>
      <c r="W335" s="53"/>
      <c r="X335" s="53"/>
      <c r="Y335" s="51"/>
      <c r="Z335" s="51"/>
      <c r="AA335" s="51"/>
    </row>
    <row r="336" spans="11:27">
      <c r="K336" s="51"/>
      <c r="P336" s="50"/>
      <c r="W336" s="53"/>
      <c r="X336" s="53"/>
      <c r="Y336" s="51"/>
      <c r="Z336" s="51"/>
      <c r="AA336" s="51"/>
    </row>
    <row r="337" spans="11:27">
      <c r="K337" s="51"/>
      <c r="P337" s="50"/>
      <c r="W337" s="53"/>
      <c r="X337" s="53"/>
      <c r="Y337" s="51"/>
      <c r="Z337" s="51"/>
      <c r="AA337" s="51"/>
    </row>
    <row r="338" spans="11:27">
      <c r="K338" s="51"/>
      <c r="P338" s="50"/>
      <c r="W338" s="53"/>
      <c r="X338" s="53"/>
      <c r="Y338" s="51"/>
      <c r="Z338" s="51"/>
      <c r="AA338" s="51"/>
    </row>
    <row r="339" spans="11:27">
      <c r="K339" s="51"/>
      <c r="P339" s="50"/>
      <c r="W339" s="53"/>
      <c r="X339" s="53"/>
      <c r="Y339" s="51"/>
      <c r="Z339" s="51"/>
      <c r="AA339" s="51"/>
    </row>
    <row r="340" spans="11:27">
      <c r="K340" s="51"/>
      <c r="P340" s="50"/>
      <c r="W340" s="53"/>
      <c r="X340" s="53"/>
      <c r="Y340" s="51"/>
      <c r="Z340" s="51"/>
      <c r="AA340" s="51"/>
    </row>
    <row r="341" spans="11:27">
      <c r="K341" s="51"/>
      <c r="P341" s="50"/>
      <c r="W341" s="53"/>
      <c r="X341" s="53"/>
      <c r="Y341" s="51"/>
      <c r="Z341" s="51"/>
      <c r="AA341" s="51"/>
    </row>
    <row r="342" spans="11:27">
      <c r="K342" s="51"/>
      <c r="P342" s="50"/>
      <c r="W342" s="53"/>
      <c r="X342" s="53"/>
      <c r="Y342" s="51"/>
      <c r="Z342" s="51"/>
      <c r="AA342" s="51"/>
    </row>
    <row r="343" spans="11:27">
      <c r="K343" s="51"/>
      <c r="P343" s="50"/>
      <c r="W343" s="53"/>
      <c r="X343" s="53"/>
      <c r="Y343" s="51"/>
      <c r="Z343" s="51"/>
      <c r="AA343" s="51"/>
    </row>
    <row r="344" spans="11:27">
      <c r="K344" s="51"/>
      <c r="P344" s="50"/>
      <c r="W344" s="53"/>
      <c r="X344" s="53"/>
      <c r="Y344" s="51"/>
      <c r="Z344" s="51"/>
      <c r="AA344" s="51"/>
    </row>
    <row r="345" spans="11:27">
      <c r="K345" s="51"/>
      <c r="P345" s="50"/>
      <c r="W345" s="53"/>
      <c r="X345" s="53"/>
      <c r="Y345" s="51"/>
      <c r="Z345" s="51"/>
      <c r="AA345" s="51"/>
    </row>
    <row r="346" spans="11:27">
      <c r="K346" s="51"/>
      <c r="P346" s="50"/>
      <c r="W346" s="53"/>
      <c r="X346" s="53"/>
      <c r="Y346" s="51"/>
      <c r="Z346" s="51"/>
      <c r="AA346" s="51"/>
    </row>
    <row r="347" spans="11:27">
      <c r="K347" s="51"/>
      <c r="P347" s="50"/>
      <c r="W347" s="53"/>
      <c r="X347" s="53"/>
      <c r="Y347" s="51"/>
      <c r="Z347" s="51"/>
      <c r="AA347" s="51"/>
    </row>
    <row r="348" spans="11:27">
      <c r="K348" s="51"/>
      <c r="P348" s="50"/>
      <c r="W348" s="53"/>
      <c r="X348" s="53"/>
      <c r="Y348" s="51"/>
      <c r="Z348" s="51"/>
      <c r="AA348" s="51"/>
    </row>
    <row r="349" spans="11:27">
      <c r="K349" s="51"/>
      <c r="P349" s="50"/>
      <c r="W349" s="53"/>
      <c r="X349" s="53"/>
      <c r="Y349" s="51"/>
      <c r="Z349" s="51"/>
      <c r="AA349" s="51"/>
    </row>
    <row r="350" spans="11:27">
      <c r="K350" s="51"/>
      <c r="P350" s="50"/>
      <c r="W350" s="53"/>
      <c r="X350" s="53"/>
      <c r="Y350" s="51"/>
      <c r="Z350" s="51"/>
      <c r="AA350" s="51"/>
    </row>
    <row r="351" spans="11:27">
      <c r="K351" s="51"/>
      <c r="P351" s="50"/>
      <c r="W351" s="53"/>
      <c r="X351" s="53"/>
      <c r="Y351" s="51"/>
      <c r="Z351" s="51"/>
      <c r="AA351" s="51"/>
    </row>
    <row r="352" spans="11:27">
      <c r="K352" s="51"/>
      <c r="P352" s="50"/>
      <c r="W352" s="53"/>
      <c r="X352" s="53"/>
      <c r="Y352" s="51"/>
      <c r="Z352" s="51"/>
      <c r="AA352" s="51"/>
    </row>
    <row r="353" spans="11:27">
      <c r="K353" s="51"/>
      <c r="P353" s="50"/>
      <c r="W353" s="53"/>
      <c r="X353" s="53"/>
      <c r="Y353" s="51"/>
      <c r="Z353" s="51"/>
      <c r="AA353" s="51"/>
    </row>
    <row r="354" spans="11:27">
      <c r="K354" s="51"/>
      <c r="P354" s="50"/>
      <c r="W354" s="53"/>
      <c r="X354" s="53"/>
      <c r="Y354" s="51"/>
      <c r="Z354" s="51"/>
      <c r="AA354" s="51"/>
    </row>
    <row r="355" spans="11:27">
      <c r="K355" s="51"/>
      <c r="P355" s="50"/>
      <c r="W355" s="53"/>
      <c r="X355" s="53"/>
      <c r="Y355" s="51"/>
      <c r="Z355" s="51"/>
      <c r="AA355" s="51"/>
    </row>
    <row r="356" spans="11:27">
      <c r="K356" s="51"/>
      <c r="P356" s="50"/>
      <c r="W356" s="53"/>
      <c r="X356" s="53"/>
      <c r="Y356" s="51"/>
      <c r="Z356" s="51"/>
      <c r="AA356" s="51"/>
    </row>
    <row r="357" spans="11:27">
      <c r="K357" s="51"/>
      <c r="P357" s="50"/>
      <c r="W357" s="53"/>
      <c r="X357" s="53"/>
      <c r="Y357" s="51"/>
      <c r="Z357" s="51"/>
      <c r="AA357" s="51"/>
    </row>
    <row r="358" spans="11:27">
      <c r="K358" s="51"/>
      <c r="P358" s="50"/>
      <c r="W358" s="53"/>
      <c r="X358" s="53"/>
      <c r="Y358" s="51"/>
      <c r="Z358" s="51"/>
      <c r="AA358" s="51"/>
    </row>
    <row r="359" spans="11:27">
      <c r="K359" s="51"/>
      <c r="P359" s="50"/>
      <c r="W359" s="53"/>
      <c r="X359" s="53"/>
      <c r="Y359" s="51"/>
      <c r="Z359" s="51"/>
      <c r="AA359" s="51"/>
    </row>
    <row r="360" spans="11:27">
      <c r="K360" s="51"/>
      <c r="P360" s="50"/>
      <c r="W360" s="53"/>
      <c r="X360" s="53"/>
      <c r="Y360" s="51"/>
      <c r="Z360" s="51"/>
      <c r="AA360" s="51"/>
    </row>
    <row r="361" spans="11:27">
      <c r="K361" s="51"/>
      <c r="P361" s="50"/>
      <c r="W361" s="53"/>
      <c r="X361" s="53"/>
      <c r="Y361" s="51"/>
      <c r="Z361" s="51"/>
      <c r="AA361" s="51"/>
    </row>
    <row r="362" spans="11:27">
      <c r="K362" s="51"/>
      <c r="P362" s="50"/>
      <c r="W362" s="53"/>
      <c r="X362" s="53"/>
      <c r="Y362" s="51"/>
      <c r="Z362" s="51"/>
      <c r="AA362" s="51"/>
    </row>
    <row r="363" spans="11:27">
      <c r="K363" s="51"/>
      <c r="P363" s="50"/>
      <c r="W363" s="53"/>
      <c r="X363" s="53"/>
      <c r="Y363" s="51"/>
      <c r="Z363" s="51"/>
      <c r="AA363" s="51"/>
    </row>
    <row r="364" spans="11:27">
      <c r="K364" s="51"/>
      <c r="P364" s="50"/>
      <c r="W364" s="53"/>
      <c r="X364" s="53"/>
      <c r="Y364" s="51"/>
      <c r="Z364" s="51"/>
      <c r="AA364" s="51"/>
    </row>
    <row r="365" spans="11:27">
      <c r="K365" s="51"/>
      <c r="P365" s="50"/>
      <c r="W365" s="53"/>
      <c r="X365" s="53"/>
      <c r="Y365" s="51"/>
      <c r="Z365" s="51"/>
      <c r="AA365" s="51"/>
    </row>
    <row r="366" spans="11:27">
      <c r="K366" s="51"/>
      <c r="P366" s="50"/>
      <c r="W366" s="53"/>
      <c r="X366" s="53"/>
      <c r="Y366" s="51"/>
      <c r="Z366" s="51"/>
      <c r="AA366" s="51"/>
    </row>
    <row r="367" spans="11:27">
      <c r="K367" s="51"/>
      <c r="P367" s="50"/>
      <c r="W367" s="53"/>
      <c r="X367" s="53"/>
      <c r="Y367" s="51"/>
      <c r="Z367" s="51"/>
      <c r="AA367" s="51"/>
    </row>
    <row r="368" spans="11:27">
      <c r="K368" s="51"/>
      <c r="P368" s="50"/>
      <c r="W368" s="53"/>
      <c r="X368" s="53"/>
      <c r="Y368" s="51"/>
      <c r="Z368" s="51"/>
      <c r="AA368" s="51"/>
    </row>
    <row r="369" spans="11:27">
      <c r="K369" s="51"/>
      <c r="P369" s="50"/>
      <c r="W369" s="53"/>
      <c r="X369" s="53"/>
      <c r="Y369" s="51"/>
      <c r="Z369" s="51"/>
      <c r="AA369" s="51"/>
    </row>
    <row r="370" spans="11:27">
      <c r="K370" s="51"/>
      <c r="P370" s="50"/>
      <c r="W370" s="53"/>
      <c r="X370" s="53"/>
      <c r="Y370" s="51"/>
      <c r="Z370" s="51"/>
      <c r="AA370" s="51"/>
    </row>
    <row r="371" spans="11:27">
      <c r="K371" s="51"/>
      <c r="P371" s="50"/>
      <c r="W371" s="53"/>
      <c r="X371" s="53"/>
      <c r="Y371" s="51"/>
      <c r="Z371" s="51"/>
      <c r="AA371" s="51"/>
    </row>
    <row r="372" spans="11:27">
      <c r="K372" s="51"/>
      <c r="P372" s="50"/>
      <c r="W372" s="53"/>
      <c r="X372" s="53"/>
      <c r="Y372" s="51"/>
      <c r="Z372" s="51"/>
      <c r="AA372" s="51"/>
    </row>
    <row r="373" spans="11:27">
      <c r="K373" s="51"/>
      <c r="P373" s="50"/>
      <c r="W373" s="53"/>
      <c r="X373" s="53"/>
      <c r="Y373" s="51"/>
      <c r="Z373" s="51"/>
      <c r="AA373" s="51"/>
    </row>
    <row r="374" spans="11:27">
      <c r="K374" s="51"/>
      <c r="P374" s="50"/>
      <c r="W374" s="53"/>
      <c r="X374" s="53"/>
      <c r="Y374" s="51"/>
      <c r="Z374" s="51"/>
      <c r="AA374" s="51"/>
    </row>
    <row r="375" spans="11:27">
      <c r="K375" s="51"/>
      <c r="P375" s="50"/>
      <c r="W375" s="53"/>
      <c r="X375" s="53"/>
      <c r="Y375" s="51"/>
      <c r="Z375" s="51"/>
      <c r="AA375" s="51"/>
    </row>
    <row r="376" spans="11:27">
      <c r="K376" s="51"/>
      <c r="P376" s="50"/>
      <c r="W376" s="53"/>
      <c r="X376" s="53"/>
      <c r="Y376" s="51"/>
      <c r="Z376" s="51"/>
      <c r="AA376" s="51"/>
    </row>
    <row r="377" spans="11:27">
      <c r="K377" s="51"/>
      <c r="P377" s="50"/>
      <c r="W377" s="53"/>
      <c r="X377" s="53"/>
      <c r="Y377" s="51"/>
      <c r="Z377" s="51"/>
      <c r="AA377" s="51"/>
    </row>
    <row r="378" spans="11:27">
      <c r="K378" s="51"/>
      <c r="P378" s="50"/>
      <c r="W378" s="53"/>
      <c r="X378" s="53"/>
      <c r="Y378" s="51"/>
      <c r="Z378" s="51"/>
      <c r="AA378" s="51"/>
    </row>
    <row r="379" spans="11:27">
      <c r="K379" s="51"/>
      <c r="P379" s="50"/>
      <c r="W379" s="53"/>
      <c r="X379" s="53"/>
      <c r="Y379" s="51"/>
      <c r="Z379" s="51"/>
      <c r="AA379" s="51"/>
    </row>
    <row r="380" spans="11:27">
      <c r="K380" s="51"/>
      <c r="P380" s="50"/>
      <c r="W380" s="53"/>
      <c r="X380" s="53"/>
      <c r="Y380" s="51"/>
      <c r="Z380" s="51"/>
      <c r="AA380" s="51"/>
    </row>
    <row r="381" spans="11:27">
      <c r="K381" s="51"/>
      <c r="P381" s="50"/>
      <c r="W381" s="53"/>
      <c r="X381" s="53"/>
      <c r="Y381" s="51"/>
      <c r="Z381" s="51"/>
      <c r="AA381" s="51"/>
    </row>
    <row r="382" spans="11:27">
      <c r="K382" s="51"/>
      <c r="P382" s="50"/>
      <c r="W382" s="53"/>
      <c r="X382" s="53"/>
      <c r="Y382" s="51"/>
      <c r="Z382" s="51"/>
      <c r="AA382" s="51"/>
    </row>
    <row r="383" spans="11:27">
      <c r="K383" s="51"/>
      <c r="P383" s="50"/>
      <c r="W383" s="53"/>
      <c r="X383" s="53"/>
      <c r="Y383" s="51"/>
      <c r="Z383" s="51"/>
      <c r="AA383" s="51"/>
    </row>
    <row r="384" spans="11:27">
      <c r="K384" s="51"/>
      <c r="P384" s="50"/>
      <c r="W384" s="53"/>
      <c r="X384" s="53"/>
      <c r="Y384" s="51"/>
      <c r="Z384" s="51"/>
      <c r="AA384" s="51"/>
    </row>
    <row r="385" spans="11:27">
      <c r="K385" s="51"/>
      <c r="P385" s="50"/>
      <c r="W385" s="53"/>
      <c r="X385" s="53"/>
      <c r="Y385" s="51"/>
      <c r="Z385" s="51"/>
      <c r="AA385" s="51"/>
    </row>
    <row r="386" spans="11:27">
      <c r="K386" s="51"/>
      <c r="P386" s="50"/>
      <c r="W386" s="53"/>
      <c r="X386" s="53"/>
      <c r="Y386" s="51"/>
      <c r="Z386" s="51"/>
      <c r="AA386" s="51"/>
    </row>
    <row r="387" spans="11:27">
      <c r="K387" s="51"/>
      <c r="P387" s="50"/>
      <c r="W387" s="53"/>
      <c r="X387" s="53"/>
      <c r="Y387" s="51"/>
      <c r="Z387" s="51"/>
      <c r="AA387" s="51"/>
    </row>
    <row r="388" spans="11:27">
      <c r="K388" s="51"/>
      <c r="P388" s="50"/>
      <c r="W388" s="53"/>
      <c r="X388" s="53"/>
      <c r="Y388" s="51"/>
      <c r="Z388" s="51"/>
      <c r="AA388" s="51"/>
    </row>
    <row r="389" spans="11:27">
      <c r="K389" s="51"/>
      <c r="P389" s="50"/>
      <c r="W389" s="53"/>
      <c r="X389" s="53"/>
      <c r="Y389" s="51"/>
      <c r="Z389" s="51"/>
      <c r="AA389" s="51"/>
    </row>
    <row r="390" spans="11:27">
      <c r="K390" s="51"/>
      <c r="P390" s="50"/>
      <c r="W390" s="53"/>
      <c r="X390" s="53"/>
      <c r="Y390" s="51"/>
      <c r="Z390" s="51"/>
      <c r="AA390" s="51"/>
    </row>
    <row r="391" spans="11:27">
      <c r="K391" s="51"/>
      <c r="P391" s="50"/>
      <c r="W391" s="53"/>
      <c r="X391" s="53"/>
      <c r="Y391" s="51"/>
      <c r="Z391" s="51"/>
      <c r="AA391" s="51"/>
    </row>
    <row r="392" spans="11:27">
      <c r="K392" s="51"/>
      <c r="P392" s="50"/>
      <c r="W392" s="53"/>
      <c r="X392" s="53"/>
      <c r="Y392" s="51"/>
      <c r="Z392" s="51"/>
      <c r="AA392" s="51"/>
    </row>
    <row r="393" spans="11:27">
      <c r="K393" s="51"/>
      <c r="P393" s="50"/>
      <c r="W393" s="53"/>
      <c r="X393" s="53"/>
      <c r="Y393" s="51"/>
      <c r="Z393" s="51"/>
      <c r="AA393" s="51"/>
    </row>
    <row r="394" spans="11:27">
      <c r="K394" s="51"/>
      <c r="P394" s="50"/>
      <c r="W394" s="53"/>
      <c r="X394" s="53"/>
      <c r="Y394" s="51"/>
      <c r="Z394" s="51"/>
      <c r="AA394" s="51"/>
    </row>
    <row r="395" spans="11:27">
      <c r="K395" s="51"/>
      <c r="P395" s="50"/>
      <c r="W395" s="53"/>
      <c r="X395" s="53"/>
      <c r="Y395" s="51"/>
      <c r="Z395" s="51"/>
      <c r="AA395" s="51"/>
    </row>
    <row r="396" spans="11:27">
      <c r="K396" s="51"/>
      <c r="P396" s="50"/>
      <c r="W396" s="53"/>
      <c r="X396" s="53"/>
      <c r="Y396" s="51"/>
      <c r="Z396" s="51"/>
      <c r="AA396" s="51"/>
    </row>
    <row r="397" spans="11:27">
      <c r="K397" s="51"/>
      <c r="P397" s="50"/>
      <c r="W397" s="53"/>
      <c r="X397" s="53"/>
      <c r="Y397" s="51"/>
      <c r="Z397" s="51"/>
      <c r="AA397" s="51"/>
    </row>
    <row r="398" spans="11:27">
      <c r="K398" s="51"/>
      <c r="P398" s="50"/>
      <c r="W398" s="53"/>
      <c r="X398" s="53"/>
      <c r="Y398" s="51"/>
      <c r="Z398" s="51"/>
      <c r="AA398" s="51"/>
    </row>
    <row r="399" spans="11:27">
      <c r="K399" s="51"/>
      <c r="P399" s="50"/>
      <c r="W399" s="53"/>
      <c r="X399" s="53"/>
      <c r="Y399" s="51"/>
      <c r="Z399" s="51"/>
      <c r="AA399" s="51"/>
    </row>
    <row r="400" spans="11:27">
      <c r="K400" s="51"/>
      <c r="P400" s="50"/>
      <c r="W400" s="53"/>
      <c r="X400" s="53"/>
      <c r="Y400" s="51"/>
      <c r="Z400" s="51"/>
      <c r="AA400" s="51"/>
    </row>
    <row r="401" spans="11:27">
      <c r="K401" s="51"/>
      <c r="P401" s="50"/>
      <c r="W401" s="53"/>
      <c r="X401" s="53"/>
      <c r="Y401" s="51"/>
      <c r="Z401" s="51"/>
      <c r="AA401" s="51"/>
    </row>
    <row r="402" spans="11:27">
      <c r="K402" s="51"/>
      <c r="P402" s="50"/>
      <c r="W402" s="53"/>
      <c r="X402" s="53"/>
      <c r="Y402" s="51"/>
      <c r="Z402" s="51"/>
      <c r="AA402" s="51"/>
    </row>
    <row r="403" spans="11:27">
      <c r="K403" s="51"/>
      <c r="P403" s="50"/>
      <c r="W403" s="53"/>
      <c r="X403" s="53"/>
      <c r="Y403" s="51"/>
      <c r="Z403" s="51"/>
      <c r="AA403" s="51"/>
    </row>
    <row r="404" spans="11:27">
      <c r="K404" s="51"/>
      <c r="P404" s="50"/>
      <c r="W404" s="53"/>
      <c r="X404" s="53"/>
      <c r="Y404" s="51"/>
      <c r="Z404" s="51"/>
      <c r="AA404" s="51"/>
    </row>
    <row r="405" spans="11:27">
      <c r="K405" s="51"/>
      <c r="P405" s="50"/>
      <c r="W405" s="53"/>
      <c r="X405" s="53"/>
      <c r="Y405" s="51"/>
      <c r="Z405" s="51"/>
      <c r="AA405" s="51"/>
    </row>
    <row r="406" spans="11:27">
      <c r="K406" s="51"/>
      <c r="P406" s="50"/>
      <c r="W406" s="53"/>
      <c r="X406" s="53"/>
      <c r="Y406" s="51"/>
      <c r="Z406" s="51"/>
      <c r="AA406" s="51"/>
    </row>
    <row r="407" spans="11:27">
      <c r="K407" s="51"/>
      <c r="P407" s="50"/>
      <c r="W407" s="53"/>
      <c r="X407" s="53"/>
      <c r="Y407" s="51"/>
      <c r="Z407" s="51"/>
      <c r="AA407" s="51"/>
    </row>
    <row r="408" spans="11:27">
      <c r="K408" s="51"/>
      <c r="P408" s="50"/>
      <c r="W408" s="53"/>
      <c r="X408" s="53"/>
      <c r="Y408" s="51"/>
      <c r="Z408" s="51"/>
      <c r="AA408" s="51"/>
    </row>
    <row r="409" spans="11:27">
      <c r="K409" s="51"/>
      <c r="P409" s="50"/>
      <c r="W409" s="53"/>
      <c r="X409" s="53"/>
      <c r="Y409" s="51"/>
      <c r="Z409" s="51"/>
      <c r="AA409" s="51"/>
    </row>
    <row r="410" spans="11:27">
      <c r="K410" s="51"/>
      <c r="P410" s="50"/>
      <c r="W410" s="53"/>
      <c r="X410" s="53"/>
      <c r="Y410" s="51"/>
      <c r="Z410" s="51"/>
      <c r="AA410" s="51"/>
    </row>
    <row r="411" spans="11:27">
      <c r="K411" s="51"/>
      <c r="P411" s="50"/>
      <c r="W411" s="53"/>
      <c r="X411" s="53"/>
      <c r="Y411" s="51"/>
      <c r="Z411" s="51"/>
      <c r="AA411" s="51"/>
    </row>
    <row r="412" spans="11:27">
      <c r="K412" s="51"/>
      <c r="P412" s="50"/>
      <c r="W412" s="53"/>
      <c r="X412" s="53"/>
      <c r="Y412" s="51"/>
      <c r="Z412" s="51"/>
      <c r="AA412" s="51"/>
    </row>
    <row r="413" spans="11:27">
      <c r="K413" s="51"/>
      <c r="P413" s="50"/>
      <c r="W413" s="53"/>
      <c r="X413" s="53"/>
      <c r="Y413" s="51"/>
      <c r="Z413" s="51"/>
      <c r="AA413" s="51"/>
    </row>
    <row r="414" spans="11:27">
      <c r="K414" s="51"/>
      <c r="P414" s="50"/>
      <c r="W414" s="53"/>
      <c r="X414" s="53"/>
      <c r="Y414" s="51"/>
      <c r="Z414" s="51"/>
      <c r="AA414" s="51"/>
    </row>
    <row r="415" spans="11:27">
      <c r="K415" s="51"/>
      <c r="P415" s="50"/>
      <c r="W415" s="53"/>
      <c r="X415" s="53"/>
      <c r="Y415" s="51"/>
      <c r="Z415" s="51"/>
      <c r="AA415" s="51"/>
    </row>
    <row r="416" spans="11:27">
      <c r="K416" s="51"/>
      <c r="P416" s="50"/>
      <c r="W416" s="53"/>
      <c r="X416" s="53"/>
      <c r="Y416" s="51"/>
      <c r="Z416" s="51"/>
      <c r="AA416" s="51"/>
    </row>
    <row r="417" spans="11:27">
      <c r="K417" s="51"/>
      <c r="P417" s="50"/>
      <c r="W417" s="53"/>
      <c r="X417" s="53"/>
      <c r="Y417" s="51"/>
      <c r="Z417" s="51"/>
      <c r="AA417" s="51"/>
    </row>
    <row r="418" spans="11:27">
      <c r="K418" s="51"/>
      <c r="P418" s="50"/>
      <c r="W418" s="53"/>
      <c r="X418" s="53"/>
      <c r="Y418" s="51"/>
      <c r="Z418" s="51"/>
      <c r="AA418" s="51"/>
    </row>
    <row r="419" spans="11:27">
      <c r="K419" s="51"/>
      <c r="P419" s="50"/>
      <c r="W419" s="53"/>
      <c r="X419" s="53"/>
      <c r="Y419" s="51"/>
      <c r="Z419" s="51"/>
      <c r="AA419" s="51"/>
    </row>
    <row r="420" spans="11:27">
      <c r="K420" s="51"/>
      <c r="P420" s="50"/>
      <c r="W420" s="53"/>
      <c r="X420" s="53"/>
      <c r="Y420" s="51"/>
      <c r="Z420" s="51"/>
      <c r="AA420" s="51"/>
    </row>
    <row r="421" spans="11:27">
      <c r="K421" s="51"/>
      <c r="P421" s="50"/>
      <c r="W421" s="53"/>
      <c r="X421" s="53"/>
      <c r="Y421" s="51"/>
      <c r="Z421" s="51"/>
      <c r="AA421" s="51"/>
    </row>
    <row r="422" spans="11:27">
      <c r="K422" s="51"/>
      <c r="P422" s="50"/>
      <c r="W422" s="53"/>
      <c r="X422" s="53"/>
      <c r="Y422" s="51"/>
      <c r="Z422" s="51"/>
      <c r="AA422" s="51"/>
    </row>
    <row r="423" spans="11:27">
      <c r="K423" s="51"/>
      <c r="P423" s="50"/>
      <c r="W423" s="53"/>
      <c r="X423" s="53"/>
      <c r="Y423" s="51"/>
      <c r="Z423" s="51"/>
      <c r="AA423" s="51"/>
    </row>
    <row r="424" spans="11:27">
      <c r="K424" s="51"/>
      <c r="P424" s="50"/>
      <c r="W424" s="53"/>
      <c r="X424" s="53"/>
      <c r="Y424" s="51"/>
      <c r="Z424" s="51"/>
      <c r="AA424" s="51"/>
    </row>
    <row r="425" spans="11:27">
      <c r="K425" s="51"/>
      <c r="P425" s="50"/>
      <c r="W425" s="53"/>
      <c r="X425" s="53"/>
      <c r="Y425" s="51"/>
      <c r="Z425" s="51"/>
      <c r="AA425" s="51"/>
    </row>
    <row r="426" spans="11:27">
      <c r="K426" s="51"/>
      <c r="P426" s="50"/>
      <c r="W426" s="53"/>
      <c r="X426" s="53"/>
      <c r="Y426" s="51"/>
      <c r="Z426" s="51"/>
      <c r="AA426" s="51"/>
    </row>
    <row r="427" spans="11:27">
      <c r="K427" s="51"/>
      <c r="P427" s="50"/>
      <c r="W427" s="53"/>
      <c r="X427" s="53"/>
      <c r="Y427" s="51"/>
      <c r="Z427" s="51"/>
      <c r="AA427" s="51"/>
    </row>
    <row r="428" spans="11:27">
      <c r="K428" s="51"/>
      <c r="P428" s="50"/>
      <c r="W428" s="53"/>
      <c r="X428" s="53"/>
      <c r="Y428" s="51"/>
      <c r="Z428" s="51"/>
      <c r="AA428" s="51"/>
    </row>
    <row r="429" spans="11:27">
      <c r="K429" s="51"/>
      <c r="P429" s="50"/>
      <c r="W429" s="53"/>
      <c r="X429" s="53"/>
      <c r="Y429" s="51"/>
      <c r="Z429" s="51"/>
      <c r="AA429" s="51"/>
    </row>
    <row r="430" spans="11:27">
      <c r="K430" s="51"/>
      <c r="P430" s="50"/>
      <c r="W430" s="53"/>
      <c r="X430" s="53"/>
      <c r="Y430" s="51"/>
      <c r="Z430" s="51"/>
      <c r="AA430" s="51"/>
    </row>
    <row r="431" spans="11:27">
      <c r="K431" s="51"/>
      <c r="P431" s="50"/>
      <c r="W431" s="53"/>
      <c r="X431" s="53"/>
      <c r="Y431" s="51"/>
      <c r="Z431" s="51"/>
      <c r="AA431" s="51"/>
    </row>
    <row r="432" spans="11:27">
      <c r="K432" s="51"/>
      <c r="P432" s="50"/>
      <c r="W432" s="53"/>
      <c r="X432" s="53"/>
      <c r="Y432" s="51"/>
      <c r="Z432" s="51"/>
      <c r="AA432" s="51"/>
    </row>
    <row r="433" spans="11:27">
      <c r="K433" s="51"/>
      <c r="P433" s="50"/>
      <c r="W433" s="53"/>
      <c r="X433" s="53"/>
      <c r="Y433" s="51"/>
      <c r="Z433" s="51"/>
      <c r="AA433" s="51"/>
    </row>
    <row r="434" spans="11:27">
      <c r="K434" s="51"/>
      <c r="P434" s="50"/>
      <c r="W434" s="53"/>
      <c r="X434" s="53"/>
      <c r="Y434" s="51"/>
      <c r="Z434" s="51"/>
      <c r="AA434" s="51"/>
    </row>
    <row r="435" spans="11:27">
      <c r="K435" s="51"/>
      <c r="P435" s="50"/>
      <c r="W435" s="53"/>
      <c r="X435" s="53"/>
      <c r="Y435" s="51"/>
      <c r="Z435" s="51"/>
      <c r="AA435" s="51"/>
    </row>
    <row r="436" spans="11:27">
      <c r="K436" s="51"/>
      <c r="P436" s="50"/>
      <c r="W436" s="53"/>
      <c r="X436" s="53"/>
      <c r="Y436" s="51"/>
      <c r="Z436" s="51"/>
      <c r="AA436" s="51"/>
    </row>
    <row r="437" spans="11:27">
      <c r="K437" s="51"/>
      <c r="P437" s="50"/>
      <c r="W437" s="53"/>
      <c r="X437" s="53"/>
      <c r="Y437" s="51"/>
      <c r="Z437" s="51"/>
      <c r="AA437" s="51"/>
    </row>
    <row r="438" spans="11:27">
      <c r="K438" s="51"/>
      <c r="P438" s="50"/>
      <c r="W438" s="53"/>
      <c r="X438" s="53"/>
      <c r="Y438" s="51"/>
      <c r="Z438" s="51"/>
      <c r="AA438" s="51"/>
    </row>
    <row r="439" spans="11:27">
      <c r="K439" s="51"/>
      <c r="P439" s="50"/>
      <c r="W439" s="53"/>
      <c r="X439" s="53"/>
      <c r="Y439" s="51"/>
      <c r="Z439" s="51"/>
      <c r="AA439" s="51"/>
    </row>
    <row r="440" spans="11:27">
      <c r="K440" s="51"/>
      <c r="P440" s="50"/>
      <c r="W440" s="53"/>
      <c r="X440" s="53"/>
      <c r="Y440" s="51"/>
      <c r="Z440" s="51"/>
      <c r="AA440" s="51"/>
    </row>
    <row r="441" spans="11:27">
      <c r="K441" s="51"/>
      <c r="P441" s="50"/>
      <c r="W441" s="53"/>
      <c r="X441" s="53"/>
      <c r="Y441" s="51"/>
      <c r="Z441" s="51"/>
      <c r="AA441" s="51"/>
    </row>
    <row r="442" spans="11:27">
      <c r="K442" s="51"/>
      <c r="P442" s="50"/>
      <c r="W442" s="53"/>
      <c r="X442" s="53"/>
      <c r="Y442" s="51"/>
      <c r="Z442" s="51"/>
      <c r="AA442" s="51"/>
    </row>
    <row r="443" spans="11:27">
      <c r="K443" s="51"/>
      <c r="P443" s="50"/>
      <c r="W443" s="53"/>
      <c r="X443" s="53"/>
      <c r="Y443" s="51"/>
      <c r="Z443" s="51"/>
      <c r="AA443" s="51"/>
    </row>
    <row r="444" spans="11:27">
      <c r="K444" s="51"/>
      <c r="P444" s="50"/>
      <c r="W444" s="53"/>
      <c r="X444" s="53"/>
      <c r="Y444" s="51"/>
      <c r="Z444" s="51"/>
      <c r="AA444" s="51"/>
    </row>
    <row r="445" spans="11:27">
      <c r="K445" s="51"/>
      <c r="P445" s="50"/>
      <c r="W445" s="53"/>
      <c r="X445" s="53"/>
      <c r="Y445" s="51"/>
      <c r="Z445" s="51"/>
      <c r="AA445" s="51"/>
    </row>
    <row r="446" spans="11:27">
      <c r="K446" s="51"/>
      <c r="P446" s="50"/>
      <c r="W446" s="53"/>
      <c r="X446" s="53"/>
      <c r="Y446" s="51"/>
      <c r="Z446" s="51"/>
      <c r="AA446" s="51"/>
    </row>
    <row r="447" spans="11:27">
      <c r="K447" s="51"/>
      <c r="P447" s="50"/>
      <c r="W447" s="53"/>
      <c r="X447" s="53"/>
      <c r="Y447" s="51"/>
      <c r="Z447" s="51"/>
      <c r="AA447" s="51"/>
    </row>
    <row r="448" spans="11:27">
      <c r="K448" s="51"/>
      <c r="P448" s="50"/>
      <c r="W448" s="53"/>
      <c r="X448" s="53"/>
      <c r="Y448" s="51"/>
      <c r="Z448" s="51"/>
      <c r="AA448" s="51"/>
    </row>
    <row r="449" spans="11:27">
      <c r="K449" s="51"/>
      <c r="P449" s="50"/>
      <c r="W449" s="53"/>
      <c r="X449" s="53"/>
      <c r="Y449" s="51"/>
      <c r="Z449" s="51"/>
      <c r="AA449" s="51"/>
    </row>
    <row r="450" spans="11:27">
      <c r="K450" s="51"/>
      <c r="P450" s="50"/>
      <c r="W450" s="53"/>
      <c r="X450" s="53"/>
      <c r="Y450" s="51"/>
      <c r="Z450" s="51"/>
      <c r="AA450" s="51"/>
    </row>
    <row r="451" spans="11:27">
      <c r="K451" s="51"/>
      <c r="P451" s="50"/>
      <c r="W451" s="53"/>
      <c r="X451" s="53"/>
      <c r="Y451" s="51"/>
      <c r="Z451" s="51"/>
      <c r="AA451" s="51"/>
    </row>
    <row r="452" spans="11:27">
      <c r="K452" s="51"/>
      <c r="P452" s="50"/>
      <c r="W452" s="53"/>
      <c r="X452" s="53"/>
      <c r="Y452" s="51"/>
      <c r="Z452" s="51"/>
      <c r="AA452" s="51"/>
    </row>
    <row r="453" spans="11:27">
      <c r="K453" s="51"/>
      <c r="P453" s="50"/>
      <c r="W453" s="53"/>
      <c r="X453" s="53"/>
      <c r="Y453" s="51"/>
      <c r="Z453" s="51"/>
      <c r="AA453" s="51"/>
    </row>
    <row r="454" spans="11:27">
      <c r="K454" s="51"/>
      <c r="P454" s="50"/>
      <c r="W454" s="53"/>
      <c r="X454" s="53"/>
      <c r="Y454" s="51"/>
      <c r="Z454" s="51"/>
      <c r="AA454" s="51"/>
    </row>
    <row r="455" spans="11:27">
      <c r="K455" s="51"/>
      <c r="P455" s="50"/>
      <c r="W455" s="53"/>
      <c r="X455" s="53"/>
      <c r="Y455" s="51"/>
      <c r="Z455" s="51"/>
      <c r="AA455" s="51"/>
    </row>
    <row r="456" spans="11:27">
      <c r="K456" s="51"/>
      <c r="P456" s="50"/>
      <c r="W456" s="53"/>
      <c r="X456" s="53"/>
      <c r="Y456" s="51"/>
      <c r="Z456" s="51"/>
      <c r="AA456" s="51"/>
    </row>
    <row r="457" spans="11:27">
      <c r="K457" s="51"/>
      <c r="P457" s="50"/>
      <c r="W457" s="53"/>
      <c r="X457" s="53"/>
      <c r="Y457" s="51"/>
      <c r="Z457" s="51"/>
      <c r="AA457" s="51"/>
    </row>
    <row r="458" spans="11:27">
      <c r="K458" s="51"/>
      <c r="P458" s="50"/>
      <c r="W458" s="53"/>
      <c r="X458" s="53"/>
      <c r="Y458" s="51"/>
      <c r="Z458" s="51"/>
      <c r="AA458" s="51"/>
    </row>
    <row r="459" spans="11:27">
      <c r="K459" s="51"/>
      <c r="P459" s="50"/>
      <c r="W459" s="53"/>
      <c r="X459" s="53"/>
      <c r="Y459" s="51"/>
      <c r="Z459" s="51"/>
      <c r="AA459" s="51"/>
    </row>
    <row r="460" spans="11:27">
      <c r="K460" s="51"/>
      <c r="P460" s="50"/>
      <c r="W460" s="53"/>
      <c r="X460" s="53"/>
      <c r="Y460" s="51"/>
      <c r="Z460" s="51"/>
      <c r="AA460" s="51"/>
    </row>
    <row r="461" spans="11:27">
      <c r="K461" s="51"/>
      <c r="P461" s="50"/>
      <c r="W461" s="53"/>
      <c r="X461" s="53"/>
      <c r="Y461" s="51"/>
      <c r="Z461" s="51"/>
      <c r="AA461" s="51"/>
    </row>
    <row r="462" spans="11:27">
      <c r="K462" s="51"/>
      <c r="P462" s="50"/>
      <c r="W462" s="53"/>
      <c r="X462" s="53"/>
      <c r="Y462" s="51"/>
      <c r="Z462" s="51"/>
      <c r="AA462" s="51"/>
    </row>
    <row r="463" spans="11:27">
      <c r="K463" s="51"/>
      <c r="P463" s="50"/>
      <c r="W463" s="53"/>
      <c r="X463" s="53"/>
      <c r="Y463" s="51"/>
      <c r="Z463" s="51"/>
      <c r="AA463" s="51"/>
    </row>
    <row r="464" spans="11:27">
      <c r="K464" s="51"/>
      <c r="P464" s="50"/>
      <c r="W464" s="53"/>
      <c r="X464" s="53"/>
      <c r="Y464" s="51"/>
      <c r="Z464" s="51"/>
      <c r="AA464" s="51"/>
    </row>
    <row r="465" spans="11:27">
      <c r="K465" s="51"/>
      <c r="P465" s="50"/>
      <c r="W465" s="53"/>
      <c r="X465" s="53"/>
      <c r="Y465" s="51"/>
      <c r="Z465" s="51"/>
      <c r="AA465" s="51"/>
    </row>
    <row r="466" spans="11:27">
      <c r="K466" s="51"/>
      <c r="P466" s="50"/>
      <c r="W466" s="53"/>
      <c r="X466" s="53"/>
      <c r="Y466" s="51"/>
      <c r="Z466" s="51"/>
      <c r="AA466" s="51"/>
    </row>
    <row r="467" spans="11:27">
      <c r="K467" s="51"/>
      <c r="P467" s="50"/>
      <c r="W467" s="53"/>
      <c r="X467" s="53"/>
      <c r="Y467" s="51"/>
      <c r="Z467" s="51"/>
      <c r="AA467" s="51"/>
    </row>
    <row r="468" spans="11:27">
      <c r="K468" s="51"/>
      <c r="P468" s="50"/>
      <c r="W468" s="53"/>
      <c r="X468" s="53"/>
      <c r="Y468" s="51"/>
      <c r="Z468" s="51"/>
      <c r="AA468" s="51"/>
    </row>
    <row r="469" spans="11:27">
      <c r="K469" s="51"/>
      <c r="P469" s="50"/>
      <c r="W469" s="53"/>
      <c r="X469" s="53"/>
      <c r="Y469" s="51"/>
      <c r="Z469" s="51"/>
      <c r="AA469" s="51"/>
    </row>
    <row r="470" spans="11:27">
      <c r="K470" s="51"/>
      <c r="P470" s="50"/>
      <c r="W470" s="53"/>
      <c r="X470" s="53"/>
      <c r="Y470" s="51"/>
      <c r="Z470" s="51"/>
      <c r="AA470" s="51"/>
    </row>
    <row r="471" spans="11:27">
      <c r="K471" s="51"/>
      <c r="P471" s="50"/>
      <c r="W471" s="53"/>
      <c r="X471" s="53"/>
      <c r="Y471" s="51"/>
      <c r="Z471" s="51"/>
      <c r="AA471" s="51"/>
    </row>
    <row r="472" spans="11:27">
      <c r="K472" s="51"/>
      <c r="P472" s="50"/>
      <c r="W472" s="53"/>
      <c r="X472" s="53"/>
      <c r="Y472" s="51"/>
      <c r="Z472" s="51"/>
      <c r="AA472" s="51"/>
    </row>
    <row r="473" spans="11:27">
      <c r="K473" s="51"/>
      <c r="P473" s="50"/>
      <c r="W473" s="53"/>
      <c r="X473" s="53"/>
      <c r="Y473" s="51"/>
      <c r="Z473" s="51"/>
      <c r="AA473" s="51"/>
    </row>
    <row r="474" spans="11:27">
      <c r="K474" s="51"/>
      <c r="P474" s="50"/>
      <c r="W474" s="53"/>
      <c r="X474" s="53"/>
      <c r="Y474" s="51"/>
      <c r="Z474" s="51"/>
      <c r="AA474" s="51"/>
    </row>
    <row r="475" spans="11:27">
      <c r="K475" s="51"/>
      <c r="P475" s="50"/>
      <c r="W475" s="53"/>
      <c r="X475" s="53"/>
      <c r="Y475" s="51"/>
      <c r="Z475" s="51"/>
      <c r="AA475" s="51"/>
    </row>
    <row r="476" spans="11:27">
      <c r="K476" s="51"/>
      <c r="P476" s="50"/>
      <c r="W476" s="53"/>
      <c r="X476" s="53"/>
      <c r="Y476" s="51"/>
      <c r="Z476" s="51"/>
      <c r="AA476" s="51"/>
    </row>
    <row r="477" spans="11:27">
      <c r="K477" s="51"/>
      <c r="P477" s="50"/>
      <c r="W477" s="53"/>
      <c r="X477" s="53"/>
      <c r="Y477" s="51"/>
      <c r="Z477" s="51"/>
      <c r="AA477" s="51"/>
    </row>
    <row r="478" spans="11:27">
      <c r="K478" s="51"/>
      <c r="P478" s="50"/>
      <c r="W478" s="53"/>
      <c r="X478" s="53"/>
      <c r="Y478" s="51"/>
      <c r="Z478" s="51"/>
      <c r="AA478" s="51"/>
    </row>
    <row r="479" spans="11:27">
      <c r="K479" s="51"/>
      <c r="P479" s="50"/>
      <c r="W479" s="53"/>
      <c r="X479" s="53"/>
      <c r="Y479" s="51"/>
      <c r="Z479" s="51"/>
      <c r="AA479" s="51"/>
    </row>
    <row r="480" spans="11:27">
      <c r="K480" s="51"/>
      <c r="P480" s="50"/>
      <c r="W480" s="53"/>
      <c r="X480" s="53"/>
      <c r="Y480" s="51"/>
      <c r="Z480" s="51"/>
      <c r="AA480" s="51"/>
    </row>
    <row r="481" spans="11:27">
      <c r="K481" s="51"/>
      <c r="P481" s="50"/>
      <c r="W481" s="53"/>
      <c r="X481" s="53"/>
      <c r="Y481" s="51"/>
      <c r="Z481" s="51"/>
      <c r="AA481" s="51"/>
    </row>
    <row r="482" spans="11:27">
      <c r="K482" s="51"/>
      <c r="P482" s="50"/>
      <c r="W482" s="53"/>
      <c r="X482" s="53"/>
      <c r="Y482" s="51"/>
      <c r="Z482" s="51"/>
      <c r="AA482" s="51"/>
    </row>
    <row r="483" spans="11:27">
      <c r="K483" s="51"/>
      <c r="P483" s="50"/>
      <c r="W483" s="53"/>
      <c r="X483" s="53"/>
      <c r="Y483" s="51"/>
      <c r="Z483" s="51"/>
      <c r="AA483" s="51"/>
    </row>
    <row r="484" spans="11:27">
      <c r="K484" s="51"/>
      <c r="P484" s="50"/>
      <c r="W484" s="53"/>
      <c r="X484" s="53"/>
      <c r="Y484" s="51"/>
      <c r="Z484" s="51"/>
      <c r="AA484" s="51"/>
    </row>
    <row r="485" spans="11:27">
      <c r="K485" s="51"/>
      <c r="P485" s="50"/>
      <c r="W485" s="53"/>
      <c r="X485" s="53"/>
      <c r="Y485" s="51"/>
      <c r="Z485" s="51"/>
      <c r="AA485" s="51"/>
    </row>
    <row r="486" spans="11:27">
      <c r="K486" s="51"/>
      <c r="P486" s="50"/>
      <c r="W486" s="53"/>
      <c r="X486" s="53"/>
      <c r="Y486" s="51"/>
      <c r="Z486" s="51"/>
      <c r="AA486" s="51"/>
    </row>
    <row r="487" spans="11:27">
      <c r="K487" s="51"/>
      <c r="P487" s="50"/>
      <c r="W487" s="53"/>
      <c r="X487" s="53"/>
      <c r="Y487" s="51"/>
      <c r="Z487" s="51"/>
      <c r="AA487" s="51"/>
    </row>
    <row r="488" spans="11:27">
      <c r="K488" s="51"/>
      <c r="P488" s="50"/>
      <c r="W488" s="53"/>
      <c r="X488" s="53"/>
      <c r="Y488" s="51"/>
      <c r="Z488" s="51"/>
      <c r="AA488" s="51"/>
    </row>
    <row r="489" spans="11:27">
      <c r="K489" s="51"/>
      <c r="P489" s="50"/>
      <c r="W489" s="53"/>
      <c r="X489" s="53"/>
      <c r="Y489" s="51"/>
      <c r="Z489" s="51"/>
      <c r="AA489" s="51"/>
    </row>
    <row r="490" spans="11:27">
      <c r="K490" s="51"/>
      <c r="P490" s="50"/>
      <c r="W490" s="53"/>
      <c r="X490" s="53"/>
      <c r="Y490" s="51"/>
      <c r="Z490" s="51"/>
      <c r="AA490" s="51"/>
    </row>
    <row r="491" spans="11:27">
      <c r="K491" s="51"/>
      <c r="P491" s="50"/>
      <c r="W491" s="53"/>
      <c r="X491" s="53"/>
      <c r="Y491" s="51"/>
      <c r="Z491" s="51"/>
      <c r="AA491" s="51"/>
    </row>
    <row r="492" spans="11:27">
      <c r="K492" s="51"/>
      <c r="P492" s="50"/>
      <c r="W492" s="53"/>
      <c r="X492" s="53"/>
      <c r="Y492" s="51"/>
      <c r="Z492" s="51"/>
      <c r="AA492" s="51"/>
    </row>
    <row r="493" spans="11:27">
      <c r="K493" s="51"/>
      <c r="P493" s="50"/>
      <c r="W493" s="53"/>
      <c r="X493" s="53"/>
      <c r="Y493" s="51"/>
      <c r="Z493" s="51"/>
      <c r="AA493" s="51"/>
    </row>
    <row r="494" spans="11:27">
      <c r="K494" s="51"/>
      <c r="P494" s="50"/>
      <c r="W494" s="53"/>
      <c r="X494" s="53"/>
      <c r="Y494" s="51"/>
      <c r="Z494" s="51"/>
      <c r="AA494" s="51"/>
    </row>
    <row r="495" spans="11:27">
      <c r="K495" s="51"/>
      <c r="P495" s="50"/>
      <c r="W495" s="53"/>
      <c r="X495" s="53"/>
      <c r="Y495" s="51"/>
      <c r="Z495" s="51"/>
      <c r="AA495" s="51"/>
    </row>
    <row r="496" spans="11:27">
      <c r="K496" s="51"/>
      <c r="P496" s="50"/>
      <c r="W496" s="53"/>
      <c r="X496" s="53"/>
      <c r="Y496" s="51"/>
      <c r="Z496" s="51"/>
      <c r="AA496" s="51"/>
    </row>
    <row r="497" spans="11:27">
      <c r="K497" s="51"/>
      <c r="P497" s="50"/>
      <c r="W497" s="53"/>
      <c r="X497" s="53"/>
      <c r="Y497" s="51"/>
      <c r="Z497" s="51"/>
      <c r="AA497" s="51"/>
    </row>
    <row r="498" spans="11:27">
      <c r="K498" s="51"/>
      <c r="P498" s="50"/>
      <c r="W498" s="53"/>
      <c r="X498" s="53"/>
      <c r="Y498" s="51"/>
      <c r="Z498" s="51"/>
      <c r="AA498" s="51"/>
    </row>
    <row r="499" spans="11:27">
      <c r="K499" s="51"/>
      <c r="P499" s="50"/>
      <c r="W499" s="53"/>
      <c r="X499" s="53"/>
      <c r="Y499" s="51"/>
      <c r="Z499" s="51"/>
      <c r="AA499" s="51"/>
    </row>
    <row r="500" spans="11:27">
      <c r="K500" s="51"/>
      <c r="P500" s="50"/>
      <c r="W500" s="53"/>
      <c r="X500" s="53"/>
      <c r="Y500" s="51"/>
      <c r="Z500" s="51"/>
      <c r="AA500" s="51"/>
    </row>
    <row r="501" spans="11:27">
      <c r="K501" s="51"/>
      <c r="P501" s="50"/>
      <c r="W501" s="53"/>
      <c r="X501" s="53"/>
      <c r="Y501" s="51"/>
      <c r="Z501" s="51"/>
      <c r="AA501" s="51"/>
    </row>
    <row r="502" spans="11:27">
      <c r="K502" s="51"/>
      <c r="P502" s="50"/>
      <c r="W502" s="53"/>
      <c r="X502" s="53"/>
      <c r="Y502" s="51"/>
      <c r="Z502" s="51"/>
      <c r="AA502" s="51"/>
    </row>
    <row r="503" spans="11:27">
      <c r="K503" s="51"/>
      <c r="P503" s="50"/>
      <c r="W503" s="53"/>
      <c r="X503" s="53"/>
      <c r="Y503" s="51"/>
      <c r="Z503" s="51"/>
      <c r="AA503" s="51"/>
    </row>
    <row r="504" spans="11:27">
      <c r="K504" s="51"/>
      <c r="P504" s="50"/>
      <c r="W504" s="53"/>
      <c r="X504" s="53"/>
      <c r="Y504" s="51"/>
      <c r="Z504" s="51"/>
      <c r="AA504" s="51"/>
    </row>
    <row r="505" spans="11:27">
      <c r="K505" s="51"/>
      <c r="P505" s="50"/>
      <c r="W505" s="53"/>
      <c r="X505" s="53"/>
      <c r="Y505" s="51"/>
      <c r="Z505" s="51"/>
      <c r="AA505" s="51"/>
    </row>
    <row r="506" spans="11:27">
      <c r="K506" s="51"/>
      <c r="P506" s="50"/>
      <c r="W506" s="53"/>
      <c r="X506" s="53"/>
      <c r="Y506" s="51"/>
      <c r="Z506" s="51"/>
      <c r="AA506" s="51"/>
    </row>
    <row r="507" spans="11:27">
      <c r="K507" s="51"/>
      <c r="P507" s="50"/>
      <c r="W507" s="53"/>
      <c r="X507" s="53"/>
      <c r="Y507" s="51"/>
      <c r="Z507" s="51"/>
      <c r="AA507" s="51"/>
    </row>
    <row r="508" spans="11:27">
      <c r="K508" s="51"/>
      <c r="P508" s="50"/>
      <c r="W508" s="53"/>
      <c r="X508" s="53"/>
      <c r="Y508" s="51"/>
      <c r="Z508" s="51"/>
      <c r="AA508" s="51"/>
    </row>
    <row r="509" spans="11:27">
      <c r="K509" s="51"/>
      <c r="P509" s="50"/>
      <c r="W509" s="53"/>
      <c r="X509" s="53"/>
      <c r="Y509" s="51"/>
      <c r="Z509" s="51"/>
      <c r="AA509" s="51"/>
    </row>
    <row r="510" spans="11:27">
      <c r="K510" s="51"/>
      <c r="P510" s="50"/>
      <c r="W510" s="53"/>
      <c r="X510" s="53"/>
      <c r="Y510" s="51"/>
      <c r="Z510" s="51"/>
      <c r="AA510" s="51"/>
    </row>
    <row r="511" spans="11:27">
      <c r="K511" s="51"/>
      <c r="P511" s="50"/>
      <c r="W511" s="53"/>
      <c r="X511" s="53"/>
      <c r="Y511" s="51"/>
      <c r="Z511" s="51"/>
      <c r="AA511" s="51"/>
    </row>
    <row r="512" spans="11:27">
      <c r="K512" s="51"/>
      <c r="P512" s="50"/>
      <c r="W512" s="53"/>
      <c r="X512" s="53"/>
      <c r="Y512" s="51"/>
      <c r="Z512" s="51"/>
      <c r="AA512" s="51"/>
    </row>
    <row r="513" spans="11:27">
      <c r="K513" s="51"/>
      <c r="P513" s="50"/>
      <c r="W513" s="53"/>
      <c r="X513" s="53"/>
      <c r="Y513" s="51"/>
      <c r="Z513" s="51"/>
      <c r="AA513" s="51"/>
    </row>
    <row r="514" spans="11:27">
      <c r="K514" s="51"/>
      <c r="P514" s="50"/>
      <c r="W514" s="53"/>
      <c r="X514" s="53"/>
      <c r="Y514" s="51"/>
      <c r="Z514" s="51"/>
      <c r="AA514" s="51"/>
    </row>
    <row r="515" spans="11:27">
      <c r="K515" s="51"/>
      <c r="P515" s="50"/>
      <c r="W515" s="53"/>
      <c r="X515" s="53"/>
      <c r="Y515" s="51"/>
      <c r="Z515" s="51"/>
      <c r="AA515" s="51"/>
    </row>
    <row r="516" spans="11:27">
      <c r="K516" s="51"/>
      <c r="P516" s="50"/>
      <c r="W516" s="53"/>
      <c r="X516" s="53"/>
      <c r="Y516" s="51"/>
      <c r="Z516" s="51"/>
      <c r="AA516" s="51"/>
    </row>
    <row r="517" spans="11:27">
      <c r="K517" s="51"/>
      <c r="P517" s="50"/>
      <c r="W517" s="53"/>
      <c r="X517" s="53"/>
      <c r="Y517" s="51"/>
      <c r="Z517" s="51"/>
      <c r="AA517" s="51"/>
    </row>
    <row r="518" spans="11:27">
      <c r="K518" s="51"/>
      <c r="P518" s="50"/>
      <c r="W518" s="53"/>
      <c r="X518" s="53"/>
      <c r="Y518" s="51"/>
      <c r="Z518" s="51"/>
      <c r="AA518" s="51"/>
    </row>
    <row r="519" spans="11:27">
      <c r="K519" s="51"/>
      <c r="P519" s="50"/>
      <c r="W519" s="53"/>
      <c r="X519" s="53"/>
      <c r="Y519" s="51"/>
      <c r="Z519" s="51"/>
      <c r="AA519" s="51"/>
    </row>
    <row r="520" spans="11:27">
      <c r="K520" s="51"/>
      <c r="P520" s="50"/>
      <c r="W520" s="53"/>
      <c r="X520" s="53"/>
      <c r="Y520" s="51"/>
      <c r="Z520" s="51"/>
      <c r="AA520" s="51"/>
    </row>
    <row r="521" spans="11:27">
      <c r="K521" s="51"/>
      <c r="P521" s="50"/>
      <c r="W521" s="53"/>
      <c r="X521" s="53"/>
      <c r="Y521" s="51"/>
      <c r="Z521" s="51"/>
      <c r="AA521" s="51"/>
    </row>
    <row r="522" spans="11:27">
      <c r="K522" s="51"/>
      <c r="P522" s="50"/>
      <c r="W522" s="53"/>
      <c r="X522" s="53"/>
      <c r="Y522" s="51"/>
      <c r="Z522" s="51"/>
      <c r="AA522" s="51"/>
    </row>
    <row r="523" spans="11:27">
      <c r="K523" s="51"/>
      <c r="P523" s="50"/>
      <c r="W523" s="53"/>
      <c r="X523" s="53"/>
      <c r="Y523" s="51"/>
      <c r="Z523" s="51"/>
      <c r="AA523" s="51"/>
    </row>
    <row r="524" spans="11:27">
      <c r="K524" s="51"/>
      <c r="P524" s="50"/>
      <c r="W524" s="53"/>
      <c r="X524" s="53"/>
      <c r="Y524" s="51"/>
      <c r="Z524" s="51"/>
      <c r="AA524" s="51"/>
    </row>
    <row r="525" spans="11:27">
      <c r="K525" s="51"/>
      <c r="P525" s="50"/>
      <c r="W525" s="53"/>
      <c r="X525" s="53"/>
      <c r="Y525" s="51"/>
      <c r="Z525" s="51"/>
      <c r="AA525" s="51"/>
    </row>
    <row r="526" spans="11:27">
      <c r="K526" s="51"/>
      <c r="P526" s="50"/>
      <c r="W526" s="53"/>
      <c r="X526" s="53"/>
      <c r="Y526" s="51"/>
      <c r="Z526" s="51"/>
      <c r="AA526" s="51"/>
    </row>
    <row r="527" spans="11:27">
      <c r="K527" s="51"/>
      <c r="P527" s="50"/>
      <c r="W527" s="53"/>
      <c r="X527" s="53"/>
      <c r="Y527" s="51"/>
      <c r="Z527" s="51"/>
      <c r="AA527" s="51"/>
    </row>
    <row r="528" spans="11:27">
      <c r="K528" s="51"/>
      <c r="P528" s="50"/>
      <c r="W528" s="53"/>
      <c r="X528" s="53"/>
      <c r="Y528" s="51"/>
      <c r="Z528" s="51"/>
      <c r="AA528" s="51"/>
    </row>
    <row r="529" spans="11:27">
      <c r="K529" s="51"/>
      <c r="P529" s="50"/>
      <c r="W529" s="53"/>
      <c r="X529" s="53"/>
      <c r="Y529" s="51"/>
      <c r="Z529" s="51"/>
      <c r="AA529" s="51"/>
    </row>
    <row r="530" spans="11:27">
      <c r="K530" s="51"/>
      <c r="P530" s="50"/>
      <c r="W530" s="53"/>
      <c r="X530" s="53"/>
      <c r="Y530" s="51"/>
      <c r="Z530" s="51"/>
      <c r="AA530" s="51"/>
    </row>
    <row r="531" spans="11:27">
      <c r="K531" s="51"/>
      <c r="P531" s="50"/>
      <c r="W531" s="53"/>
      <c r="X531" s="53"/>
      <c r="Y531" s="51"/>
      <c r="Z531" s="51"/>
      <c r="AA531" s="51"/>
    </row>
    <row r="532" spans="11:27">
      <c r="K532" s="51"/>
      <c r="P532" s="50"/>
      <c r="W532" s="53"/>
      <c r="X532" s="53"/>
      <c r="Y532" s="51"/>
      <c r="Z532" s="51"/>
      <c r="AA532" s="51"/>
    </row>
    <row r="533" spans="11:27">
      <c r="K533" s="51"/>
      <c r="P533" s="50"/>
      <c r="W533" s="53"/>
      <c r="X533" s="53"/>
      <c r="Y533" s="51"/>
      <c r="Z533" s="51"/>
      <c r="AA533" s="51"/>
    </row>
    <row r="534" spans="11:27">
      <c r="K534" s="51"/>
      <c r="P534" s="50"/>
      <c r="W534" s="53"/>
      <c r="X534" s="53"/>
      <c r="Y534" s="51"/>
      <c r="Z534" s="51"/>
      <c r="AA534" s="51"/>
    </row>
    <row r="535" spans="11:27">
      <c r="K535" s="51"/>
      <c r="P535" s="50"/>
      <c r="W535" s="53"/>
      <c r="X535" s="53"/>
      <c r="Y535" s="51"/>
      <c r="Z535" s="51"/>
      <c r="AA535" s="51"/>
    </row>
    <row r="536" spans="11:27">
      <c r="K536" s="51"/>
      <c r="P536" s="50"/>
      <c r="W536" s="53"/>
      <c r="X536" s="53"/>
      <c r="Y536" s="51"/>
      <c r="Z536" s="51"/>
      <c r="AA536" s="51"/>
    </row>
    <row r="537" spans="11:27">
      <c r="K537" s="51"/>
      <c r="P537" s="50"/>
      <c r="W537" s="53"/>
      <c r="X537" s="53"/>
      <c r="Y537" s="51"/>
      <c r="Z537" s="51"/>
      <c r="AA537" s="51"/>
    </row>
    <row r="538" spans="11:27">
      <c r="K538" s="51"/>
      <c r="P538" s="50"/>
      <c r="W538" s="53"/>
      <c r="X538" s="53"/>
      <c r="Y538" s="51"/>
      <c r="Z538" s="51"/>
      <c r="AA538" s="51"/>
    </row>
    <row r="539" spans="11:27">
      <c r="K539" s="51"/>
      <c r="P539" s="50"/>
      <c r="W539" s="53"/>
      <c r="X539" s="53"/>
      <c r="Y539" s="51"/>
      <c r="Z539" s="51"/>
      <c r="AA539" s="51"/>
    </row>
    <row r="540" spans="11:27">
      <c r="K540" s="51"/>
      <c r="P540" s="50"/>
      <c r="W540" s="53"/>
      <c r="X540" s="53"/>
      <c r="Y540" s="51"/>
      <c r="Z540" s="51"/>
      <c r="AA540" s="51"/>
    </row>
    <row r="541" spans="11:27">
      <c r="K541" s="51"/>
      <c r="P541" s="50"/>
      <c r="W541" s="53"/>
      <c r="X541" s="53"/>
      <c r="Y541" s="51"/>
      <c r="Z541" s="51"/>
      <c r="AA541" s="51"/>
    </row>
    <row r="542" spans="11:27">
      <c r="K542" s="51"/>
      <c r="P542" s="50"/>
      <c r="W542" s="53"/>
      <c r="X542" s="53"/>
      <c r="Y542" s="51"/>
      <c r="Z542" s="51"/>
      <c r="AA542" s="51"/>
    </row>
    <row r="543" spans="11:27">
      <c r="K543" s="51"/>
      <c r="P543" s="50"/>
      <c r="W543" s="53"/>
      <c r="X543" s="53"/>
      <c r="Y543" s="51"/>
      <c r="Z543" s="51"/>
      <c r="AA543" s="51"/>
    </row>
    <row r="544" spans="11:27">
      <c r="K544" s="51"/>
      <c r="P544" s="50"/>
      <c r="W544" s="53"/>
      <c r="X544" s="53"/>
      <c r="Y544" s="51"/>
      <c r="Z544" s="51"/>
      <c r="AA544" s="51"/>
    </row>
    <row r="545" spans="11:27">
      <c r="K545" s="51"/>
      <c r="P545" s="50"/>
      <c r="W545" s="53"/>
      <c r="X545" s="53"/>
      <c r="Y545" s="51"/>
      <c r="Z545" s="51"/>
      <c r="AA545" s="51"/>
    </row>
    <row r="546" spans="11:27">
      <c r="K546" s="51"/>
      <c r="P546" s="50"/>
      <c r="W546" s="53"/>
      <c r="X546" s="53"/>
      <c r="Y546" s="51"/>
      <c r="Z546" s="51"/>
      <c r="AA546" s="51"/>
    </row>
    <row r="547" spans="11:27">
      <c r="K547" s="51"/>
      <c r="P547" s="50"/>
      <c r="W547" s="53"/>
      <c r="X547" s="53"/>
      <c r="Y547" s="51"/>
      <c r="Z547" s="51"/>
      <c r="AA547" s="51"/>
    </row>
    <row r="548" spans="11:27">
      <c r="K548" s="51"/>
      <c r="P548" s="50"/>
      <c r="W548" s="53"/>
      <c r="X548" s="53"/>
      <c r="Y548" s="51"/>
      <c r="Z548" s="51"/>
      <c r="AA548" s="51"/>
    </row>
    <row r="549" spans="11:27">
      <c r="K549" s="51"/>
      <c r="P549" s="50"/>
      <c r="W549" s="53"/>
      <c r="X549" s="53"/>
      <c r="Y549" s="51"/>
      <c r="Z549" s="51"/>
      <c r="AA549" s="51"/>
    </row>
    <row r="550" spans="11:27">
      <c r="K550" s="51"/>
      <c r="P550" s="50"/>
      <c r="W550" s="53"/>
      <c r="X550" s="53"/>
      <c r="Y550" s="51"/>
      <c r="Z550" s="51"/>
      <c r="AA550" s="51"/>
    </row>
    <row r="551" spans="11:27">
      <c r="K551" s="51"/>
      <c r="P551" s="50"/>
      <c r="W551" s="53"/>
      <c r="X551" s="53"/>
      <c r="Y551" s="51"/>
      <c r="Z551" s="51"/>
      <c r="AA551" s="51"/>
    </row>
    <row r="552" spans="11:27">
      <c r="K552" s="51"/>
      <c r="P552" s="50"/>
      <c r="W552" s="53"/>
      <c r="X552" s="53"/>
      <c r="Y552" s="51"/>
      <c r="Z552" s="51"/>
      <c r="AA552" s="51"/>
    </row>
    <row r="553" spans="11:27">
      <c r="K553" s="51"/>
      <c r="P553" s="50"/>
      <c r="W553" s="53"/>
      <c r="X553" s="53"/>
      <c r="Y553" s="51"/>
      <c r="Z553" s="51"/>
      <c r="AA553" s="51"/>
    </row>
    <row r="554" spans="11:27">
      <c r="K554" s="51"/>
      <c r="P554" s="50"/>
      <c r="W554" s="53"/>
      <c r="X554" s="53"/>
      <c r="Y554" s="51"/>
      <c r="Z554" s="51"/>
      <c r="AA554" s="51"/>
    </row>
    <row r="555" spans="11:27">
      <c r="K555" s="51"/>
      <c r="P555" s="50"/>
      <c r="W555" s="53"/>
      <c r="X555" s="53"/>
      <c r="Y555" s="51"/>
      <c r="Z555" s="51"/>
      <c r="AA555" s="51"/>
    </row>
    <row r="556" spans="11:27">
      <c r="K556" s="51"/>
      <c r="P556" s="50"/>
      <c r="W556" s="53"/>
      <c r="X556" s="53"/>
      <c r="Y556" s="51"/>
      <c r="Z556" s="51"/>
      <c r="AA556" s="51"/>
    </row>
    <row r="557" spans="11:27">
      <c r="K557" s="51"/>
      <c r="P557" s="50"/>
      <c r="W557" s="53"/>
      <c r="X557" s="53"/>
      <c r="Y557" s="51"/>
      <c r="Z557" s="51"/>
      <c r="AA557" s="51"/>
    </row>
    <row r="558" spans="11:27">
      <c r="K558" s="51"/>
      <c r="P558" s="50"/>
      <c r="W558" s="53"/>
      <c r="X558" s="53"/>
      <c r="Y558" s="51"/>
      <c r="Z558" s="51"/>
      <c r="AA558" s="51"/>
    </row>
    <row r="559" spans="11:27">
      <c r="K559" s="51"/>
      <c r="P559" s="50"/>
      <c r="W559" s="53"/>
      <c r="X559" s="53"/>
      <c r="Y559" s="51"/>
      <c r="Z559" s="51"/>
      <c r="AA559" s="51"/>
    </row>
    <row r="560" spans="11:27">
      <c r="K560" s="51"/>
      <c r="P560" s="50"/>
      <c r="W560" s="53"/>
      <c r="X560" s="53"/>
      <c r="Y560" s="51"/>
      <c r="Z560" s="51"/>
      <c r="AA560" s="51"/>
    </row>
    <row r="561" spans="11:27">
      <c r="K561" s="51"/>
      <c r="P561" s="50"/>
      <c r="W561" s="53"/>
      <c r="X561" s="53"/>
      <c r="Y561" s="51"/>
      <c r="Z561" s="51"/>
      <c r="AA561" s="51"/>
    </row>
    <row r="562" spans="11:27">
      <c r="K562" s="51"/>
      <c r="P562" s="50"/>
      <c r="W562" s="53"/>
      <c r="X562" s="53"/>
      <c r="Y562" s="51"/>
      <c r="Z562" s="51"/>
      <c r="AA562" s="51"/>
    </row>
    <row r="563" spans="11:27">
      <c r="K563" s="51"/>
      <c r="P563" s="50"/>
      <c r="W563" s="53"/>
      <c r="X563" s="53"/>
      <c r="Y563" s="51"/>
      <c r="Z563" s="51"/>
      <c r="AA563" s="51"/>
    </row>
    <row r="564" spans="11:27">
      <c r="K564" s="51"/>
      <c r="P564" s="50"/>
      <c r="W564" s="53"/>
      <c r="X564" s="53"/>
      <c r="Y564" s="51"/>
      <c r="Z564" s="51"/>
      <c r="AA564" s="51"/>
    </row>
    <row r="565" spans="11:27">
      <c r="K565" s="51"/>
      <c r="P565" s="50"/>
      <c r="W565" s="53"/>
      <c r="X565" s="53"/>
      <c r="Y565" s="51"/>
      <c r="Z565" s="51"/>
      <c r="AA565" s="51"/>
    </row>
    <row r="566" spans="11:27">
      <c r="K566" s="51"/>
      <c r="P566" s="50"/>
      <c r="W566" s="53"/>
      <c r="X566" s="53"/>
      <c r="Y566" s="51"/>
      <c r="Z566" s="51"/>
      <c r="AA566" s="51"/>
    </row>
    <row r="567" spans="11:27">
      <c r="K567" s="51"/>
      <c r="P567" s="50"/>
      <c r="W567" s="53"/>
      <c r="X567" s="53"/>
      <c r="Y567" s="51"/>
      <c r="Z567" s="51"/>
      <c r="AA567" s="51"/>
    </row>
    <row r="568" spans="11:27">
      <c r="K568" s="51"/>
      <c r="P568" s="50"/>
      <c r="W568" s="53"/>
      <c r="X568" s="53"/>
      <c r="Y568" s="51"/>
      <c r="Z568" s="51"/>
      <c r="AA568" s="51"/>
    </row>
    <row r="569" spans="11:27">
      <c r="K569" s="51"/>
      <c r="P569" s="50"/>
      <c r="W569" s="53"/>
      <c r="X569" s="53"/>
      <c r="Y569" s="51"/>
      <c r="Z569" s="51"/>
      <c r="AA569" s="51"/>
    </row>
    <row r="570" spans="11:27">
      <c r="K570" s="51"/>
      <c r="P570" s="50"/>
      <c r="W570" s="53"/>
      <c r="X570" s="53"/>
      <c r="Y570" s="51"/>
      <c r="Z570" s="51"/>
      <c r="AA570" s="51"/>
    </row>
    <row r="571" spans="11:27">
      <c r="K571" s="51"/>
      <c r="P571" s="50"/>
      <c r="W571" s="53"/>
      <c r="X571" s="53"/>
      <c r="Y571" s="51"/>
      <c r="Z571" s="51"/>
      <c r="AA571" s="51"/>
    </row>
    <row r="572" spans="11:27">
      <c r="K572" s="51"/>
      <c r="P572" s="50"/>
      <c r="W572" s="53"/>
      <c r="X572" s="53"/>
      <c r="Y572" s="51"/>
      <c r="Z572" s="51"/>
      <c r="AA572" s="51"/>
    </row>
    <row r="573" spans="11:27">
      <c r="K573" s="51"/>
      <c r="P573" s="50"/>
      <c r="W573" s="53"/>
      <c r="X573" s="53"/>
      <c r="Y573" s="51"/>
      <c r="Z573" s="51"/>
      <c r="AA573" s="51"/>
    </row>
    <row r="574" spans="11:27">
      <c r="K574" s="51"/>
      <c r="P574" s="50"/>
      <c r="W574" s="53"/>
      <c r="X574" s="53"/>
      <c r="Y574" s="51"/>
      <c r="Z574" s="51"/>
      <c r="AA574" s="51"/>
    </row>
    <row r="575" spans="11:27">
      <c r="K575" s="51"/>
      <c r="P575" s="50"/>
      <c r="W575" s="53"/>
      <c r="X575" s="53"/>
      <c r="Y575" s="51"/>
      <c r="Z575" s="51"/>
      <c r="AA575" s="51"/>
    </row>
    <row r="576" spans="11:27">
      <c r="K576" s="51"/>
      <c r="P576" s="50"/>
      <c r="W576" s="53"/>
      <c r="X576" s="53"/>
      <c r="Y576" s="51"/>
      <c r="Z576" s="51"/>
      <c r="AA576" s="51"/>
    </row>
    <row r="577" spans="11:27">
      <c r="K577" s="51"/>
      <c r="P577" s="50"/>
      <c r="W577" s="53"/>
      <c r="X577" s="53"/>
      <c r="Y577" s="51"/>
      <c r="Z577" s="51"/>
      <c r="AA577" s="51"/>
    </row>
    <row r="578" spans="11:27">
      <c r="K578" s="51"/>
      <c r="P578" s="50"/>
      <c r="W578" s="53"/>
      <c r="X578" s="53"/>
      <c r="Y578" s="51"/>
      <c r="Z578" s="51"/>
      <c r="AA578" s="51"/>
    </row>
    <row r="579" spans="11:27">
      <c r="K579" s="51"/>
      <c r="P579" s="50"/>
      <c r="W579" s="53"/>
      <c r="X579" s="53"/>
      <c r="Y579" s="51"/>
      <c r="Z579" s="51"/>
      <c r="AA579" s="51"/>
    </row>
    <row r="580" spans="11:27">
      <c r="K580" s="51"/>
      <c r="P580" s="50"/>
      <c r="W580" s="53"/>
      <c r="X580" s="53"/>
      <c r="Y580" s="51"/>
      <c r="Z580" s="51"/>
      <c r="AA580" s="51"/>
    </row>
    <row r="581" spans="11:27">
      <c r="K581" s="51"/>
      <c r="P581" s="50"/>
      <c r="W581" s="53"/>
      <c r="X581" s="53"/>
      <c r="Y581" s="51"/>
      <c r="Z581" s="51"/>
      <c r="AA581" s="51"/>
    </row>
    <row r="582" spans="11:27">
      <c r="K582" s="51"/>
      <c r="P582" s="50"/>
      <c r="W582" s="53"/>
      <c r="X582" s="53"/>
      <c r="Y582" s="51"/>
      <c r="Z582" s="51"/>
      <c r="AA582" s="51"/>
    </row>
    <row r="583" spans="11:27">
      <c r="K583" s="51"/>
      <c r="P583" s="50"/>
      <c r="W583" s="53"/>
      <c r="X583" s="53"/>
      <c r="Y583" s="51"/>
      <c r="Z583" s="51"/>
      <c r="AA583" s="51"/>
    </row>
    <row r="584" spans="11:27">
      <c r="K584" s="51"/>
      <c r="P584" s="50"/>
      <c r="W584" s="53"/>
      <c r="X584" s="53"/>
      <c r="Y584" s="51"/>
      <c r="Z584" s="51"/>
      <c r="AA584" s="51"/>
    </row>
    <row r="585" spans="11:27">
      <c r="K585" s="51"/>
      <c r="P585" s="50"/>
      <c r="W585" s="53"/>
      <c r="X585" s="53"/>
      <c r="Y585" s="51"/>
      <c r="Z585" s="51"/>
      <c r="AA585" s="51"/>
    </row>
    <row r="586" spans="11:27">
      <c r="K586" s="51"/>
      <c r="P586" s="50"/>
      <c r="W586" s="53"/>
      <c r="X586" s="53"/>
      <c r="Y586" s="51"/>
      <c r="Z586" s="51"/>
      <c r="AA586" s="51"/>
    </row>
    <row r="587" spans="11:27">
      <c r="K587" s="51"/>
      <c r="P587" s="50"/>
      <c r="W587" s="53"/>
      <c r="X587" s="53"/>
      <c r="Y587" s="51"/>
      <c r="Z587" s="51"/>
      <c r="AA587" s="51"/>
    </row>
    <row r="588" spans="11:27">
      <c r="K588" s="51"/>
      <c r="P588" s="50"/>
      <c r="W588" s="53"/>
      <c r="X588" s="53"/>
      <c r="Y588" s="51"/>
      <c r="Z588" s="51"/>
      <c r="AA588" s="51"/>
    </row>
    <row r="589" spans="11:27">
      <c r="K589" s="51"/>
      <c r="P589" s="50"/>
      <c r="W589" s="53"/>
      <c r="X589" s="53"/>
      <c r="Y589" s="51"/>
      <c r="Z589" s="51"/>
      <c r="AA589" s="51"/>
    </row>
    <row r="590" spans="11:27">
      <c r="K590" s="51"/>
      <c r="P590" s="50"/>
      <c r="W590" s="53"/>
      <c r="X590" s="53"/>
      <c r="Y590" s="51"/>
      <c r="Z590" s="51"/>
      <c r="AA590" s="51"/>
    </row>
    <row r="591" spans="11:27">
      <c r="K591" s="51"/>
      <c r="P591" s="50"/>
      <c r="W591" s="53"/>
      <c r="X591" s="53"/>
      <c r="Y591" s="51"/>
      <c r="Z591" s="51"/>
      <c r="AA591" s="51"/>
    </row>
    <row r="592" spans="11:27">
      <c r="K592" s="51"/>
      <c r="P592" s="50"/>
      <c r="W592" s="53"/>
      <c r="X592" s="53"/>
      <c r="Y592" s="51"/>
      <c r="Z592" s="51"/>
      <c r="AA592" s="51"/>
    </row>
    <row r="593" spans="11:27">
      <c r="K593" s="51"/>
      <c r="P593" s="50"/>
      <c r="W593" s="53"/>
      <c r="X593" s="53"/>
      <c r="Y593" s="51"/>
      <c r="Z593" s="51"/>
      <c r="AA593" s="51"/>
    </row>
    <row r="594" spans="11:27">
      <c r="K594" s="51"/>
      <c r="P594" s="50"/>
      <c r="W594" s="53"/>
      <c r="X594" s="53"/>
      <c r="Y594" s="51"/>
      <c r="Z594" s="51"/>
      <c r="AA594" s="51"/>
    </row>
    <row r="595" spans="11:27">
      <c r="K595" s="51"/>
      <c r="P595" s="50"/>
      <c r="W595" s="53"/>
      <c r="X595" s="53"/>
      <c r="Y595" s="51"/>
      <c r="Z595" s="51"/>
      <c r="AA595" s="51"/>
    </row>
    <row r="596" spans="11:27">
      <c r="K596" s="51"/>
      <c r="P596" s="50"/>
      <c r="W596" s="53"/>
      <c r="X596" s="53"/>
      <c r="Y596" s="51"/>
      <c r="Z596" s="51"/>
      <c r="AA596" s="51"/>
    </row>
    <row r="597" spans="11:27">
      <c r="K597" s="51"/>
      <c r="P597" s="50"/>
      <c r="W597" s="53"/>
      <c r="X597" s="53"/>
      <c r="Y597" s="51"/>
      <c r="Z597" s="51"/>
      <c r="AA597" s="51"/>
    </row>
    <row r="598" spans="11:27">
      <c r="K598" s="51"/>
      <c r="P598" s="50"/>
      <c r="W598" s="53"/>
      <c r="X598" s="53"/>
      <c r="Y598" s="51"/>
      <c r="Z598" s="51"/>
      <c r="AA598" s="51"/>
    </row>
    <row r="599" spans="11:27">
      <c r="K599" s="51"/>
      <c r="P599" s="50"/>
      <c r="W599" s="53"/>
      <c r="X599" s="53"/>
      <c r="Y599" s="51"/>
      <c r="Z599" s="51"/>
      <c r="AA599" s="51"/>
    </row>
    <row r="600" spans="11:27">
      <c r="K600" s="51"/>
      <c r="P600" s="50"/>
      <c r="W600" s="53"/>
      <c r="X600" s="53"/>
      <c r="Y600" s="51"/>
      <c r="Z600" s="51"/>
      <c r="AA600" s="51"/>
    </row>
    <row r="601" spans="11:27">
      <c r="K601" s="51"/>
      <c r="P601" s="50"/>
      <c r="W601" s="53"/>
      <c r="X601" s="53"/>
      <c r="Y601" s="51"/>
      <c r="Z601" s="51"/>
      <c r="AA601" s="51"/>
    </row>
    <row r="602" spans="11:27">
      <c r="K602" s="51"/>
      <c r="P602" s="50"/>
      <c r="W602" s="53"/>
      <c r="X602" s="53"/>
      <c r="Y602" s="51"/>
      <c r="Z602" s="51"/>
      <c r="AA602" s="51"/>
    </row>
    <row r="603" spans="11:27">
      <c r="K603" s="51"/>
      <c r="P603" s="50"/>
      <c r="W603" s="53"/>
      <c r="X603" s="53"/>
      <c r="Y603" s="51"/>
      <c r="Z603" s="51"/>
      <c r="AA603" s="51"/>
    </row>
    <row r="604" spans="11:27">
      <c r="K604" s="51"/>
      <c r="P604" s="50"/>
      <c r="W604" s="53"/>
      <c r="X604" s="53"/>
      <c r="Y604" s="51"/>
      <c r="Z604" s="51"/>
      <c r="AA604" s="51"/>
    </row>
    <row r="605" spans="11:27">
      <c r="K605" s="51"/>
      <c r="P605" s="50"/>
      <c r="W605" s="53"/>
      <c r="X605" s="53"/>
      <c r="Y605" s="51"/>
      <c r="Z605" s="51"/>
      <c r="AA605" s="51"/>
    </row>
    <row r="606" spans="11:27">
      <c r="K606" s="51"/>
      <c r="P606" s="50"/>
      <c r="W606" s="53"/>
      <c r="X606" s="53"/>
      <c r="Y606" s="51"/>
      <c r="Z606" s="51"/>
      <c r="AA606" s="51"/>
    </row>
    <row r="607" spans="11:27">
      <c r="K607" s="51"/>
      <c r="P607" s="50"/>
      <c r="W607" s="53"/>
      <c r="X607" s="53"/>
      <c r="Y607" s="51"/>
      <c r="Z607" s="51"/>
      <c r="AA607" s="51"/>
    </row>
    <row r="608" spans="11:27">
      <c r="K608" s="51"/>
      <c r="P608" s="50"/>
      <c r="W608" s="53"/>
      <c r="X608" s="53"/>
      <c r="Y608" s="51"/>
      <c r="Z608" s="51"/>
      <c r="AA608" s="51"/>
    </row>
    <row r="609" spans="11:27">
      <c r="K609" s="51"/>
      <c r="P609" s="50"/>
      <c r="W609" s="53"/>
      <c r="X609" s="53"/>
      <c r="Y609" s="51"/>
      <c r="Z609" s="51"/>
      <c r="AA609" s="51"/>
    </row>
    <row r="610" spans="11:27">
      <c r="K610" s="51"/>
      <c r="P610" s="50"/>
      <c r="W610" s="53"/>
      <c r="X610" s="53"/>
      <c r="Y610" s="51"/>
      <c r="Z610" s="51"/>
      <c r="AA610" s="51"/>
    </row>
    <row r="611" spans="11:27">
      <c r="K611" s="51"/>
      <c r="P611" s="50"/>
      <c r="W611" s="53"/>
      <c r="X611" s="53"/>
      <c r="Y611" s="51"/>
      <c r="Z611" s="51"/>
      <c r="AA611" s="51"/>
    </row>
    <row r="612" spans="11:27">
      <c r="K612" s="51"/>
      <c r="P612" s="50"/>
      <c r="W612" s="53"/>
      <c r="X612" s="53"/>
      <c r="Y612" s="51"/>
      <c r="Z612" s="51"/>
      <c r="AA612" s="51"/>
    </row>
    <row r="613" spans="11:27">
      <c r="K613" s="51"/>
      <c r="P613" s="50"/>
      <c r="W613" s="53"/>
      <c r="X613" s="53"/>
      <c r="Y613" s="51"/>
      <c r="Z613" s="51"/>
      <c r="AA613" s="51"/>
    </row>
    <row r="614" spans="11:27">
      <c r="K614" s="51"/>
      <c r="P614" s="50"/>
      <c r="W614" s="53"/>
      <c r="X614" s="53"/>
      <c r="Y614" s="51"/>
      <c r="Z614" s="51"/>
      <c r="AA614" s="51"/>
    </row>
    <row r="615" spans="11:27">
      <c r="K615" s="51"/>
      <c r="P615" s="50"/>
      <c r="W615" s="53"/>
      <c r="X615" s="53"/>
      <c r="Y615" s="51"/>
      <c r="Z615" s="51"/>
      <c r="AA615" s="51"/>
    </row>
    <row r="616" spans="11:27">
      <c r="K616" s="51"/>
      <c r="P616" s="50"/>
      <c r="W616" s="53"/>
      <c r="X616" s="53"/>
      <c r="Y616" s="51"/>
      <c r="Z616" s="51"/>
      <c r="AA616" s="51"/>
    </row>
    <row r="617" spans="11:27">
      <c r="K617" s="51"/>
      <c r="P617" s="50"/>
      <c r="W617" s="53"/>
      <c r="X617" s="53"/>
      <c r="Y617" s="51"/>
      <c r="Z617" s="51"/>
      <c r="AA617" s="51"/>
    </row>
    <row r="618" spans="11:27">
      <c r="K618" s="51"/>
      <c r="P618" s="50"/>
      <c r="W618" s="53"/>
      <c r="X618" s="53"/>
      <c r="Y618" s="51"/>
      <c r="Z618" s="51"/>
      <c r="AA618" s="51"/>
    </row>
    <row r="619" spans="11:27">
      <c r="K619" s="51"/>
      <c r="P619" s="50"/>
      <c r="W619" s="53"/>
      <c r="X619" s="53"/>
      <c r="Y619" s="51"/>
      <c r="Z619" s="51"/>
      <c r="AA619" s="51"/>
    </row>
    <row r="620" spans="11:27">
      <c r="K620" s="51"/>
      <c r="P620" s="50"/>
      <c r="W620" s="53"/>
      <c r="X620" s="53"/>
      <c r="Y620" s="51"/>
      <c r="Z620" s="51"/>
      <c r="AA620" s="51"/>
    </row>
    <row r="621" spans="11:27">
      <c r="K621" s="51"/>
      <c r="P621" s="50"/>
      <c r="W621" s="53"/>
      <c r="X621" s="53"/>
      <c r="Y621" s="51"/>
      <c r="Z621" s="51"/>
      <c r="AA621" s="51"/>
    </row>
    <row r="622" spans="11:27">
      <c r="K622" s="51"/>
      <c r="P622" s="50"/>
      <c r="W622" s="53"/>
      <c r="X622" s="53"/>
      <c r="Y622" s="51"/>
      <c r="Z622" s="51"/>
      <c r="AA622" s="51"/>
    </row>
    <row r="623" spans="11:27">
      <c r="K623" s="51"/>
      <c r="P623" s="50"/>
      <c r="W623" s="53"/>
      <c r="X623" s="53"/>
      <c r="Y623" s="51"/>
      <c r="Z623" s="51"/>
      <c r="AA623" s="51"/>
    </row>
    <row r="624" spans="11:27">
      <c r="K624" s="51"/>
      <c r="P624" s="50"/>
      <c r="W624" s="53"/>
      <c r="X624" s="53"/>
      <c r="Y624" s="51"/>
      <c r="Z624" s="51"/>
      <c r="AA624" s="51"/>
    </row>
    <row r="625" spans="11:27">
      <c r="K625" s="51"/>
      <c r="P625" s="50"/>
      <c r="W625" s="53"/>
      <c r="X625" s="53"/>
      <c r="Y625" s="51"/>
      <c r="Z625" s="51"/>
      <c r="AA625" s="51"/>
    </row>
    <row r="626" spans="11:27">
      <c r="K626" s="51"/>
      <c r="P626" s="50"/>
      <c r="W626" s="53"/>
      <c r="X626" s="53"/>
      <c r="Y626" s="51"/>
      <c r="Z626" s="51"/>
      <c r="AA626" s="51"/>
    </row>
    <row r="627" spans="11:27">
      <c r="K627" s="51"/>
      <c r="P627" s="50"/>
      <c r="W627" s="53"/>
      <c r="X627" s="53"/>
      <c r="Y627" s="51"/>
      <c r="Z627" s="51"/>
      <c r="AA627" s="51"/>
    </row>
    <row r="628" spans="11:27">
      <c r="K628" s="51"/>
      <c r="P628" s="50"/>
      <c r="W628" s="53"/>
      <c r="X628" s="53"/>
      <c r="Y628" s="51"/>
      <c r="Z628" s="51"/>
      <c r="AA628" s="51"/>
    </row>
    <row r="629" spans="11:27">
      <c r="K629" s="51"/>
      <c r="P629" s="50"/>
      <c r="W629" s="53"/>
      <c r="X629" s="53"/>
      <c r="Y629" s="51"/>
      <c r="Z629" s="51"/>
      <c r="AA629" s="51"/>
    </row>
    <row r="630" spans="11:27">
      <c r="K630" s="51"/>
      <c r="P630" s="50"/>
      <c r="W630" s="53"/>
      <c r="X630" s="53"/>
      <c r="Y630" s="51"/>
      <c r="Z630" s="51"/>
      <c r="AA630" s="51"/>
    </row>
    <row r="631" spans="11:27">
      <c r="K631" s="51"/>
      <c r="P631" s="50"/>
      <c r="W631" s="53"/>
      <c r="X631" s="53"/>
      <c r="Y631" s="51"/>
      <c r="Z631" s="51"/>
      <c r="AA631" s="51"/>
    </row>
    <row r="632" spans="11:27">
      <c r="K632" s="51"/>
      <c r="P632" s="50"/>
      <c r="W632" s="53"/>
      <c r="X632" s="53"/>
      <c r="Y632" s="51"/>
      <c r="Z632" s="51"/>
      <c r="AA632" s="51"/>
    </row>
    <row r="633" spans="11:27">
      <c r="K633" s="51"/>
      <c r="P633" s="50"/>
      <c r="W633" s="53"/>
      <c r="X633" s="53"/>
      <c r="Y633" s="51"/>
      <c r="Z633" s="51"/>
      <c r="AA633" s="51"/>
    </row>
    <row r="634" spans="11:27">
      <c r="K634" s="51"/>
      <c r="P634" s="50"/>
      <c r="W634" s="53"/>
      <c r="X634" s="53"/>
      <c r="Y634" s="51"/>
      <c r="Z634" s="51"/>
      <c r="AA634" s="51"/>
    </row>
    <row r="635" spans="11:27">
      <c r="K635" s="51"/>
      <c r="P635" s="50"/>
      <c r="W635" s="53"/>
      <c r="X635" s="53"/>
      <c r="Y635" s="51"/>
      <c r="Z635" s="51"/>
      <c r="AA635" s="51"/>
    </row>
    <row r="636" spans="11:27">
      <c r="K636" s="51"/>
      <c r="P636" s="50"/>
      <c r="W636" s="53"/>
      <c r="X636" s="53"/>
      <c r="Y636" s="51"/>
      <c r="Z636" s="51"/>
      <c r="AA636" s="51"/>
    </row>
    <row r="637" spans="11:27">
      <c r="K637" s="51"/>
      <c r="P637" s="50"/>
      <c r="W637" s="53"/>
      <c r="X637" s="53"/>
      <c r="Y637" s="51"/>
      <c r="Z637" s="51"/>
      <c r="AA637" s="51"/>
    </row>
    <row r="638" spans="11:27">
      <c r="K638" s="51"/>
      <c r="P638" s="50"/>
      <c r="W638" s="53"/>
      <c r="X638" s="53"/>
      <c r="Y638" s="51"/>
      <c r="Z638" s="51"/>
      <c r="AA638" s="51"/>
    </row>
    <row r="639" spans="11:27">
      <c r="K639" s="51"/>
      <c r="P639" s="50"/>
      <c r="W639" s="53"/>
      <c r="X639" s="53"/>
      <c r="Y639" s="51"/>
      <c r="Z639" s="51"/>
      <c r="AA639" s="51"/>
    </row>
    <row r="640" spans="11:27">
      <c r="K640" s="51"/>
      <c r="P640" s="50"/>
      <c r="W640" s="53"/>
      <c r="X640" s="53"/>
      <c r="Y640" s="51"/>
      <c r="Z640" s="51"/>
      <c r="AA640" s="51"/>
    </row>
    <row r="641" spans="11:27">
      <c r="K641" s="51"/>
      <c r="P641" s="50"/>
      <c r="W641" s="53"/>
      <c r="X641" s="53"/>
      <c r="Y641" s="51"/>
      <c r="Z641" s="51"/>
      <c r="AA641" s="51"/>
    </row>
    <row r="642" spans="11:27">
      <c r="K642" s="51"/>
      <c r="P642" s="50"/>
      <c r="W642" s="53"/>
      <c r="X642" s="53"/>
      <c r="Y642" s="51"/>
      <c r="Z642" s="51"/>
      <c r="AA642" s="51"/>
    </row>
    <row r="643" spans="11:27">
      <c r="K643" s="51"/>
      <c r="P643" s="50"/>
      <c r="W643" s="53"/>
      <c r="X643" s="53"/>
      <c r="Y643" s="51"/>
      <c r="Z643" s="51"/>
      <c r="AA643" s="51"/>
    </row>
    <row r="644" spans="11:27">
      <c r="K644" s="51"/>
      <c r="P644" s="50"/>
      <c r="W644" s="53"/>
      <c r="X644" s="53"/>
      <c r="Y644" s="51"/>
      <c r="Z644" s="51"/>
      <c r="AA644" s="51"/>
    </row>
    <row r="645" spans="11:27">
      <c r="K645" s="51"/>
      <c r="P645" s="50"/>
      <c r="W645" s="53"/>
      <c r="X645" s="53"/>
      <c r="Y645" s="51"/>
      <c r="Z645" s="51"/>
      <c r="AA645" s="51"/>
    </row>
    <row r="646" spans="11:27">
      <c r="K646" s="51"/>
      <c r="P646" s="50"/>
      <c r="W646" s="53"/>
      <c r="X646" s="53"/>
      <c r="Y646" s="51"/>
      <c r="Z646" s="51"/>
      <c r="AA646" s="51"/>
    </row>
    <row r="647" spans="11:27">
      <c r="K647" s="51"/>
      <c r="P647" s="50"/>
      <c r="W647" s="53"/>
      <c r="X647" s="53"/>
      <c r="Y647" s="51"/>
      <c r="Z647" s="51"/>
      <c r="AA647" s="51"/>
    </row>
    <row r="648" spans="11:27">
      <c r="K648" s="51"/>
      <c r="P648" s="50"/>
      <c r="W648" s="53"/>
      <c r="X648" s="53"/>
      <c r="Y648" s="51"/>
      <c r="Z648" s="51"/>
      <c r="AA648" s="51"/>
    </row>
    <row r="649" spans="11:27">
      <c r="K649" s="51"/>
      <c r="P649" s="50"/>
      <c r="W649" s="53"/>
      <c r="X649" s="53"/>
      <c r="Y649" s="51"/>
      <c r="Z649" s="51"/>
      <c r="AA649" s="51"/>
    </row>
    <row r="650" spans="11:27">
      <c r="K650" s="51"/>
      <c r="P650" s="50"/>
      <c r="W650" s="53"/>
      <c r="X650" s="53"/>
      <c r="Y650" s="51"/>
      <c r="Z650" s="51"/>
      <c r="AA650" s="51"/>
    </row>
    <row r="651" spans="11:27">
      <c r="K651" s="51"/>
      <c r="P651" s="50"/>
      <c r="W651" s="53"/>
      <c r="X651" s="53"/>
      <c r="Y651" s="51"/>
      <c r="Z651" s="51"/>
      <c r="AA651" s="51"/>
    </row>
    <row r="652" spans="11:27">
      <c r="K652" s="51"/>
      <c r="P652" s="50"/>
      <c r="W652" s="53"/>
      <c r="X652" s="53"/>
      <c r="Y652" s="51"/>
      <c r="Z652" s="51"/>
      <c r="AA652" s="51"/>
    </row>
    <row r="653" spans="11:27">
      <c r="K653" s="51"/>
      <c r="P653" s="50"/>
      <c r="W653" s="53"/>
      <c r="X653" s="53"/>
      <c r="Y653" s="51"/>
      <c r="Z653" s="51"/>
      <c r="AA653" s="51"/>
    </row>
    <row r="654" spans="11:27">
      <c r="K654" s="51"/>
      <c r="P654" s="50"/>
      <c r="W654" s="53"/>
      <c r="X654" s="53"/>
      <c r="Y654" s="51"/>
      <c r="Z654" s="51"/>
      <c r="AA654" s="51"/>
    </row>
    <row r="655" spans="11:27">
      <c r="K655" s="51"/>
      <c r="P655" s="50"/>
      <c r="W655" s="53"/>
      <c r="X655" s="53"/>
      <c r="Y655" s="51"/>
      <c r="Z655" s="51"/>
      <c r="AA655" s="51"/>
    </row>
    <row r="656" spans="11:27">
      <c r="K656" s="51"/>
      <c r="P656" s="50"/>
      <c r="W656" s="53"/>
      <c r="X656" s="53"/>
      <c r="Y656" s="51"/>
      <c r="Z656" s="51"/>
      <c r="AA656" s="51"/>
    </row>
    <row r="657" spans="11:27">
      <c r="K657" s="51"/>
      <c r="P657" s="50"/>
      <c r="W657" s="53"/>
      <c r="X657" s="53"/>
      <c r="Y657" s="51"/>
      <c r="Z657" s="51"/>
      <c r="AA657" s="51"/>
    </row>
    <row r="658" spans="11:27">
      <c r="K658" s="51"/>
      <c r="P658" s="50"/>
      <c r="W658" s="53"/>
      <c r="X658" s="53"/>
      <c r="Y658" s="51"/>
      <c r="Z658" s="51"/>
      <c r="AA658" s="51"/>
    </row>
    <row r="659" spans="11:27">
      <c r="K659" s="51"/>
      <c r="P659" s="50"/>
      <c r="W659" s="53"/>
      <c r="X659" s="53"/>
      <c r="Y659" s="51"/>
      <c r="Z659" s="51"/>
      <c r="AA659" s="51"/>
    </row>
    <row r="660" spans="11:27">
      <c r="K660" s="51"/>
      <c r="P660" s="50"/>
      <c r="W660" s="53"/>
      <c r="X660" s="53"/>
      <c r="Y660" s="51"/>
      <c r="Z660" s="51"/>
      <c r="AA660" s="51"/>
    </row>
    <row r="661" spans="11:27">
      <c r="K661" s="51"/>
      <c r="P661" s="50"/>
      <c r="W661" s="53"/>
      <c r="X661" s="53"/>
      <c r="Y661" s="51"/>
      <c r="Z661" s="51"/>
      <c r="AA661" s="51"/>
    </row>
    <row r="662" spans="11:27">
      <c r="K662" s="51"/>
      <c r="P662" s="50"/>
      <c r="W662" s="53"/>
      <c r="X662" s="53"/>
      <c r="Y662" s="51"/>
      <c r="Z662" s="51"/>
      <c r="AA662" s="51"/>
    </row>
    <row r="663" spans="11:27">
      <c r="K663" s="51"/>
      <c r="P663" s="50"/>
      <c r="W663" s="53"/>
      <c r="X663" s="53"/>
      <c r="Y663" s="51"/>
      <c r="Z663" s="51"/>
      <c r="AA663" s="51"/>
    </row>
    <row r="664" spans="11:27">
      <c r="K664" s="51"/>
      <c r="P664" s="50"/>
      <c r="W664" s="53"/>
      <c r="X664" s="53"/>
      <c r="Y664" s="51"/>
      <c r="Z664" s="51"/>
      <c r="AA664" s="51"/>
    </row>
    <row r="665" spans="11:27">
      <c r="K665" s="51"/>
      <c r="P665" s="50"/>
      <c r="W665" s="53"/>
      <c r="X665" s="53"/>
      <c r="Y665" s="51"/>
      <c r="Z665" s="51"/>
      <c r="AA665" s="51"/>
    </row>
    <row r="666" spans="11:27">
      <c r="K666" s="51"/>
      <c r="P666" s="50"/>
      <c r="W666" s="53"/>
      <c r="X666" s="53"/>
      <c r="Y666" s="51"/>
      <c r="Z666" s="51"/>
      <c r="AA666" s="51"/>
    </row>
    <row r="667" spans="11:27">
      <c r="K667" s="51"/>
      <c r="P667" s="50"/>
      <c r="W667" s="53"/>
      <c r="X667" s="53"/>
      <c r="Y667" s="51"/>
      <c r="Z667" s="51"/>
      <c r="AA667" s="51"/>
    </row>
    <row r="668" spans="11:27">
      <c r="K668" s="51"/>
      <c r="P668" s="50"/>
      <c r="W668" s="53"/>
      <c r="X668" s="53"/>
      <c r="Y668" s="51"/>
      <c r="Z668" s="51"/>
      <c r="AA668" s="51"/>
    </row>
    <row r="669" spans="11:27">
      <c r="K669" s="51"/>
      <c r="P669" s="50"/>
      <c r="W669" s="53"/>
      <c r="X669" s="53"/>
      <c r="Y669" s="51"/>
      <c r="Z669" s="51"/>
      <c r="AA669" s="51"/>
    </row>
    <row r="670" spans="11:27">
      <c r="K670" s="51"/>
      <c r="P670" s="50"/>
      <c r="W670" s="53"/>
      <c r="X670" s="53"/>
      <c r="Y670" s="51"/>
      <c r="Z670" s="51"/>
      <c r="AA670" s="51"/>
    </row>
    <row r="671" spans="11:27">
      <c r="K671" s="51"/>
      <c r="P671" s="50"/>
      <c r="W671" s="53"/>
      <c r="X671" s="53"/>
      <c r="Y671" s="51"/>
      <c r="Z671" s="51"/>
      <c r="AA671" s="51"/>
    </row>
    <row r="672" spans="11:27">
      <c r="K672" s="51"/>
      <c r="P672" s="50"/>
      <c r="W672" s="53"/>
      <c r="X672" s="53"/>
      <c r="Y672" s="51"/>
      <c r="Z672" s="51"/>
      <c r="AA672" s="51"/>
    </row>
    <row r="673" spans="11:27">
      <c r="K673" s="51"/>
      <c r="P673" s="50"/>
      <c r="W673" s="53"/>
      <c r="X673" s="53"/>
      <c r="Y673" s="51"/>
      <c r="Z673" s="51"/>
      <c r="AA673" s="51"/>
    </row>
    <row r="674" spans="11:27">
      <c r="K674" s="51"/>
      <c r="P674" s="50"/>
      <c r="W674" s="53"/>
      <c r="X674" s="53"/>
      <c r="Y674" s="51"/>
      <c r="Z674" s="51"/>
      <c r="AA674" s="51"/>
    </row>
    <row r="675" spans="11:27">
      <c r="K675" s="51"/>
      <c r="P675" s="50"/>
      <c r="W675" s="53"/>
      <c r="X675" s="53"/>
      <c r="Y675" s="51"/>
      <c r="Z675" s="51"/>
      <c r="AA675" s="51"/>
    </row>
    <row r="676" spans="11:27">
      <c r="K676" s="51"/>
      <c r="P676" s="50"/>
      <c r="W676" s="53"/>
      <c r="X676" s="53"/>
      <c r="Y676" s="51"/>
      <c r="Z676" s="51"/>
      <c r="AA676" s="51"/>
    </row>
    <row r="677" spans="11:27">
      <c r="K677" s="51"/>
      <c r="P677" s="50"/>
      <c r="W677" s="53"/>
      <c r="X677" s="53"/>
      <c r="Y677" s="51"/>
      <c r="Z677" s="51"/>
      <c r="AA677" s="51"/>
    </row>
    <row r="678" spans="11:27">
      <c r="K678" s="51"/>
      <c r="P678" s="50"/>
      <c r="W678" s="53"/>
      <c r="X678" s="53"/>
      <c r="Y678" s="51"/>
      <c r="Z678" s="51"/>
      <c r="AA678" s="51"/>
    </row>
    <row r="679" spans="11:27">
      <c r="K679" s="51"/>
      <c r="P679" s="50"/>
      <c r="W679" s="53"/>
      <c r="X679" s="53"/>
      <c r="Y679" s="51"/>
      <c r="Z679" s="51"/>
      <c r="AA679" s="51"/>
    </row>
    <row r="680" spans="11:27">
      <c r="K680" s="51"/>
      <c r="P680" s="50"/>
      <c r="W680" s="53"/>
      <c r="X680" s="53"/>
      <c r="Y680" s="51"/>
      <c r="Z680" s="51"/>
      <c r="AA680" s="51"/>
    </row>
    <row r="681" spans="11:27">
      <c r="K681" s="51"/>
      <c r="P681" s="50"/>
      <c r="W681" s="53"/>
      <c r="X681" s="53"/>
      <c r="Y681" s="51"/>
      <c r="Z681" s="51"/>
      <c r="AA681" s="51"/>
    </row>
    <row r="682" spans="11:27">
      <c r="K682" s="51"/>
      <c r="P682" s="50"/>
      <c r="W682" s="53"/>
      <c r="X682" s="53"/>
      <c r="Y682" s="51"/>
      <c r="Z682" s="51"/>
      <c r="AA682" s="51"/>
    </row>
    <row r="683" spans="11:27">
      <c r="K683" s="51"/>
      <c r="P683" s="50"/>
      <c r="W683" s="53"/>
      <c r="X683" s="53"/>
      <c r="Y683" s="51"/>
      <c r="Z683" s="51"/>
      <c r="AA683" s="51"/>
    </row>
    <row r="684" spans="11:27">
      <c r="K684" s="51"/>
      <c r="P684" s="50"/>
      <c r="W684" s="53"/>
      <c r="X684" s="53"/>
      <c r="Y684" s="51"/>
      <c r="Z684" s="51"/>
      <c r="AA684" s="51"/>
    </row>
    <row r="685" spans="11:27">
      <c r="K685" s="51"/>
      <c r="P685" s="50"/>
      <c r="W685" s="53"/>
      <c r="X685" s="53"/>
      <c r="Y685" s="51"/>
      <c r="Z685" s="51"/>
      <c r="AA685" s="51"/>
    </row>
    <row r="686" spans="11:27">
      <c r="K686" s="51"/>
      <c r="P686" s="50"/>
      <c r="W686" s="53"/>
      <c r="X686" s="53"/>
      <c r="Y686" s="51"/>
      <c r="Z686" s="51"/>
      <c r="AA686" s="51"/>
    </row>
    <row r="687" spans="11:27">
      <c r="K687" s="51"/>
      <c r="P687" s="50"/>
      <c r="W687" s="53"/>
      <c r="X687" s="53"/>
      <c r="Y687" s="51"/>
      <c r="Z687" s="51"/>
      <c r="AA687" s="51"/>
    </row>
    <row r="688" spans="11:27">
      <c r="K688" s="51"/>
      <c r="P688" s="50"/>
      <c r="W688" s="53"/>
      <c r="X688" s="53"/>
      <c r="Y688" s="51"/>
      <c r="Z688" s="51"/>
      <c r="AA688" s="51"/>
    </row>
    <row r="689" spans="11:27">
      <c r="K689" s="51"/>
      <c r="P689" s="50"/>
      <c r="W689" s="53"/>
      <c r="X689" s="53"/>
      <c r="Y689" s="51"/>
      <c r="Z689" s="51"/>
      <c r="AA689" s="51"/>
    </row>
    <row r="690" spans="11:27">
      <c r="K690" s="51"/>
      <c r="P690" s="50"/>
      <c r="W690" s="53"/>
      <c r="X690" s="53"/>
      <c r="Y690" s="51"/>
      <c r="Z690" s="51"/>
      <c r="AA690" s="51"/>
    </row>
    <row r="691" spans="11:27">
      <c r="K691" s="51"/>
      <c r="P691" s="50"/>
      <c r="W691" s="53"/>
      <c r="X691" s="53"/>
      <c r="Y691" s="51"/>
      <c r="Z691" s="51"/>
      <c r="AA691" s="51"/>
    </row>
    <row r="692" spans="11:27">
      <c r="K692" s="51"/>
      <c r="P692" s="50"/>
      <c r="W692" s="53"/>
      <c r="X692" s="53"/>
      <c r="Y692" s="51"/>
      <c r="Z692" s="51"/>
      <c r="AA692" s="51"/>
    </row>
    <row r="693" spans="11:27">
      <c r="K693" s="51"/>
      <c r="P693" s="50"/>
      <c r="W693" s="53"/>
      <c r="X693" s="53"/>
      <c r="Y693" s="51"/>
      <c r="Z693" s="51"/>
      <c r="AA693" s="51"/>
    </row>
    <row r="694" spans="11:27">
      <c r="K694" s="51"/>
      <c r="P694" s="50"/>
      <c r="W694" s="53"/>
      <c r="X694" s="53"/>
      <c r="Y694" s="51"/>
      <c r="Z694" s="51"/>
      <c r="AA694" s="51"/>
    </row>
    <row r="695" spans="11:27">
      <c r="K695" s="51"/>
      <c r="P695" s="50"/>
      <c r="W695" s="53"/>
      <c r="X695" s="53"/>
      <c r="Y695" s="51"/>
      <c r="Z695" s="51"/>
      <c r="AA695" s="51"/>
    </row>
    <row r="696" spans="11:27">
      <c r="K696" s="51"/>
      <c r="P696" s="50"/>
      <c r="W696" s="53"/>
      <c r="X696" s="53"/>
      <c r="Y696" s="51"/>
      <c r="Z696" s="51"/>
      <c r="AA696" s="51"/>
    </row>
    <row r="697" spans="11:27">
      <c r="K697" s="51"/>
      <c r="P697" s="50"/>
      <c r="W697" s="53"/>
      <c r="X697" s="53"/>
      <c r="Y697" s="51"/>
      <c r="Z697" s="51"/>
      <c r="AA697" s="51"/>
    </row>
    <row r="698" spans="11:27">
      <c r="K698" s="51"/>
      <c r="P698" s="50"/>
      <c r="W698" s="53"/>
      <c r="X698" s="53"/>
      <c r="Y698" s="51"/>
      <c r="Z698" s="51"/>
      <c r="AA698" s="51"/>
    </row>
    <row r="699" spans="11:27">
      <c r="K699" s="51"/>
      <c r="P699" s="50"/>
      <c r="W699" s="53"/>
      <c r="X699" s="53"/>
      <c r="Y699" s="51"/>
      <c r="Z699" s="51"/>
      <c r="AA699" s="51"/>
    </row>
    <row r="700" spans="11:27">
      <c r="K700" s="51"/>
      <c r="P700" s="50"/>
      <c r="W700" s="53"/>
      <c r="X700" s="53"/>
      <c r="Y700" s="51"/>
      <c r="Z700" s="51"/>
      <c r="AA700" s="51"/>
    </row>
    <row r="701" spans="11:27">
      <c r="K701" s="51"/>
      <c r="P701" s="50"/>
      <c r="W701" s="53"/>
      <c r="X701" s="53"/>
      <c r="Y701" s="51"/>
      <c r="Z701" s="51"/>
      <c r="AA701" s="51"/>
    </row>
    <row r="702" spans="11:27">
      <c r="K702" s="51"/>
      <c r="P702" s="50"/>
      <c r="W702" s="53"/>
      <c r="X702" s="53"/>
      <c r="Y702" s="51"/>
      <c r="Z702" s="51"/>
      <c r="AA702" s="51"/>
    </row>
    <row r="703" spans="11:27">
      <c r="K703" s="51"/>
      <c r="P703" s="50"/>
      <c r="W703" s="53"/>
      <c r="X703" s="53"/>
      <c r="Y703" s="51"/>
      <c r="Z703" s="51"/>
      <c r="AA703" s="51"/>
    </row>
    <row r="704" spans="11:27">
      <c r="K704" s="51"/>
      <c r="P704" s="50"/>
      <c r="W704" s="53"/>
      <c r="X704" s="53"/>
      <c r="Y704" s="51"/>
      <c r="Z704" s="51"/>
      <c r="AA704" s="51"/>
    </row>
    <row r="705" spans="11:27">
      <c r="K705" s="51"/>
      <c r="P705" s="50"/>
      <c r="W705" s="53"/>
      <c r="X705" s="53"/>
      <c r="Y705" s="51"/>
      <c r="Z705" s="51"/>
      <c r="AA705" s="51"/>
    </row>
    <row r="706" spans="11:27">
      <c r="K706" s="51"/>
      <c r="P706" s="50"/>
      <c r="W706" s="53"/>
      <c r="X706" s="53"/>
      <c r="Y706" s="51"/>
      <c r="Z706" s="51"/>
      <c r="AA706" s="51"/>
    </row>
    <row r="707" spans="11:27">
      <c r="K707" s="51"/>
      <c r="P707" s="50"/>
      <c r="W707" s="53"/>
      <c r="X707" s="53"/>
      <c r="Y707" s="51"/>
      <c r="Z707" s="51"/>
      <c r="AA707" s="51"/>
    </row>
    <row r="708" spans="11:27">
      <c r="K708" s="51"/>
      <c r="P708" s="50"/>
      <c r="W708" s="53"/>
      <c r="X708" s="53"/>
      <c r="Y708" s="51"/>
      <c r="Z708" s="51"/>
      <c r="AA708" s="51"/>
    </row>
    <row r="709" spans="11:27">
      <c r="K709" s="51"/>
      <c r="P709" s="50"/>
      <c r="W709" s="53"/>
      <c r="X709" s="53"/>
      <c r="Y709" s="51"/>
      <c r="Z709" s="51"/>
      <c r="AA709" s="51"/>
    </row>
    <row r="710" spans="11:27">
      <c r="K710" s="51"/>
      <c r="P710" s="50"/>
      <c r="W710" s="53"/>
      <c r="X710" s="53"/>
      <c r="Y710" s="51"/>
      <c r="Z710" s="51"/>
      <c r="AA710" s="51"/>
    </row>
    <row r="711" spans="11:27">
      <c r="K711" s="51"/>
      <c r="P711" s="50"/>
      <c r="W711" s="53"/>
      <c r="X711" s="53"/>
      <c r="Y711" s="51"/>
      <c r="Z711" s="51"/>
      <c r="AA711" s="51"/>
    </row>
    <row r="712" spans="11:27">
      <c r="K712" s="51"/>
      <c r="P712" s="50"/>
      <c r="W712" s="53"/>
      <c r="X712" s="53"/>
      <c r="Y712" s="51"/>
      <c r="Z712" s="51"/>
      <c r="AA712" s="51"/>
    </row>
    <row r="713" spans="11:27">
      <c r="K713" s="51"/>
      <c r="P713" s="50"/>
      <c r="W713" s="53"/>
      <c r="X713" s="53"/>
      <c r="Y713" s="51"/>
      <c r="Z713" s="51"/>
      <c r="AA713" s="51"/>
    </row>
    <row r="714" spans="11:27">
      <c r="K714" s="51"/>
      <c r="P714" s="50"/>
      <c r="W714" s="53"/>
      <c r="X714" s="53"/>
      <c r="Y714" s="51"/>
      <c r="Z714" s="51"/>
      <c r="AA714" s="51"/>
    </row>
    <row r="715" spans="11:27">
      <c r="K715" s="51"/>
      <c r="P715" s="50"/>
      <c r="W715" s="53"/>
      <c r="X715" s="53"/>
      <c r="Y715" s="51"/>
      <c r="Z715" s="51"/>
      <c r="AA715" s="51"/>
    </row>
    <row r="716" spans="11:27">
      <c r="K716" s="51"/>
      <c r="P716" s="50"/>
      <c r="W716" s="53"/>
      <c r="X716" s="53"/>
      <c r="Y716" s="51"/>
      <c r="Z716" s="51"/>
      <c r="AA716" s="51"/>
    </row>
    <row r="717" spans="11:27">
      <c r="K717" s="51"/>
      <c r="P717" s="50"/>
      <c r="W717" s="53"/>
      <c r="X717" s="53"/>
      <c r="Y717" s="51"/>
      <c r="Z717" s="51"/>
      <c r="AA717" s="51"/>
    </row>
    <row r="718" spans="11:27">
      <c r="K718" s="51"/>
      <c r="P718" s="50"/>
      <c r="W718" s="53"/>
      <c r="X718" s="53"/>
      <c r="Y718" s="51"/>
      <c r="Z718" s="51"/>
      <c r="AA718" s="51"/>
    </row>
    <row r="719" spans="11:27">
      <c r="K719" s="51"/>
      <c r="P719" s="50"/>
      <c r="W719" s="53"/>
      <c r="X719" s="53"/>
      <c r="Y719" s="51"/>
      <c r="Z719" s="51"/>
      <c r="AA719" s="51"/>
    </row>
    <row r="720" spans="11:27">
      <c r="K720" s="51"/>
      <c r="P720" s="50"/>
      <c r="W720" s="53"/>
      <c r="X720" s="53"/>
      <c r="Y720" s="51"/>
      <c r="Z720" s="51"/>
      <c r="AA720" s="51"/>
    </row>
    <row r="721" spans="11:27">
      <c r="K721" s="51"/>
      <c r="P721" s="50"/>
      <c r="W721" s="53"/>
      <c r="X721" s="53"/>
      <c r="Y721" s="51"/>
      <c r="Z721" s="51"/>
      <c r="AA721" s="51"/>
    </row>
    <row r="722" spans="11:27">
      <c r="K722" s="51"/>
      <c r="P722" s="50"/>
      <c r="W722" s="53"/>
      <c r="X722" s="53"/>
      <c r="Y722" s="51"/>
      <c r="Z722" s="51"/>
      <c r="AA722" s="51"/>
    </row>
    <row r="723" spans="11:27">
      <c r="K723" s="51"/>
      <c r="P723" s="50"/>
      <c r="W723" s="53"/>
      <c r="X723" s="53"/>
      <c r="Y723" s="51"/>
      <c r="Z723" s="51"/>
      <c r="AA723" s="51"/>
    </row>
    <row r="724" spans="11:27">
      <c r="K724" s="51"/>
      <c r="P724" s="50"/>
      <c r="W724" s="53"/>
      <c r="X724" s="53"/>
      <c r="Y724" s="51"/>
      <c r="Z724" s="51"/>
      <c r="AA724" s="51"/>
    </row>
    <row r="725" spans="11:27">
      <c r="K725" s="51"/>
      <c r="P725" s="50"/>
      <c r="W725" s="53"/>
      <c r="X725" s="53"/>
      <c r="Y725" s="51"/>
      <c r="Z725" s="51"/>
      <c r="AA725" s="51"/>
    </row>
    <row r="726" spans="11:27">
      <c r="K726" s="51"/>
      <c r="P726" s="50"/>
      <c r="W726" s="53"/>
      <c r="X726" s="53"/>
      <c r="Y726" s="51"/>
      <c r="Z726" s="51"/>
      <c r="AA726" s="51"/>
    </row>
    <row r="727" spans="11:27">
      <c r="K727" s="51"/>
      <c r="P727" s="50"/>
      <c r="W727" s="53"/>
      <c r="X727" s="53"/>
      <c r="Y727" s="51"/>
      <c r="Z727" s="51"/>
      <c r="AA727" s="51"/>
    </row>
    <row r="728" spans="11:27">
      <c r="K728" s="51"/>
      <c r="P728" s="50"/>
      <c r="W728" s="53"/>
      <c r="X728" s="53"/>
      <c r="Y728" s="51"/>
      <c r="Z728" s="51"/>
      <c r="AA728" s="51"/>
    </row>
    <row r="729" spans="11:27">
      <c r="K729" s="51"/>
      <c r="P729" s="50"/>
      <c r="W729" s="53"/>
      <c r="X729" s="53"/>
      <c r="Y729" s="51"/>
      <c r="Z729" s="51"/>
      <c r="AA729" s="51"/>
    </row>
    <row r="730" spans="11:27">
      <c r="K730" s="51"/>
      <c r="P730" s="50"/>
      <c r="W730" s="53"/>
      <c r="X730" s="53"/>
      <c r="Y730" s="51"/>
      <c r="Z730" s="51"/>
      <c r="AA730" s="51"/>
    </row>
    <row r="731" spans="11:27">
      <c r="K731" s="51"/>
      <c r="P731" s="50"/>
      <c r="W731" s="53"/>
      <c r="X731" s="53"/>
      <c r="Y731" s="51"/>
      <c r="Z731" s="51"/>
      <c r="AA731" s="51"/>
    </row>
    <row r="732" spans="11:27">
      <c r="K732" s="51"/>
      <c r="P732" s="50"/>
      <c r="W732" s="53"/>
      <c r="X732" s="53"/>
      <c r="Y732" s="51"/>
      <c r="Z732" s="51"/>
      <c r="AA732" s="51"/>
    </row>
    <row r="733" spans="11:27">
      <c r="K733" s="51"/>
      <c r="P733" s="50"/>
      <c r="W733" s="53"/>
      <c r="X733" s="53"/>
      <c r="Y733" s="51"/>
      <c r="Z733" s="51"/>
      <c r="AA733" s="51"/>
    </row>
    <row r="734" spans="11:27">
      <c r="K734" s="51"/>
      <c r="P734" s="50"/>
      <c r="W734" s="53"/>
      <c r="X734" s="53"/>
      <c r="Y734" s="51"/>
      <c r="Z734" s="51"/>
      <c r="AA734" s="51"/>
    </row>
    <row r="735" spans="11:27">
      <c r="K735" s="51"/>
      <c r="P735" s="50"/>
      <c r="W735" s="53"/>
      <c r="X735" s="53"/>
      <c r="Y735" s="51"/>
      <c r="Z735" s="51"/>
      <c r="AA735" s="51"/>
    </row>
    <row r="736" spans="11:27">
      <c r="K736" s="51"/>
      <c r="P736" s="50"/>
      <c r="W736" s="53"/>
      <c r="X736" s="53"/>
      <c r="Y736" s="51"/>
      <c r="Z736" s="51"/>
      <c r="AA736" s="51"/>
    </row>
    <row r="737" spans="11:27">
      <c r="K737" s="51"/>
      <c r="P737" s="50"/>
      <c r="W737" s="53"/>
      <c r="X737" s="53"/>
      <c r="Y737" s="51"/>
      <c r="Z737" s="51"/>
      <c r="AA737" s="51"/>
    </row>
    <row r="738" spans="11:27">
      <c r="K738" s="51"/>
      <c r="P738" s="50"/>
      <c r="W738" s="53"/>
      <c r="X738" s="53"/>
      <c r="Y738" s="51"/>
      <c r="Z738" s="51"/>
      <c r="AA738" s="51"/>
    </row>
    <row r="739" spans="11:27">
      <c r="K739" s="51"/>
      <c r="P739" s="50"/>
      <c r="W739" s="53"/>
      <c r="X739" s="53"/>
      <c r="Y739" s="51"/>
      <c r="Z739" s="51"/>
      <c r="AA739" s="51"/>
    </row>
    <row r="740" spans="11:27">
      <c r="K740" s="51"/>
      <c r="P740" s="50"/>
      <c r="W740" s="53"/>
      <c r="X740" s="53"/>
      <c r="Y740" s="51"/>
      <c r="Z740" s="51"/>
      <c r="AA740" s="51"/>
    </row>
    <row r="741" spans="11:27">
      <c r="K741" s="51"/>
      <c r="P741" s="50"/>
      <c r="W741" s="53"/>
      <c r="X741" s="53"/>
      <c r="Y741" s="51"/>
      <c r="Z741" s="51"/>
      <c r="AA741" s="51"/>
    </row>
    <row r="742" spans="11:27">
      <c r="K742" s="51"/>
      <c r="P742" s="50"/>
      <c r="W742" s="53"/>
      <c r="X742" s="53"/>
      <c r="Y742" s="51"/>
      <c r="Z742" s="51"/>
      <c r="AA742" s="51"/>
    </row>
    <row r="743" spans="11:27">
      <c r="K743" s="51"/>
      <c r="P743" s="50"/>
      <c r="W743" s="53"/>
      <c r="X743" s="53"/>
      <c r="Y743" s="51"/>
      <c r="Z743" s="51"/>
      <c r="AA743" s="51"/>
    </row>
    <row r="744" spans="11:27">
      <c r="K744" s="51"/>
      <c r="P744" s="50"/>
      <c r="W744" s="53"/>
      <c r="X744" s="53"/>
      <c r="Y744" s="51"/>
      <c r="Z744" s="51"/>
      <c r="AA744" s="51"/>
    </row>
    <row r="745" spans="11:27">
      <c r="K745" s="51"/>
      <c r="P745" s="50"/>
      <c r="W745" s="53"/>
      <c r="X745" s="53"/>
      <c r="Y745" s="51"/>
      <c r="Z745" s="51"/>
      <c r="AA745" s="51"/>
    </row>
    <row r="746" spans="11:27">
      <c r="K746" s="51"/>
      <c r="P746" s="50"/>
      <c r="W746" s="53"/>
      <c r="X746" s="53"/>
      <c r="Y746" s="51"/>
      <c r="Z746" s="51"/>
      <c r="AA746" s="51"/>
    </row>
    <row r="747" spans="11:27">
      <c r="K747" s="51"/>
      <c r="P747" s="50"/>
      <c r="W747" s="53"/>
      <c r="X747" s="53"/>
      <c r="Y747" s="51"/>
      <c r="Z747" s="51"/>
      <c r="AA747" s="51"/>
    </row>
    <row r="748" spans="11:27">
      <c r="K748" s="51"/>
      <c r="P748" s="50"/>
      <c r="W748" s="53"/>
      <c r="X748" s="53"/>
      <c r="Y748" s="51"/>
      <c r="Z748" s="51"/>
      <c r="AA748" s="51"/>
    </row>
    <row r="749" spans="11:27">
      <c r="K749" s="51"/>
      <c r="P749" s="50"/>
      <c r="W749" s="53"/>
      <c r="X749" s="53"/>
      <c r="Y749" s="51"/>
      <c r="Z749" s="51"/>
      <c r="AA749" s="51"/>
    </row>
    <row r="750" spans="11:27">
      <c r="K750" s="51"/>
      <c r="P750" s="50"/>
      <c r="W750" s="53"/>
      <c r="X750" s="53"/>
      <c r="Y750" s="51"/>
      <c r="Z750" s="51"/>
      <c r="AA750" s="51"/>
    </row>
    <row r="751" spans="11:27">
      <c r="K751" s="51"/>
      <c r="P751" s="50"/>
      <c r="W751" s="53"/>
      <c r="X751" s="53"/>
      <c r="Y751" s="51"/>
      <c r="Z751" s="51"/>
      <c r="AA751" s="51"/>
    </row>
    <row r="752" spans="11:27">
      <c r="K752" s="51"/>
      <c r="P752" s="50"/>
      <c r="W752" s="53"/>
      <c r="X752" s="53"/>
      <c r="Y752" s="51"/>
      <c r="Z752" s="51"/>
      <c r="AA752" s="51"/>
    </row>
    <row r="753" spans="11:27">
      <c r="K753" s="51"/>
      <c r="P753" s="50"/>
      <c r="W753" s="53"/>
      <c r="X753" s="53"/>
      <c r="Y753" s="51"/>
      <c r="Z753" s="51"/>
      <c r="AA753" s="51"/>
    </row>
    <row r="754" spans="11:27">
      <c r="K754" s="51"/>
      <c r="P754" s="50"/>
      <c r="W754" s="53"/>
      <c r="X754" s="53"/>
      <c r="Y754" s="51"/>
      <c r="Z754" s="51"/>
      <c r="AA754" s="51"/>
    </row>
    <row r="755" spans="11:27">
      <c r="K755" s="51"/>
      <c r="P755" s="50"/>
      <c r="W755" s="53"/>
      <c r="X755" s="53"/>
      <c r="Y755" s="51"/>
      <c r="Z755" s="51"/>
      <c r="AA755" s="51"/>
    </row>
    <row r="756" spans="11:27">
      <c r="K756" s="51"/>
      <c r="P756" s="50"/>
      <c r="W756" s="53"/>
      <c r="X756" s="53"/>
      <c r="Y756" s="51"/>
      <c r="Z756" s="51"/>
      <c r="AA756" s="51"/>
    </row>
    <row r="757" spans="11:27">
      <c r="K757" s="51"/>
      <c r="P757" s="50"/>
      <c r="W757" s="53"/>
      <c r="X757" s="53"/>
      <c r="Y757" s="51"/>
      <c r="Z757" s="51"/>
      <c r="AA757" s="51"/>
    </row>
    <row r="758" spans="11:27">
      <c r="K758" s="51"/>
      <c r="P758" s="50"/>
      <c r="W758" s="53"/>
      <c r="X758" s="53"/>
      <c r="Y758" s="51"/>
      <c r="Z758" s="51"/>
      <c r="AA758" s="51"/>
    </row>
    <row r="759" spans="11:27">
      <c r="K759" s="51"/>
      <c r="P759" s="50"/>
      <c r="W759" s="53"/>
      <c r="X759" s="53"/>
      <c r="Y759" s="51"/>
      <c r="Z759" s="51"/>
      <c r="AA759" s="51"/>
    </row>
    <row r="760" spans="11:27">
      <c r="K760" s="51"/>
      <c r="P760" s="50"/>
      <c r="W760" s="53"/>
      <c r="X760" s="53"/>
      <c r="Y760" s="51"/>
      <c r="Z760" s="51"/>
      <c r="AA760" s="51"/>
    </row>
    <row r="761" spans="11:27">
      <c r="K761" s="51"/>
      <c r="P761" s="50"/>
      <c r="W761" s="53"/>
      <c r="X761" s="53"/>
      <c r="Y761" s="51"/>
      <c r="Z761" s="51"/>
      <c r="AA761" s="51"/>
    </row>
    <row r="762" spans="11:27">
      <c r="K762" s="51"/>
      <c r="P762" s="50"/>
      <c r="W762" s="53"/>
      <c r="X762" s="53"/>
      <c r="Y762" s="51"/>
      <c r="Z762" s="51"/>
      <c r="AA762" s="51"/>
    </row>
    <row r="763" spans="11:27">
      <c r="K763" s="51"/>
      <c r="P763" s="50"/>
      <c r="W763" s="53"/>
      <c r="X763" s="53"/>
      <c r="Y763" s="51"/>
      <c r="Z763" s="51"/>
      <c r="AA763" s="51"/>
    </row>
    <row r="764" spans="11:27">
      <c r="K764" s="51"/>
      <c r="P764" s="50"/>
      <c r="W764" s="53"/>
      <c r="X764" s="53"/>
      <c r="Y764" s="51"/>
      <c r="Z764" s="51"/>
      <c r="AA764" s="51"/>
    </row>
    <row r="765" spans="11:27">
      <c r="K765" s="51"/>
      <c r="P765" s="50"/>
      <c r="W765" s="53"/>
      <c r="X765" s="53"/>
      <c r="Y765" s="51"/>
      <c r="Z765" s="51"/>
      <c r="AA765" s="51"/>
    </row>
    <row r="766" spans="11:27">
      <c r="K766" s="51"/>
      <c r="P766" s="50"/>
      <c r="W766" s="53"/>
      <c r="X766" s="53"/>
      <c r="Y766" s="51"/>
      <c r="Z766" s="51"/>
      <c r="AA766" s="51"/>
    </row>
    <row r="767" spans="11:27">
      <c r="K767" s="51"/>
      <c r="P767" s="50"/>
      <c r="W767" s="53"/>
      <c r="X767" s="53"/>
      <c r="Y767" s="51"/>
      <c r="Z767" s="51"/>
      <c r="AA767" s="51"/>
    </row>
    <row r="768" spans="11:27">
      <c r="K768" s="51"/>
      <c r="P768" s="50"/>
      <c r="W768" s="53"/>
      <c r="X768" s="53"/>
      <c r="Y768" s="51"/>
      <c r="Z768" s="51"/>
      <c r="AA768" s="51"/>
    </row>
    <row r="769" spans="11:27">
      <c r="K769" s="51"/>
      <c r="P769" s="50"/>
      <c r="W769" s="53"/>
      <c r="X769" s="53"/>
      <c r="Y769" s="51"/>
      <c r="Z769" s="51"/>
      <c r="AA769" s="51"/>
    </row>
    <row r="770" spans="11:27">
      <c r="K770" s="51"/>
      <c r="P770" s="50"/>
      <c r="W770" s="53"/>
      <c r="X770" s="53"/>
      <c r="Y770" s="51"/>
      <c r="Z770" s="51"/>
      <c r="AA770" s="51"/>
    </row>
    <row r="771" spans="11:27">
      <c r="K771" s="51"/>
      <c r="P771" s="50"/>
      <c r="W771" s="53"/>
      <c r="X771" s="53"/>
      <c r="Y771" s="51"/>
      <c r="Z771" s="51"/>
      <c r="AA771" s="51"/>
    </row>
    <row r="772" spans="11:27">
      <c r="K772" s="51"/>
      <c r="P772" s="50"/>
      <c r="W772" s="53"/>
      <c r="X772" s="53"/>
      <c r="Y772" s="51"/>
      <c r="Z772" s="51"/>
      <c r="AA772" s="51"/>
    </row>
    <row r="773" spans="11:27">
      <c r="K773" s="51"/>
      <c r="P773" s="50"/>
      <c r="W773" s="53"/>
      <c r="X773" s="53"/>
      <c r="Y773" s="51"/>
      <c r="Z773" s="51"/>
      <c r="AA773" s="51"/>
    </row>
    <row r="774" spans="11:27">
      <c r="K774" s="51"/>
      <c r="P774" s="50"/>
      <c r="W774" s="53"/>
      <c r="X774" s="53"/>
      <c r="Y774" s="51"/>
      <c r="Z774" s="51"/>
      <c r="AA774" s="51"/>
    </row>
    <row r="775" spans="11:27">
      <c r="K775" s="51"/>
      <c r="P775" s="50"/>
      <c r="W775" s="53"/>
      <c r="X775" s="53"/>
      <c r="Y775" s="51"/>
      <c r="Z775" s="51"/>
      <c r="AA775" s="51"/>
    </row>
    <row r="776" spans="11:27">
      <c r="K776" s="51"/>
      <c r="P776" s="50"/>
      <c r="W776" s="53"/>
      <c r="X776" s="53"/>
      <c r="Y776" s="51"/>
      <c r="Z776" s="51"/>
      <c r="AA776" s="51"/>
    </row>
    <row r="777" spans="11:27">
      <c r="K777" s="51"/>
      <c r="P777" s="50"/>
      <c r="W777" s="53"/>
      <c r="X777" s="53"/>
      <c r="Y777" s="51"/>
      <c r="Z777" s="51"/>
      <c r="AA777" s="51"/>
    </row>
    <row r="778" spans="11:27">
      <c r="K778" s="51"/>
      <c r="P778" s="50"/>
      <c r="W778" s="53"/>
      <c r="X778" s="53"/>
      <c r="Y778" s="51"/>
      <c r="Z778" s="51"/>
      <c r="AA778" s="51"/>
    </row>
    <row r="779" spans="11:27">
      <c r="K779" s="51"/>
      <c r="P779" s="50"/>
      <c r="W779" s="53"/>
      <c r="X779" s="53"/>
      <c r="Y779" s="51"/>
      <c r="Z779" s="51"/>
      <c r="AA779" s="51"/>
    </row>
    <row r="780" spans="11:27">
      <c r="K780" s="51"/>
      <c r="P780" s="50"/>
      <c r="W780" s="53"/>
      <c r="X780" s="53"/>
      <c r="Y780" s="51"/>
      <c r="Z780" s="51"/>
      <c r="AA780" s="51"/>
    </row>
    <row r="781" spans="11:27">
      <c r="K781" s="51"/>
      <c r="P781" s="50"/>
      <c r="W781" s="53"/>
      <c r="X781" s="53"/>
      <c r="Y781" s="51"/>
      <c r="Z781" s="51"/>
      <c r="AA781" s="51"/>
    </row>
    <row r="782" spans="11:27">
      <c r="K782" s="51"/>
      <c r="P782" s="50"/>
      <c r="W782" s="53"/>
      <c r="X782" s="53"/>
      <c r="Y782" s="51"/>
      <c r="Z782" s="51"/>
      <c r="AA782" s="51"/>
    </row>
    <row r="783" spans="11:27">
      <c r="K783" s="51"/>
      <c r="P783" s="50"/>
      <c r="W783" s="53"/>
      <c r="X783" s="53"/>
      <c r="Y783" s="51"/>
      <c r="Z783" s="51"/>
      <c r="AA783" s="51"/>
    </row>
    <row r="784" spans="11:27">
      <c r="K784" s="51"/>
      <c r="P784" s="50"/>
      <c r="W784" s="53"/>
      <c r="X784" s="53"/>
      <c r="Y784" s="51"/>
      <c r="Z784" s="51"/>
      <c r="AA784" s="51"/>
    </row>
    <row r="785" spans="11:27">
      <c r="K785" s="51"/>
      <c r="P785" s="50"/>
      <c r="W785" s="53"/>
      <c r="X785" s="53"/>
      <c r="Y785" s="51"/>
      <c r="Z785" s="51"/>
      <c r="AA785" s="51"/>
    </row>
    <row r="786" spans="11:27">
      <c r="K786" s="51"/>
      <c r="P786" s="50"/>
      <c r="W786" s="53"/>
      <c r="X786" s="53"/>
      <c r="Y786" s="51"/>
      <c r="Z786" s="51"/>
      <c r="AA786" s="51"/>
    </row>
    <row r="787" spans="11:27">
      <c r="K787" s="51"/>
      <c r="P787" s="50"/>
      <c r="W787" s="53"/>
      <c r="X787" s="53"/>
      <c r="Y787" s="51"/>
      <c r="Z787" s="51"/>
      <c r="AA787" s="51"/>
    </row>
    <row r="788" spans="11:27">
      <c r="K788" s="51"/>
      <c r="P788" s="50"/>
      <c r="W788" s="53"/>
      <c r="X788" s="53"/>
      <c r="Y788" s="51"/>
      <c r="Z788" s="51"/>
      <c r="AA788" s="51"/>
    </row>
    <row r="789" spans="11:27">
      <c r="K789" s="51"/>
      <c r="P789" s="50"/>
      <c r="W789" s="53"/>
      <c r="X789" s="53"/>
      <c r="Y789" s="51"/>
      <c r="Z789" s="51"/>
      <c r="AA789" s="51"/>
    </row>
    <row r="790" spans="11:27">
      <c r="K790" s="51"/>
      <c r="P790" s="50"/>
      <c r="W790" s="53"/>
      <c r="X790" s="53"/>
      <c r="Y790" s="51"/>
      <c r="Z790" s="51"/>
      <c r="AA790" s="51"/>
    </row>
    <row r="791" spans="11:27">
      <c r="K791" s="51"/>
      <c r="P791" s="50"/>
      <c r="W791" s="53"/>
      <c r="X791" s="53"/>
      <c r="Y791" s="51"/>
      <c r="Z791" s="51"/>
      <c r="AA791" s="51"/>
    </row>
    <row r="792" spans="11:27">
      <c r="K792" s="51"/>
      <c r="P792" s="50"/>
      <c r="W792" s="53"/>
      <c r="X792" s="53"/>
      <c r="Y792" s="51"/>
      <c r="Z792" s="51"/>
      <c r="AA792" s="51"/>
    </row>
    <row r="793" spans="11:27">
      <c r="K793" s="51"/>
      <c r="P793" s="50"/>
      <c r="W793" s="53"/>
      <c r="X793" s="53"/>
      <c r="Y793" s="51"/>
      <c r="Z793" s="51"/>
      <c r="AA793" s="51"/>
    </row>
    <row r="794" spans="11:27">
      <c r="K794" s="51"/>
      <c r="P794" s="50"/>
      <c r="W794" s="53"/>
      <c r="X794" s="53"/>
      <c r="Y794" s="51"/>
      <c r="Z794" s="51"/>
      <c r="AA794" s="51"/>
    </row>
    <row r="795" spans="11:27">
      <c r="K795" s="51"/>
      <c r="P795" s="50"/>
      <c r="W795" s="53"/>
      <c r="X795" s="53"/>
      <c r="Y795" s="51"/>
      <c r="Z795" s="51"/>
      <c r="AA795" s="51"/>
    </row>
    <row r="796" spans="11:27">
      <c r="K796" s="51"/>
      <c r="P796" s="50"/>
      <c r="W796" s="53"/>
      <c r="X796" s="53"/>
      <c r="Y796" s="51"/>
      <c r="Z796" s="51"/>
      <c r="AA796" s="51"/>
    </row>
    <row r="797" spans="11:27">
      <c r="K797" s="51"/>
      <c r="P797" s="50"/>
      <c r="W797" s="53"/>
      <c r="X797" s="53"/>
      <c r="Y797" s="51"/>
      <c r="Z797" s="51"/>
      <c r="AA797" s="51"/>
    </row>
    <row r="798" spans="11:27">
      <c r="K798" s="51"/>
      <c r="P798" s="50"/>
      <c r="W798" s="53"/>
      <c r="X798" s="53"/>
      <c r="Y798" s="51"/>
      <c r="Z798" s="51"/>
      <c r="AA798" s="51"/>
    </row>
    <row r="799" spans="11:27">
      <c r="K799" s="51"/>
      <c r="P799" s="50"/>
      <c r="W799" s="53"/>
      <c r="X799" s="53"/>
      <c r="Y799" s="51"/>
      <c r="Z799" s="51"/>
      <c r="AA799" s="51"/>
    </row>
    <row r="800" spans="11:27">
      <c r="K800" s="51"/>
      <c r="P800" s="50"/>
      <c r="W800" s="53"/>
      <c r="X800" s="53"/>
      <c r="Y800" s="51"/>
      <c r="Z800" s="51"/>
      <c r="AA800" s="51"/>
    </row>
    <row r="801" spans="11:27">
      <c r="K801" s="51"/>
      <c r="P801" s="50"/>
      <c r="W801" s="53"/>
      <c r="X801" s="53"/>
      <c r="Y801" s="51"/>
      <c r="Z801" s="51"/>
      <c r="AA801" s="51"/>
    </row>
    <row r="802" spans="11:27">
      <c r="K802" s="51"/>
      <c r="P802" s="50"/>
      <c r="W802" s="53"/>
      <c r="X802" s="53"/>
      <c r="Y802" s="51"/>
      <c r="Z802" s="51"/>
      <c r="AA802" s="51"/>
    </row>
    <row r="803" spans="11:27">
      <c r="K803" s="51"/>
      <c r="P803" s="50"/>
      <c r="W803" s="53"/>
      <c r="X803" s="53"/>
      <c r="Y803" s="51"/>
      <c r="Z803" s="51"/>
      <c r="AA803" s="51"/>
    </row>
    <row r="804" spans="11:27">
      <c r="K804" s="51"/>
      <c r="P804" s="50"/>
      <c r="W804" s="53"/>
      <c r="X804" s="53"/>
      <c r="Y804" s="51"/>
      <c r="Z804" s="51"/>
      <c r="AA804" s="51"/>
    </row>
    <row r="805" spans="11:27">
      <c r="K805" s="51"/>
      <c r="P805" s="50"/>
      <c r="W805" s="53"/>
      <c r="X805" s="53"/>
      <c r="Y805" s="51"/>
      <c r="Z805" s="51"/>
      <c r="AA805" s="51"/>
    </row>
    <row r="806" spans="11:27">
      <c r="K806" s="51"/>
      <c r="P806" s="50"/>
      <c r="W806" s="53"/>
      <c r="X806" s="53"/>
      <c r="Y806" s="51"/>
      <c r="Z806" s="51"/>
      <c r="AA806" s="51"/>
    </row>
    <row r="807" spans="11:27">
      <c r="K807" s="51"/>
      <c r="P807" s="50"/>
      <c r="W807" s="53"/>
      <c r="X807" s="53"/>
      <c r="Y807" s="51"/>
      <c r="Z807" s="51"/>
      <c r="AA807" s="51"/>
    </row>
    <row r="808" spans="11:27">
      <c r="K808" s="51"/>
      <c r="P808" s="50"/>
      <c r="W808" s="53"/>
      <c r="X808" s="53"/>
      <c r="Y808" s="51"/>
      <c r="Z808" s="51"/>
      <c r="AA808" s="51"/>
    </row>
    <row r="809" spans="11:27">
      <c r="K809" s="51"/>
      <c r="P809" s="50"/>
      <c r="W809" s="53"/>
      <c r="X809" s="53"/>
      <c r="Y809" s="51"/>
      <c r="Z809" s="51"/>
      <c r="AA809" s="51"/>
    </row>
    <row r="810" spans="11:27">
      <c r="K810" s="51"/>
      <c r="P810" s="50"/>
      <c r="W810" s="53"/>
      <c r="X810" s="53"/>
      <c r="Y810" s="51"/>
      <c r="Z810" s="51"/>
      <c r="AA810" s="51"/>
    </row>
    <row r="811" spans="11:27">
      <c r="K811" s="51"/>
      <c r="P811" s="50"/>
      <c r="W811" s="53"/>
      <c r="X811" s="53"/>
      <c r="Y811" s="51"/>
      <c r="Z811" s="51"/>
      <c r="AA811" s="51"/>
    </row>
    <row r="812" spans="11:27">
      <c r="K812" s="51"/>
      <c r="P812" s="50"/>
      <c r="W812" s="53"/>
      <c r="X812" s="53"/>
      <c r="Y812" s="51"/>
      <c r="Z812" s="51"/>
      <c r="AA812" s="51"/>
    </row>
    <row r="813" spans="11:27">
      <c r="K813" s="51"/>
      <c r="P813" s="50"/>
      <c r="W813" s="53"/>
      <c r="X813" s="53"/>
      <c r="Y813" s="51"/>
      <c r="Z813" s="51"/>
      <c r="AA813" s="51"/>
    </row>
    <row r="814" spans="11:27">
      <c r="K814" s="51"/>
      <c r="P814" s="50"/>
      <c r="W814" s="53"/>
      <c r="X814" s="53"/>
      <c r="Y814" s="51"/>
      <c r="Z814" s="51"/>
      <c r="AA814" s="51"/>
    </row>
    <row r="815" spans="11:27">
      <c r="K815" s="51"/>
      <c r="P815" s="50"/>
      <c r="W815" s="53"/>
      <c r="X815" s="53"/>
      <c r="Y815" s="51"/>
      <c r="Z815" s="51"/>
      <c r="AA815" s="51"/>
    </row>
    <row r="816" spans="11:27">
      <c r="K816" s="51"/>
      <c r="P816" s="50"/>
      <c r="W816" s="53"/>
      <c r="X816" s="53"/>
      <c r="Y816" s="51"/>
      <c r="Z816" s="51"/>
      <c r="AA816" s="51"/>
    </row>
    <row r="817" spans="11:27">
      <c r="K817" s="51"/>
      <c r="P817" s="50"/>
      <c r="W817" s="53"/>
      <c r="X817" s="53"/>
      <c r="Y817" s="51"/>
      <c r="Z817" s="51"/>
      <c r="AA817" s="51"/>
    </row>
    <row r="818" spans="11:27">
      <c r="K818" s="51"/>
      <c r="P818" s="50"/>
      <c r="W818" s="53"/>
      <c r="X818" s="53"/>
      <c r="Y818" s="51"/>
      <c r="Z818" s="51"/>
      <c r="AA818" s="51"/>
    </row>
    <row r="819" spans="11:27">
      <c r="K819" s="51"/>
      <c r="P819" s="50"/>
      <c r="W819" s="53"/>
      <c r="X819" s="53"/>
      <c r="Y819" s="51"/>
      <c r="Z819" s="51"/>
      <c r="AA819" s="51"/>
    </row>
    <row r="820" spans="11:27">
      <c r="K820" s="51"/>
      <c r="P820" s="50"/>
      <c r="W820" s="53"/>
      <c r="X820" s="53"/>
      <c r="Y820" s="51"/>
      <c r="Z820" s="51"/>
      <c r="AA820" s="51"/>
    </row>
    <row r="821" spans="11:27">
      <c r="K821" s="51"/>
      <c r="P821" s="50"/>
      <c r="W821" s="53"/>
      <c r="X821" s="53"/>
      <c r="Y821" s="51"/>
      <c r="Z821" s="51"/>
      <c r="AA821" s="51"/>
    </row>
    <row r="822" spans="11:27">
      <c r="K822" s="51"/>
      <c r="P822" s="50"/>
      <c r="W822" s="53"/>
      <c r="X822" s="53"/>
      <c r="Y822" s="51"/>
      <c r="Z822" s="51"/>
      <c r="AA822" s="51"/>
    </row>
    <row r="823" spans="11:27">
      <c r="K823" s="51"/>
      <c r="P823" s="50"/>
      <c r="W823" s="53"/>
      <c r="X823" s="53"/>
      <c r="Y823" s="51"/>
      <c r="Z823" s="51"/>
      <c r="AA823" s="51"/>
    </row>
    <row r="824" spans="11:27">
      <c r="K824" s="51"/>
      <c r="P824" s="50"/>
      <c r="W824" s="53"/>
      <c r="X824" s="53"/>
      <c r="Y824" s="51"/>
      <c r="Z824" s="51"/>
      <c r="AA824" s="51"/>
    </row>
    <row r="825" spans="11:27">
      <c r="K825" s="51"/>
      <c r="P825" s="50"/>
      <c r="W825" s="53"/>
      <c r="X825" s="53"/>
      <c r="Y825" s="51"/>
      <c r="Z825" s="51"/>
      <c r="AA825" s="51"/>
    </row>
    <row r="826" spans="11:27">
      <c r="K826" s="51"/>
      <c r="P826" s="50"/>
      <c r="W826" s="53"/>
      <c r="X826" s="53"/>
      <c r="Y826" s="51"/>
      <c r="Z826" s="51"/>
      <c r="AA826" s="51"/>
    </row>
    <row r="827" spans="11:27">
      <c r="K827" s="51"/>
      <c r="P827" s="50"/>
      <c r="W827" s="53"/>
      <c r="X827" s="53"/>
      <c r="Y827" s="51"/>
      <c r="Z827" s="51"/>
      <c r="AA827" s="51"/>
    </row>
    <row r="828" spans="11:27">
      <c r="K828" s="51"/>
      <c r="P828" s="50"/>
      <c r="W828" s="53"/>
      <c r="X828" s="53"/>
      <c r="Y828" s="51"/>
      <c r="Z828" s="51"/>
      <c r="AA828" s="51"/>
    </row>
    <row r="829" spans="11:27">
      <c r="K829" s="51"/>
      <c r="P829" s="50"/>
      <c r="W829" s="53"/>
      <c r="X829" s="53"/>
      <c r="Y829" s="51"/>
      <c r="Z829" s="51"/>
      <c r="AA829" s="51"/>
    </row>
    <row r="830" spans="11:27">
      <c r="K830" s="51"/>
      <c r="P830" s="50"/>
      <c r="W830" s="53"/>
      <c r="X830" s="53"/>
      <c r="Y830" s="51"/>
      <c r="Z830" s="51"/>
      <c r="AA830" s="51"/>
    </row>
    <row r="831" spans="11:27">
      <c r="K831" s="51"/>
      <c r="P831" s="50"/>
      <c r="W831" s="53"/>
      <c r="X831" s="53"/>
      <c r="Y831" s="51"/>
      <c r="Z831" s="51"/>
      <c r="AA831" s="51"/>
    </row>
    <row r="832" spans="11:27">
      <c r="K832" s="51"/>
      <c r="P832" s="50"/>
      <c r="W832" s="53"/>
      <c r="X832" s="53"/>
      <c r="Y832" s="51"/>
      <c r="Z832" s="51"/>
      <c r="AA832" s="51"/>
    </row>
    <row r="833" spans="11:27">
      <c r="K833" s="51"/>
      <c r="P833" s="50"/>
      <c r="W833" s="53"/>
      <c r="X833" s="53"/>
      <c r="Y833" s="51"/>
      <c r="Z833" s="51"/>
      <c r="AA833" s="51"/>
    </row>
    <row r="834" spans="11:27">
      <c r="K834" s="51"/>
      <c r="P834" s="50"/>
      <c r="W834" s="53"/>
      <c r="X834" s="53"/>
      <c r="Y834" s="51"/>
      <c r="Z834" s="51"/>
      <c r="AA834" s="51"/>
    </row>
    <row r="835" spans="11:27">
      <c r="K835" s="51"/>
      <c r="P835" s="50"/>
      <c r="W835" s="53"/>
      <c r="X835" s="53"/>
      <c r="Y835" s="51"/>
      <c r="Z835" s="51"/>
      <c r="AA835" s="51"/>
    </row>
    <row r="836" spans="11:27">
      <c r="K836" s="51"/>
      <c r="P836" s="50"/>
      <c r="W836" s="53"/>
      <c r="X836" s="53"/>
      <c r="Y836" s="51"/>
      <c r="Z836" s="51"/>
      <c r="AA836" s="51"/>
    </row>
    <row r="837" spans="11:27">
      <c r="K837" s="51"/>
      <c r="P837" s="50"/>
      <c r="W837" s="53"/>
      <c r="X837" s="53"/>
      <c r="Y837" s="51"/>
      <c r="Z837" s="51"/>
      <c r="AA837" s="51"/>
    </row>
    <row r="838" spans="11:27">
      <c r="K838" s="51"/>
      <c r="P838" s="50"/>
      <c r="W838" s="53"/>
      <c r="X838" s="53"/>
      <c r="Y838" s="51"/>
      <c r="Z838" s="51"/>
      <c r="AA838" s="51"/>
    </row>
    <row r="839" spans="11:27">
      <c r="K839" s="51"/>
      <c r="P839" s="50"/>
      <c r="W839" s="53"/>
      <c r="X839" s="53"/>
      <c r="Y839" s="51"/>
      <c r="Z839" s="51"/>
      <c r="AA839" s="51"/>
    </row>
    <row r="840" spans="11:27">
      <c r="K840" s="51"/>
      <c r="P840" s="50"/>
      <c r="W840" s="53"/>
      <c r="X840" s="53"/>
      <c r="Y840" s="51"/>
      <c r="Z840" s="51"/>
      <c r="AA840" s="51"/>
    </row>
    <row r="841" spans="11:27">
      <c r="K841" s="51"/>
      <c r="P841" s="50"/>
      <c r="W841" s="53"/>
      <c r="X841" s="53"/>
      <c r="Y841" s="51"/>
      <c r="Z841" s="51"/>
      <c r="AA841" s="51"/>
    </row>
    <row r="842" spans="11:27">
      <c r="K842" s="51"/>
      <c r="P842" s="50"/>
      <c r="W842" s="53"/>
      <c r="X842" s="53"/>
      <c r="Y842" s="51"/>
      <c r="Z842" s="51"/>
      <c r="AA842" s="51"/>
    </row>
    <row r="843" spans="11:27">
      <c r="K843" s="51"/>
      <c r="P843" s="50"/>
      <c r="W843" s="53"/>
      <c r="X843" s="53"/>
      <c r="Y843" s="51"/>
      <c r="Z843" s="51"/>
      <c r="AA843" s="51"/>
    </row>
    <row r="844" spans="11:27">
      <c r="K844" s="51"/>
      <c r="P844" s="50"/>
      <c r="W844" s="53"/>
      <c r="X844" s="53"/>
      <c r="Y844" s="51"/>
      <c r="Z844" s="51"/>
      <c r="AA844" s="51"/>
    </row>
    <row r="845" spans="11:27">
      <c r="K845" s="51"/>
      <c r="P845" s="50"/>
      <c r="W845" s="53"/>
      <c r="X845" s="53"/>
      <c r="Y845" s="51"/>
      <c r="Z845" s="51"/>
      <c r="AA845" s="51"/>
    </row>
    <row r="846" spans="11:27">
      <c r="K846" s="51"/>
      <c r="P846" s="50"/>
      <c r="W846" s="53"/>
      <c r="X846" s="53"/>
      <c r="Y846" s="51"/>
      <c r="Z846" s="51"/>
      <c r="AA846" s="51"/>
    </row>
    <row r="847" spans="11:27">
      <c r="K847" s="51"/>
      <c r="P847" s="50"/>
      <c r="W847" s="53"/>
      <c r="X847" s="53"/>
      <c r="Y847" s="51"/>
      <c r="Z847" s="51"/>
      <c r="AA847" s="51"/>
    </row>
    <row r="848" spans="11:27">
      <c r="K848" s="51"/>
      <c r="P848" s="50"/>
      <c r="W848" s="53"/>
      <c r="X848" s="53"/>
      <c r="Y848" s="51"/>
      <c r="Z848" s="51"/>
      <c r="AA848" s="51"/>
    </row>
    <row r="849" spans="11:27">
      <c r="K849" s="51"/>
      <c r="P849" s="50"/>
      <c r="W849" s="53"/>
      <c r="X849" s="53"/>
      <c r="Y849" s="51"/>
      <c r="Z849" s="51"/>
      <c r="AA849" s="51"/>
    </row>
    <row r="850" spans="11:27">
      <c r="K850" s="51"/>
      <c r="P850" s="50"/>
      <c r="W850" s="53"/>
      <c r="X850" s="53"/>
      <c r="Y850" s="51"/>
      <c r="Z850" s="51"/>
      <c r="AA850" s="51"/>
    </row>
    <row r="851" spans="11:27">
      <c r="K851" s="51"/>
      <c r="P851" s="50"/>
      <c r="W851" s="53"/>
      <c r="X851" s="53"/>
      <c r="Y851" s="51"/>
      <c r="Z851" s="51"/>
      <c r="AA851" s="51"/>
    </row>
    <row r="852" spans="11:27">
      <c r="K852" s="51"/>
      <c r="P852" s="50"/>
      <c r="W852" s="53"/>
      <c r="X852" s="53"/>
      <c r="Y852" s="51"/>
      <c r="Z852" s="51"/>
      <c r="AA852" s="51"/>
    </row>
    <row r="853" spans="11:27">
      <c r="K853" s="51"/>
      <c r="P853" s="50"/>
      <c r="W853" s="53"/>
      <c r="X853" s="53"/>
      <c r="Y853" s="51"/>
      <c r="Z853" s="51"/>
      <c r="AA853" s="51"/>
    </row>
    <row r="854" spans="11:27">
      <c r="K854" s="51"/>
      <c r="P854" s="50"/>
      <c r="W854" s="53"/>
      <c r="X854" s="53"/>
      <c r="Y854" s="51"/>
      <c r="Z854" s="51"/>
      <c r="AA854" s="51"/>
    </row>
    <row r="855" spans="11:27">
      <c r="K855" s="51"/>
      <c r="P855" s="50"/>
      <c r="W855" s="53"/>
      <c r="X855" s="53"/>
      <c r="Y855" s="51"/>
      <c r="Z855" s="51"/>
      <c r="AA855" s="51"/>
    </row>
    <row r="856" spans="11:27">
      <c r="K856" s="51"/>
      <c r="P856" s="50"/>
      <c r="W856" s="53"/>
      <c r="X856" s="53"/>
      <c r="Y856" s="51"/>
      <c r="Z856" s="51"/>
      <c r="AA856" s="51"/>
    </row>
    <row r="857" spans="11:27">
      <c r="K857" s="51"/>
      <c r="P857" s="50"/>
      <c r="W857" s="53"/>
      <c r="X857" s="53"/>
      <c r="Y857" s="51"/>
      <c r="Z857" s="51"/>
      <c r="AA857" s="51"/>
    </row>
    <row r="858" spans="11:27">
      <c r="K858" s="51"/>
      <c r="P858" s="50"/>
      <c r="W858" s="53"/>
      <c r="X858" s="53"/>
      <c r="Y858" s="51"/>
      <c r="Z858" s="51"/>
      <c r="AA858" s="51"/>
    </row>
    <row r="859" spans="11:27">
      <c r="K859" s="51"/>
      <c r="P859" s="50"/>
      <c r="W859" s="53"/>
      <c r="X859" s="53"/>
      <c r="Y859" s="51"/>
      <c r="Z859" s="51"/>
      <c r="AA859" s="51"/>
    </row>
    <row r="860" spans="11:27">
      <c r="K860" s="51"/>
      <c r="P860" s="50"/>
      <c r="W860" s="53"/>
      <c r="X860" s="53"/>
      <c r="Y860" s="51"/>
      <c r="Z860" s="51"/>
      <c r="AA860" s="51"/>
    </row>
    <row r="861" spans="11:27">
      <c r="K861" s="51"/>
      <c r="P861" s="50"/>
      <c r="W861" s="53"/>
      <c r="X861" s="53"/>
      <c r="Y861" s="51"/>
      <c r="Z861" s="51"/>
      <c r="AA861" s="51"/>
    </row>
    <row r="862" spans="11:27">
      <c r="K862" s="51"/>
      <c r="P862" s="50"/>
      <c r="W862" s="53"/>
      <c r="X862" s="53"/>
      <c r="Y862" s="51"/>
      <c r="Z862" s="51"/>
      <c r="AA862" s="51"/>
    </row>
    <row r="863" spans="11:27">
      <c r="K863" s="51"/>
      <c r="P863" s="50"/>
      <c r="W863" s="53"/>
      <c r="X863" s="53"/>
      <c r="Y863" s="51"/>
      <c r="Z863" s="51"/>
      <c r="AA863" s="51"/>
    </row>
    <row r="864" spans="11:27">
      <c r="K864" s="51"/>
      <c r="P864" s="50"/>
      <c r="W864" s="53"/>
      <c r="X864" s="53"/>
      <c r="Y864" s="51"/>
      <c r="Z864" s="51"/>
      <c r="AA864" s="51"/>
    </row>
    <row r="865" spans="11:27">
      <c r="K865" s="51"/>
      <c r="P865" s="50"/>
      <c r="W865" s="53"/>
      <c r="X865" s="53"/>
      <c r="Y865" s="51"/>
      <c r="Z865" s="51"/>
      <c r="AA865" s="51"/>
    </row>
    <row r="866" spans="11:27">
      <c r="K866" s="51"/>
      <c r="P866" s="50"/>
      <c r="W866" s="53"/>
      <c r="X866" s="53"/>
      <c r="Y866" s="51"/>
      <c r="Z866" s="51"/>
      <c r="AA866" s="51"/>
    </row>
    <row r="867" spans="11:27">
      <c r="K867" s="51"/>
      <c r="P867" s="50"/>
      <c r="W867" s="53"/>
      <c r="X867" s="53"/>
      <c r="Y867" s="51"/>
      <c r="Z867" s="51"/>
      <c r="AA867" s="51"/>
    </row>
    <row r="868" spans="11:27">
      <c r="K868" s="51"/>
      <c r="P868" s="50"/>
      <c r="W868" s="53"/>
      <c r="X868" s="53"/>
      <c r="Y868" s="51"/>
      <c r="Z868" s="51"/>
      <c r="AA868" s="51"/>
    </row>
    <row r="869" spans="11:27">
      <c r="K869" s="51"/>
      <c r="P869" s="50"/>
      <c r="W869" s="53"/>
      <c r="X869" s="53"/>
      <c r="Y869" s="51"/>
      <c r="Z869" s="51"/>
      <c r="AA869" s="51"/>
    </row>
    <row r="870" spans="11:27">
      <c r="K870" s="51"/>
      <c r="P870" s="50"/>
      <c r="W870" s="53"/>
      <c r="X870" s="53"/>
      <c r="Y870" s="51"/>
      <c r="Z870" s="51"/>
      <c r="AA870" s="51"/>
    </row>
    <row r="871" spans="11:27">
      <c r="K871" s="51"/>
      <c r="P871" s="50"/>
      <c r="W871" s="53"/>
      <c r="X871" s="53"/>
      <c r="Y871" s="51"/>
      <c r="Z871" s="51"/>
      <c r="AA871" s="51"/>
    </row>
    <row r="872" spans="11:27">
      <c r="K872" s="51"/>
      <c r="P872" s="50"/>
      <c r="W872" s="53"/>
      <c r="X872" s="53"/>
      <c r="Y872" s="51"/>
      <c r="Z872" s="51"/>
      <c r="AA872" s="51"/>
    </row>
    <row r="873" spans="11:27">
      <c r="K873" s="51"/>
      <c r="P873" s="50"/>
      <c r="W873" s="53"/>
      <c r="X873" s="53"/>
      <c r="Y873" s="51"/>
      <c r="Z873" s="51"/>
      <c r="AA873" s="51"/>
    </row>
    <row r="874" spans="11:27">
      <c r="K874" s="51"/>
      <c r="P874" s="50"/>
      <c r="W874" s="53"/>
      <c r="X874" s="53"/>
      <c r="Y874" s="51"/>
      <c r="Z874" s="51"/>
      <c r="AA874" s="51"/>
    </row>
    <row r="875" spans="11:27">
      <c r="K875" s="51"/>
      <c r="P875" s="50"/>
      <c r="W875" s="53"/>
      <c r="X875" s="53"/>
      <c r="Y875" s="51"/>
      <c r="Z875" s="51"/>
      <c r="AA875" s="51"/>
    </row>
    <row r="876" spans="11:27">
      <c r="K876" s="51"/>
      <c r="P876" s="50"/>
      <c r="W876" s="53"/>
      <c r="X876" s="53"/>
      <c r="Y876" s="51"/>
      <c r="Z876" s="51"/>
      <c r="AA876" s="51"/>
    </row>
    <row r="877" spans="11:27">
      <c r="K877" s="51"/>
      <c r="P877" s="50"/>
      <c r="W877" s="53"/>
      <c r="X877" s="53"/>
      <c r="Y877" s="51"/>
      <c r="Z877" s="51"/>
      <c r="AA877" s="51"/>
    </row>
    <row r="878" spans="11:27">
      <c r="K878" s="51"/>
      <c r="P878" s="50"/>
      <c r="W878" s="53"/>
      <c r="X878" s="53"/>
      <c r="Y878" s="51"/>
      <c r="Z878" s="51"/>
      <c r="AA878" s="51"/>
    </row>
    <row r="879" spans="11:27">
      <c r="K879" s="51"/>
      <c r="P879" s="50"/>
      <c r="W879" s="53"/>
      <c r="X879" s="53"/>
      <c r="Y879" s="51"/>
      <c r="Z879" s="51"/>
      <c r="AA879" s="51"/>
    </row>
    <row r="880" spans="11:27">
      <c r="K880" s="51"/>
      <c r="P880" s="50"/>
      <c r="W880" s="53"/>
      <c r="X880" s="53"/>
      <c r="Y880" s="51"/>
      <c r="Z880" s="51"/>
      <c r="AA880" s="51"/>
    </row>
    <row r="881" spans="11:27">
      <c r="K881" s="51"/>
      <c r="P881" s="50"/>
      <c r="W881" s="53"/>
      <c r="X881" s="53"/>
      <c r="Y881" s="51"/>
      <c r="Z881" s="51"/>
      <c r="AA881" s="51"/>
    </row>
    <row r="882" spans="11:27">
      <c r="K882" s="51"/>
      <c r="P882" s="50"/>
      <c r="W882" s="53"/>
      <c r="X882" s="53"/>
      <c r="Y882" s="51"/>
      <c r="Z882" s="51"/>
      <c r="AA882" s="51"/>
    </row>
    <row r="883" spans="11:27">
      <c r="K883" s="51"/>
      <c r="P883" s="50"/>
      <c r="W883" s="53"/>
      <c r="X883" s="53"/>
      <c r="Y883" s="51"/>
      <c r="Z883" s="51"/>
      <c r="AA883" s="51"/>
    </row>
    <row r="884" spans="11:27">
      <c r="K884" s="51"/>
      <c r="P884" s="50"/>
      <c r="W884" s="53"/>
      <c r="X884" s="53"/>
      <c r="Y884" s="51"/>
      <c r="Z884" s="51"/>
      <c r="AA884" s="51"/>
    </row>
    <row r="885" spans="11:27">
      <c r="K885" s="51"/>
      <c r="P885" s="50"/>
      <c r="W885" s="53"/>
      <c r="X885" s="53"/>
      <c r="Y885" s="51"/>
      <c r="Z885" s="51"/>
      <c r="AA885" s="51"/>
    </row>
    <row r="886" spans="11:27">
      <c r="K886" s="51"/>
      <c r="P886" s="50"/>
      <c r="W886" s="53"/>
      <c r="X886" s="53"/>
      <c r="Y886" s="51"/>
      <c r="Z886" s="51"/>
      <c r="AA886" s="51"/>
    </row>
    <row r="887" spans="11:27">
      <c r="K887" s="51"/>
      <c r="P887" s="50"/>
      <c r="W887" s="53"/>
      <c r="X887" s="53"/>
      <c r="Y887" s="51"/>
      <c r="Z887" s="51"/>
      <c r="AA887" s="51"/>
    </row>
    <row r="888" spans="11:27">
      <c r="K888" s="51"/>
      <c r="P888" s="50"/>
      <c r="W888" s="53"/>
      <c r="X888" s="53"/>
      <c r="Y888" s="51"/>
      <c r="Z888" s="51"/>
      <c r="AA888" s="51"/>
    </row>
    <row r="889" spans="11:27">
      <c r="K889" s="51"/>
      <c r="P889" s="50"/>
      <c r="W889" s="53"/>
      <c r="X889" s="53"/>
      <c r="Y889" s="51"/>
      <c r="Z889" s="51"/>
      <c r="AA889" s="51"/>
    </row>
    <row r="890" spans="11:27">
      <c r="K890" s="51"/>
      <c r="P890" s="50"/>
      <c r="W890" s="53"/>
      <c r="X890" s="53"/>
      <c r="Y890" s="51"/>
      <c r="Z890" s="51"/>
      <c r="AA890" s="51"/>
    </row>
    <row r="891" spans="11:27">
      <c r="K891" s="51"/>
      <c r="P891" s="50"/>
      <c r="W891" s="53"/>
      <c r="X891" s="53"/>
      <c r="Y891" s="51"/>
      <c r="Z891" s="51"/>
      <c r="AA891" s="51"/>
    </row>
    <row r="892" spans="11:27">
      <c r="K892" s="51"/>
      <c r="P892" s="50"/>
      <c r="W892" s="53"/>
      <c r="X892" s="53"/>
      <c r="Y892" s="51"/>
      <c r="Z892" s="51"/>
      <c r="AA892" s="51"/>
    </row>
    <row r="893" spans="11:27">
      <c r="K893" s="51"/>
      <c r="P893" s="50"/>
      <c r="W893" s="53"/>
      <c r="X893" s="53"/>
      <c r="Y893" s="51"/>
      <c r="Z893" s="51"/>
      <c r="AA893" s="51"/>
    </row>
    <row r="894" spans="11:27">
      <c r="K894" s="51"/>
      <c r="P894" s="50"/>
      <c r="W894" s="53"/>
      <c r="X894" s="53"/>
      <c r="Y894" s="51"/>
      <c r="Z894" s="51"/>
      <c r="AA894" s="51"/>
    </row>
    <row r="895" spans="11:27">
      <c r="K895" s="51"/>
      <c r="P895" s="50"/>
      <c r="W895" s="53"/>
      <c r="X895" s="53"/>
      <c r="Y895" s="51"/>
      <c r="Z895" s="51"/>
      <c r="AA895" s="51"/>
    </row>
    <row r="896" spans="11:27">
      <c r="K896" s="51"/>
      <c r="P896" s="50"/>
      <c r="W896" s="53"/>
      <c r="X896" s="53"/>
      <c r="Y896" s="51"/>
      <c r="Z896" s="51"/>
      <c r="AA896" s="51"/>
    </row>
    <row r="897" spans="11:27">
      <c r="K897" s="51"/>
      <c r="P897" s="50"/>
      <c r="W897" s="53"/>
      <c r="X897" s="53"/>
      <c r="Y897" s="51"/>
      <c r="Z897" s="51"/>
      <c r="AA897" s="51"/>
    </row>
    <row r="898" spans="11:27">
      <c r="K898" s="51"/>
      <c r="P898" s="50"/>
      <c r="W898" s="53"/>
      <c r="X898" s="53"/>
      <c r="Y898" s="51"/>
      <c r="Z898" s="51"/>
      <c r="AA898" s="51"/>
    </row>
    <row r="899" spans="11:27">
      <c r="K899" s="51"/>
      <c r="P899" s="50"/>
      <c r="W899" s="53"/>
      <c r="X899" s="53"/>
      <c r="Y899" s="51"/>
      <c r="Z899" s="51"/>
      <c r="AA899" s="51"/>
    </row>
    <row r="900" spans="11:27">
      <c r="K900" s="51"/>
      <c r="P900" s="50"/>
      <c r="W900" s="53"/>
      <c r="X900" s="53"/>
      <c r="Y900" s="51"/>
      <c r="Z900" s="51"/>
      <c r="AA900" s="51"/>
    </row>
    <row r="901" spans="11:27">
      <c r="K901" s="51"/>
      <c r="P901" s="50"/>
      <c r="W901" s="53"/>
      <c r="X901" s="53"/>
      <c r="Y901" s="51"/>
      <c r="Z901" s="51"/>
      <c r="AA901" s="51"/>
    </row>
    <row r="902" spans="11:27">
      <c r="K902" s="51"/>
      <c r="P902" s="50"/>
      <c r="W902" s="53"/>
      <c r="X902" s="53"/>
      <c r="Y902" s="51"/>
      <c r="Z902" s="51"/>
      <c r="AA902" s="51"/>
    </row>
    <row r="903" spans="11:27">
      <c r="K903" s="51"/>
      <c r="P903" s="50"/>
      <c r="W903" s="53"/>
      <c r="X903" s="53"/>
      <c r="Y903" s="51"/>
      <c r="Z903" s="51"/>
      <c r="AA903" s="51"/>
    </row>
    <row r="904" spans="11:27">
      <c r="K904" s="51"/>
      <c r="P904" s="50"/>
      <c r="W904" s="53"/>
      <c r="X904" s="53"/>
      <c r="Y904" s="51"/>
      <c r="Z904" s="51"/>
      <c r="AA904" s="51"/>
    </row>
    <row r="905" spans="11:27">
      <c r="K905" s="51"/>
      <c r="P905" s="50"/>
      <c r="W905" s="53"/>
      <c r="X905" s="53"/>
      <c r="Y905" s="51"/>
      <c r="Z905" s="51"/>
      <c r="AA905" s="51"/>
    </row>
    <row r="906" spans="11:27">
      <c r="K906" s="51"/>
      <c r="P906" s="50"/>
      <c r="W906" s="53"/>
      <c r="X906" s="53"/>
      <c r="Y906" s="51"/>
      <c r="Z906" s="51"/>
      <c r="AA906" s="51"/>
    </row>
    <row r="907" spans="11:27">
      <c r="K907" s="51"/>
      <c r="P907" s="50"/>
      <c r="W907" s="53"/>
      <c r="X907" s="53"/>
      <c r="Y907" s="51"/>
      <c r="Z907" s="51"/>
      <c r="AA907" s="51"/>
    </row>
    <row r="908" spans="11:27">
      <c r="K908" s="51"/>
      <c r="P908" s="50"/>
      <c r="W908" s="53"/>
      <c r="X908" s="53"/>
      <c r="Y908" s="51"/>
      <c r="Z908" s="51"/>
      <c r="AA908" s="51"/>
    </row>
    <row r="909" spans="11:27">
      <c r="K909" s="51"/>
      <c r="P909" s="50"/>
      <c r="W909" s="53"/>
      <c r="X909" s="53"/>
      <c r="Y909" s="51"/>
      <c r="Z909" s="51"/>
      <c r="AA909" s="51"/>
    </row>
    <row r="910" spans="11:27">
      <c r="K910" s="51"/>
      <c r="P910" s="50"/>
      <c r="W910" s="53"/>
      <c r="X910" s="53"/>
      <c r="Y910" s="51"/>
      <c r="Z910" s="51"/>
      <c r="AA910" s="51"/>
    </row>
    <row r="911" spans="11:27">
      <c r="K911" s="51"/>
      <c r="P911" s="50"/>
      <c r="W911" s="53"/>
      <c r="X911" s="53"/>
      <c r="Y911" s="51"/>
      <c r="Z911" s="51"/>
      <c r="AA911" s="51"/>
    </row>
    <row r="912" spans="11:27">
      <c r="K912" s="51"/>
      <c r="P912" s="50"/>
      <c r="W912" s="53"/>
      <c r="X912" s="53"/>
      <c r="Y912" s="51"/>
      <c r="Z912" s="51"/>
      <c r="AA912" s="51"/>
    </row>
    <row r="913" spans="11:27">
      <c r="K913" s="51"/>
      <c r="P913" s="50"/>
      <c r="W913" s="53"/>
      <c r="X913" s="53"/>
      <c r="Y913" s="51"/>
      <c r="Z913" s="51"/>
      <c r="AA913" s="51"/>
    </row>
    <row r="914" spans="11:27">
      <c r="K914" s="51"/>
      <c r="P914" s="50"/>
      <c r="W914" s="53"/>
      <c r="X914" s="53"/>
      <c r="Y914" s="51"/>
      <c r="Z914" s="51"/>
      <c r="AA914" s="51"/>
    </row>
    <row r="915" spans="11:27">
      <c r="K915" s="51"/>
      <c r="P915" s="50"/>
      <c r="W915" s="53"/>
      <c r="X915" s="53"/>
      <c r="Y915" s="51"/>
      <c r="Z915" s="51"/>
      <c r="AA915" s="51"/>
    </row>
    <row r="916" spans="11:27">
      <c r="K916" s="51"/>
      <c r="P916" s="50"/>
      <c r="W916" s="53"/>
      <c r="X916" s="53"/>
      <c r="Y916" s="51"/>
      <c r="Z916" s="51"/>
      <c r="AA916" s="51"/>
    </row>
    <row r="917" spans="11:27">
      <c r="K917" s="51"/>
      <c r="P917" s="50"/>
      <c r="W917" s="53"/>
      <c r="X917" s="53"/>
      <c r="Y917" s="51"/>
      <c r="Z917" s="51"/>
      <c r="AA917" s="51"/>
    </row>
    <row r="918" spans="11:27">
      <c r="K918" s="51"/>
      <c r="P918" s="50"/>
      <c r="W918" s="53"/>
      <c r="X918" s="53"/>
      <c r="Y918" s="51"/>
      <c r="Z918" s="51"/>
      <c r="AA918" s="51"/>
    </row>
    <row r="919" spans="11:27">
      <c r="K919" s="51"/>
      <c r="P919" s="50"/>
      <c r="W919" s="53"/>
      <c r="X919" s="53"/>
      <c r="Y919" s="51"/>
      <c r="Z919" s="51"/>
      <c r="AA919" s="51"/>
    </row>
    <row r="920" spans="11:27">
      <c r="K920" s="51"/>
      <c r="P920" s="50"/>
      <c r="W920" s="53"/>
      <c r="X920" s="53"/>
      <c r="Y920" s="51"/>
      <c r="Z920" s="51"/>
      <c r="AA920" s="51"/>
    </row>
    <row r="921" spans="11:27">
      <c r="K921" s="51"/>
      <c r="P921" s="50"/>
      <c r="W921" s="53"/>
      <c r="X921" s="53"/>
      <c r="Y921" s="51"/>
      <c r="Z921" s="51"/>
      <c r="AA921" s="51"/>
    </row>
    <row r="922" spans="11:27">
      <c r="K922" s="51"/>
      <c r="P922" s="50"/>
      <c r="W922" s="53"/>
      <c r="X922" s="53"/>
      <c r="Y922" s="51"/>
      <c r="Z922" s="51"/>
      <c r="AA922" s="51"/>
    </row>
    <row r="923" spans="11:27">
      <c r="K923" s="51"/>
      <c r="P923" s="50"/>
      <c r="W923" s="53"/>
      <c r="X923" s="53"/>
      <c r="Y923" s="51"/>
      <c r="Z923" s="51"/>
      <c r="AA923" s="51"/>
    </row>
    <row r="924" spans="11:27">
      <c r="K924" s="51"/>
      <c r="P924" s="50"/>
      <c r="W924" s="53"/>
      <c r="X924" s="53"/>
      <c r="Y924" s="51"/>
      <c r="Z924" s="51"/>
      <c r="AA924" s="51"/>
    </row>
    <row r="925" spans="11:27">
      <c r="K925" s="51"/>
      <c r="P925" s="50"/>
      <c r="W925" s="53"/>
      <c r="X925" s="53"/>
      <c r="Y925" s="51"/>
      <c r="Z925" s="51"/>
      <c r="AA925" s="51"/>
    </row>
    <row r="926" spans="11:27">
      <c r="K926" s="51"/>
      <c r="P926" s="50"/>
      <c r="W926" s="53"/>
      <c r="X926" s="53"/>
      <c r="Y926" s="51"/>
      <c r="Z926" s="51"/>
      <c r="AA926" s="51"/>
    </row>
    <row r="927" spans="11:27">
      <c r="K927" s="51"/>
      <c r="P927" s="50"/>
      <c r="W927" s="53"/>
      <c r="X927" s="53"/>
      <c r="Y927" s="51"/>
      <c r="Z927" s="51"/>
      <c r="AA927" s="51"/>
    </row>
    <row r="928" spans="11:27">
      <c r="K928" s="51"/>
      <c r="P928" s="50"/>
      <c r="W928" s="53"/>
      <c r="X928" s="53"/>
      <c r="Y928" s="51"/>
      <c r="Z928" s="51"/>
      <c r="AA928" s="51"/>
    </row>
    <row r="929" spans="11:27">
      <c r="K929" s="51"/>
      <c r="P929" s="50"/>
      <c r="W929" s="53"/>
      <c r="X929" s="53"/>
      <c r="Y929" s="51"/>
      <c r="Z929" s="51"/>
      <c r="AA929" s="51"/>
    </row>
    <row r="930" spans="11:27">
      <c r="K930" s="51"/>
      <c r="P930" s="50"/>
      <c r="W930" s="53"/>
      <c r="X930" s="53"/>
      <c r="Y930" s="51"/>
      <c r="Z930" s="51"/>
      <c r="AA930" s="51"/>
    </row>
    <row r="931" spans="11:27">
      <c r="K931" s="51"/>
      <c r="P931" s="50"/>
      <c r="W931" s="53"/>
      <c r="X931" s="53"/>
      <c r="Y931" s="51"/>
      <c r="Z931" s="51"/>
      <c r="AA931" s="51"/>
    </row>
    <row r="932" spans="11:27">
      <c r="K932" s="51"/>
      <c r="P932" s="50"/>
      <c r="W932" s="53"/>
      <c r="X932" s="53"/>
      <c r="Y932" s="51"/>
      <c r="Z932" s="51"/>
      <c r="AA932" s="51"/>
    </row>
    <row r="933" spans="11:27">
      <c r="K933" s="51"/>
      <c r="P933" s="50"/>
      <c r="W933" s="53"/>
      <c r="X933" s="53"/>
      <c r="Y933" s="51"/>
      <c r="Z933" s="51"/>
      <c r="AA933" s="51"/>
    </row>
    <row r="934" spans="11:27">
      <c r="K934" s="51"/>
      <c r="P934" s="50"/>
      <c r="W934" s="53"/>
      <c r="X934" s="53"/>
      <c r="Y934" s="51"/>
      <c r="Z934" s="51"/>
      <c r="AA934" s="51"/>
    </row>
    <row r="935" spans="11:27">
      <c r="K935" s="51"/>
      <c r="P935" s="50"/>
      <c r="W935" s="53"/>
      <c r="X935" s="53"/>
      <c r="Y935" s="51"/>
      <c r="Z935" s="51"/>
      <c r="AA935" s="51"/>
    </row>
    <row r="936" spans="11:27">
      <c r="K936" s="51"/>
      <c r="P936" s="50"/>
      <c r="W936" s="53"/>
      <c r="X936" s="53"/>
      <c r="Y936" s="51"/>
      <c r="Z936" s="51"/>
      <c r="AA936" s="51"/>
    </row>
    <row r="937" spans="11:27">
      <c r="K937" s="51"/>
      <c r="P937" s="50"/>
      <c r="W937" s="53"/>
      <c r="X937" s="53"/>
      <c r="Y937" s="51"/>
      <c r="Z937" s="51"/>
      <c r="AA937" s="51"/>
    </row>
    <row r="938" spans="11:27">
      <c r="K938" s="51"/>
      <c r="P938" s="50"/>
      <c r="W938" s="53"/>
      <c r="X938" s="53"/>
      <c r="Y938" s="51"/>
      <c r="Z938" s="51"/>
      <c r="AA938" s="51"/>
    </row>
    <row r="939" spans="11:27">
      <c r="K939" s="51"/>
      <c r="P939" s="50"/>
      <c r="W939" s="53"/>
      <c r="X939" s="53"/>
      <c r="Y939" s="51"/>
      <c r="Z939" s="51"/>
      <c r="AA939" s="51"/>
    </row>
    <row r="940" spans="11:27">
      <c r="K940" s="51"/>
      <c r="P940" s="50"/>
      <c r="W940" s="53"/>
      <c r="X940" s="53"/>
      <c r="Y940" s="51"/>
      <c r="Z940" s="51"/>
      <c r="AA940" s="51"/>
    </row>
    <row r="941" spans="11:27">
      <c r="K941" s="51"/>
      <c r="P941" s="50"/>
      <c r="W941" s="53"/>
      <c r="X941" s="53"/>
      <c r="Y941" s="51"/>
      <c r="Z941" s="51"/>
      <c r="AA941" s="51"/>
    </row>
    <row r="942" spans="11:27">
      <c r="K942" s="51"/>
      <c r="P942" s="50"/>
      <c r="W942" s="53"/>
      <c r="X942" s="53"/>
      <c r="Y942" s="51"/>
      <c r="Z942" s="51"/>
      <c r="AA942" s="51"/>
    </row>
    <row r="943" spans="11:27">
      <c r="K943" s="51"/>
      <c r="P943" s="50"/>
      <c r="W943" s="53"/>
      <c r="X943" s="53"/>
      <c r="Y943" s="51"/>
      <c r="Z943" s="51"/>
      <c r="AA943" s="51"/>
    </row>
    <row r="944" spans="11:27">
      <c r="K944" s="51"/>
      <c r="P944" s="50"/>
      <c r="W944" s="53"/>
      <c r="X944" s="53"/>
      <c r="Y944" s="51"/>
      <c r="Z944" s="51"/>
      <c r="AA944" s="51"/>
    </row>
    <row r="945" spans="11:27">
      <c r="K945" s="51"/>
      <c r="P945" s="50"/>
      <c r="W945" s="53"/>
      <c r="X945" s="53"/>
      <c r="Y945" s="51"/>
      <c r="Z945" s="51"/>
      <c r="AA945" s="51"/>
    </row>
    <row r="946" spans="11:27">
      <c r="K946" s="51"/>
      <c r="P946" s="50"/>
      <c r="W946" s="53"/>
      <c r="X946" s="53"/>
      <c r="Y946" s="51"/>
      <c r="Z946" s="51"/>
      <c r="AA946" s="51"/>
    </row>
    <row r="947" spans="11:27">
      <c r="K947" s="51"/>
      <c r="P947" s="50"/>
      <c r="W947" s="53"/>
      <c r="X947" s="53"/>
      <c r="Y947" s="51"/>
      <c r="Z947" s="51"/>
      <c r="AA947" s="51"/>
    </row>
    <row r="948" spans="11:27">
      <c r="K948" s="51"/>
      <c r="P948" s="50"/>
      <c r="W948" s="53"/>
      <c r="X948" s="53"/>
      <c r="Y948" s="51"/>
      <c r="Z948" s="51"/>
      <c r="AA948" s="51"/>
    </row>
    <row r="949" spans="11:27">
      <c r="K949" s="51"/>
      <c r="P949" s="50"/>
      <c r="W949" s="53"/>
      <c r="X949" s="53"/>
      <c r="Y949" s="51"/>
      <c r="Z949" s="51"/>
      <c r="AA949" s="51"/>
    </row>
    <row r="950" spans="11:27">
      <c r="K950" s="51"/>
      <c r="P950" s="50"/>
      <c r="W950" s="53"/>
      <c r="X950" s="53"/>
      <c r="Y950" s="51"/>
      <c r="Z950" s="51"/>
      <c r="AA950" s="51"/>
    </row>
    <row r="951" spans="11:27">
      <c r="K951" s="51"/>
      <c r="P951" s="50"/>
      <c r="W951" s="53"/>
      <c r="X951" s="53"/>
      <c r="Y951" s="51"/>
      <c r="Z951" s="51"/>
      <c r="AA951" s="51"/>
    </row>
    <row r="952" spans="11:27">
      <c r="K952" s="51"/>
      <c r="P952" s="50"/>
      <c r="W952" s="53"/>
      <c r="X952" s="53"/>
      <c r="Y952" s="51"/>
      <c r="Z952" s="51"/>
      <c r="AA952" s="51"/>
    </row>
    <row r="953" spans="11:27">
      <c r="K953" s="51"/>
      <c r="P953" s="50"/>
      <c r="W953" s="53"/>
      <c r="X953" s="53"/>
      <c r="Y953" s="51"/>
      <c r="Z953" s="51"/>
      <c r="AA953" s="51"/>
    </row>
    <row r="954" spans="11:27">
      <c r="K954" s="51"/>
      <c r="P954" s="50"/>
      <c r="W954" s="53"/>
      <c r="X954" s="53"/>
      <c r="Y954" s="51"/>
      <c r="Z954" s="51"/>
      <c r="AA954" s="51"/>
    </row>
    <row r="955" spans="11:27">
      <c r="K955" s="51"/>
      <c r="P955" s="50"/>
      <c r="W955" s="53"/>
      <c r="X955" s="53"/>
      <c r="Y955" s="51"/>
      <c r="Z955" s="51"/>
      <c r="AA955" s="51"/>
    </row>
    <row r="956" spans="11:27">
      <c r="K956" s="51"/>
      <c r="P956" s="50"/>
      <c r="W956" s="53"/>
      <c r="X956" s="53"/>
      <c r="Y956" s="51"/>
      <c r="Z956" s="51"/>
      <c r="AA956" s="51"/>
    </row>
    <row r="957" spans="11:27">
      <c r="K957" s="51"/>
      <c r="P957" s="50"/>
      <c r="W957" s="53"/>
      <c r="X957" s="53"/>
      <c r="Y957" s="51"/>
      <c r="Z957" s="51"/>
      <c r="AA957" s="51"/>
    </row>
    <row r="958" spans="11:27">
      <c r="K958" s="51"/>
      <c r="P958" s="50"/>
      <c r="W958" s="53"/>
      <c r="X958" s="53"/>
      <c r="Y958" s="51"/>
      <c r="Z958" s="51"/>
      <c r="AA958" s="51"/>
    </row>
    <row r="959" spans="11:27">
      <c r="K959" s="51"/>
      <c r="P959" s="50"/>
      <c r="W959" s="53"/>
      <c r="X959" s="53"/>
      <c r="Y959" s="51"/>
      <c r="Z959" s="51"/>
      <c r="AA959" s="51"/>
    </row>
    <row r="960" spans="11:27">
      <c r="K960" s="51"/>
      <c r="P960" s="50"/>
      <c r="W960" s="53"/>
      <c r="X960" s="53"/>
      <c r="Y960" s="51"/>
      <c r="Z960" s="51"/>
      <c r="AA960" s="51"/>
    </row>
    <row r="961" spans="11:27">
      <c r="K961" s="51"/>
      <c r="P961" s="50"/>
      <c r="W961" s="53"/>
      <c r="X961" s="53"/>
      <c r="Y961" s="51"/>
      <c r="Z961" s="51"/>
      <c r="AA961" s="51"/>
    </row>
    <row r="962" spans="11:27">
      <c r="K962" s="51"/>
      <c r="P962" s="50"/>
      <c r="W962" s="53"/>
      <c r="X962" s="53"/>
      <c r="Y962" s="51"/>
      <c r="Z962" s="51"/>
      <c r="AA962" s="51"/>
    </row>
    <row r="963" spans="11:27">
      <c r="K963" s="51"/>
      <c r="P963" s="50"/>
      <c r="W963" s="53"/>
      <c r="X963" s="53"/>
      <c r="Y963" s="51"/>
      <c r="Z963" s="51"/>
      <c r="AA963" s="51"/>
    </row>
    <row r="964" spans="11:27">
      <c r="K964" s="51"/>
      <c r="P964" s="50"/>
      <c r="W964" s="53"/>
      <c r="X964" s="53"/>
      <c r="Y964" s="51"/>
      <c r="Z964" s="51"/>
      <c r="AA964" s="51"/>
    </row>
    <row r="965" spans="11:27">
      <c r="K965" s="51"/>
      <c r="P965" s="50"/>
      <c r="W965" s="53"/>
      <c r="X965" s="53"/>
      <c r="Y965" s="51"/>
      <c r="Z965" s="51"/>
      <c r="AA965" s="51"/>
    </row>
    <row r="966" spans="11:27">
      <c r="K966" s="51"/>
      <c r="P966" s="50"/>
      <c r="W966" s="53"/>
      <c r="X966" s="53"/>
      <c r="Y966" s="51"/>
      <c r="Z966" s="51"/>
      <c r="AA966" s="51"/>
    </row>
    <row r="967" spans="11:27">
      <c r="K967" s="51"/>
      <c r="P967" s="50"/>
      <c r="W967" s="53"/>
      <c r="X967" s="53"/>
      <c r="Y967" s="51"/>
      <c r="Z967" s="51"/>
      <c r="AA967" s="51"/>
    </row>
    <row r="968" spans="11:27">
      <c r="K968" s="51"/>
      <c r="P968" s="50"/>
      <c r="W968" s="53"/>
      <c r="X968" s="53"/>
      <c r="Y968" s="51"/>
      <c r="Z968" s="51"/>
      <c r="AA968" s="51"/>
    </row>
    <row r="969" spans="11:27">
      <c r="K969" s="51"/>
      <c r="P969" s="50"/>
      <c r="W969" s="53"/>
      <c r="X969" s="53"/>
      <c r="Y969" s="51"/>
      <c r="Z969" s="51"/>
      <c r="AA969" s="51"/>
    </row>
    <row r="970" spans="11:27">
      <c r="K970" s="51"/>
      <c r="P970" s="50"/>
      <c r="W970" s="53"/>
      <c r="X970" s="53"/>
      <c r="Y970" s="51"/>
      <c r="Z970" s="51"/>
      <c r="AA970" s="51"/>
    </row>
    <row r="971" spans="11:27">
      <c r="K971" s="51"/>
      <c r="P971" s="50"/>
      <c r="W971" s="53"/>
      <c r="X971" s="53"/>
      <c r="Y971" s="51"/>
      <c r="Z971" s="51"/>
      <c r="AA971" s="51"/>
    </row>
    <row r="972" spans="11:27">
      <c r="K972" s="51"/>
      <c r="P972" s="50"/>
      <c r="W972" s="53"/>
      <c r="X972" s="53"/>
      <c r="Y972" s="51"/>
      <c r="Z972" s="51"/>
      <c r="AA972" s="51"/>
    </row>
    <row r="973" spans="11:27">
      <c r="K973" s="51"/>
      <c r="P973" s="50"/>
      <c r="W973" s="53"/>
      <c r="X973" s="53"/>
      <c r="Y973" s="51"/>
      <c r="Z973" s="51"/>
      <c r="AA973" s="51"/>
    </row>
    <row r="974" spans="11:27">
      <c r="K974" s="51"/>
      <c r="P974" s="50"/>
      <c r="W974" s="53"/>
      <c r="X974" s="53"/>
      <c r="Y974" s="51"/>
      <c r="Z974" s="51"/>
      <c r="AA974" s="51"/>
    </row>
    <row r="975" spans="11:27">
      <c r="K975" s="51"/>
      <c r="P975" s="50"/>
      <c r="W975" s="53"/>
      <c r="X975" s="53"/>
      <c r="Y975" s="51"/>
      <c r="Z975" s="51"/>
      <c r="AA975" s="51"/>
    </row>
    <row r="976" spans="11:27">
      <c r="K976" s="51"/>
      <c r="P976" s="50"/>
      <c r="W976" s="53"/>
      <c r="X976" s="53"/>
      <c r="Y976" s="51"/>
      <c r="Z976" s="51"/>
      <c r="AA976" s="51"/>
    </row>
    <row r="977" spans="11:27">
      <c r="K977" s="51"/>
      <c r="P977" s="50"/>
      <c r="W977" s="53"/>
      <c r="X977" s="53"/>
      <c r="Y977" s="51"/>
      <c r="Z977" s="51"/>
      <c r="AA977" s="51"/>
    </row>
    <row r="978" spans="11:27">
      <c r="K978" s="51"/>
      <c r="P978" s="50"/>
      <c r="W978" s="53"/>
      <c r="X978" s="53"/>
      <c r="Y978" s="51"/>
      <c r="Z978" s="51"/>
      <c r="AA978" s="51"/>
    </row>
    <row r="979" spans="11:27">
      <c r="K979" s="51"/>
      <c r="P979" s="50"/>
      <c r="W979" s="53"/>
      <c r="X979" s="53"/>
      <c r="Y979" s="51"/>
      <c r="Z979" s="51"/>
      <c r="AA979" s="51"/>
    </row>
    <row r="980" spans="11:27">
      <c r="K980" s="51"/>
      <c r="P980" s="50"/>
      <c r="W980" s="53"/>
      <c r="X980" s="53"/>
      <c r="Y980" s="51"/>
      <c r="Z980" s="51"/>
      <c r="AA980" s="51"/>
    </row>
    <row r="981" spans="11:27">
      <c r="K981" s="51"/>
      <c r="P981" s="50"/>
      <c r="W981" s="53"/>
      <c r="X981" s="53"/>
      <c r="Y981" s="51"/>
      <c r="Z981" s="51"/>
      <c r="AA981" s="51"/>
    </row>
    <row r="982" spans="11:27">
      <c r="K982" s="51"/>
      <c r="P982" s="50"/>
      <c r="W982" s="53"/>
      <c r="X982" s="53"/>
      <c r="Y982" s="51"/>
      <c r="Z982" s="51"/>
      <c r="AA982" s="51"/>
    </row>
    <row r="983" spans="11:27">
      <c r="K983" s="51"/>
      <c r="P983" s="50"/>
      <c r="W983" s="53"/>
      <c r="X983" s="53"/>
      <c r="Y983" s="51"/>
      <c r="Z983" s="51"/>
      <c r="AA983" s="51"/>
    </row>
    <row r="984" spans="11:27">
      <c r="K984" s="51"/>
      <c r="P984" s="50"/>
      <c r="W984" s="53"/>
      <c r="X984" s="53"/>
      <c r="Y984" s="51"/>
      <c r="Z984" s="51"/>
      <c r="AA984" s="51"/>
    </row>
    <row r="985" spans="11:27">
      <c r="K985" s="51"/>
      <c r="P985" s="50"/>
      <c r="W985" s="53"/>
      <c r="X985" s="53"/>
      <c r="Y985" s="51"/>
      <c r="Z985" s="51"/>
      <c r="AA985" s="51"/>
    </row>
    <row r="986" spans="11:27">
      <c r="K986" s="51"/>
      <c r="P986" s="50"/>
      <c r="W986" s="53"/>
      <c r="X986" s="53"/>
      <c r="Y986" s="51"/>
      <c r="Z986" s="51"/>
      <c r="AA986" s="51"/>
    </row>
    <row r="987" spans="11:27">
      <c r="K987" s="51"/>
      <c r="P987" s="50"/>
      <c r="W987" s="53"/>
      <c r="X987" s="53"/>
      <c r="Y987" s="51"/>
      <c r="Z987" s="51"/>
      <c r="AA987" s="51"/>
    </row>
    <row r="988" spans="11:27">
      <c r="K988" s="51"/>
      <c r="P988" s="50"/>
      <c r="W988" s="53"/>
      <c r="X988" s="53"/>
      <c r="Y988" s="51"/>
      <c r="Z988" s="51"/>
      <c r="AA988" s="51"/>
    </row>
    <row r="989" spans="11:27">
      <c r="K989" s="51"/>
      <c r="P989" s="50"/>
      <c r="W989" s="53"/>
      <c r="X989" s="53"/>
      <c r="Y989" s="51"/>
      <c r="Z989" s="51"/>
      <c r="AA989" s="51"/>
    </row>
    <row r="990" spans="11:27">
      <c r="K990" s="51"/>
      <c r="P990" s="50"/>
      <c r="W990" s="53"/>
      <c r="X990" s="53"/>
      <c r="Y990" s="51"/>
      <c r="Z990" s="51"/>
      <c r="AA990" s="51"/>
    </row>
    <row r="991" spans="11:27">
      <c r="K991" s="51"/>
      <c r="P991" s="50"/>
      <c r="W991" s="53"/>
      <c r="X991" s="53"/>
      <c r="Y991" s="51"/>
      <c r="Z991" s="51"/>
      <c r="AA991" s="51"/>
    </row>
    <row r="992" spans="11:27">
      <c r="K992" s="51"/>
      <c r="P992" s="50"/>
      <c r="W992" s="53"/>
      <c r="X992" s="53"/>
      <c r="Y992" s="51"/>
      <c r="Z992" s="51"/>
      <c r="AA992" s="51"/>
    </row>
    <row r="993" spans="11:27">
      <c r="K993" s="51"/>
      <c r="P993" s="50"/>
      <c r="W993" s="53"/>
      <c r="X993" s="53"/>
      <c r="Y993" s="51"/>
      <c r="Z993" s="51"/>
      <c r="AA993" s="51"/>
    </row>
    <row r="994" spans="11:27">
      <c r="K994" s="51"/>
      <c r="P994" s="50"/>
      <c r="W994" s="53"/>
      <c r="X994" s="53"/>
      <c r="Y994" s="51"/>
      <c r="Z994" s="51"/>
      <c r="AA994" s="51"/>
    </row>
    <row r="995" spans="11:27">
      <c r="K995" s="51"/>
      <c r="P995" s="50"/>
      <c r="W995" s="53"/>
      <c r="X995" s="53"/>
      <c r="Y995" s="51"/>
      <c r="Z995" s="51"/>
      <c r="AA995" s="51"/>
    </row>
    <row r="996" spans="11:27">
      <c r="K996" s="51"/>
      <c r="P996" s="50"/>
      <c r="W996" s="53"/>
      <c r="X996" s="53"/>
      <c r="Y996" s="51"/>
      <c r="Z996" s="51"/>
      <c r="AA996" s="51"/>
    </row>
    <row r="997" spans="11:27">
      <c r="K997" s="51"/>
      <c r="P997" s="50"/>
      <c r="W997" s="53"/>
      <c r="X997" s="53"/>
      <c r="Y997" s="51"/>
      <c r="Z997" s="51"/>
      <c r="AA997" s="51"/>
    </row>
    <row r="998" spans="11:27">
      <c r="K998" s="51"/>
      <c r="P998" s="50"/>
      <c r="W998" s="53"/>
      <c r="X998" s="53"/>
      <c r="Y998" s="51"/>
      <c r="Z998" s="51"/>
      <c r="AA998" s="51"/>
    </row>
    <row r="999" spans="11:27">
      <c r="K999" s="51"/>
      <c r="P999" s="50"/>
      <c r="W999" s="53"/>
      <c r="X999" s="53"/>
      <c r="Y999" s="51"/>
      <c r="Z999" s="51"/>
      <c r="AA999" s="51"/>
    </row>
    <row r="1000" spans="11:27">
      <c r="K1000" s="51"/>
      <c r="P1000" s="50"/>
      <c r="W1000" s="53"/>
      <c r="X1000" s="53"/>
      <c r="Y1000" s="51"/>
      <c r="Z1000" s="51"/>
      <c r="AA1000" s="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43.453125" customWidth="1"/>
    <col min="4" max="4" width="23" customWidth="1"/>
    <col min="5" max="5" width="22" customWidth="1"/>
    <col min="6" max="6" width="24" customWidth="1"/>
    <col min="7" max="7" width="24.26953125" customWidth="1"/>
    <col min="8" max="10" width="23" customWidth="1"/>
    <col min="11" max="11" width="22.7265625" customWidth="1"/>
    <col min="12" max="13" width="23" customWidth="1"/>
    <col min="14" max="14" width="22" customWidth="1"/>
    <col min="15" max="15" width="29.1796875" customWidth="1"/>
    <col min="16" max="16" width="21.45312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455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4" t="s">
        <v>472</v>
      </c>
      <c r="Y1" s="5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337</v>
      </c>
      <c r="C2" s="7" t="s">
        <v>338</v>
      </c>
      <c r="D2" s="10">
        <v>229296000000</v>
      </c>
      <c r="E2" s="10">
        <v>33696815824</v>
      </c>
      <c r="F2" s="16">
        <v>849799701091</v>
      </c>
      <c r="G2" s="16">
        <f t="shared" ref="G2:G34" si="0">I2-H2</f>
        <v>204275610836</v>
      </c>
      <c r="H2" s="10">
        <v>235154667857</v>
      </c>
      <c r="I2" s="10">
        <v>439430278693</v>
      </c>
      <c r="J2" s="10">
        <v>410369422397</v>
      </c>
      <c r="K2" s="8">
        <v>2800000000</v>
      </c>
      <c r="L2" s="10">
        <v>200658519501</v>
      </c>
      <c r="M2" s="10">
        <v>90382621588</v>
      </c>
      <c r="N2" s="9">
        <f>42837978596+838722643</f>
        <v>43676701239</v>
      </c>
      <c r="O2" s="12">
        <v>50247119273</v>
      </c>
      <c r="P2" s="50"/>
      <c r="Q2" s="51">
        <v>89</v>
      </c>
      <c r="R2" s="51">
        <f t="shared" ref="R2:R34" si="1">D2/G2</f>
        <v>1.1224834871945986</v>
      </c>
      <c r="S2" s="58">
        <f t="shared" ref="S2:S34" si="2">H2/J2</f>
        <v>0.57303165153837032</v>
      </c>
      <c r="T2" s="51">
        <f t="shared" ref="T2:T34" si="3">O2/F2</f>
        <v>5.9128191276710436E-2</v>
      </c>
      <c r="U2" s="51">
        <f t="shared" ref="U2:U34" si="4">O2/J2</f>
        <v>0.1224436240388054</v>
      </c>
      <c r="V2" s="51">
        <f t="shared" ref="V2:V34" si="5">O2/L2</f>
        <v>0.25041109342356921</v>
      </c>
      <c r="W2" s="51">
        <f t="shared" ref="W2:W34" si="6">(P2/K2)/Q2</f>
        <v>0</v>
      </c>
      <c r="X2" s="51">
        <f t="shared" ref="X2:X34" si="7">(P2/O2)</f>
        <v>0</v>
      </c>
      <c r="Y2" s="58">
        <f t="shared" ref="Y2:Y34" si="8">Q2/(O2/K2)</f>
        <v>4.9594882971511201</v>
      </c>
      <c r="Z2" s="51">
        <f t="shared" ref="Z2:Z34" si="9">Q2/(J2/K2)</f>
        <v>0.60725772048122695</v>
      </c>
      <c r="AA2" s="52">
        <v>5</v>
      </c>
    </row>
    <row r="3" spans="1:27">
      <c r="A3" s="6">
        <v>2019</v>
      </c>
      <c r="B3" s="6" t="s">
        <v>337</v>
      </c>
      <c r="C3" s="7" t="s">
        <v>338</v>
      </c>
      <c r="D3" s="10">
        <v>391674006298</v>
      </c>
      <c r="E3" s="10">
        <v>34992765408</v>
      </c>
      <c r="F3" s="16">
        <v>467065425451</v>
      </c>
      <c r="G3" s="16">
        <f t="shared" si="0"/>
        <v>283080536190</v>
      </c>
      <c r="H3" s="10">
        <v>150449955614</v>
      </c>
      <c r="I3" s="10">
        <v>433530491804</v>
      </c>
      <c r="J3" s="10">
        <v>433534933647</v>
      </c>
      <c r="K3" s="8">
        <v>2800000000</v>
      </c>
      <c r="L3" s="10">
        <v>131094399577</v>
      </c>
      <c r="M3" s="10">
        <v>65808695362</v>
      </c>
      <c r="N3" s="9">
        <f>44178083086+68572459</f>
        <v>44246655545</v>
      </c>
      <c r="O3" s="12">
        <v>23201520208</v>
      </c>
      <c r="P3" s="50"/>
      <c r="Q3" s="51">
        <v>64</v>
      </c>
      <c r="R3" s="51">
        <f t="shared" si="1"/>
        <v>1.3836133404633424</v>
      </c>
      <c r="S3" s="58">
        <f t="shared" si="2"/>
        <v>0.34703075562649321</v>
      </c>
      <c r="T3" s="51">
        <f t="shared" si="3"/>
        <v>4.9675096771713577E-2</v>
      </c>
      <c r="U3" s="51">
        <f t="shared" si="4"/>
        <v>5.3517071883511756E-2</v>
      </c>
      <c r="V3" s="51">
        <f t="shared" si="5"/>
        <v>0.17698330579234459</v>
      </c>
      <c r="W3" s="51">
        <f t="shared" si="6"/>
        <v>0</v>
      </c>
      <c r="X3" s="51">
        <f t="shared" si="7"/>
        <v>0</v>
      </c>
      <c r="Y3" s="58">
        <f t="shared" si="8"/>
        <v>7.7236318307371485</v>
      </c>
      <c r="Z3" s="51">
        <f t="shared" si="9"/>
        <v>0.41334615988733958</v>
      </c>
      <c r="AA3" s="52">
        <v>5</v>
      </c>
    </row>
    <row r="4" spans="1:27">
      <c r="A4" s="6">
        <v>2020</v>
      </c>
      <c r="B4" s="6" t="s">
        <v>337</v>
      </c>
      <c r="C4" s="7" t="s">
        <v>338</v>
      </c>
      <c r="D4" s="10">
        <v>395767984973</v>
      </c>
      <c r="E4" s="10">
        <v>39270240610</v>
      </c>
      <c r="F4" s="10">
        <v>909264462663</v>
      </c>
      <c r="G4" s="16">
        <f t="shared" si="0"/>
        <v>308300895925</v>
      </c>
      <c r="H4" s="10">
        <v>154371558000</v>
      </c>
      <c r="I4" s="10">
        <v>462672453925</v>
      </c>
      <c r="J4" s="10">
        <v>446592008738</v>
      </c>
      <c r="K4" s="8">
        <v>2800000000</v>
      </c>
      <c r="L4" s="10">
        <v>73155228143</v>
      </c>
      <c r="M4" s="10">
        <v>37845260341</v>
      </c>
      <c r="N4" s="9">
        <f>39469729585+216954228</f>
        <v>39686683813</v>
      </c>
      <c r="O4" s="12">
        <v>12990816748</v>
      </c>
      <c r="P4" s="50"/>
      <c r="Q4" s="51">
        <v>75</v>
      </c>
      <c r="R4" s="51">
        <f t="shared" si="1"/>
        <v>1.2837068922085715</v>
      </c>
      <c r="S4" s="58">
        <f t="shared" si="2"/>
        <v>0.34566574183947035</v>
      </c>
      <c r="T4" s="51">
        <f t="shared" si="3"/>
        <v>1.4287170874305661E-2</v>
      </c>
      <c r="U4" s="51">
        <f t="shared" si="4"/>
        <v>2.908878012553346E-2</v>
      </c>
      <c r="V4" s="51">
        <f t="shared" si="5"/>
        <v>0.17757878797953078</v>
      </c>
      <c r="W4" s="51">
        <f t="shared" si="6"/>
        <v>0</v>
      </c>
      <c r="X4" s="51">
        <f t="shared" si="7"/>
        <v>0</v>
      </c>
      <c r="Y4" s="58">
        <f t="shared" si="8"/>
        <v>16.165265361958902</v>
      </c>
      <c r="Z4" s="51">
        <f t="shared" si="9"/>
        <v>0.4702278497849246</v>
      </c>
      <c r="AA4" s="52">
        <v>5</v>
      </c>
    </row>
    <row r="5" spans="1:27">
      <c r="A5" s="6">
        <v>2018</v>
      </c>
      <c r="B5" s="6" t="s">
        <v>341</v>
      </c>
      <c r="C5" s="7" t="s">
        <v>342</v>
      </c>
      <c r="D5" s="9">
        <v>20948678473652</v>
      </c>
      <c r="E5" s="10">
        <v>676536086022</v>
      </c>
      <c r="F5" s="10">
        <v>52101492204552</v>
      </c>
      <c r="G5" s="16">
        <f t="shared" si="0"/>
        <v>6231233383026</v>
      </c>
      <c r="H5" s="10">
        <v>15583360871276</v>
      </c>
      <c r="I5" s="10">
        <v>21814594254302</v>
      </c>
      <c r="J5" s="10">
        <v>30286897950250</v>
      </c>
      <c r="K5" s="8">
        <v>40000000000</v>
      </c>
      <c r="L5" s="10">
        <v>6628782185008</v>
      </c>
      <c r="M5" s="10">
        <v>1874274191288</v>
      </c>
      <c r="N5" s="18">
        <f>1301675569437+281982923302</f>
        <v>1583658492739</v>
      </c>
      <c r="O5" s="12">
        <v>1701817694927</v>
      </c>
      <c r="P5" s="50">
        <v>67813057500</v>
      </c>
      <c r="Q5" s="51">
        <v>1255</v>
      </c>
      <c r="R5" s="51">
        <f t="shared" si="1"/>
        <v>3.3618831435068062</v>
      </c>
      <c r="S5" s="58">
        <f t="shared" si="2"/>
        <v>0.51452482511987885</v>
      </c>
      <c r="T5" s="51">
        <f t="shared" si="3"/>
        <v>3.2663511598585569E-2</v>
      </c>
      <c r="U5" s="51">
        <f t="shared" si="4"/>
        <v>5.6189897615874937E-2</v>
      </c>
      <c r="V5" s="51">
        <f t="shared" si="5"/>
        <v>0.2567315756393263</v>
      </c>
      <c r="W5" s="51">
        <f t="shared" si="6"/>
        <v>1.350857719123506E-3</v>
      </c>
      <c r="X5" s="51">
        <f t="shared" si="7"/>
        <v>3.9847427666398108E-2</v>
      </c>
      <c r="Y5" s="58">
        <f t="shared" si="8"/>
        <v>29.497871687221672</v>
      </c>
      <c r="Z5" s="51">
        <f t="shared" si="9"/>
        <v>1.6574823899912019</v>
      </c>
      <c r="AA5" s="52">
        <v>5</v>
      </c>
    </row>
    <row r="6" spans="1:27">
      <c r="A6" s="6">
        <v>2019</v>
      </c>
      <c r="B6" s="6" t="s">
        <v>341</v>
      </c>
      <c r="C6" s="7" t="s">
        <v>342</v>
      </c>
      <c r="D6" s="9">
        <v>24256712740291</v>
      </c>
      <c r="E6" s="10">
        <v>631541383154</v>
      </c>
      <c r="F6" s="10">
        <v>54444849052447</v>
      </c>
      <c r="G6" s="16">
        <f t="shared" si="0"/>
        <v>6159441542866</v>
      </c>
      <c r="H6" s="10">
        <v>14737901627736</v>
      </c>
      <c r="I6" s="10">
        <v>20897343170602</v>
      </c>
      <c r="J6" s="10">
        <v>33547505881845</v>
      </c>
      <c r="K6" s="8">
        <v>40000000000</v>
      </c>
      <c r="L6" s="10">
        <v>7084864038574</v>
      </c>
      <c r="M6" s="10">
        <v>2018798088448</v>
      </c>
      <c r="N6" s="9">
        <f>1324227647413+299760795937</f>
        <v>1623988443350</v>
      </c>
      <c r="O6" s="12">
        <v>3130076103452</v>
      </c>
      <c r="P6" s="50">
        <v>110113140796</v>
      </c>
      <c r="Q6" s="51">
        <v>1255</v>
      </c>
      <c r="R6" s="51">
        <f t="shared" si="1"/>
        <v>3.9381350681679339</v>
      </c>
      <c r="S6" s="58">
        <f t="shared" si="2"/>
        <v>0.43931437644405491</v>
      </c>
      <c r="T6" s="51">
        <f t="shared" si="3"/>
        <v>5.7490766489898461E-2</v>
      </c>
      <c r="U6" s="51">
        <f t="shared" si="4"/>
        <v>9.3302796174362171E-2</v>
      </c>
      <c r="V6" s="51">
        <f t="shared" si="5"/>
        <v>0.4417976246841292</v>
      </c>
      <c r="W6" s="51">
        <f t="shared" si="6"/>
        <v>2.1934888604780876E-3</v>
      </c>
      <c r="X6" s="51">
        <f t="shared" si="7"/>
        <v>3.5179061836407712E-2</v>
      </c>
      <c r="Y6" s="58">
        <f t="shared" si="8"/>
        <v>16.037948708223738</v>
      </c>
      <c r="Z6" s="51">
        <f t="shared" si="9"/>
        <v>1.4963854593782746</v>
      </c>
      <c r="AA6" s="52">
        <v>5</v>
      </c>
    </row>
    <row r="7" spans="1:27">
      <c r="A7" s="6">
        <v>2020</v>
      </c>
      <c r="B7" s="6" t="s">
        <v>341</v>
      </c>
      <c r="C7" s="7" t="s">
        <v>342</v>
      </c>
      <c r="D7" s="9">
        <v>28364288311886</v>
      </c>
      <c r="E7" s="10">
        <v>584619322260</v>
      </c>
      <c r="F7" s="10">
        <v>60862926586750</v>
      </c>
      <c r="G7" s="16">
        <f t="shared" si="0"/>
        <v>11965625224530</v>
      </c>
      <c r="H7" s="10">
        <v>14426198886396</v>
      </c>
      <c r="I7" s="10">
        <v>26391824110926</v>
      </c>
      <c r="J7" s="10">
        <v>34471102475824</v>
      </c>
      <c r="K7" s="8">
        <v>40000000000</v>
      </c>
      <c r="L7" s="10">
        <v>6180589086059</v>
      </c>
      <c r="M7" s="10">
        <v>1928745848318</v>
      </c>
      <c r="N7" s="9">
        <f>1235289881113+221931907917</f>
        <v>1457221789030</v>
      </c>
      <c r="O7" s="12">
        <v>486257814158</v>
      </c>
      <c r="P7" s="50">
        <v>186238102446</v>
      </c>
      <c r="Q7" s="51">
        <v>1225</v>
      </c>
      <c r="R7" s="51">
        <f t="shared" si="1"/>
        <v>2.3704810889228001</v>
      </c>
      <c r="S7" s="58">
        <f t="shared" si="2"/>
        <v>0.41850123292440922</v>
      </c>
      <c r="T7" s="51">
        <f t="shared" si="3"/>
        <v>7.9893925814579457E-3</v>
      </c>
      <c r="U7" s="51">
        <f t="shared" si="4"/>
        <v>1.4106244919176362E-2</v>
      </c>
      <c r="V7" s="51">
        <f t="shared" si="5"/>
        <v>7.8674994792132052E-2</v>
      </c>
      <c r="W7" s="51">
        <f t="shared" si="6"/>
        <v>3.8007776009387757E-3</v>
      </c>
      <c r="X7" s="51">
        <f t="shared" si="7"/>
        <v>0.38300279609591131</v>
      </c>
      <c r="Y7" s="58">
        <f t="shared" si="8"/>
        <v>100.76958883395632</v>
      </c>
      <c r="Z7" s="51">
        <f t="shared" si="9"/>
        <v>1.4214805004964872</v>
      </c>
      <c r="AA7" s="52">
        <v>5</v>
      </c>
    </row>
    <row r="8" spans="1:27">
      <c r="A8" s="6">
        <v>2018</v>
      </c>
      <c r="B8" s="6" t="s">
        <v>343</v>
      </c>
      <c r="C8" s="7" t="s">
        <v>344</v>
      </c>
      <c r="D8" s="9">
        <v>16151959000000</v>
      </c>
      <c r="E8" s="10">
        <v>3113950000000</v>
      </c>
      <c r="F8" s="10">
        <v>34289017000000</v>
      </c>
      <c r="G8" s="16">
        <f t="shared" si="0"/>
        <v>7994843000000</v>
      </c>
      <c r="H8" s="10">
        <v>9649898000000</v>
      </c>
      <c r="I8" s="10">
        <v>17644741000000</v>
      </c>
      <c r="J8" s="10">
        <v>16644276000000</v>
      </c>
      <c r="K8" s="8">
        <v>36000000000</v>
      </c>
      <c r="L8" s="10">
        <v>7670405000000</v>
      </c>
      <c r="M8" s="10">
        <v>4042138000000</v>
      </c>
      <c r="N8" s="9">
        <f>1210546000000+372585000000+270853000000</f>
        <v>1853984000000</v>
      </c>
      <c r="O8" s="12">
        <v>1302702000000</v>
      </c>
      <c r="P8" s="50">
        <v>196839000000</v>
      </c>
      <c r="Q8" s="51">
        <v>1010</v>
      </c>
      <c r="R8" s="51">
        <f t="shared" si="1"/>
        <v>2.0202972090884086</v>
      </c>
      <c r="S8" s="58">
        <f t="shared" si="2"/>
        <v>0.57977276993003479</v>
      </c>
      <c r="T8" s="51">
        <f t="shared" si="3"/>
        <v>3.7991815280093912E-2</v>
      </c>
      <c r="U8" s="51">
        <f t="shared" si="4"/>
        <v>7.8267267377685884E-2</v>
      </c>
      <c r="V8" s="51">
        <f t="shared" si="5"/>
        <v>0.16983483922948006</v>
      </c>
      <c r="W8" s="51">
        <f t="shared" si="6"/>
        <v>5.413613861386138E-3</v>
      </c>
      <c r="X8" s="51">
        <f t="shared" si="7"/>
        <v>0.15110055868494868</v>
      </c>
      <c r="Y8" s="58">
        <f t="shared" si="8"/>
        <v>27.911218375346014</v>
      </c>
      <c r="Z8" s="51">
        <f t="shared" si="9"/>
        <v>2.1845347914201856</v>
      </c>
      <c r="AA8" s="52">
        <v>5</v>
      </c>
    </row>
    <row r="9" spans="1:27">
      <c r="A9" s="6">
        <v>2019</v>
      </c>
      <c r="B9" s="6" t="s">
        <v>343</v>
      </c>
      <c r="C9" s="7" t="s">
        <v>344</v>
      </c>
      <c r="D9" s="9">
        <v>18195176000000</v>
      </c>
      <c r="E9" s="10">
        <v>3089106000000</v>
      </c>
      <c r="F9" s="10">
        <v>36196024000000</v>
      </c>
      <c r="G9" s="16">
        <f t="shared" si="0"/>
        <v>8368689000000</v>
      </c>
      <c r="H9" s="10">
        <v>10065767000000</v>
      </c>
      <c r="I9" s="10">
        <v>18434456000000</v>
      </c>
      <c r="J9" s="10">
        <v>17761568000000</v>
      </c>
      <c r="K9" s="8">
        <v>36000000000</v>
      </c>
      <c r="L9" s="10">
        <v>7608237000000</v>
      </c>
      <c r="M9" s="10">
        <v>3816495000000</v>
      </c>
      <c r="N9" s="9">
        <f>1252875000000+383428000000+372687000000</f>
        <v>2008990000000</v>
      </c>
      <c r="O9" s="12">
        <v>1283281000000</v>
      </c>
      <c r="P9" s="50">
        <v>209264000000</v>
      </c>
      <c r="Q9" s="51">
        <v>1040</v>
      </c>
      <c r="R9" s="51">
        <f t="shared" si="1"/>
        <v>2.1741966991484567</v>
      </c>
      <c r="S9" s="58">
        <f t="shared" si="2"/>
        <v>0.56671612551324302</v>
      </c>
      <c r="T9" s="51">
        <f t="shared" si="3"/>
        <v>3.54536454059153E-2</v>
      </c>
      <c r="U9" s="51">
        <f t="shared" si="4"/>
        <v>7.2250434195899826E-2</v>
      </c>
      <c r="V9" s="51">
        <f t="shared" si="5"/>
        <v>0.16866995599637602</v>
      </c>
      <c r="W9" s="51">
        <f t="shared" si="6"/>
        <v>5.5893162393162391E-3</v>
      </c>
      <c r="X9" s="51">
        <f t="shared" si="7"/>
        <v>0.16306950699028505</v>
      </c>
      <c r="Y9" s="58">
        <f t="shared" si="8"/>
        <v>29.175215716588966</v>
      </c>
      <c r="Z9" s="51">
        <f t="shared" si="9"/>
        <v>2.1079220032825932</v>
      </c>
      <c r="AA9" s="52">
        <v>5</v>
      </c>
    </row>
    <row r="10" spans="1:27">
      <c r="A10" s="6">
        <v>2020</v>
      </c>
      <c r="B10" s="6" t="s">
        <v>343</v>
      </c>
      <c r="C10" s="7" t="s">
        <v>344</v>
      </c>
      <c r="D10" s="9">
        <v>20645596000000</v>
      </c>
      <c r="E10" s="10">
        <v>2594980000000</v>
      </c>
      <c r="F10" s="10">
        <v>39255187000000</v>
      </c>
      <c r="G10" s="16">
        <f t="shared" si="0"/>
        <v>11609414000000</v>
      </c>
      <c r="H10" s="10">
        <v>10188245000000</v>
      </c>
      <c r="I10" s="10">
        <v>21797659000000</v>
      </c>
      <c r="J10" s="10">
        <v>17457528000000</v>
      </c>
      <c r="K10" s="8">
        <v>36000000000</v>
      </c>
      <c r="L10" s="10">
        <v>8070737000000</v>
      </c>
      <c r="M10" s="10">
        <v>3949402000000</v>
      </c>
      <c r="N10" s="9">
        <f>1166156000000+356561000000+399197000000</f>
        <v>1921914000000</v>
      </c>
      <c r="O10" s="12">
        <v>1370686000000</v>
      </c>
      <c r="P10" s="50">
        <v>175309000000</v>
      </c>
      <c r="Q10" s="51">
        <v>985</v>
      </c>
      <c r="R10" s="51">
        <f t="shared" si="1"/>
        <v>1.7783495359886381</v>
      </c>
      <c r="S10" s="58">
        <f t="shared" si="2"/>
        <v>0.58360181349845175</v>
      </c>
      <c r="T10" s="51">
        <f t="shared" si="3"/>
        <v>3.4917321881564337E-2</v>
      </c>
      <c r="U10" s="51">
        <f t="shared" si="4"/>
        <v>7.8515469085886622E-2</v>
      </c>
      <c r="V10" s="51">
        <f t="shared" si="5"/>
        <v>0.16983405604717389</v>
      </c>
      <c r="W10" s="51">
        <f t="shared" si="6"/>
        <v>4.9438522278623803E-3</v>
      </c>
      <c r="X10" s="51">
        <f t="shared" si="7"/>
        <v>0.12789873100038959</v>
      </c>
      <c r="Y10" s="58">
        <f t="shared" si="8"/>
        <v>25.870257666599063</v>
      </c>
      <c r="Z10" s="51">
        <f t="shared" si="9"/>
        <v>2.0312154160657796</v>
      </c>
      <c r="AA10" s="52">
        <v>5</v>
      </c>
    </row>
    <row r="11" spans="1:27">
      <c r="A11" s="6">
        <v>2018</v>
      </c>
      <c r="B11" s="6" t="s">
        <v>345</v>
      </c>
      <c r="C11" s="7" t="s">
        <v>346</v>
      </c>
      <c r="D11" s="9">
        <v>383811502955</v>
      </c>
      <c r="E11" s="10">
        <v>237016895</v>
      </c>
      <c r="F11" s="10">
        <v>940955391343</v>
      </c>
      <c r="G11" s="16">
        <f t="shared" si="0"/>
        <v>118630021417</v>
      </c>
      <c r="H11" s="10">
        <v>146832593365</v>
      </c>
      <c r="I11" s="10">
        <v>265462614782</v>
      </c>
      <c r="J11" s="10">
        <v>675492776561</v>
      </c>
      <c r="K11" s="8">
        <v>4400000000</v>
      </c>
      <c r="L11" s="10">
        <v>43232413637</v>
      </c>
      <c r="M11" s="10">
        <v>13481206866</v>
      </c>
      <c r="N11" s="9">
        <f>889425479+10842011194+11832706755+70064</f>
        <v>23564213492</v>
      </c>
      <c r="O11" s="12">
        <v>5908257104</v>
      </c>
      <c r="P11" s="50">
        <v>14575000000</v>
      </c>
      <c r="Q11" s="51">
        <v>700</v>
      </c>
      <c r="R11" s="51">
        <f t="shared" si="1"/>
        <v>3.2353657056661271</v>
      </c>
      <c r="S11" s="58">
        <f t="shared" si="2"/>
        <v>0.21737107850736634</v>
      </c>
      <c r="T11" s="51">
        <f t="shared" si="3"/>
        <v>6.2789980889182279E-3</v>
      </c>
      <c r="U11" s="51">
        <f t="shared" si="4"/>
        <v>8.7465881338946606E-3</v>
      </c>
      <c r="V11" s="51">
        <f t="shared" si="5"/>
        <v>0.13666267059731038</v>
      </c>
      <c r="W11" s="51">
        <f t="shared" si="6"/>
        <v>4.7321428571428575E-3</v>
      </c>
      <c r="X11" s="51">
        <f t="shared" si="7"/>
        <v>2.4668865527420012</v>
      </c>
      <c r="Y11" s="58">
        <f t="shared" si="8"/>
        <v>521.30432812661161</v>
      </c>
      <c r="Z11" s="51">
        <f t="shared" si="9"/>
        <v>4.5596342505401495</v>
      </c>
      <c r="AA11" s="52">
        <v>5</v>
      </c>
    </row>
    <row r="12" spans="1:27">
      <c r="A12" s="6">
        <v>2019</v>
      </c>
      <c r="B12" s="6" t="s">
        <v>345</v>
      </c>
      <c r="C12" s="7" t="s">
        <v>346</v>
      </c>
      <c r="D12" s="9">
        <v>274783000000</v>
      </c>
      <c r="E12" s="10">
        <v>152607850</v>
      </c>
      <c r="F12" s="10">
        <v>891866986266</v>
      </c>
      <c r="G12" s="16">
        <f t="shared" si="0"/>
        <v>94605074884</v>
      </c>
      <c r="H12" s="10">
        <v>169794632882</v>
      </c>
      <c r="I12" s="10">
        <v>264399707766</v>
      </c>
      <c r="J12" s="10">
        <v>627467278500</v>
      </c>
      <c r="K12" s="8">
        <v>4400000000</v>
      </c>
      <c r="L12" s="10">
        <v>84249947508</v>
      </c>
      <c r="M12" s="10">
        <v>47767171754</v>
      </c>
      <c r="N12" s="9">
        <f>504942972+13453467801+18533617026+68378</f>
        <v>32492096177</v>
      </c>
      <c r="O12" s="12">
        <v>2718797575</v>
      </c>
      <c r="P12" s="50"/>
      <c r="Q12" s="51">
        <v>470</v>
      </c>
      <c r="R12" s="51">
        <f t="shared" si="1"/>
        <v>2.9045270598530273</v>
      </c>
      <c r="S12" s="58">
        <f t="shared" si="2"/>
        <v>0.27060316720882205</v>
      </c>
      <c r="T12" s="51">
        <f t="shared" si="3"/>
        <v>3.0484339221735881E-3</v>
      </c>
      <c r="U12" s="51">
        <f t="shared" si="4"/>
        <v>4.3329710857583784E-3</v>
      </c>
      <c r="V12" s="51">
        <f t="shared" si="5"/>
        <v>3.2270614468238513E-2</v>
      </c>
      <c r="W12" s="51">
        <f t="shared" si="6"/>
        <v>0</v>
      </c>
      <c r="X12" s="51">
        <f t="shared" si="7"/>
        <v>0</v>
      </c>
      <c r="Y12" s="58">
        <f t="shared" si="8"/>
        <v>760.63036800376722</v>
      </c>
      <c r="Z12" s="51">
        <f t="shared" si="9"/>
        <v>3.2957893915100782</v>
      </c>
      <c r="AA12" s="52">
        <v>5</v>
      </c>
    </row>
    <row r="13" spans="1:27">
      <c r="A13" s="6">
        <v>2020</v>
      </c>
      <c r="B13" s="6" t="s">
        <v>345</v>
      </c>
      <c r="C13" s="7" t="s">
        <v>346</v>
      </c>
      <c r="D13" s="9">
        <v>267197000000</v>
      </c>
      <c r="E13" s="10">
        <v>342796806</v>
      </c>
      <c r="F13" s="10">
        <v>870707453070</v>
      </c>
      <c r="G13" s="16">
        <f t="shared" si="0"/>
        <v>81634525401</v>
      </c>
      <c r="H13" s="10">
        <v>163890124493</v>
      </c>
      <c r="I13" s="10">
        <v>245524649894</v>
      </c>
      <c r="J13" s="10">
        <v>625182803176</v>
      </c>
      <c r="K13" s="8">
        <v>4400000000</v>
      </c>
      <c r="L13" s="10">
        <v>51320798915</v>
      </c>
      <c r="M13" s="10">
        <v>20047726784</v>
      </c>
      <c r="N13" s="10">
        <f>794479266+16888104274+16785208334+16635</f>
        <v>34467808509</v>
      </c>
      <c r="O13" s="12">
        <v>-1481751003</v>
      </c>
      <c r="P13" s="50"/>
      <c r="Q13" s="51">
        <v>670</v>
      </c>
      <c r="R13" s="51">
        <f t="shared" si="1"/>
        <v>3.2730881779184928</v>
      </c>
      <c r="S13" s="58">
        <f t="shared" si="2"/>
        <v>0.26214752494857418</v>
      </c>
      <c r="T13" s="51">
        <f t="shared" si="3"/>
        <v>-1.7017782468446098E-3</v>
      </c>
      <c r="U13" s="51">
        <f t="shared" si="4"/>
        <v>-2.3701083834560639E-3</v>
      </c>
      <c r="V13" s="51">
        <f t="shared" si="5"/>
        <v>-2.887232923739453E-2</v>
      </c>
      <c r="W13" s="51">
        <f t="shared" si="6"/>
        <v>0</v>
      </c>
      <c r="X13" s="51">
        <f t="shared" si="7"/>
        <v>0</v>
      </c>
      <c r="Y13" s="58">
        <f t="shared" si="8"/>
        <v>-1989.5380492615736</v>
      </c>
      <c r="Z13" s="51">
        <f t="shared" si="9"/>
        <v>4.7154208097596788</v>
      </c>
      <c r="AA13" s="52">
        <v>5</v>
      </c>
    </row>
    <row r="14" spans="1:27">
      <c r="A14" s="6">
        <v>2018</v>
      </c>
      <c r="B14" s="6" t="s">
        <v>347</v>
      </c>
      <c r="C14" s="7" t="s">
        <v>348</v>
      </c>
      <c r="D14" s="9">
        <v>2510268566000</v>
      </c>
      <c r="E14" s="10">
        <v>747019235000</v>
      </c>
      <c r="F14" s="10">
        <v>4804256788000</v>
      </c>
      <c r="G14" s="16">
        <f t="shared" si="0"/>
        <v>1933630733000</v>
      </c>
      <c r="H14" s="10">
        <v>288129800000</v>
      </c>
      <c r="I14" s="10">
        <v>2221760533000</v>
      </c>
      <c r="J14" s="10">
        <v>2582496255000</v>
      </c>
      <c r="K14" s="8">
        <v>30000000000</v>
      </c>
      <c r="L14" s="10">
        <v>5157266424000</v>
      </c>
      <c r="M14" s="10">
        <v>4292248458000</v>
      </c>
      <c r="N14" s="10">
        <f>153567236000+382695600000+9373408000</f>
        <v>545636244000</v>
      </c>
      <c r="O14" s="12">
        <v>268229012000</v>
      </c>
      <c r="P14" s="50"/>
      <c r="Q14" s="51">
        <v>364</v>
      </c>
      <c r="R14" s="51">
        <f t="shared" si="1"/>
        <v>1.2982150744497916</v>
      </c>
      <c r="S14" s="58">
        <f t="shared" si="2"/>
        <v>0.11157026827905313</v>
      </c>
      <c r="T14" s="51">
        <f t="shared" si="3"/>
        <v>5.5831531043465117E-2</v>
      </c>
      <c r="U14" s="51">
        <f t="shared" si="4"/>
        <v>0.10386424045366137</v>
      </c>
      <c r="V14" s="51">
        <f t="shared" si="5"/>
        <v>5.2009919586810935E-2</v>
      </c>
      <c r="W14" s="51">
        <f t="shared" si="6"/>
        <v>0</v>
      </c>
      <c r="X14" s="51">
        <f t="shared" si="7"/>
        <v>0</v>
      </c>
      <c r="Y14" s="58">
        <f t="shared" si="8"/>
        <v>40.71147978578842</v>
      </c>
      <c r="Z14" s="51">
        <f t="shared" si="9"/>
        <v>4.2284669256955034</v>
      </c>
      <c r="AA14" s="52">
        <v>5</v>
      </c>
    </row>
    <row r="15" spans="1:27">
      <c r="A15" s="6">
        <v>2019</v>
      </c>
      <c r="B15" s="6" t="s">
        <v>347</v>
      </c>
      <c r="C15" s="7" t="s">
        <v>348</v>
      </c>
      <c r="D15" s="9">
        <v>2678070135000</v>
      </c>
      <c r="E15" s="10">
        <v>668140593000</v>
      </c>
      <c r="F15" s="10">
        <v>4928108872000</v>
      </c>
      <c r="G15" s="16">
        <f t="shared" si="0"/>
        <v>1972160394000</v>
      </c>
      <c r="H15" s="10">
        <v>258181518000</v>
      </c>
      <c r="I15" s="10">
        <v>2230341912000</v>
      </c>
      <c r="J15" s="10">
        <v>2697766960000</v>
      </c>
      <c r="K15" s="8">
        <v>30000000000</v>
      </c>
      <c r="L15" s="10">
        <v>5470824200000</v>
      </c>
      <c r="M15" s="10">
        <v>4651089971000</v>
      </c>
      <c r="N15" s="10">
        <f>128597983000+392437420000+14195990000</f>
        <v>535231393000</v>
      </c>
      <c r="O15" s="12">
        <v>202283267000</v>
      </c>
      <c r="P15" s="50">
        <v>4860871000</v>
      </c>
      <c r="Q15" s="51">
        <v>500</v>
      </c>
      <c r="R15" s="51">
        <f t="shared" si="1"/>
        <v>1.3579372870216966</v>
      </c>
      <c r="S15" s="58">
        <f t="shared" si="2"/>
        <v>9.5701934906935029E-2</v>
      </c>
      <c r="T15" s="51">
        <f t="shared" si="3"/>
        <v>4.1046834039992777E-2</v>
      </c>
      <c r="U15" s="51">
        <f t="shared" si="4"/>
        <v>7.4981742307348886E-2</v>
      </c>
      <c r="V15" s="51">
        <f t="shared" si="5"/>
        <v>3.6974916320652383E-2</v>
      </c>
      <c r="W15" s="51">
        <f t="shared" si="6"/>
        <v>3.2405806666666666E-4</v>
      </c>
      <c r="X15" s="51">
        <f t="shared" si="7"/>
        <v>2.4030020238895982E-2</v>
      </c>
      <c r="Y15" s="58">
        <f t="shared" si="8"/>
        <v>74.153439493341779</v>
      </c>
      <c r="Z15" s="51">
        <f t="shared" si="9"/>
        <v>5.5601540912933407</v>
      </c>
      <c r="AA15" s="52">
        <v>5</v>
      </c>
    </row>
    <row r="16" spans="1:27">
      <c r="A16" s="6">
        <v>2020</v>
      </c>
      <c r="B16" s="6" t="s">
        <v>347</v>
      </c>
      <c r="C16" s="7" t="s">
        <v>348</v>
      </c>
      <c r="D16" s="9">
        <v>2748869993000</v>
      </c>
      <c r="E16" s="10">
        <v>563657747000</v>
      </c>
      <c r="F16" s="10">
        <v>4565315258000</v>
      </c>
      <c r="G16" s="16">
        <f t="shared" si="0"/>
        <v>1628187787000</v>
      </c>
      <c r="H16" s="10">
        <v>254060046000</v>
      </c>
      <c r="I16" s="10">
        <v>1882247833000</v>
      </c>
      <c r="J16" s="10">
        <v>2683067425000</v>
      </c>
      <c r="K16" s="8">
        <v>30000000000</v>
      </c>
      <c r="L16" s="10">
        <v>3013778917000</v>
      </c>
      <c r="M16" s="10">
        <v>2520797620000</v>
      </c>
      <c r="N16" s="10">
        <f>86064392000+304157422000+18381721000</f>
        <v>408603535000</v>
      </c>
      <c r="O16" s="12">
        <v>51834425000</v>
      </c>
      <c r="P16" s="50"/>
      <c r="Q16" s="51">
        <v>400</v>
      </c>
      <c r="R16" s="51">
        <f t="shared" si="1"/>
        <v>1.6883003391549207</v>
      </c>
      <c r="S16" s="58">
        <f t="shared" si="2"/>
        <v>9.4690145925050692E-2</v>
      </c>
      <c r="T16" s="51">
        <f t="shared" si="3"/>
        <v>1.1353963980728009E-2</v>
      </c>
      <c r="U16" s="51">
        <f t="shared" si="4"/>
        <v>1.9319091468601463E-2</v>
      </c>
      <c r="V16" s="51">
        <f t="shared" si="5"/>
        <v>1.7199146462806049E-2</v>
      </c>
      <c r="W16" s="51">
        <f t="shared" si="6"/>
        <v>0</v>
      </c>
      <c r="X16" s="51">
        <f t="shared" si="7"/>
        <v>0</v>
      </c>
      <c r="Y16" s="58">
        <f t="shared" si="8"/>
        <v>231.50637824187305</v>
      </c>
      <c r="Z16" s="51">
        <f t="shared" si="9"/>
        <v>4.4724928968193929</v>
      </c>
      <c r="AA16" s="52">
        <v>5</v>
      </c>
    </row>
    <row r="17" spans="1:27">
      <c r="A17" s="6">
        <v>2018</v>
      </c>
      <c r="B17" s="6" t="s">
        <v>350</v>
      </c>
      <c r="C17" s="7" t="s">
        <v>351</v>
      </c>
      <c r="D17" s="10">
        <v>33046506000000</v>
      </c>
      <c r="E17" s="10">
        <v>5397911000000</v>
      </c>
      <c r="F17" s="10">
        <v>49083460000000</v>
      </c>
      <c r="G17" s="16">
        <f t="shared" si="0"/>
        <v>8204921000000</v>
      </c>
      <c r="H17" s="9">
        <v>16131471000000</v>
      </c>
      <c r="I17" s="10">
        <v>24336392000000</v>
      </c>
      <c r="J17" s="10">
        <v>24747068000000</v>
      </c>
      <c r="K17" s="8">
        <v>64000000000</v>
      </c>
      <c r="L17" s="10">
        <v>11452799000000</v>
      </c>
      <c r="M17" s="10">
        <v>177780000000</v>
      </c>
      <c r="N17" s="10">
        <f>3587467000000+1907422000000</f>
        <v>5494889000000</v>
      </c>
      <c r="O17" s="12">
        <v>1662685000000</v>
      </c>
      <c r="P17" s="50">
        <v>76754000000</v>
      </c>
      <c r="Q17" s="51">
        <v>254</v>
      </c>
      <c r="R17" s="51">
        <f t="shared" si="1"/>
        <v>4.027644629363281</v>
      </c>
      <c r="S17" s="58">
        <f t="shared" si="2"/>
        <v>0.65185382769385047</v>
      </c>
      <c r="T17" s="51">
        <f t="shared" si="3"/>
        <v>3.3874649423655138E-2</v>
      </c>
      <c r="U17" s="51">
        <f t="shared" si="4"/>
        <v>6.7187151221308319E-2</v>
      </c>
      <c r="V17" s="51">
        <f t="shared" si="5"/>
        <v>0.14517717459286589</v>
      </c>
      <c r="W17" s="51">
        <f t="shared" si="6"/>
        <v>4.7215797244094491E-3</v>
      </c>
      <c r="X17" s="51">
        <f t="shared" si="7"/>
        <v>4.6162682648848097E-2</v>
      </c>
      <c r="Y17" s="58">
        <f t="shared" si="8"/>
        <v>9.7769571506328621</v>
      </c>
      <c r="Z17" s="51">
        <f t="shared" si="9"/>
        <v>0.65688589856382185</v>
      </c>
      <c r="AA17" s="52">
        <v>5</v>
      </c>
    </row>
    <row r="18" spans="1:27">
      <c r="A18" s="6">
        <v>2019</v>
      </c>
      <c r="B18" s="6" t="s">
        <v>350</v>
      </c>
      <c r="C18" s="7" t="s">
        <v>351</v>
      </c>
      <c r="D18" s="10">
        <v>37197250000000</v>
      </c>
      <c r="E18" s="10">
        <v>5369030000000</v>
      </c>
      <c r="F18" s="10">
        <v>55079585000000</v>
      </c>
      <c r="G18" s="16">
        <f t="shared" si="0"/>
        <v>6881251000000</v>
      </c>
      <c r="H18" s="10">
        <v>13821995000000</v>
      </c>
      <c r="I18" s="10">
        <v>20703246000000</v>
      </c>
      <c r="J18" s="10">
        <v>34376339000000</v>
      </c>
      <c r="K18" s="31">
        <v>92000000000</v>
      </c>
      <c r="L18" s="10">
        <v>12320248000000</v>
      </c>
      <c r="M18" s="10">
        <v>143075000000</v>
      </c>
      <c r="N18" s="10">
        <f>4003429000000+2075322000000</f>
        <v>6078751000000</v>
      </c>
      <c r="O18" s="12">
        <v>2061418000000</v>
      </c>
      <c r="P18" s="50">
        <v>3437000000</v>
      </c>
      <c r="Q18" s="51">
        <v>242</v>
      </c>
      <c r="R18" s="51">
        <f t="shared" si="1"/>
        <v>5.4055941281607076</v>
      </c>
      <c r="S18" s="58">
        <f t="shared" si="2"/>
        <v>0.402078737936579</v>
      </c>
      <c r="T18" s="51">
        <f t="shared" si="3"/>
        <v>3.7426171602418574E-2</v>
      </c>
      <c r="U18" s="51">
        <f t="shared" si="4"/>
        <v>5.9966187789805073E-2</v>
      </c>
      <c r="V18" s="51">
        <f t="shared" si="5"/>
        <v>0.16731952149015183</v>
      </c>
      <c r="W18" s="51">
        <f t="shared" si="6"/>
        <v>1.5437477542220627E-4</v>
      </c>
      <c r="X18" s="51">
        <f t="shared" si="7"/>
        <v>1.6672989175412264E-3</v>
      </c>
      <c r="Y18" s="58">
        <f t="shared" si="8"/>
        <v>10.800332586598158</v>
      </c>
      <c r="Z18" s="51">
        <f t="shared" si="9"/>
        <v>0.64765477208029631</v>
      </c>
      <c r="AA18" s="52">
        <v>5</v>
      </c>
    </row>
    <row r="19" spans="1:27">
      <c r="A19" s="6">
        <v>2020</v>
      </c>
      <c r="B19" s="6" t="s">
        <v>350</v>
      </c>
      <c r="C19" s="7" t="s">
        <v>351</v>
      </c>
      <c r="D19" s="10">
        <v>33078230000000</v>
      </c>
      <c r="E19" s="10">
        <v>8787101000000</v>
      </c>
      <c r="F19" s="10">
        <v>51865480000000</v>
      </c>
      <c r="G19" s="16">
        <f t="shared" si="0"/>
        <v>10573858000000</v>
      </c>
      <c r="H19" s="10">
        <v>17717967000000</v>
      </c>
      <c r="I19" s="10">
        <v>28291825000000</v>
      </c>
      <c r="J19" s="10">
        <v>23573655000000</v>
      </c>
      <c r="K19" s="31">
        <v>92000000000</v>
      </c>
      <c r="L19" s="10">
        <v>11966299000000</v>
      </c>
      <c r="M19" s="10">
        <v>155344000000</v>
      </c>
      <c r="N19" s="10">
        <f>4069362000000+5612472000000</f>
        <v>9681834000000</v>
      </c>
      <c r="O19" s="12">
        <v>9637220000000</v>
      </c>
      <c r="P19" s="50"/>
      <c r="Q19" s="51">
        <v>214</v>
      </c>
      <c r="R19" s="51">
        <f t="shared" si="1"/>
        <v>3.1283028389448773</v>
      </c>
      <c r="S19" s="58">
        <f t="shared" si="2"/>
        <v>0.75160033520470204</v>
      </c>
      <c r="T19" s="51">
        <f t="shared" si="3"/>
        <v>0.18581183476948443</v>
      </c>
      <c r="U19" s="51">
        <f t="shared" si="4"/>
        <v>0.40881314331612983</v>
      </c>
      <c r="V19" s="51">
        <f t="shared" si="5"/>
        <v>0.80536346283842652</v>
      </c>
      <c r="W19" s="51">
        <f t="shared" si="6"/>
        <v>0</v>
      </c>
      <c r="X19" s="51">
        <f t="shared" si="7"/>
        <v>0</v>
      </c>
      <c r="Y19" s="58">
        <f t="shared" si="8"/>
        <v>2.0429127902029838</v>
      </c>
      <c r="Z19" s="51">
        <f t="shared" si="9"/>
        <v>0.83516959928360712</v>
      </c>
      <c r="AA19" s="52">
        <v>5</v>
      </c>
    </row>
    <row r="20" spans="1:27">
      <c r="A20" s="6">
        <v>2018</v>
      </c>
      <c r="B20" s="6" t="s">
        <v>352</v>
      </c>
      <c r="C20" s="7" t="s">
        <v>353</v>
      </c>
      <c r="D20" s="9">
        <v>10413442231664</v>
      </c>
      <c r="E20" s="10">
        <v>2169718612941</v>
      </c>
      <c r="F20" s="10">
        <v>15622688330680</v>
      </c>
      <c r="G20" s="16">
        <f t="shared" si="0"/>
        <v>6322667387430</v>
      </c>
      <c r="H20" s="10">
        <v>4971773985836</v>
      </c>
      <c r="I20" s="10">
        <v>11294441373266</v>
      </c>
      <c r="J20" s="10">
        <v>4328246957414</v>
      </c>
      <c r="K20" s="8">
        <v>146112960000</v>
      </c>
      <c r="L20" s="10">
        <v>2556174514577</v>
      </c>
      <c r="M20" s="10">
        <v>1965554651097</v>
      </c>
      <c r="N20" s="9">
        <v>75999819082</v>
      </c>
      <c r="O20" s="12">
        <v>496783496821</v>
      </c>
      <c r="P20" s="50">
        <v>88935991076</v>
      </c>
      <c r="Q20" s="51">
        <v>117</v>
      </c>
      <c r="R20" s="51">
        <f t="shared" si="1"/>
        <v>1.6470014304985912</v>
      </c>
      <c r="S20" s="58">
        <f t="shared" si="2"/>
        <v>1.1486807556855509</v>
      </c>
      <c r="T20" s="51">
        <f t="shared" si="3"/>
        <v>3.1798848335558953E-2</v>
      </c>
      <c r="U20" s="51">
        <f t="shared" si="4"/>
        <v>0.11477706833942153</v>
      </c>
      <c r="V20" s="51">
        <f t="shared" si="5"/>
        <v>0.19434647125539023</v>
      </c>
      <c r="W20" s="51">
        <f t="shared" si="6"/>
        <v>5.2023905056967417E-3</v>
      </c>
      <c r="X20" s="51">
        <f t="shared" si="7"/>
        <v>0.17902364238167362</v>
      </c>
      <c r="Y20" s="58">
        <f t="shared" si="8"/>
        <v>34.411803993882899</v>
      </c>
      <c r="Z20" s="51">
        <f t="shared" si="9"/>
        <v>3.9496859786886764</v>
      </c>
      <c r="AA20" s="52">
        <v>5</v>
      </c>
    </row>
    <row r="21" spans="1:27">
      <c r="A21" s="6">
        <v>2019</v>
      </c>
      <c r="B21" s="6" t="s">
        <v>352</v>
      </c>
      <c r="C21" s="7" t="s">
        <v>353</v>
      </c>
      <c r="D21" s="9">
        <v>11126748490830</v>
      </c>
      <c r="E21" s="10">
        <v>2481947878357</v>
      </c>
      <c r="F21" s="10">
        <v>18006178568569</v>
      </c>
      <c r="G21" s="16">
        <f t="shared" si="0"/>
        <v>7172872963250</v>
      </c>
      <c r="H21" s="10">
        <v>6312184791062</v>
      </c>
      <c r="I21" s="10">
        <v>13485057754312</v>
      </c>
      <c r="J21" s="10">
        <v>4521120814257</v>
      </c>
      <c r="K21" s="8">
        <v>146112960000</v>
      </c>
      <c r="L21" s="10">
        <v>1624169492823</v>
      </c>
      <c r="M21" s="10">
        <v>1183101342252</v>
      </c>
      <c r="N21" s="9">
        <v>76423480075</v>
      </c>
      <c r="O21" s="12">
        <v>360895336040</v>
      </c>
      <c r="P21" s="50">
        <v>94251521660</v>
      </c>
      <c r="Q21" s="51">
        <v>68</v>
      </c>
      <c r="R21" s="51">
        <f t="shared" si="1"/>
        <v>1.5512262029228125</v>
      </c>
      <c r="S21" s="58">
        <f t="shared" si="2"/>
        <v>1.396154858582195</v>
      </c>
      <c r="T21" s="51">
        <f t="shared" si="3"/>
        <v>2.0042861102686563E-2</v>
      </c>
      <c r="U21" s="51">
        <f t="shared" si="4"/>
        <v>7.9824307039516582E-2</v>
      </c>
      <c r="V21" s="51">
        <f t="shared" si="5"/>
        <v>0.22220300137070112</v>
      </c>
      <c r="W21" s="51">
        <f t="shared" si="6"/>
        <v>9.4861659712981456E-3</v>
      </c>
      <c r="X21" s="51">
        <f t="shared" si="7"/>
        <v>0.2611602651732623</v>
      </c>
      <c r="Y21" s="58">
        <f t="shared" si="8"/>
        <v>27.530644726588474</v>
      </c>
      <c r="Z21" s="51">
        <f t="shared" si="9"/>
        <v>2.1976146376510464</v>
      </c>
      <c r="AA21" s="52">
        <v>5</v>
      </c>
    </row>
    <row r="22" spans="1:27">
      <c r="A22" s="6">
        <v>2020</v>
      </c>
      <c r="B22" s="6" t="s">
        <v>352</v>
      </c>
      <c r="C22" s="7" t="s">
        <v>353</v>
      </c>
      <c r="D22" s="9">
        <v>11490844438332</v>
      </c>
      <c r="E22" s="10">
        <v>2694031520761</v>
      </c>
      <c r="F22" s="10">
        <v>18588970471992</v>
      </c>
      <c r="G22" s="16">
        <f t="shared" si="0"/>
        <v>6760191759915</v>
      </c>
      <c r="H22" s="10">
        <v>7284558715445</v>
      </c>
      <c r="I22" s="10">
        <v>14044750475360</v>
      </c>
      <c r="J22" s="10">
        <v>4544219996632</v>
      </c>
      <c r="K22" s="8">
        <v>146112960000</v>
      </c>
      <c r="L22" s="10">
        <v>2075242421357</v>
      </c>
      <c r="M22" s="10">
        <v>1747594089122</v>
      </c>
      <c r="N22" s="9">
        <v>57495202502</v>
      </c>
      <c r="O22" s="12">
        <v>106377057578</v>
      </c>
      <c r="P22" s="50">
        <v>34269521745</v>
      </c>
      <c r="Q22" s="51">
        <v>94</v>
      </c>
      <c r="R22" s="51">
        <f t="shared" si="1"/>
        <v>1.6997808414944255</v>
      </c>
      <c r="S22" s="58">
        <f t="shared" si="2"/>
        <v>1.6030383037889964</v>
      </c>
      <c r="T22" s="51">
        <f t="shared" si="3"/>
        <v>5.7225900561990945E-3</v>
      </c>
      <c r="U22" s="51">
        <f t="shared" si="4"/>
        <v>2.3409310653278795E-2</v>
      </c>
      <c r="V22" s="51">
        <f t="shared" si="5"/>
        <v>5.1260063153701386E-2</v>
      </c>
      <c r="W22" s="51">
        <f t="shared" si="6"/>
        <v>2.4951200787798524E-3</v>
      </c>
      <c r="X22" s="51">
        <f t="shared" si="7"/>
        <v>0.32215143495459242</v>
      </c>
      <c r="Y22" s="58">
        <f t="shared" si="8"/>
        <v>129.11259770396654</v>
      </c>
      <c r="Z22" s="51">
        <f t="shared" si="9"/>
        <v>3.0224369089039631</v>
      </c>
      <c r="AA22" s="52">
        <v>5</v>
      </c>
    </row>
    <row r="23" spans="1:27">
      <c r="A23" s="6">
        <v>2018</v>
      </c>
      <c r="B23" s="6" t="s">
        <v>354</v>
      </c>
      <c r="C23" s="7" t="s">
        <v>355</v>
      </c>
      <c r="D23" s="9">
        <v>37534483162953</v>
      </c>
      <c r="E23" s="10">
        <v>6605378728189</v>
      </c>
      <c r="F23" s="10">
        <v>52549150902972</v>
      </c>
      <c r="G23" s="16">
        <f t="shared" si="0"/>
        <v>26585529876819</v>
      </c>
      <c r="H23" s="10">
        <v>9648009050734</v>
      </c>
      <c r="I23" s="10">
        <v>36233538927553</v>
      </c>
      <c r="J23" s="10">
        <v>16315611975419</v>
      </c>
      <c r="K23" s="8">
        <v>25000000000</v>
      </c>
      <c r="L23" s="10">
        <v>25119560112231</v>
      </c>
      <c r="M23" s="18">
        <v>21647991667959</v>
      </c>
      <c r="N23" s="9">
        <f>843164199687+64366117108</f>
        <v>907530316795</v>
      </c>
      <c r="O23" s="12">
        <v>1958993059360</v>
      </c>
      <c r="P23" s="50">
        <v>290629550314</v>
      </c>
      <c r="Q23" s="51">
        <v>1805</v>
      </c>
      <c r="R23" s="51">
        <f t="shared" si="1"/>
        <v>1.4118388212258592</v>
      </c>
      <c r="S23" s="58">
        <f t="shared" si="2"/>
        <v>0.59133602008123454</v>
      </c>
      <c r="T23" s="51">
        <f t="shared" si="3"/>
        <v>3.7279252389389339E-2</v>
      </c>
      <c r="U23" s="51">
        <f t="shared" si="4"/>
        <v>0.12006862275907314</v>
      </c>
      <c r="V23" s="51">
        <f t="shared" si="5"/>
        <v>7.7986758152112062E-2</v>
      </c>
      <c r="W23" s="51">
        <f t="shared" si="6"/>
        <v>6.4405440512797785E-3</v>
      </c>
      <c r="X23" s="51">
        <f t="shared" si="7"/>
        <v>0.14835660030819517</v>
      </c>
      <c r="Y23" s="58">
        <f t="shared" si="8"/>
        <v>23.0347931986764</v>
      </c>
      <c r="Z23" s="51">
        <f t="shared" si="9"/>
        <v>2.7657558949051402</v>
      </c>
      <c r="AA23" s="52">
        <v>5</v>
      </c>
    </row>
    <row r="24" spans="1:27">
      <c r="A24" s="6">
        <v>2019</v>
      </c>
      <c r="B24" s="6" t="s">
        <v>354</v>
      </c>
      <c r="C24" s="7" t="s">
        <v>355</v>
      </c>
      <c r="D24" s="9">
        <v>41704590384570</v>
      </c>
      <c r="E24" s="10">
        <v>7424558967269</v>
      </c>
      <c r="F24" s="10">
        <v>59165548433821</v>
      </c>
      <c r="G24" s="16">
        <f t="shared" si="0"/>
        <v>30490992843527</v>
      </c>
      <c r="H24" s="10">
        <v>11348422351199</v>
      </c>
      <c r="I24" s="10">
        <v>41839415194726</v>
      </c>
      <c r="J24" s="10">
        <v>17326133239095</v>
      </c>
      <c r="K24" s="8">
        <v>25000000000</v>
      </c>
      <c r="L24" s="10">
        <v>24659998995266</v>
      </c>
      <c r="M24" s="10">
        <v>21174884307780</v>
      </c>
      <c r="N24" s="9">
        <f>828429133890+125854138690</f>
        <v>954283272580</v>
      </c>
      <c r="O24" s="12">
        <v>1208270555330</v>
      </c>
      <c r="P24" s="50">
        <v>300397420851</v>
      </c>
      <c r="Q24" s="51">
        <v>1585</v>
      </c>
      <c r="R24" s="51">
        <f t="shared" si="1"/>
        <v>1.3677675436345642</v>
      </c>
      <c r="S24" s="58">
        <f t="shared" si="2"/>
        <v>0.65498874991866129</v>
      </c>
      <c r="T24" s="51">
        <f t="shared" si="3"/>
        <v>2.0421860141827272E-2</v>
      </c>
      <c r="U24" s="51">
        <f t="shared" si="4"/>
        <v>6.9736884661814588E-2</v>
      </c>
      <c r="V24" s="51">
        <f t="shared" si="5"/>
        <v>4.8997185910751764E-2</v>
      </c>
      <c r="W24" s="51">
        <f t="shared" si="6"/>
        <v>7.5810074662712931E-3</v>
      </c>
      <c r="X24" s="51">
        <f t="shared" si="7"/>
        <v>0.24861767881859553</v>
      </c>
      <c r="Y24" s="58">
        <f t="shared" si="8"/>
        <v>32.794807276568712</v>
      </c>
      <c r="Z24" s="51">
        <f t="shared" si="9"/>
        <v>2.28700769255251</v>
      </c>
      <c r="AA24" s="52">
        <v>5</v>
      </c>
    </row>
    <row r="25" spans="1:27">
      <c r="A25" s="6">
        <v>2020</v>
      </c>
      <c r="B25" s="6" t="s">
        <v>354</v>
      </c>
      <c r="C25" s="7" t="s">
        <v>355</v>
      </c>
      <c r="D25" s="9">
        <v>33924938550674</v>
      </c>
      <c r="E25" s="9">
        <v>7117087116109</v>
      </c>
      <c r="F25" s="10">
        <v>53472450650976</v>
      </c>
      <c r="G25" s="16">
        <f t="shared" si="0"/>
        <v>27986826929242</v>
      </c>
      <c r="H25" s="10">
        <v>11478633630784</v>
      </c>
      <c r="I25" s="10">
        <v>39465460560026</v>
      </c>
      <c r="J25" s="10">
        <v>14006990090950</v>
      </c>
      <c r="K25" s="8">
        <v>25000000000</v>
      </c>
      <c r="L25" s="10">
        <v>15831388462166</v>
      </c>
      <c r="M25" s="10">
        <v>13657930676733</v>
      </c>
      <c r="N25" s="18">
        <f>583708784467+255824310627</f>
        <v>839533095094</v>
      </c>
      <c r="O25" s="12">
        <v>266269870851</v>
      </c>
      <c r="P25" s="50">
        <v>209323431248</v>
      </c>
      <c r="Q25" s="51">
        <v>1865</v>
      </c>
      <c r="R25" s="51">
        <f t="shared" si="1"/>
        <v>1.2121752364583915</v>
      </c>
      <c r="S25" s="58">
        <f t="shared" si="2"/>
        <v>0.8194932356095842</v>
      </c>
      <c r="T25" s="51">
        <f t="shared" si="3"/>
        <v>4.9795711176394333E-3</v>
      </c>
      <c r="U25" s="51">
        <f t="shared" si="4"/>
        <v>1.900978505175345E-2</v>
      </c>
      <c r="V25" s="51">
        <f t="shared" si="5"/>
        <v>1.681911043288049E-2</v>
      </c>
      <c r="W25" s="51">
        <f t="shared" si="6"/>
        <v>4.4895105897694368E-3</v>
      </c>
      <c r="X25" s="51">
        <f t="shared" si="7"/>
        <v>0.78613262018342944</v>
      </c>
      <c r="Y25" s="58">
        <f t="shared" si="8"/>
        <v>175.10430245444684</v>
      </c>
      <c r="Z25" s="51">
        <f t="shared" si="9"/>
        <v>3.3286951512962579</v>
      </c>
      <c r="AA25" s="52">
        <v>5</v>
      </c>
    </row>
    <row r="26" spans="1:27">
      <c r="A26" s="6">
        <v>2018</v>
      </c>
      <c r="B26" s="6" t="s">
        <v>358</v>
      </c>
      <c r="C26" s="7" t="s">
        <v>359</v>
      </c>
      <c r="D26" s="9">
        <v>2670409421000</v>
      </c>
      <c r="E26" s="10">
        <v>165726237000</v>
      </c>
      <c r="F26" s="10">
        <v>3228718157000</v>
      </c>
      <c r="G26" s="16">
        <f t="shared" si="0"/>
        <v>1945591346000</v>
      </c>
      <c r="H26" s="10">
        <v>231016074000</v>
      </c>
      <c r="I26" s="10">
        <v>2176607420000</v>
      </c>
      <c r="J26" s="10">
        <v>1052110737000</v>
      </c>
      <c r="K26" s="8">
        <v>5000000000</v>
      </c>
      <c r="L26" s="9">
        <v>2783482031000</v>
      </c>
      <c r="M26" s="10">
        <v>2339551181000</v>
      </c>
      <c r="N26" s="10">
        <f>193648445000+29028647000</f>
        <v>222677092000</v>
      </c>
      <c r="O26" s="12">
        <v>204418079000</v>
      </c>
      <c r="P26" s="50">
        <v>170500000000</v>
      </c>
      <c r="Q26" s="51">
        <v>560</v>
      </c>
      <c r="R26" s="51">
        <f t="shared" si="1"/>
        <v>1.3725438419995932</v>
      </c>
      <c r="S26" s="58">
        <f t="shared" si="2"/>
        <v>0.21957391544042384</v>
      </c>
      <c r="T26" s="51">
        <f t="shared" si="3"/>
        <v>6.3312456851277898E-2</v>
      </c>
      <c r="U26" s="51">
        <f t="shared" si="4"/>
        <v>0.19429331135131264</v>
      </c>
      <c r="V26" s="51">
        <f t="shared" si="5"/>
        <v>7.3439697732325684E-2</v>
      </c>
      <c r="W26" s="51">
        <f t="shared" si="6"/>
        <v>6.0892857142857144E-2</v>
      </c>
      <c r="X26" s="51">
        <f t="shared" si="7"/>
        <v>0.83407495478910165</v>
      </c>
      <c r="Y26" s="58">
        <f t="shared" si="8"/>
        <v>13.697418612372342</v>
      </c>
      <c r="Z26" s="51">
        <f t="shared" si="9"/>
        <v>2.6613168191629244</v>
      </c>
      <c r="AA26" s="52">
        <v>5</v>
      </c>
    </row>
    <row r="27" spans="1:27">
      <c r="A27" s="6">
        <v>2019</v>
      </c>
      <c r="B27" s="6" t="s">
        <v>358</v>
      </c>
      <c r="C27" s="7" t="s">
        <v>359</v>
      </c>
      <c r="D27" s="9">
        <v>2282904040000</v>
      </c>
      <c r="E27" s="10">
        <v>163852721000</v>
      </c>
      <c r="F27" s="10">
        <v>2962993701000</v>
      </c>
      <c r="G27" s="16">
        <f t="shared" si="0"/>
        <v>1604722681000</v>
      </c>
      <c r="H27" s="10">
        <v>281366520000</v>
      </c>
      <c r="I27" s="9">
        <v>1886089201000</v>
      </c>
      <c r="J27" s="10">
        <v>1076904500000</v>
      </c>
      <c r="K27" s="8">
        <v>5000000000</v>
      </c>
      <c r="L27" s="10">
        <v>2474974774000</v>
      </c>
      <c r="M27" s="10">
        <v>2114668629000</v>
      </c>
      <c r="N27" s="10">
        <f>191935649000+27579954</f>
        <v>191963228954</v>
      </c>
      <c r="O27" s="12">
        <v>175502010000</v>
      </c>
      <c r="P27" s="50">
        <v>136400000000</v>
      </c>
      <c r="Q27" s="51">
        <v>436</v>
      </c>
      <c r="R27" s="51">
        <f t="shared" si="1"/>
        <v>1.4226159242526466</v>
      </c>
      <c r="S27" s="58">
        <f t="shared" si="2"/>
        <v>0.26127341839503876</v>
      </c>
      <c r="T27" s="51">
        <f t="shared" si="3"/>
        <v>5.9231313904166819E-2</v>
      </c>
      <c r="U27" s="51">
        <f t="shared" si="4"/>
        <v>0.16296896335747507</v>
      </c>
      <c r="V27" s="51">
        <f t="shared" si="5"/>
        <v>7.0910625774321528E-2</v>
      </c>
      <c r="W27" s="51">
        <f t="shared" si="6"/>
        <v>6.2568807339449542E-2</v>
      </c>
      <c r="X27" s="51">
        <f t="shared" si="7"/>
        <v>0.77719907595360305</v>
      </c>
      <c r="Y27" s="58">
        <f t="shared" si="8"/>
        <v>12.421510158202745</v>
      </c>
      <c r="Z27" s="51">
        <f t="shared" si="9"/>
        <v>2.0243206338166475</v>
      </c>
      <c r="AA27" s="52">
        <v>5</v>
      </c>
    </row>
    <row r="28" spans="1:27">
      <c r="A28" s="6">
        <v>2020</v>
      </c>
      <c r="B28" s="6" t="s">
        <v>358</v>
      </c>
      <c r="C28" s="7" t="s">
        <v>359</v>
      </c>
      <c r="D28" s="9">
        <v>2201902161000</v>
      </c>
      <c r="E28" s="10">
        <v>145403319000</v>
      </c>
      <c r="F28" s="10">
        <v>2889059738000</v>
      </c>
      <c r="G28" s="16">
        <f t="shared" si="0"/>
        <v>1476857796000</v>
      </c>
      <c r="H28" s="10">
        <v>273037914000</v>
      </c>
      <c r="I28" s="10">
        <v>1749895710000</v>
      </c>
      <c r="J28" s="10">
        <v>1139164028000</v>
      </c>
      <c r="K28" s="8">
        <v>5000000000</v>
      </c>
      <c r="L28" s="10">
        <v>2292693925000</v>
      </c>
      <c r="M28" s="10">
        <v>2019621678000</v>
      </c>
      <c r="N28" s="10">
        <f>151100938000+75002575</f>
        <v>151175940575</v>
      </c>
      <c r="O28" s="12">
        <v>108580758000</v>
      </c>
      <c r="P28" s="50">
        <v>34100000000</v>
      </c>
      <c r="Q28" s="51">
        <v>370</v>
      </c>
      <c r="R28" s="51">
        <f t="shared" si="1"/>
        <v>1.4909371551978454</v>
      </c>
      <c r="S28" s="58">
        <f t="shared" si="2"/>
        <v>0.23968270353424467</v>
      </c>
      <c r="T28" s="51">
        <f t="shared" si="3"/>
        <v>3.7583424313395071E-2</v>
      </c>
      <c r="U28" s="51">
        <f t="shared" si="4"/>
        <v>9.5316175134701503E-2</v>
      </c>
      <c r="V28" s="51">
        <f t="shared" si="5"/>
        <v>4.7359465132267929E-2</v>
      </c>
      <c r="W28" s="51">
        <f t="shared" si="6"/>
        <v>1.8432432432432432E-2</v>
      </c>
      <c r="X28" s="51">
        <f t="shared" si="7"/>
        <v>0.31405196121397494</v>
      </c>
      <c r="Y28" s="58">
        <f t="shared" si="8"/>
        <v>17.038009625978113</v>
      </c>
      <c r="Z28" s="51">
        <f t="shared" si="9"/>
        <v>1.6239979094564598</v>
      </c>
      <c r="AA28" s="52">
        <v>5</v>
      </c>
    </row>
    <row r="29" spans="1:27">
      <c r="A29" s="6">
        <v>2018</v>
      </c>
      <c r="B29" s="6" t="s">
        <v>360</v>
      </c>
      <c r="C29" s="7" t="s">
        <v>361</v>
      </c>
      <c r="D29" s="10">
        <v>66989129822191</v>
      </c>
      <c r="E29" s="10">
        <v>7091121159643</v>
      </c>
      <c r="F29" s="10">
        <v>124391581623636</v>
      </c>
      <c r="G29" s="16">
        <f t="shared" si="0"/>
        <v>56799725099343</v>
      </c>
      <c r="H29" s="9">
        <v>38704737773426</v>
      </c>
      <c r="I29" s="10">
        <v>95504462872769</v>
      </c>
      <c r="J29" s="10">
        <v>28887118750867</v>
      </c>
      <c r="K29" s="8">
        <f t="shared" ref="K29:K31" si="10">25999999999+1</f>
        <v>26000000000</v>
      </c>
      <c r="L29" s="10">
        <v>31387389629869</v>
      </c>
      <c r="M29" s="10">
        <v>39926332089924</v>
      </c>
      <c r="N29" s="10">
        <f>51205890476+1616540079059+423475576187</f>
        <v>2091221545722</v>
      </c>
      <c r="O29" s="19">
        <v>4619567705553</v>
      </c>
      <c r="P29" s="50">
        <v>776342383468</v>
      </c>
      <c r="Q29" s="51">
        <v>1680</v>
      </c>
      <c r="R29" s="51">
        <f t="shared" si="1"/>
        <v>1.179391796439625</v>
      </c>
      <c r="S29" s="58">
        <f t="shared" si="2"/>
        <v>1.3398614831485864</v>
      </c>
      <c r="T29" s="51">
        <f t="shared" si="3"/>
        <v>3.7137301779232482E-2</v>
      </c>
      <c r="U29" s="51">
        <f t="shared" si="4"/>
        <v>0.1599179116959995</v>
      </c>
      <c r="V29" s="51">
        <f t="shared" si="5"/>
        <v>0.14717909835856205</v>
      </c>
      <c r="W29" s="51">
        <f t="shared" si="6"/>
        <v>1.7773406214926742E-2</v>
      </c>
      <c r="X29" s="51">
        <f t="shared" si="7"/>
        <v>0.16805520190445297</v>
      </c>
      <c r="Y29" s="58">
        <f t="shared" si="8"/>
        <v>9.4554302012922111</v>
      </c>
      <c r="Z29" s="51">
        <f t="shared" si="9"/>
        <v>1.5120926519779343</v>
      </c>
      <c r="AA29" s="52">
        <v>5</v>
      </c>
    </row>
    <row r="30" spans="1:27">
      <c r="A30" s="6">
        <v>2019</v>
      </c>
      <c r="B30" s="6" t="s">
        <v>360</v>
      </c>
      <c r="C30" s="7" t="s">
        <v>361</v>
      </c>
      <c r="D30" s="10">
        <v>49037842886120</v>
      </c>
      <c r="E30" s="10">
        <v>8663216063821</v>
      </c>
      <c r="F30" s="10">
        <v>122589259350571</v>
      </c>
      <c r="G30" s="16">
        <f t="shared" si="0"/>
        <v>45023495139583</v>
      </c>
      <c r="H30" s="9">
        <v>48447295021989</v>
      </c>
      <c r="I30" s="10">
        <v>93470790161572</v>
      </c>
      <c r="J30" s="10">
        <v>29118469188999</v>
      </c>
      <c r="K30" s="8">
        <f t="shared" si="10"/>
        <v>26000000000</v>
      </c>
      <c r="L30" s="10">
        <v>16190456515103</v>
      </c>
      <c r="M30" s="10">
        <v>25782746866464</v>
      </c>
      <c r="N30" s="10">
        <f>51589935546+1319957348117+197802480370</f>
        <v>1569349764033</v>
      </c>
      <c r="O30" s="19">
        <v>1028898367891</v>
      </c>
      <c r="P30" s="50">
        <v>990709745083</v>
      </c>
      <c r="Q30" s="51">
        <v>1485</v>
      </c>
      <c r="R30" s="51">
        <f t="shared" si="1"/>
        <v>1.0891611753839106</v>
      </c>
      <c r="S30" s="58">
        <f t="shared" si="2"/>
        <v>1.6637995187017749</v>
      </c>
      <c r="T30" s="51">
        <f t="shared" si="3"/>
        <v>8.3930547695751905E-3</v>
      </c>
      <c r="U30" s="51">
        <f t="shared" si="4"/>
        <v>3.5334905870660238E-2</v>
      </c>
      <c r="V30" s="51">
        <f t="shared" si="5"/>
        <v>6.3549682303967722E-2</v>
      </c>
      <c r="W30" s="51">
        <f t="shared" si="6"/>
        <v>2.5659408057057759E-2</v>
      </c>
      <c r="X30" s="51">
        <f t="shared" si="7"/>
        <v>0.96288396988491909</v>
      </c>
      <c r="Y30" s="58">
        <f t="shared" si="8"/>
        <v>37.525572208984485</v>
      </c>
      <c r="Z30" s="51">
        <f t="shared" si="9"/>
        <v>1.3259625617471302</v>
      </c>
      <c r="AA30" s="52">
        <v>5</v>
      </c>
    </row>
    <row r="31" spans="1:27">
      <c r="A31" s="6">
        <v>2020</v>
      </c>
      <c r="B31" s="6" t="s">
        <v>360</v>
      </c>
      <c r="C31" s="7" t="s">
        <v>361</v>
      </c>
      <c r="D31" s="9">
        <v>32538762593246</v>
      </c>
      <c r="E31" s="10">
        <v>7819654831137</v>
      </c>
      <c r="F31" s="10">
        <v>105588960060005</v>
      </c>
      <c r="G31" s="16">
        <f t="shared" si="0"/>
        <v>48237835913277</v>
      </c>
      <c r="H31" s="9">
        <v>40773569381438</v>
      </c>
      <c r="I31" s="10">
        <v>89011405294715</v>
      </c>
      <c r="J31" s="10">
        <v>16577554765290</v>
      </c>
      <c r="K31" s="8">
        <f t="shared" si="10"/>
        <v>26000000000</v>
      </c>
      <c r="L31" s="10">
        <v>48788950838822</v>
      </c>
      <c r="M31" s="10">
        <v>18168339421735</v>
      </c>
      <c r="N31" s="10">
        <f>45904808574+1656332903229+1384447069286</f>
        <v>3086684781089</v>
      </c>
      <c r="O31" s="12">
        <v>-9495726146546</v>
      </c>
      <c r="P31" s="50">
        <v>46907502471</v>
      </c>
      <c r="Q31" s="51">
        <v>1440</v>
      </c>
      <c r="R31" s="51">
        <f t="shared" si="1"/>
        <v>0.6745485566919891</v>
      </c>
      <c r="S31" s="58">
        <f t="shared" si="2"/>
        <v>2.4595647523849231</v>
      </c>
      <c r="T31" s="51">
        <f t="shared" si="3"/>
        <v>-8.9931050946516447E-2</v>
      </c>
      <c r="U31" s="51">
        <f t="shared" si="4"/>
        <v>-0.57280619976765834</v>
      </c>
      <c r="V31" s="51">
        <f t="shared" si="5"/>
        <v>-0.19462861945762785</v>
      </c>
      <c r="W31" s="51">
        <f t="shared" si="6"/>
        <v>1.2528713266826924E-3</v>
      </c>
      <c r="X31" s="51">
        <f t="shared" si="7"/>
        <v>-4.9398541772460716E-3</v>
      </c>
      <c r="Y31" s="58">
        <f t="shared" si="8"/>
        <v>-3.9428264276153882</v>
      </c>
      <c r="Z31" s="51">
        <f t="shared" si="9"/>
        <v>2.2584754223458625</v>
      </c>
      <c r="AA31" s="52">
        <v>5</v>
      </c>
    </row>
    <row r="32" spans="1:27">
      <c r="A32" s="6">
        <v>2018</v>
      </c>
      <c r="B32" s="6" t="s">
        <v>155</v>
      </c>
      <c r="C32" s="7" t="s">
        <v>156</v>
      </c>
      <c r="D32" s="9">
        <v>11629996000000</v>
      </c>
      <c r="E32" s="10">
        <v>754805817000</v>
      </c>
      <c r="F32" s="10">
        <v>82418600790000</v>
      </c>
      <c r="G32" s="16">
        <f t="shared" si="0"/>
        <v>31081475143000</v>
      </c>
      <c r="H32" s="10">
        <v>31138139848000</v>
      </c>
      <c r="I32" s="10">
        <v>62219614991000</v>
      </c>
      <c r="J32" s="8">
        <v>20198985799000</v>
      </c>
      <c r="K32" s="8">
        <v>19040000000</v>
      </c>
      <c r="L32" s="10">
        <v>36974074686000</v>
      </c>
      <c r="M32" s="10">
        <v>31056564763000</v>
      </c>
      <c r="N32" s="10">
        <f>1325329000000+415683000000</f>
        <v>1741012000000</v>
      </c>
      <c r="O32" s="10">
        <v>2036493000000</v>
      </c>
      <c r="P32" s="50">
        <v>440065000000</v>
      </c>
      <c r="Q32" s="51">
        <v>4280</v>
      </c>
      <c r="R32" s="51">
        <f t="shared" si="1"/>
        <v>0.37417773598236842</v>
      </c>
      <c r="S32" s="58">
        <f t="shared" si="2"/>
        <v>1.5415694707573668</v>
      </c>
      <c r="T32" s="51">
        <f t="shared" si="3"/>
        <v>2.4709143087601304E-2</v>
      </c>
      <c r="U32" s="51">
        <f t="shared" si="4"/>
        <v>0.10082154719376166</v>
      </c>
      <c r="V32" s="51">
        <f t="shared" si="5"/>
        <v>5.5078944295287674E-2</v>
      </c>
      <c r="W32" s="51">
        <f t="shared" si="6"/>
        <v>5.4001536362208429E-3</v>
      </c>
      <c r="X32" s="51">
        <f t="shared" si="7"/>
        <v>0.21608962073525417</v>
      </c>
      <c r="Y32" s="58">
        <f t="shared" si="8"/>
        <v>40.015457946577769</v>
      </c>
      <c r="Z32" s="51">
        <f t="shared" si="9"/>
        <v>4.0344203818408753</v>
      </c>
      <c r="AA32" s="52">
        <v>5</v>
      </c>
    </row>
    <row r="33" spans="1:27">
      <c r="A33" s="6">
        <v>2019</v>
      </c>
      <c r="B33" s="6" t="s">
        <v>155</v>
      </c>
      <c r="C33" s="7" t="s">
        <v>156</v>
      </c>
      <c r="D33" s="9">
        <v>11612566000000</v>
      </c>
      <c r="E33" s="10">
        <v>714282000000</v>
      </c>
      <c r="F33" s="10">
        <v>99679570000000</v>
      </c>
      <c r="G33" s="16">
        <f t="shared" si="0"/>
        <v>41526417000000</v>
      </c>
      <c r="H33" s="10">
        <v>34967416000000</v>
      </c>
      <c r="I33" s="10">
        <v>76493833000000</v>
      </c>
      <c r="J33" s="8">
        <v>23185737000000</v>
      </c>
      <c r="K33" s="8">
        <v>19040000000</v>
      </c>
      <c r="L33" s="10">
        <v>26345260000000</v>
      </c>
      <c r="M33" s="10">
        <v>19900617000000</v>
      </c>
      <c r="N33" s="10">
        <f>1478523000000+677246000000</f>
        <v>2155769000000</v>
      </c>
      <c r="O33" s="10">
        <v>2073888000000</v>
      </c>
      <c r="P33" s="50">
        <v>330390000000</v>
      </c>
      <c r="Q33" s="51">
        <v>5175</v>
      </c>
      <c r="R33" s="51">
        <f t="shared" si="1"/>
        <v>0.27964285962836621</v>
      </c>
      <c r="S33" s="58">
        <f t="shared" si="2"/>
        <v>1.5081433900505297</v>
      </c>
      <c r="T33" s="51">
        <f t="shared" si="3"/>
        <v>2.0805547214940837E-2</v>
      </c>
      <c r="U33" s="51">
        <f t="shared" si="4"/>
        <v>8.9446714590094761E-2</v>
      </c>
      <c r="V33" s="51">
        <f t="shared" si="5"/>
        <v>7.8719587508341154E-2</v>
      </c>
      <c r="W33" s="51">
        <f t="shared" si="6"/>
        <v>3.3531238582389477E-3</v>
      </c>
      <c r="X33" s="51">
        <f t="shared" si="7"/>
        <v>0.15930947090681849</v>
      </c>
      <c r="Y33" s="58">
        <f t="shared" si="8"/>
        <v>47.510762394111929</v>
      </c>
      <c r="Z33" s="51">
        <f t="shared" si="9"/>
        <v>4.2496816038239364</v>
      </c>
      <c r="AA33" s="52">
        <v>5</v>
      </c>
    </row>
    <row r="34" spans="1:27">
      <c r="A34" s="6">
        <v>2020</v>
      </c>
      <c r="B34" s="6" t="s">
        <v>155</v>
      </c>
      <c r="C34" s="7" t="s">
        <v>156</v>
      </c>
      <c r="D34" s="9">
        <v>10705995000000</v>
      </c>
      <c r="E34" s="10">
        <v>746237000000</v>
      </c>
      <c r="F34" s="10">
        <v>104086646000000</v>
      </c>
      <c r="G34" s="16">
        <f t="shared" si="0"/>
        <v>14928687000000</v>
      </c>
      <c r="H34" s="10">
        <v>64382344000000</v>
      </c>
      <c r="I34" s="10">
        <v>79311031000000</v>
      </c>
      <c r="J34" s="8">
        <v>24775615000000</v>
      </c>
      <c r="K34" s="8">
        <v>19040000000</v>
      </c>
      <c r="L34" s="10">
        <v>13704021000000</v>
      </c>
      <c r="M34" s="10">
        <v>8349488000000</v>
      </c>
      <c r="N34" s="10">
        <f>1236812000000+164380000000</f>
        <v>1401192000000</v>
      </c>
      <c r="O34" s="12">
        <v>-41629000000</v>
      </c>
      <c r="P34" s="50">
        <v>110356000000</v>
      </c>
      <c r="Q34" s="51">
        <v>4630</v>
      </c>
      <c r="R34" s="51">
        <f t="shared" si="1"/>
        <v>0.71714243858150417</v>
      </c>
      <c r="S34" s="58">
        <f t="shared" si="2"/>
        <v>2.5986173905269356</v>
      </c>
      <c r="T34" s="51">
        <f t="shared" si="3"/>
        <v>-3.9994563759889043E-4</v>
      </c>
      <c r="U34" s="51">
        <f t="shared" si="4"/>
        <v>-1.6802408335776931E-3</v>
      </c>
      <c r="V34" s="51">
        <f t="shared" si="5"/>
        <v>-3.0377215563227758E-3</v>
      </c>
      <c r="W34" s="51">
        <f t="shared" si="6"/>
        <v>1.2518376681126015E-3</v>
      </c>
      <c r="X34" s="51">
        <f t="shared" si="7"/>
        <v>-2.6509404501669511</v>
      </c>
      <c r="Y34" s="58">
        <f t="shared" si="8"/>
        <v>-2117.6391457877921</v>
      </c>
      <c r="Z34" s="51">
        <f t="shared" si="9"/>
        <v>3.558143763535234</v>
      </c>
      <c r="AA34" s="52">
        <v>5</v>
      </c>
    </row>
    <row r="38" spans="1:27">
      <c r="W38" s="53"/>
      <c r="Y38" s="58"/>
      <c r="Z38" s="51"/>
      <c r="AA38" s="51"/>
    </row>
    <row r="39" spans="1:27">
      <c r="W39" s="53"/>
      <c r="Y39" s="58"/>
      <c r="Z39" s="51"/>
      <c r="AA39" s="51"/>
    </row>
    <row r="40" spans="1:27">
      <c r="W40" s="53"/>
      <c r="Y40" s="58"/>
      <c r="Z40" s="51"/>
      <c r="AA40" s="51"/>
    </row>
    <row r="41" spans="1:27">
      <c r="W41" s="53"/>
      <c r="Y41" s="58"/>
      <c r="Z41" s="51"/>
      <c r="AA41" s="51"/>
    </row>
    <row r="42" spans="1:27">
      <c r="W42" s="53"/>
      <c r="Y42" s="58"/>
      <c r="Z42" s="51"/>
      <c r="AA42" s="51"/>
    </row>
    <row r="43" spans="1:27">
      <c r="W43" s="53"/>
      <c r="Y43" s="58"/>
      <c r="Z43" s="51"/>
      <c r="AA43" s="51"/>
    </row>
    <row r="44" spans="1:27">
      <c r="W44" s="53"/>
      <c r="Y44" s="58"/>
      <c r="Z44" s="51"/>
      <c r="AA44" s="51"/>
    </row>
    <row r="45" spans="1:27">
      <c r="W45" s="53"/>
      <c r="Y45" s="58"/>
      <c r="Z45" s="51"/>
      <c r="AA45" s="51"/>
    </row>
    <row r="46" spans="1:27">
      <c r="W46" s="53"/>
      <c r="Y46" s="58"/>
      <c r="Z46" s="51"/>
      <c r="AA46" s="51"/>
    </row>
    <row r="47" spans="1:27">
      <c r="W47" s="53"/>
      <c r="Y47" s="58"/>
      <c r="Z47" s="51"/>
      <c r="AA47" s="51"/>
    </row>
    <row r="48" spans="1:27">
      <c r="W48" s="53"/>
      <c r="Y48" s="58"/>
      <c r="Z48" s="51"/>
      <c r="AA48" s="51"/>
    </row>
    <row r="49" spans="23:27">
      <c r="W49" s="53"/>
      <c r="Y49" s="58"/>
      <c r="Z49" s="51"/>
      <c r="AA49" s="51"/>
    </row>
    <row r="50" spans="23:27">
      <c r="W50" s="53"/>
      <c r="Y50" s="58"/>
      <c r="Z50" s="51"/>
      <c r="AA50" s="51"/>
    </row>
    <row r="51" spans="23:27">
      <c r="W51" s="53"/>
      <c r="Y51" s="58"/>
      <c r="Z51" s="51"/>
      <c r="AA51" s="51"/>
    </row>
    <row r="52" spans="23:27">
      <c r="W52" s="53"/>
      <c r="Y52" s="58"/>
      <c r="Z52" s="51"/>
      <c r="AA52" s="51"/>
    </row>
    <row r="53" spans="23:27">
      <c r="W53" s="53"/>
      <c r="Y53" s="58"/>
      <c r="Z53" s="51"/>
      <c r="AA53" s="51"/>
    </row>
    <row r="54" spans="23:27">
      <c r="W54" s="53"/>
      <c r="Y54" s="58"/>
      <c r="Z54" s="51"/>
      <c r="AA54" s="51"/>
    </row>
    <row r="55" spans="23:27">
      <c r="W55" s="53"/>
      <c r="Y55" s="58"/>
      <c r="Z55" s="51"/>
      <c r="AA55" s="51"/>
    </row>
    <row r="56" spans="23:27">
      <c r="W56" s="53"/>
      <c r="Y56" s="58"/>
      <c r="Z56" s="51"/>
      <c r="AA56" s="51"/>
    </row>
    <row r="57" spans="23:27">
      <c r="W57" s="53"/>
      <c r="Y57" s="58"/>
      <c r="Z57" s="51"/>
      <c r="AA57" s="51"/>
    </row>
    <row r="58" spans="23:27">
      <c r="W58" s="53"/>
      <c r="Y58" s="58"/>
      <c r="Z58" s="51"/>
      <c r="AA58" s="51"/>
    </row>
    <row r="59" spans="23:27">
      <c r="W59" s="53"/>
      <c r="Y59" s="58"/>
      <c r="Z59" s="51"/>
      <c r="AA59" s="51"/>
    </row>
    <row r="60" spans="23:27">
      <c r="W60" s="53"/>
      <c r="Y60" s="58"/>
      <c r="Z60" s="51"/>
      <c r="AA60" s="51"/>
    </row>
    <row r="61" spans="23:27">
      <c r="W61" s="53"/>
      <c r="Y61" s="58"/>
      <c r="Z61" s="51"/>
      <c r="AA61" s="51"/>
    </row>
    <row r="62" spans="23:27">
      <c r="W62" s="53"/>
      <c r="Y62" s="58"/>
      <c r="Z62" s="51"/>
      <c r="AA62" s="51"/>
    </row>
    <row r="63" spans="23:27">
      <c r="W63" s="53"/>
      <c r="Y63" s="58"/>
      <c r="Z63" s="51"/>
      <c r="AA63" s="51"/>
    </row>
    <row r="64" spans="23:27">
      <c r="W64" s="53"/>
      <c r="Y64" s="58"/>
      <c r="Z64" s="51"/>
      <c r="AA64" s="51"/>
    </row>
    <row r="65" spans="23:27">
      <c r="W65" s="53"/>
      <c r="Y65" s="58"/>
      <c r="Z65" s="51"/>
      <c r="AA65" s="51"/>
    </row>
    <row r="66" spans="23:27">
      <c r="W66" s="53"/>
      <c r="Y66" s="58"/>
      <c r="Z66" s="51"/>
      <c r="AA66" s="51"/>
    </row>
    <row r="67" spans="23:27">
      <c r="W67" s="53"/>
      <c r="Y67" s="58"/>
      <c r="Z67" s="51"/>
      <c r="AA67" s="51"/>
    </row>
    <row r="68" spans="23:27">
      <c r="W68" s="53"/>
      <c r="Y68" s="58"/>
      <c r="Z68" s="51"/>
      <c r="AA68" s="51"/>
    </row>
    <row r="69" spans="23:27">
      <c r="W69" s="53"/>
      <c r="Y69" s="58"/>
      <c r="Z69" s="51"/>
      <c r="AA69" s="51"/>
    </row>
    <row r="70" spans="23:27">
      <c r="W70" s="53"/>
      <c r="Y70" s="58"/>
      <c r="Z70" s="51"/>
      <c r="AA70" s="51"/>
    </row>
    <row r="71" spans="23:27">
      <c r="W71" s="53"/>
      <c r="Y71" s="58"/>
      <c r="Z71" s="51"/>
      <c r="AA71" s="51"/>
    </row>
    <row r="72" spans="23:27">
      <c r="W72" s="53"/>
      <c r="Y72" s="58"/>
      <c r="Z72" s="51"/>
      <c r="AA72" s="51"/>
    </row>
    <row r="73" spans="23:27">
      <c r="W73" s="53"/>
      <c r="Y73" s="58"/>
      <c r="Z73" s="51"/>
      <c r="AA73" s="51"/>
    </row>
    <row r="74" spans="23:27">
      <c r="W74" s="53"/>
      <c r="Y74" s="58"/>
      <c r="Z74" s="51"/>
      <c r="AA74" s="51"/>
    </row>
    <row r="75" spans="23:27">
      <c r="W75" s="53"/>
      <c r="Y75" s="58"/>
      <c r="Z75" s="51"/>
      <c r="AA75" s="51"/>
    </row>
    <row r="76" spans="23:27">
      <c r="W76" s="53"/>
      <c r="Y76" s="58"/>
      <c r="Z76" s="51"/>
      <c r="AA76" s="51"/>
    </row>
    <row r="77" spans="23:27">
      <c r="W77" s="53"/>
      <c r="Y77" s="58"/>
      <c r="Z77" s="51"/>
      <c r="AA77" s="51"/>
    </row>
    <row r="78" spans="23:27">
      <c r="W78" s="53"/>
      <c r="Y78" s="58"/>
      <c r="Z78" s="51"/>
      <c r="AA78" s="51"/>
    </row>
    <row r="79" spans="23:27">
      <c r="W79" s="53"/>
      <c r="Y79" s="58"/>
      <c r="Z79" s="51"/>
      <c r="AA79" s="51"/>
    </row>
    <row r="80" spans="23:27">
      <c r="W80" s="53"/>
      <c r="Y80" s="58"/>
      <c r="Z80" s="51"/>
      <c r="AA80" s="51"/>
    </row>
    <row r="81" spans="23:27">
      <c r="W81" s="53"/>
      <c r="Y81" s="58"/>
      <c r="Z81" s="51"/>
      <c r="AA81" s="51"/>
    </row>
    <row r="82" spans="23:27">
      <c r="W82" s="53"/>
      <c r="Y82" s="58"/>
      <c r="Z82" s="51"/>
      <c r="AA82" s="51"/>
    </row>
    <row r="83" spans="23:27">
      <c r="W83" s="53"/>
      <c r="Y83" s="58"/>
      <c r="Z83" s="51"/>
      <c r="AA83" s="51"/>
    </row>
    <row r="84" spans="23:27">
      <c r="W84" s="53"/>
      <c r="Y84" s="58"/>
      <c r="Z84" s="51"/>
      <c r="AA84" s="51"/>
    </row>
    <row r="85" spans="23:27">
      <c r="W85" s="53"/>
      <c r="Y85" s="58"/>
      <c r="Z85" s="51"/>
      <c r="AA85" s="51"/>
    </row>
    <row r="86" spans="23:27">
      <c r="W86" s="53"/>
      <c r="Y86" s="58"/>
      <c r="Z86" s="51"/>
      <c r="AA86" s="51"/>
    </row>
    <row r="87" spans="23:27">
      <c r="W87" s="53"/>
      <c r="Y87" s="58"/>
      <c r="Z87" s="51"/>
      <c r="AA87" s="51"/>
    </row>
    <row r="88" spans="23:27">
      <c r="W88" s="53"/>
      <c r="Y88" s="58"/>
      <c r="Z88" s="51"/>
      <c r="AA88" s="51"/>
    </row>
    <row r="89" spans="23:27">
      <c r="W89" s="53"/>
      <c r="Y89" s="58"/>
      <c r="Z89" s="51"/>
      <c r="AA89" s="51"/>
    </row>
    <row r="90" spans="23:27">
      <c r="W90" s="53"/>
      <c r="Y90" s="58"/>
      <c r="Z90" s="51"/>
      <c r="AA90" s="51"/>
    </row>
    <row r="91" spans="23:27">
      <c r="W91" s="53"/>
      <c r="Y91" s="58"/>
      <c r="Z91" s="51"/>
      <c r="AA91" s="51"/>
    </row>
    <row r="92" spans="23:27">
      <c r="W92" s="53"/>
      <c r="Y92" s="58"/>
      <c r="Z92" s="51"/>
      <c r="AA92" s="51"/>
    </row>
    <row r="93" spans="23:27">
      <c r="W93" s="53"/>
      <c r="Y93" s="58"/>
      <c r="Z93" s="51"/>
      <c r="AA93" s="51"/>
    </row>
    <row r="94" spans="23:27">
      <c r="W94" s="53"/>
      <c r="Y94" s="58"/>
      <c r="Z94" s="51"/>
      <c r="AA94" s="51"/>
    </row>
    <row r="95" spans="23:27">
      <c r="W95" s="53"/>
      <c r="Y95" s="58"/>
      <c r="Z95" s="51"/>
      <c r="AA95" s="51"/>
    </row>
    <row r="96" spans="23:27">
      <c r="W96" s="53"/>
      <c r="Y96" s="58"/>
      <c r="Z96" s="51"/>
      <c r="AA96" s="51"/>
    </row>
    <row r="97" spans="23:27">
      <c r="W97" s="53"/>
      <c r="Y97" s="58"/>
      <c r="Z97" s="51"/>
      <c r="AA97" s="51"/>
    </row>
    <row r="98" spans="23:27">
      <c r="W98" s="53"/>
      <c r="Y98" s="58"/>
      <c r="Z98" s="51"/>
      <c r="AA98" s="51"/>
    </row>
    <row r="99" spans="23:27">
      <c r="W99" s="53"/>
      <c r="Y99" s="58"/>
      <c r="Z99" s="51"/>
      <c r="AA99" s="51"/>
    </row>
    <row r="100" spans="23:27">
      <c r="W100" s="53"/>
      <c r="Y100" s="58"/>
      <c r="Z100" s="51"/>
      <c r="AA100" s="51"/>
    </row>
    <row r="101" spans="23:27">
      <c r="W101" s="53"/>
      <c r="Y101" s="58"/>
      <c r="Z101" s="51"/>
      <c r="AA101" s="51"/>
    </row>
    <row r="102" spans="23:27">
      <c r="W102" s="53"/>
      <c r="Y102" s="58"/>
      <c r="Z102" s="51"/>
      <c r="AA102" s="51"/>
    </row>
    <row r="103" spans="23:27">
      <c r="W103" s="53"/>
      <c r="Y103" s="58"/>
      <c r="Z103" s="51"/>
      <c r="AA103" s="51"/>
    </row>
    <row r="104" spans="23:27">
      <c r="W104" s="53"/>
      <c r="Y104" s="58"/>
      <c r="Z104" s="51"/>
      <c r="AA104" s="51"/>
    </row>
    <row r="105" spans="23:27">
      <c r="W105" s="53"/>
      <c r="Y105" s="58"/>
      <c r="Z105" s="51"/>
      <c r="AA105" s="51"/>
    </row>
    <row r="106" spans="23:27">
      <c r="W106" s="53"/>
      <c r="Y106" s="58"/>
      <c r="Z106" s="51"/>
      <c r="AA106" s="51"/>
    </row>
    <row r="107" spans="23:27">
      <c r="W107" s="53"/>
      <c r="Y107" s="58"/>
      <c r="Z107" s="51"/>
      <c r="AA107" s="51"/>
    </row>
    <row r="108" spans="23:27">
      <c r="W108" s="53"/>
      <c r="Y108" s="58"/>
      <c r="Z108" s="51"/>
      <c r="AA108" s="51"/>
    </row>
    <row r="109" spans="23:27">
      <c r="W109" s="53"/>
      <c r="Y109" s="58"/>
      <c r="Z109" s="51"/>
      <c r="AA109" s="51"/>
    </row>
    <row r="110" spans="23:27">
      <c r="W110" s="53"/>
      <c r="Y110" s="58"/>
      <c r="Z110" s="51"/>
      <c r="AA110" s="51"/>
    </row>
    <row r="111" spans="23:27">
      <c r="W111" s="53"/>
      <c r="Y111" s="58"/>
      <c r="Z111" s="51"/>
      <c r="AA111" s="51"/>
    </row>
    <row r="112" spans="23:27">
      <c r="W112" s="53"/>
      <c r="Y112" s="58"/>
      <c r="Z112" s="51"/>
      <c r="AA112" s="51"/>
    </row>
    <row r="113" spans="23:27">
      <c r="W113" s="53"/>
      <c r="Y113" s="58"/>
      <c r="Z113" s="51"/>
      <c r="AA113" s="51"/>
    </row>
    <row r="114" spans="23:27">
      <c r="W114" s="53"/>
      <c r="Y114" s="58"/>
      <c r="Z114" s="51"/>
      <c r="AA114" s="51"/>
    </row>
    <row r="115" spans="23:27">
      <c r="W115" s="53"/>
      <c r="Y115" s="58"/>
      <c r="Z115" s="51"/>
      <c r="AA115" s="51"/>
    </row>
    <row r="116" spans="23:27">
      <c r="W116" s="53"/>
      <c r="Y116" s="58"/>
      <c r="Z116" s="51"/>
      <c r="AA116" s="51"/>
    </row>
    <row r="117" spans="23:27">
      <c r="W117" s="53"/>
      <c r="Y117" s="58"/>
      <c r="Z117" s="51"/>
      <c r="AA117" s="51"/>
    </row>
    <row r="118" spans="23:27">
      <c r="W118" s="53"/>
      <c r="Y118" s="58"/>
      <c r="Z118" s="51"/>
      <c r="AA118" s="51"/>
    </row>
    <row r="119" spans="23:27">
      <c r="W119" s="53"/>
      <c r="Y119" s="58"/>
      <c r="Z119" s="51"/>
      <c r="AA119" s="51"/>
    </row>
    <row r="120" spans="23:27">
      <c r="W120" s="53"/>
      <c r="Y120" s="58"/>
      <c r="Z120" s="51"/>
      <c r="AA120" s="51"/>
    </row>
    <row r="121" spans="23:27">
      <c r="W121" s="53"/>
      <c r="Y121" s="58"/>
      <c r="Z121" s="51"/>
      <c r="AA121" s="51"/>
    </row>
    <row r="122" spans="23:27">
      <c r="W122" s="53"/>
      <c r="Y122" s="58"/>
      <c r="Z122" s="51"/>
      <c r="AA122" s="51"/>
    </row>
    <row r="123" spans="23:27">
      <c r="W123" s="53"/>
      <c r="Y123" s="58"/>
      <c r="Z123" s="51"/>
      <c r="AA123" s="51"/>
    </row>
    <row r="124" spans="23:27">
      <c r="W124" s="53"/>
      <c r="Y124" s="58"/>
      <c r="Z124" s="51"/>
      <c r="AA124" s="51"/>
    </row>
    <row r="125" spans="23:27">
      <c r="W125" s="53"/>
      <c r="Y125" s="58"/>
      <c r="Z125" s="51"/>
      <c r="AA125" s="51"/>
    </row>
    <row r="126" spans="23:27">
      <c r="W126" s="53"/>
      <c r="Y126" s="58"/>
      <c r="Z126" s="51"/>
      <c r="AA126" s="51"/>
    </row>
    <row r="127" spans="23:27">
      <c r="W127" s="53"/>
      <c r="Y127" s="58"/>
      <c r="Z127" s="51"/>
      <c r="AA127" s="51"/>
    </row>
    <row r="128" spans="23:27">
      <c r="W128" s="53"/>
      <c r="Y128" s="58"/>
      <c r="Z128" s="51"/>
      <c r="AA128" s="51"/>
    </row>
    <row r="129" spans="23:27">
      <c r="W129" s="53"/>
      <c r="Y129" s="58"/>
      <c r="Z129" s="51"/>
      <c r="AA129" s="51"/>
    </row>
    <row r="130" spans="23:27">
      <c r="W130" s="53"/>
      <c r="Y130" s="58"/>
      <c r="Z130" s="51"/>
      <c r="AA130" s="51"/>
    </row>
    <row r="131" spans="23:27">
      <c r="W131" s="53"/>
      <c r="Y131" s="58"/>
      <c r="Z131" s="51"/>
      <c r="AA131" s="51"/>
    </row>
    <row r="132" spans="23:27">
      <c r="W132" s="53"/>
      <c r="Y132" s="58"/>
      <c r="Z132" s="51"/>
      <c r="AA132" s="51"/>
    </row>
    <row r="133" spans="23:27">
      <c r="W133" s="53"/>
      <c r="Y133" s="58"/>
      <c r="Z133" s="51"/>
      <c r="AA133" s="51"/>
    </row>
    <row r="134" spans="23:27">
      <c r="W134" s="53"/>
      <c r="Y134" s="58"/>
      <c r="Z134" s="51"/>
      <c r="AA134" s="51"/>
    </row>
    <row r="135" spans="23:27">
      <c r="W135" s="53"/>
      <c r="Y135" s="58"/>
      <c r="Z135" s="51"/>
      <c r="AA135" s="51"/>
    </row>
    <row r="136" spans="23:27">
      <c r="W136" s="53"/>
      <c r="Y136" s="58"/>
      <c r="Z136" s="51"/>
      <c r="AA136" s="51"/>
    </row>
    <row r="137" spans="23:27">
      <c r="W137" s="53"/>
      <c r="Y137" s="58"/>
      <c r="Z137" s="51"/>
      <c r="AA137" s="51"/>
    </row>
    <row r="138" spans="23:27">
      <c r="W138" s="53"/>
      <c r="Y138" s="58"/>
      <c r="Z138" s="51"/>
      <c r="AA138" s="51"/>
    </row>
    <row r="139" spans="23:27">
      <c r="W139" s="53"/>
      <c r="Y139" s="58"/>
      <c r="Z139" s="51"/>
      <c r="AA139" s="51"/>
    </row>
    <row r="140" spans="23:27">
      <c r="W140" s="53"/>
      <c r="Y140" s="58"/>
      <c r="Z140" s="51"/>
      <c r="AA140" s="51"/>
    </row>
    <row r="141" spans="23:27">
      <c r="W141" s="53"/>
      <c r="Y141" s="58"/>
      <c r="Z141" s="51"/>
      <c r="AA141" s="51"/>
    </row>
    <row r="142" spans="23:27">
      <c r="W142" s="53"/>
      <c r="Y142" s="58"/>
      <c r="Z142" s="51"/>
      <c r="AA142" s="51"/>
    </row>
    <row r="143" spans="23:27">
      <c r="W143" s="53"/>
      <c r="Y143" s="58"/>
      <c r="Z143" s="51"/>
      <c r="AA143" s="51"/>
    </row>
    <row r="144" spans="23:27">
      <c r="W144" s="53"/>
      <c r="Y144" s="58"/>
      <c r="Z144" s="51"/>
      <c r="AA144" s="51"/>
    </row>
    <row r="145" spans="23:27">
      <c r="W145" s="53"/>
      <c r="Y145" s="58"/>
      <c r="Z145" s="51"/>
      <c r="AA145" s="51"/>
    </row>
    <row r="146" spans="23:27">
      <c r="W146" s="53"/>
      <c r="Y146" s="58"/>
      <c r="Z146" s="51"/>
      <c r="AA146" s="51"/>
    </row>
    <row r="147" spans="23:27">
      <c r="W147" s="53"/>
      <c r="Y147" s="58"/>
      <c r="Z147" s="51"/>
      <c r="AA147" s="51"/>
    </row>
    <row r="148" spans="23:27">
      <c r="W148" s="53"/>
      <c r="Y148" s="58"/>
      <c r="Z148" s="51"/>
      <c r="AA148" s="51"/>
    </row>
    <row r="149" spans="23:27">
      <c r="W149" s="53"/>
      <c r="Y149" s="58"/>
      <c r="Z149" s="51"/>
      <c r="AA149" s="51"/>
    </row>
    <row r="150" spans="23:27">
      <c r="W150" s="53"/>
      <c r="Y150" s="58"/>
      <c r="Z150" s="51"/>
      <c r="AA150" s="51"/>
    </row>
    <row r="151" spans="23:27">
      <c r="W151" s="53"/>
      <c r="Y151" s="58"/>
      <c r="Z151" s="51"/>
      <c r="AA151" s="51"/>
    </row>
    <row r="152" spans="23:27">
      <c r="W152" s="53"/>
      <c r="Y152" s="58"/>
      <c r="Z152" s="51"/>
      <c r="AA152" s="51"/>
    </row>
    <row r="153" spans="23:27">
      <c r="W153" s="53"/>
      <c r="Y153" s="58"/>
      <c r="Z153" s="51"/>
      <c r="AA153" s="51"/>
    </row>
    <row r="154" spans="23:27">
      <c r="W154" s="53"/>
      <c r="Y154" s="58"/>
      <c r="Z154" s="51"/>
      <c r="AA154" s="51"/>
    </row>
    <row r="155" spans="23:27">
      <c r="W155" s="53"/>
      <c r="Y155" s="58"/>
      <c r="Z155" s="51"/>
      <c r="AA155" s="51"/>
    </row>
    <row r="156" spans="23:27">
      <c r="W156" s="53"/>
      <c r="Y156" s="58"/>
      <c r="Z156" s="51"/>
      <c r="AA156" s="51"/>
    </row>
    <row r="157" spans="23:27">
      <c r="W157" s="53"/>
      <c r="Y157" s="58"/>
      <c r="Z157" s="51"/>
      <c r="AA157" s="51"/>
    </row>
    <row r="158" spans="23:27">
      <c r="W158" s="53"/>
      <c r="Y158" s="58"/>
      <c r="Z158" s="51"/>
      <c r="AA158" s="51"/>
    </row>
    <row r="159" spans="23:27">
      <c r="W159" s="53"/>
      <c r="Y159" s="58"/>
      <c r="Z159" s="51"/>
      <c r="AA159" s="51"/>
    </row>
    <row r="160" spans="23:27">
      <c r="W160" s="53"/>
      <c r="Y160" s="58"/>
      <c r="Z160" s="51"/>
      <c r="AA160" s="51"/>
    </row>
    <row r="161" spans="23:27">
      <c r="W161" s="53"/>
      <c r="Y161" s="58"/>
      <c r="Z161" s="51"/>
      <c r="AA161" s="51"/>
    </row>
    <row r="162" spans="23:27">
      <c r="W162" s="53"/>
      <c r="Y162" s="58"/>
      <c r="Z162" s="51"/>
      <c r="AA162" s="51"/>
    </row>
    <row r="163" spans="23:27">
      <c r="W163" s="53"/>
      <c r="Y163" s="58"/>
      <c r="Z163" s="51"/>
      <c r="AA163" s="51"/>
    </row>
    <row r="164" spans="23:27">
      <c r="W164" s="53"/>
      <c r="Y164" s="58"/>
      <c r="Z164" s="51"/>
      <c r="AA164" s="51"/>
    </row>
    <row r="165" spans="23:27">
      <c r="W165" s="53"/>
      <c r="Y165" s="58"/>
      <c r="Z165" s="51"/>
      <c r="AA165" s="51"/>
    </row>
    <row r="166" spans="23:27">
      <c r="W166" s="53"/>
      <c r="Y166" s="58"/>
      <c r="Z166" s="51"/>
      <c r="AA166" s="51"/>
    </row>
    <row r="167" spans="23:27">
      <c r="W167" s="53"/>
      <c r="Y167" s="58"/>
      <c r="Z167" s="51"/>
      <c r="AA167" s="51"/>
    </row>
    <row r="168" spans="23:27">
      <c r="W168" s="53"/>
      <c r="Y168" s="58"/>
      <c r="Z168" s="51"/>
      <c r="AA168" s="51"/>
    </row>
    <row r="169" spans="23:27">
      <c r="W169" s="53"/>
      <c r="Y169" s="58"/>
      <c r="Z169" s="51"/>
      <c r="AA169" s="51"/>
    </row>
    <row r="170" spans="23:27">
      <c r="W170" s="53"/>
      <c r="Y170" s="58"/>
      <c r="Z170" s="51"/>
      <c r="AA170" s="51"/>
    </row>
    <row r="171" spans="23:27">
      <c r="W171" s="53"/>
      <c r="Y171" s="58"/>
      <c r="Z171" s="51"/>
      <c r="AA171" s="51"/>
    </row>
    <row r="172" spans="23:27">
      <c r="W172" s="53"/>
      <c r="Y172" s="58"/>
      <c r="Z172" s="51"/>
      <c r="AA172" s="51"/>
    </row>
    <row r="173" spans="23:27">
      <c r="W173" s="53"/>
      <c r="Y173" s="58"/>
      <c r="Z173" s="51"/>
      <c r="AA173" s="51"/>
    </row>
    <row r="174" spans="23:27">
      <c r="W174" s="53"/>
      <c r="Y174" s="58"/>
      <c r="Z174" s="51"/>
      <c r="AA174" s="51"/>
    </row>
    <row r="175" spans="23:27">
      <c r="W175" s="53"/>
      <c r="Y175" s="58"/>
      <c r="Z175" s="51"/>
      <c r="AA175" s="51"/>
    </row>
    <row r="176" spans="23:27">
      <c r="W176" s="53"/>
      <c r="Y176" s="58"/>
      <c r="Z176" s="51"/>
      <c r="AA176" s="51"/>
    </row>
    <row r="177" spans="23:27">
      <c r="W177" s="53"/>
      <c r="Y177" s="58"/>
      <c r="Z177" s="51"/>
      <c r="AA177" s="51"/>
    </row>
    <row r="178" spans="23:27">
      <c r="W178" s="53"/>
      <c r="Y178" s="58"/>
      <c r="Z178" s="51"/>
      <c r="AA178" s="51"/>
    </row>
    <row r="179" spans="23:27">
      <c r="W179" s="53"/>
      <c r="Y179" s="58"/>
      <c r="Z179" s="51"/>
      <c r="AA179" s="51"/>
    </row>
    <row r="180" spans="23:27">
      <c r="W180" s="53"/>
      <c r="Y180" s="58"/>
      <c r="Z180" s="51"/>
      <c r="AA180" s="51"/>
    </row>
    <row r="181" spans="23:27">
      <c r="W181" s="53"/>
      <c r="Y181" s="58"/>
      <c r="Z181" s="51"/>
      <c r="AA181" s="51"/>
    </row>
    <row r="182" spans="23:27">
      <c r="W182" s="53"/>
      <c r="Y182" s="58"/>
      <c r="Z182" s="51"/>
      <c r="AA182" s="51"/>
    </row>
    <row r="183" spans="23:27">
      <c r="W183" s="53"/>
      <c r="Y183" s="58"/>
      <c r="Z183" s="51"/>
      <c r="AA183" s="51"/>
    </row>
    <row r="184" spans="23:27">
      <c r="W184" s="53"/>
      <c r="Y184" s="58"/>
      <c r="Z184" s="51"/>
      <c r="AA184" s="51"/>
    </row>
    <row r="185" spans="23:27">
      <c r="W185" s="53"/>
      <c r="Y185" s="58"/>
      <c r="Z185" s="51"/>
      <c r="AA185" s="51"/>
    </row>
    <row r="186" spans="23:27">
      <c r="W186" s="53"/>
      <c r="Y186" s="58"/>
      <c r="Z186" s="51"/>
      <c r="AA186" s="51"/>
    </row>
    <row r="187" spans="23:27">
      <c r="W187" s="53"/>
      <c r="Y187" s="58"/>
      <c r="Z187" s="51"/>
      <c r="AA187" s="51"/>
    </row>
    <row r="188" spans="23:27">
      <c r="W188" s="53"/>
      <c r="Y188" s="58"/>
      <c r="Z188" s="51"/>
      <c r="AA188" s="51"/>
    </row>
    <row r="189" spans="23:27">
      <c r="W189" s="53"/>
      <c r="Y189" s="58"/>
      <c r="Z189" s="51"/>
      <c r="AA189" s="51"/>
    </row>
    <row r="190" spans="23:27">
      <c r="W190" s="53"/>
      <c r="Y190" s="58"/>
      <c r="Z190" s="51"/>
      <c r="AA190" s="51"/>
    </row>
    <row r="191" spans="23:27">
      <c r="W191" s="53"/>
      <c r="Y191" s="58"/>
      <c r="Z191" s="51"/>
      <c r="AA191" s="51"/>
    </row>
    <row r="192" spans="23:27">
      <c r="W192" s="53"/>
      <c r="Y192" s="58"/>
      <c r="Z192" s="51"/>
      <c r="AA192" s="51"/>
    </row>
    <row r="193" spans="23:27">
      <c r="W193" s="53"/>
      <c r="Y193" s="58"/>
      <c r="Z193" s="51"/>
      <c r="AA193" s="51"/>
    </row>
    <row r="194" spans="23:27">
      <c r="W194" s="53"/>
      <c r="Y194" s="58"/>
      <c r="Z194" s="51"/>
      <c r="AA194" s="51"/>
    </row>
    <row r="195" spans="23:27">
      <c r="W195" s="53"/>
      <c r="Y195" s="58"/>
      <c r="Z195" s="51"/>
      <c r="AA195" s="51"/>
    </row>
    <row r="196" spans="23:27">
      <c r="W196" s="53"/>
      <c r="Y196" s="58"/>
      <c r="Z196" s="51"/>
      <c r="AA196" s="51"/>
    </row>
    <row r="197" spans="23:27">
      <c r="W197" s="53"/>
      <c r="Y197" s="58"/>
      <c r="Z197" s="51"/>
      <c r="AA197" s="51"/>
    </row>
    <row r="198" spans="23:27">
      <c r="W198" s="53"/>
      <c r="Y198" s="58"/>
      <c r="Z198" s="51"/>
      <c r="AA198" s="51"/>
    </row>
    <row r="199" spans="23:27">
      <c r="W199" s="53"/>
      <c r="Y199" s="58"/>
      <c r="Z199" s="51"/>
      <c r="AA199" s="51"/>
    </row>
    <row r="200" spans="23:27">
      <c r="W200" s="53"/>
      <c r="Y200" s="58"/>
      <c r="Z200" s="51"/>
      <c r="AA200" s="51"/>
    </row>
    <row r="201" spans="23:27">
      <c r="W201" s="53"/>
      <c r="Y201" s="58"/>
      <c r="Z201" s="51"/>
      <c r="AA201" s="51"/>
    </row>
    <row r="202" spans="23:27">
      <c r="W202" s="53"/>
      <c r="Y202" s="58"/>
      <c r="Z202" s="51"/>
      <c r="AA202" s="51"/>
    </row>
    <row r="203" spans="23:27">
      <c r="W203" s="53"/>
      <c r="Y203" s="58"/>
      <c r="Z203" s="51"/>
      <c r="AA203" s="51"/>
    </row>
    <row r="204" spans="23:27">
      <c r="W204" s="53"/>
      <c r="Y204" s="58"/>
      <c r="Z204" s="51"/>
      <c r="AA204" s="51"/>
    </row>
    <row r="205" spans="23:27">
      <c r="W205" s="53"/>
      <c r="Y205" s="58"/>
      <c r="Z205" s="51"/>
      <c r="AA205" s="51"/>
    </row>
    <row r="206" spans="23:27">
      <c r="W206" s="53"/>
      <c r="Y206" s="58"/>
      <c r="Z206" s="51"/>
      <c r="AA206" s="51"/>
    </row>
    <row r="207" spans="23:27">
      <c r="W207" s="53"/>
      <c r="Y207" s="58"/>
      <c r="Z207" s="51"/>
      <c r="AA207" s="51"/>
    </row>
    <row r="208" spans="23:27">
      <c r="W208" s="53"/>
      <c r="Y208" s="58"/>
      <c r="Z208" s="51"/>
      <c r="AA208" s="51"/>
    </row>
    <row r="209" spans="23:27">
      <c r="W209" s="53"/>
      <c r="Y209" s="58"/>
      <c r="Z209" s="51"/>
      <c r="AA209" s="51"/>
    </row>
    <row r="210" spans="23:27">
      <c r="W210" s="53"/>
      <c r="Y210" s="58"/>
      <c r="Z210" s="51"/>
      <c r="AA210" s="51"/>
    </row>
    <row r="211" spans="23:27">
      <c r="W211" s="53"/>
      <c r="Y211" s="58"/>
      <c r="Z211" s="51"/>
      <c r="AA211" s="51"/>
    </row>
    <row r="212" spans="23:27">
      <c r="W212" s="53"/>
      <c r="Y212" s="58"/>
      <c r="Z212" s="51"/>
      <c r="AA212" s="51"/>
    </row>
    <row r="213" spans="23:27">
      <c r="W213" s="53"/>
      <c r="Y213" s="58"/>
      <c r="Z213" s="51"/>
      <c r="AA213" s="51"/>
    </row>
    <row r="214" spans="23:27">
      <c r="W214" s="53"/>
      <c r="Y214" s="58"/>
      <c r="Z214" s="51"/>
      <c r="AA214" s="51"/>
    </row>
    <row r="215" spans="23:27">
      <c r="W215" s="53"/>
      <c r="Y215" s="58"/>
      <c r="Z215" s="51"/>
      <c r="AA215" s="51"/>
    </row>
    <row r="216" spans="23:27">
      <c r="W216" s="53"/>
      <c r="Y216" s="58"/>
      <c r="Z216" s="51"/>
      <c r="AA216" s="51"/>
    </row>
    <row r="217" spans="23:27">
      <c r="W217" s="53"/>
      <c r="Y217" s="58"/>
      <c r="Z217" s="51"/>
      <c r="AA217" s="51"/>
    </row>
    <row r="218" spans="23:27">
      <c r="W218" s="53"/>
      <c r="Y218" s="58"/>
      <c r="Z218" s="51"/>
      <c r="AA218" s="51"/>
    </row>
    <row r="219" spans="23:27">
      <c r="W219" s="53"/>
      <c r="Y219" s="58"/>
      <c r="Z219" s="51"/>
      <c r="AA219" s="51"/>
    </row>
    <row r="220" spans="23:27">
      <c r="W220" s="53"/>
      <c r="Y220" s="58"/>
      <c r="Z220" s="51"/>
      <c r="AA220" s="51"/>
    </row>
    <row r="221" spans="23:27">
      <c r="W221" s="53"/>
      <c r="Y221" s="58"/>
      <c r="Z221" s="51"/>
      <c r="AA221" s="51"/>
    </row>
    <row r="222" spans="23:27">
      <c r="W222" s="53"/>
      <c r="Y222" s="58"/>
      <c r="Z222" s="51"/>
      <c r="AA222" s="51"/>
    </row>
    <row r="223" spans="23:27">
      <c r="W223" s="53"/>
      <c r="Y223" s="58"/>
      <c r="Z223" s="51"/>
      <c r="AA223" s="51"/>
    </row>
    <row r="224" spans="23:27">
      <c r="W224" s="53"/>
      <c r="Y224" s="58"/>
      <c r="Z224" s="51"/>
      <c r="AA224" s="51"/>
    </row>
    <row r="225" spans="23:27">
      <c r="W225" s="53"/>
      <c r="Y225" s="58"/>
      <c r="Z225" s="51"/>
      <c r="AA225" s="51"/>
    </row>
    <row r="226" spans="23:27">
      <c r="W226" s="53"/>
      <c r="Y226" s="58"/>
      <c r="Z226" s="51"/>
      <c r="AA226" s="51"/>
    </row>
    <row r="227" spans="23:27">
      <c r="W227" s="53"/>
      <c r="Y227" s="58"/>
      <c r="Z227" s="51"/>
      <c r="AA227" s="51"/>
    </row>
    <row r="228" spans="23:27">
      <c r="W228" s="53"/>
      <c r="Y228" s="58"/>
      <c r="Z228" s="51"/>
      <c r="AA228" s="51"/>
    </row>
    <row r="229" spans="23:27">
      <c r="W229" s="53"/>
      <c r="Y229" s="58"/>
      <c r="Z229" s="51"/>
      <c r="AA229" s="51"/>
    </row>
    <row r="230" spans="23:27">
      <c r="W230" s="53"/>
      <c r="Y230" s="58"/>
      <c r="Z230" s="51"/>
      <c r="AA230" s="51"/>
    </row>
    <row r="231" spans="23:27">
      <c r="W231" s="53"/>
      <c r="Y231" s="58"/>
      <c r="Z231" s="51"/>
      <c r="AA231" s="51"/>
    </row>
    <row r="232" spans="23:27">
      <c r="W232" s="53"/>
      <c r="Y232" s="58"/>
      <c r="Z232" s="51"/>
      <c r="AA232" s="51"/>
    </row>
    <row r="233" spans="23:27">
      <c r="W233" s="53"/>
      <c r="Y233" s="58"/>
      <c r="Z233" s="51"/>
      <c r="AA233" s="51"/>
    </row>
    <row r="234" spans="23:27">
      <c r="W234" s="53"/>
      <c r="Y234" s="58"/>
      <c r="Z234" s="51"/>
      <c r="AA234" s="51"/>
    </row>
    <row r="235" spans="23:27">
      <c r="W235" s="53"/>
      <c r="Y235" s="58"/>
      <c r="Z235" s="51"/>
      <c r="AA235" s="51"/>
    </row>
    <row r="236" spans="23:27">
      <c r="W236" s="53"/>
      <c r="Y236" s="58"/>
      <c r="Z236" s="51"/>
      <c r="AA236" s="51"/>
    </row>
    <row r="237" spans="23:27">
      <c r="W237" s="53"/>
      <c r="Y237" s="58"/>
      <c r="Z237" s="51"/>
      <c r="AA237" s="51"/>
    </row>
    <row r="238" spans="23:27">
      <c r="W238" s="53"/>
      <c r="Y238" s="58"/>
      <c r="Z238" s="51"/>
      <c r="AA238" s="51"/>
    </row>
    <row r="239" spans="23:27">
      <c r="W239" s="53"/>
      <c r="Y239" s="58"/>
      <c r="Z239" s="51"/>
      <c r="AA239" s="51"/>
    </row>
    <row r="240" spans="23:27">
      <c r="W240" s="53"/>
      <c r="Y240" s="58"/>
      <c r="Z240" s="51"/>
      <c r="AA240" s="51"/>
    </row>
    <row r="241" spans="23:27">
      <c r="W241" s="53"/>
      <c r="Y241" s="58"/>
      <c r="Z241" s="51"/>
      <c r="AA241" s="51"/>
    </row>
    <row r="242" spans="23:27">
      <c r="W242" s="53"/>
      <c r="Y242" s="58"/>
      <c r="Z242" s="51"/>
      <c r="AA242" s="51"/>
    </row>
    <row r="243" spans="23:27">
      <c r="W243" s="53"/>
      <c r="Y243" s="58"/>
      <c r="Z243" s="51"/>
      <c r="AA243" s="51"/>
    </row>
    <row r="244" spans="23:27">
      <c r="W244" s="53"/>
      <c r="Y244" s="58"/>
      <c r="Z244" s="51"/>
      <c r="AA244" s="51"/>
    </row>
    <row r="245" spans="23:27">
      <c r="W245" s="53"/>
      <c r="Y245" s="58"/>
      <c r="Z245" s="51"/>
      <c r="AA245" s="51"/>
    </row>
    <row r="246" spans="23:27">
      <c r="W246" s="53"/>
      <c r="Y246" s="58"/>
      <c r="Z246" s="51"/>
      <c r="AA246" s="51"/>
    </row>
    <row r="247" spans="23:27">
      <c r="W247" s="53"/>
      <c r="Y247" s="58"/>
      <c r="Z247" s="51"/>
      <c r="AA247" s="51"/>
    </row>
    <row r="248" spans="23:27">
      <c r="W248" s="53"/>
      <c r="Y248" s="58"/>
      <c r="Z248" s="51"/>
      <c r="AA248" s="51"/>
    </row>
    <row r="249" spans="23:27">
      <c r="W249" s="53"/>
      <c r="Y249" s="58"/>
      <c r="Z249" s="51"/>
      <c r="AA249" s="51"/>
    </row>
    <row r="250" spans="23:27">
      <c r="W250" s="53"/>
      <c r="Y250" s="58"/>
      <c r="Z250" s="51"/>
      <c r="AA250" s="51"/>
    </row>
    <row r="251" spans="23:27">
      <c r="W251" s="53"/>
      <c r="Y251" s="58"/>
      <c r="Z251" s="51"/>
      <c r="AA251" s="51"/>
    </row>
    <row r="252" spans="23:27">
      <c r="W252" s="53"/>
      <c r="Y252" s="58"/>
      <c r="Z252" s="51"/>
      <c r="AA252" s="51"/>
    </row>
    <row r="253" spans="23:27">
      <c r="W253" s="53"/>
      <c r="Y253" s="58"/>
      <c r="Z253" s="51"/>
      <c r="AA253" s="51"/>
    </row>
    <row r="254" spans="23:27">
      <c r="W254" s="53"/>
      <c r="Y254" s="58"/>
      <c r="Z254" s="51"/>
      <c r="AA254" s="51"/>
    </row>
    <row r="255" spans="23:27">
      <c r="W255" s="53"/>
      <c r="Y255" s="58"/>
      <c r="Z255" s="51"/>
      <c r="AA255" s="51"/>
    </row>
    <row r="256" spans="23:27">
      <c r="W256" s="53"/>
      <c r="Y256" s="58"/>
      <c r="Z256" s="51"/>
      <c r="AA256" s="51"/>
    </row>
    <row r="257" spans="23:27">
      <c r="W257" s="53"/>
      <c r="Y257" s="58"/>
      <c r="Z257" s="51"/>
      <c r="AA257" s="51"/>
    </row>
    <row r="258" spans="23:27">
      <c r="W258" s="53"/>
      <c r="Y258" s="58"/>
      <c r="Z258" s="51"/>
      <c r="AA258" s="51"/>
    </row>
    <row r="259" spans="23:27">
      <c r="W259" s="53"/>
      <c r="Y259" s="58"/>
      <c r="Z259" s="51"/>
      <c r="AA259" s="51"/>
    </row>
    <row r="260" spans="23:27">
      <c r="W260" s="53"/>
      <c r="Y260" s="58"/>
      <c r="Z260" s="51"/>
      <c r="AA260" s="51"/>
    </row>
    <row r="261" spans="23:27">
      <c r="W261" s="53"/>
      <c r="Y261" s="58"/>
      <c r="Z261" s="51"/>
      <c r="AA261" s="51"/>
    </row>
    <row r="262" spans="23:27">
      <c r="W262" s="53"/>
      <c r="Y262" s="58"/>
      <c r="Z262" s="51"/>
      <c r="AA262" s="51"/>
    </row>
    <row r="263" spans="23:27">
      <c r="W263" s="53"/>
      <c r="Y263" s="58"/>
      <c r="Z263" s="51"/>
      <c r="AA263" s="51"/>
    </row>
    <row r="264" spans="23:27">
      <c r="W264" s="53"/>
      <c r="Y264" s="58"/>
      <c r="Z264" s="51"/>
      <c r="AA264" s="51"/>
    </row>
    <row r="265" spans="23:27">
      <c r="W265" s="53"/>
      <c r="Y265" s="58"/>
      <c r="Z265" s="51"/>
      <c r="AA265" s="51"/>
    </row>
    <row r="266" spans="23:27">
      <c r="W266" s="53"/>
      <c r="Y266" s="58"/>
      <c r="Z266" s="51"/>
      <c r="AA266" s="51"/>
    </row>
    <row r="267" spans="23:27">
      <c r="W267" s="53"/>
      <c r="Y267" s="58"/>
      <c r="Z267" s="51"/>
      <c r="AA267" s="51"/>
    </row>
    <row r="268" spans="23:27">
      <c r="W268" s="53"/>
      <c r="Y268" s="58"/>
      <c r="Z268" s="51"/>
      <c r="AA268" s="51"/>
    </row>
    <row r="269" spans="23:27">
      <c r="W269" s="53"/>
      <c r="Y269" s="58"/>
      <c r="Z269" s="51"/>
      <c r="AA269" s="51"/>
    </row>
    <row r="270" spans="23:27">
      <c r="W270" s="53"/>
      <c r="Y270" s="58"/>
      <c r="Z270" s="51"/>
      <c r="AA270" s="51"/>
    </row>
    <row r="271" spans="23:27">
      <c r="W271" s="53"/>
      <c r="Y271" s="58"/>
      <c r="Z271" s="51"/>
      <c r="AA271" s="51"/>
    </row>
    <row r="272" spans="23:27">
      <c r="W272" s="53"/>
      <c r="Y272" s="58"/>
      <c r="Z272" s="51"/>
      <c r="AA272" s="51"/>
    </row>
    <row r="273" spans="23:27">
      <c r="W273" s="53"/>
      <c r="Y273" s="58"/>
      <c r="Z273" s="51"/>
      <c r="AA273" s="51"/>
    </row>
    <row r="274" spans="23:27">
      <c r="W274" s="53"/>
      <c r="Y274" s="58"/>
      <c r="Z274" s="51"/>
      <c r="AA274" s="51"/>
    </row>
    <row r="275" spans="23:27">
      <c r="W275" s="53"/>
      <c r="Y275" s="58"/>
      <c r="Z275" s="51"/>
      <c r="AA275" s="51"/>
    </row>
    <row r="276" spans="23:27">
      <c r="W276" s="53"/>
      <c r="Y276" s="58"/>
      <c r="Z276" s="51"/>
      <c r="AA276" s="51"/>
    </row>
    <row r="277" spans="23:27">
      <c r="W277" s="53"/>
      <c r="Y277" s="58"/>
      <c r="Z277" s="51"/>
      <c r="AA277" s="51"/>
    </row>
    <row r="278" spans="23:27">
      <c r="W278" s="53"/>
      <c r="Y278" s="58"/>
      <c r="Z278" s="51"/>
      <c r="AA278" s="51"/>
    </row>
    <row r="279" spans="23:27">
      <c r="W279" s="53"/>
      <c r="Y279" s="58"/>
      <c r="Z279" s="51"/>
      <c r="AA279" s="51"/>
    </row>
    <row r="280" spans="23:27">
      <c r="W280" s="53"/>
      <c r="Y280" s="58"/>
      <c r="Z280" s="51"/>
      <c r="AA280" s="51"/>
    </row>
    <row r="281" spans="23:27">
      <c r="W281" s="53"/>
      <c r="Y281" s="58"/>
      <c r="Z281" s="51"/>
      <c r="AA281" s="51"/>
    </row>
    <row r="282" spans="23:27">
      <c r="W282" s="53"/>
      <c r="Y282" s="58"/>
      <c r="Z282" s="51"/>
      <c r="AA282" s="51"/>
    </row>
    <row r="283" spans="23:27">
      <c r="W283" s="53"/>
      <c r="Y283" s="58"/>
      <c r="Z283" s="51"/>
      <c r="AA283" s="51"/>
    </row>
    <row r="284" spans="23:27">
      <c r="W284" s="53"/>
      <c r="Y284" s="58"/>
      <c r="Z284" s="51"/>
      <c r="AA284" s="51"/>
    </row>
    <row r="285" spans="23:27">
      <c r="W285" s="53"/>
      <c r="Y285" s="58"/>
      <c r="Z285" s="51"/>
      <c r="AA285" s="51"/>
    </row>
    <row r="286" spans="23:27">
      <c r="W286" s="53"/>
      <c r="Y286" s="58"/>
      <c r="Z286" s="51"/>
      <c r="AA286" s="51"/>
    </row>
    <row r="287" spans="23:27">
      <c r="W287" s="53"/>
      <c r="Y287" s="58"/>
      <c r="Z287" s="51"/>
      <c r="AA287" s="51"/>
    </row>
    <row r="288" spans="23:27">
      <c r="W288" s="53"/>
      <c r="Y288" s="58"/>
      <c r="Z288" s="51"/>
      <c r="AA288" s="51"/>
    </row>
    <row r="289" spans="23:27">
      <c r="W289" s="53"/>
      <c r="Y289" s="58"/>
      <c r="Z289" s="51"/>
      <c r="AA289" s="51"/>
    </row>
    <row r="290" spans="23:27">
      <c r="W290" s="53"/>
      <c r="Y290" s="58"/>
      <c r="Z290" s="51"/>
      <c r="AA290" s="51"/>
    </row>
    <row r="291" spans="23:27">
      <c r="W291" s="53"/>
      <c r="Y291" s="58"/>
      <c r="Z291" s="51"/>
      <c r="AA291" s="51"/>
    </row>
    <row r="292" spans="23:27">
      <c r="W292" s="53"/>
      <c r="Y292" s="58"/>
      <c r="Z292" s="51"/>
      <c r="AA292" s="51"/>
    </row>
    <row r="293" spans="23:27">
      <c r="W293" s="53"/>
      <c r="Y293" s="58"/>
      <c r="Z293" s="51"/>
      <c r="AA293" s="51"/>
    </row>
    <row r="294" spans="23:27">
      <c r="W294" s="53"/>
      <c r="Y294" s="58"/>
      <c r="Z294" s="51"/>
      <c r="AA294" s="51"/>
    </row>
    <row r="295" spans="23:27">
      <c r="W295" s="53"/>
      <c r="Y295" s="58"/>
      <c r="Z295" s="51"/>
      <c r="AA295" s="51"/>
    </row>
    <row r="296" spans="23:27">
      <c r="W296" s="53"/>
      <c r="Y296" s="58"/>
      <c r="Z296" s="51"/>
      <c r="AA296" s="51"/>
    </row>
    <row r="297" spans="23:27">
      <c r="W297" s="53"/>
      <c r="Y297" s="58"/>
      <c r="Z297" s="51"/>
      <c r="AA297" s="51"/>
    </row>
    <row r="298" spans="23:27">
      <c r="W298" s="53"/>
      <c r="Y298" s="58"/>
      <c r="Z298" s="51"/>
      <c r="AA298" s="51"/>
    </row>
    <row r="299" spans="23:27">
      <c r="W299" s="53"/>
      <c r="Y299" s="58"/>
      <c r="Z299" s="51"/>
      <c r="AA299" s="51"/>
    </row>
    <row r="300" spans="23:27">
      <c r="W300" s="53"/>
      <c r="Y300" s="58"/>
      <c r="Z300" s="51"/>
      <c r="AA300" s="51"/>
    </row>
    <row r="301" spans="23:27">
      <c r="W301" s="53"/>
      <c r="Y301" s="58"/>
      <c r="Z301" s="51"/>
      <c r="AA301" s="51"/>
    </row>
    <row r="302" spans="23:27">
      <c r="W302" s="53"/>
      <c r="Y302" s="58"/>
      <c r="Z302" s="51"/>
      <c r="AA302" s="51"/>
    </row>
    <row r="303" spans="23:27">
      <c r="W303" s="53"/>
      <c r="Y303" s="58"/>
      <c r="Z303" s="51"/>
      <c r="AA303" s="51"/>
    </row>
    <row r="304" spans="23:27">
      <c r="W304" s="53"/>
      <c r="Y304" s="58"/>
      <c r="Z304" s="51"/>
      <c r="AA304" s="51"/>
    </row>
    <row r="305" spans="23:27">
      <c r="W305" s="53"/>
      <c r="Y305" s="58"/>
      <c r="Z305" s="51"/>
      <c r="AA305" s="51"/>
    </row>
    <row r="306" spans="23:27">
      <c r="W306" s="53"/>
      <c r="Y306" s="58"/>
      <c r="Z306" s="51"/>
      <c r="AA306" s="51"/>
    </row>
    <row r="307" spans="23:27">
      <c r="W307" s="53"/>
      <c r="Y307" s="58"/>
      <c r="Z307" s="51"/>
      <c r="AA307" s="51"/>
    </row>
    <row r="308" spans="23:27">
      <c r="W308" s="53"/>
      <c r="Y308" s="58"/>
      <c r="Z308" s="51"/>
      <c r="AA308" s="51"/>
    </row>
    <row r="309" spans="23:27">
      <c r="W309" s="53"/>
      <c r="Y309" s="58"/>
      <c r="Z309" s="51"/>
      <c r="AA309" s="51"/>
    </row>
    <row r="310" spans="23:27">
      <c r="W310" s="53"/>
      <c r="Y310" s="58"/>
      <c r="Z310" s="51"/>
      <c r="AA310" s="51"/>
    </row>
    <row r="311" spans="23:27">
      <c r="W311" s="53"/>
      <c r="Y311" s="58"/>
      <c r="Z311" s="51"/>
      <c r="AA311" s="51"/>
    </row>
    <row r="312" spans="23:27">
      <c r="W312" s="53"/>
      <c r="Y312" s="58"/>
      <c r="Z312" s="51"/>
      <c r="AA312" s="51"/>
    </row>
    <row r="313" spans="23:27">
      <c r="W313" s="53"/>
      <c r="Y313" s="58"/>
      <c r="Z313" s="51"/>
      <c r="AA313" s="51"/>
    </row>
    <row r="314" spans="23:27">
      <c r="W314" s="53"/>
      <c r="Y314" s="58"/>
      <c r="Z314" s="51"/>
      <c r="AA314" s="51"/>
    </row>
    <row r="315" spans="23:27">
      <c r="W315" s="53"/>
      <c r="Y315" s="58"/>
      <c r="Z315" s="51"/>
      <c r="AA315" s="51"/>
    </row>
    <row r="316" spans="23:27">
      <c r="W316" s="53"/>
      <c r="Y316" s="58"/>
      <c r="Z316" s="51"/>
      <c r="AA316" s="51"/>
    </row>
    <row r="317" spans="23:27">
      <c r="W317" s="53"/>
      <c r="Y317" s="58"/>
      <c r="Z317" s="51"/>
      <c r="AA317" s="51"/>
    </row>
    <row r="318" spans="23:27">
      <c r="W318" s="53"/>
      <c r="Y318" s="58"/>
      <c r="Z318" s="51"/>
      <c r="AA318" s="51"/>
    </row>
    <row r="319" spans="23:27">
      <c r="W319" s="53"/>
      <c r="Y319" s="58"/>
      <c r="Z319" s="51"/>
      <c r="AA319" s="51"/>
    </row>
    <row r="320" spans="23:27">
      <c r="W320" s="53"/>
      <c r="Y320" s="58"/>
      <c r="Z320" s="51"/>
      <c r="AA320" s="51"/>
    </row>
    <row r="321" spans="23:27">
      <c r="W321" s="53"/>
      <c r="Y321" s="58"/>
      <c r="Z321" s="51"/>
      <c r="AA321" s="51"/>
    </row>
    <row r="322" spans="23:27">
      <c r="W322" s="53"/>
      <c r="Y322" s="58"/>
      <c r="Z322" s="51"/>
      <c r="AA322" s="51"/>
    </row>
    <row r="323" spans="23:27">
      <c r="W323" s="53"/>
      <c r="Y323" s="58"/>
      <c r="Z323" s="51"/>
      <c r="AA323" s="51"/>
    </row>
    <row r="324" spans="23:27">
      <c r="W324" s="53"/>
      <c r="Y324" s="58"/>
      <c r="Z324" s="51"/>
      <c r="AA324" s="51"/>
    </row>
    <row r="325" spans="23:27">
      <c r="W325" s="53"/>
      <c r="Y325" s="58"/>
      <c r="Z325" s="51"/>
      <c r="AA325" s="51"/>
    </row>
    <row r="326" spans="23:27">
      <c r="W326" s="53"/>
      <c r="Y326" s="58"/>
      <c r="Z326" s="51"/>
      <c r="AA326" s="51"/>
    </row>
    <row r="327" spans="23:27">
      <c r="W327" s="53"/>
      <c r="Y327" s="58"/>
      <c r="Z327" s="51"/>
      <c r="AA327" s="51"/>
    </row>
    <row r="328" spans="23:27">
      <c r="W328" s="53"/>
      <c r="Y328" s="58"/>
      <c r="Z328" s="51"/>
      <c r="AA328" s="51"/>
    </row>
    <row r="329" spans="23:27">
      <c r="W329" s="53"/>
      <c r="Y329" s="58"/>
      <c r="Z329" s="51"/>
      <c r="AA329" s="51"/>
    </row>
    <row r="330" spans="23:27">
      <c r="W330" s="53"/>
      <c r="Y330" s="58"/>
      <c r="Z330" s="51"/>
      <c r="AA330" s="51"/>
    </row>
    <row r="331" spans="23:27">
      <c r="W331" s="53"/>
      <c r="Y331" s="58"/>
      <c r="Z331" s="51"/>
      <c r="AA331" s="51"/>
    </row>
    <row r="332" spans="23:27">
      <c r="W332" s="53"/>
      <c r="Y332" s="58"/>
      <c r="Z332" s="51"/>
      <c r="AA332" s="51"/>
    </row>
    <row r="333" spans="23:27">
      <c r="W333" s="53"/>
      <c r="Y333" s="58"/>
      <c r="Z333" s="51"/>
      <c r="AA333" s="51"/>
    </row>
    <row r="334" spans="23:27">
      <c r="W334" s="53"/>
      <c r="Y334" s="58"/>
      <c r="Z334" s="51"/>
      <c r="AA334" s="51"/>
    </row>
    <row r="335" spans="23:27">
      <c r="W335" s="53"/>
      <c r="Y335" s="58"/>
      <c r="Z335" s="51"/>
      <c r="AA335" s="51"/>
    </row>
    <row r="336" spans="23:27">
      <c r="W336" s="53"/>
      <c r="Y336" s="58"/>
      <c r="Z336" s="51"/>
      <c r="AA336" s="51"/>
    </row>
    <row r="337" spans="23:27">
      <c r="W337" s="53"/>
      <c r="Y337" s="58"/>
      <c r="Z337" s="51"/>
      <c r="AA337" s="51"/>
    </row>
    <row r="338" spans="23:27">
      <c r="W338" s="53"/>
      <c r="Y338" s="58"/>
      <c r="Z338" s="51"/>
      <c r="AA338" s="51"/>
    </row>
    <row r="339" spans="23:27">
      <c r="W339" s="53"/>
      <c r="Y339" s="58"/>
      <c r="Z339" s="51"/>
      <c r="AA339" s="51"/>
    </row>
    <row r="340" spans="23:27">
      <c r="W340" s="53"/>
      <c r="Y340" s="58"/>
      <c r="Z340" s="51"/>
      <c r="AA340" s="51"/>
    </row>
    <row r="341" spans="23:27">
      <c r="W341" s="53"/>
      <c r="Y341" s="58"/>
      <c r="Z341" s="51"/>
      <c r="AA341" s="51"/>
    </row>
    <row r="342" spans="23:27">
      <c r="W342" s="53"/>
      <c r="Y342" s="58"/>
      <c r="Z342" s="51"/>
      <c r="AA342" s="51"/>
    </row>
    <row r="343" spans="23:27">
      <c r="W343" s="53"/>
      <c r="Y343" s="58"/>
      <c r="Z343" s="51"/>
      <c r="AA343" s="51"/>
    </row>
    <row r="344" spans="23:27">
      <c r="W344" s="53"/>
      <c r="Y344" s="58"/>
      <c r="Z344" s="51"/>
      <c r="AA344" s="51"/>
    </row>
    <row r="345" spans="23:27">
      <c r="W345" s="53"/>
      <c r="Y345" s="58"/>
      <c r="Z345" s="51"/>
      <c r="AA345" s="51"/>
    </row>
    <row r="346" spans="23:27">
      <c r="W346" s="53"/>
      <c r="Y346" s="58"/>
      <c r="Z346" s="51"/>
      <c r="AA346" s="51"/>
    </row>
    <row r="347" spans="23:27">
      <c r="W347" s="53"/>
      <c r="Y347" s="58"/>
      <c r="Z347" s="51"/>
      <c r="AA347" s="51"/>
    </row>
    <row r="348" spans="23:27">
      <c r="W348" s="53"/>
      <c r="Y348" s="58"/>
      <c r="Z348" s="51"/>
      <c r="AA348" s="51"/>
    </row>
    <row r="349" spans="23:27">
      <c r="W349" s="53"/>
      <c r="Y349" s="58"/>
      <c r="Z349" s="51"/>
      <c r="AA349" s="51"/>
    </row>
    <row r="350" spans="23:27">
      <c r="W350" s="53"/>
      <c r="Y350" s="58"/>
      <c r="Z350" s="51"/>
      <c r="AA350" s="51"/>
    </row>
    <row r="351" spans="23:27">
      <c r="W351" s="53"/>
      <c r="Y351" s="58"/>
      <c r="Z351" s="51"/>
      <c r="AA351" s="51"/>
    </row>
    <row r="352" spans="23:27">
      <c r="W352" s="53"/>
      <c r="Y352" s="58"/>
      <c r="Z352" s="51"/>
      <c r="AA352" s="51"/>
    </row>
    <row r="353" spans="23:27">
      <c r="W353" s="53"/>
      <c r="Y353" s="58"/>
      <c r="Z353" s="51"/>
      <c r="AA353" s="51"/>
    </row>
    <row r="354" spans="23:27">
      <c r="W354" s="53"/>
      <c r="Y354" s="58"/>
      <c r="Z354" s="51"/>
      <c r="AA354" s="51"/>
    </row>
    <row r="355" spans="23:27">
      <c r="W355" s="53"/>
      <c r="Y355" s="58"/>
      <c r="Z355" s="51"/>
      <c r="AA355" s="51"/>
    </row>
    <row r="356" spans="23:27">
      <c r="W356" s="53"/>
      <c r="Y356" s="58"/>
      <c r="Z356" s="51"/>
      <c r="AA356" s="51"/>
    </row>
    <row r="357" spans="23:27">
      <c r="W357" s="53"/>
      <c r="Y357" s="58"/>
      <c r="Z357" s="51"/>
      <c r="AA357" s="51"/>
    </row>
    <row r="358" spans="23:27">
      <c r="W358" s="53"/>
      <c r="Y358" s="58"/>
      <c r="Z358" s="51"/>
      <c r="AA358" s="51"/>
    </row>
    <row r="359" spans="23:27">
      <c r="W359" s="53"/>
      <c r="Y359" s="58"/>
      <c r="Z359" s="51"/>
      <c r="AA359" s="51"/>
    </row>
    <row r="360" spans="23:27">
      <c r="W360" s="53"/>
      <c r="Y360" s="58"/>
      <c r="Z360" s="51"/>
      <c r="AA360" s="51"/>
    </row>
    <row r="361" spans="23:27">
      <c r="W361" s="53"/>
      <c r="Y361" s="58"/>
      <c r="Z361" s="51"/>
      <c r="AA361" s="51"/>
    </row>
    <row r="362" spans="23:27">
      <c r="W362" s="53"/>
      <c r="Y362" s="58"/>
      <c r="Z362" s="51"/>
      <c r="AA362" s="51"/>
    </row>
    <row r="363" spans="23:27">
      <c r="W363" s="53"/>
      <c r="Y363" s="58"/>
      <c r="Z363" s="51"/>
      <c r="AA363" s="51"/>
    </row>
    <row r="364" spans="23:27">
      <c r="W364" s="53"/>
      <c r="Y364" s="58"/>
      <c r="Z364" s="51"/>
      <c r="AA364" s="51"/>
    </row>
    <row r="365" spans="23:27">
      <c r="W365" s="53"/>
      <c r="Y365" s="58"/>
      <c r="Z365" s="51"/>
      <c r="AA365" s="51"/>
    </row>
    <row r="366" spans="23:27">
      <c r="W366" s="53"/>
      <c r="Y366" s="58"/>
      <c r="Z366" s="51"/>
      <c r="AA366" s="51"/>
    </row>
    <row r="367" spans="23:27">
      <c r="W367" s="53"/>
      <c r="Y367" s="58"/>
      <c r="Z367" s="51"/>
      <c r="AA367" s="51"/>
    </row>
    <row r="368" spans="23:27">
      <c r="W368" s="53"/>
      <c r="Y368" s="58"/>
      <c r="Z368" s="51"/>
      <c r="AA368" s="51"/>
    </row>
    <row r="369" spans="23:27">
      <c r="W369" s="53"/>
      <c r="Y369" s="58"/>
      <c r="Z369" s="51"/>
      <c r="AA369" s="51"/>
    </row>
    <row r="370" spans="23:27">
      <c r="W370" s="53"/>
      <c r="Y370" s="58"/>
      <c r="Z370" s="51"/>
      <c r="AA370" s="51"/>
    </row>
    <row r="371" spans="23:27">
      <c r="W371" s="53"/>
      <c r="Y371" s="58"/>
      <c r="Z371" s="51"/>
      <c r="AA371" s="51"/>
    </row>
    <row r="372" spans="23:27">
      <c r="W372" s="53"/>
      <c r="Y372" s="58"/>
      <c r="Z372" s="51"/>
      <c r="AA372" s="51"/>
    </row>
    <row r="373" spans="23:27">
      <c r="W373" s="53"/>
      <c r="Y373" s="58"/>
      <c r="Z373" s="51"/>
      <c r="AA373" s="51"/>
    </row>
    <row r="374" spans="23:27">
      <c r="W374" s="53"/>
      <c r="Y374" s="58"/>
      <c r="Z374" s="51"/>
      <c r="AA374" s="51"/>
    </row>
    <row r="375" spans="23:27">
      <c r="W375" s="53"/>
      <c r="Y375" s="58"/>
      <c r="Z375" s="51"/>
      <c r="AA375" s="51"/>
    </row>
    <row r="376" spans="23:27">
      <c r="W376" s="53"/>
      <c r="Y376" s="58"/>
      <c r="Z376" s="51"/>
      <c r="AA376" s="51"/>
    </row>
    <row r="377" spans="23:27">
      <c r="W377" s="53"/>
      <c r="Y377" s="58"/>
      <c r="Z377" s="51"/>
      <c r="AA377" s="51"/>
    </row>
    <row r="378" spans="23:27">
      <c r="W378" s="53"/>
      <c r="Y378" s="58"/>
      <c r="Z378" s="51"/>
      <c r="AA378" s="51"/>
    </row>
    <row r="379" spans="23:27">
      <c r="W379" s="53"/>
      <c r="Y379" s="58"/>
      <c r="Z379" s="51"/>
      <c r="AA379" s="51"/>
    </row>
    <row r="380" spans="23:27">
      <c r="W380" s="53"/>
      <c r="Y380" s="58"/>
      <c r="Z380" s="51"/>
      <c r="AA380" s="51"/>
    </row>
    <row r="381" spans="23:27">
      <c r="W381" s="53"/>
      <c r="Y381" s="58"/>
      <c r="Z381" s="51"/>
      <c r="AA381" s="51"/>
    </row>
    <row r="382" spans="23:27">
      <c r="W382" s="53"/>
      <c r="Y382" s="58"/>
      <c r="Z382" s="51"/>
      <c r="AA382" s="51"/>
    </row>
    <row r="383" spans="23:27">
      <c r="W383" s="53"/>
      <c r="Y383" s="58"/>
      <c r="Z383" s="51"/>
      <c r="AA383" s="51"/>
    </row>
    <row r="384" spans="23:27">
      <c r="W384" s="53"/>
      <c r="Y384" s="58"/>
      <c r="Z384" s="51"/>
      <c r="AA384" s="51"/>
    </row>
    <row r="385" spans="23:27">
      <c r="W385" s="53"/>
      <c r="Y385" s="58"/>
      <c r="Z385" s="51"/>
      <c r="AA385" s="51"/>
    </row>
    <row r="386" spans="23:27">
      <c r="W386" s="53"/>
      <c r="Y386" s="58"/>
      <c r="Z386" s="51"/>
      <c r="AA386" s="51"/>
    </row>
    <row r="387" spans="23:27">
      <c r="W387" s="53"/>
      <c r="Y387" s="58"/>
      <c r="Z387" s="51"/>
      <c r="AA387" s="51"/>
    </row>
    <row r="388" spans="23:27">
      <c r="W388" s="53"/>
      <c r="Y388" s="58"/>
      <c r="Z388" s="51"/>
      <c r="AA388" s="51"/>
    </row>
    <row r="389" spans="23:27">
      <c r="W389" s="53"/>
      <c r="Y389" s="58"/>
      <c r="Z389" s="51"/>
      <c r="AA389" s="51"/>
    </row>
    <row r="390" spans="23:27">
      <c r="W390" s="53"/>
      <c r="Y390" s="58"/>
      <c r="Z390" s="51"/>
      <c r="AA390" s="51"/>
    </row>
    <row r="391" spans="23:27">
      <c r="W391" s="53"/>
      <c r="Y391" s="58"/>
      <c r="Z391" s="51"/>
      <c r="AA391" s="51"/>
    </row>
    <row r="392" spans="23:27">
      <c r="W392" s="53"/>
      <c r="Y392" s="58"/>
      <c r="Z392" s="51"/>
      <c r="AA392" s="51"/>
    </row>
    <row r="393" spans="23:27">
      <c r="W393" s="53"/>
      <c r="Y393" s="58"/>
      <c r="Z393" s="51"/>
      <c r="AA393" s="51"/>
    </row>
    <row r="394" spans="23:27">
      <c r="W394" s="53"/>
      <c r="Y394" s="58"/>
      <c r="Z394" s="51"/>
      <c r="AA394" s="51"/>
    </row>
    <row r="395" spans="23:27">
      <c r="W395" s="53"/>
      <c r="Y395" s="58"/>
      <c r="Z395" s="51"/>
      <c r="AA395" s="51"/>
    </row>
    <row r="396" spans="23:27">
      <c r="W396" s="53"/>
      <c r="Y396" s="58"/>
      <c r="Z396" s="51"/>
      <c r="AA396" s="51"/>
    </row>
    <row r="397" spans="23:27">
      <c r="W397" s="53"/>
      <c r="Y397" s="58"/>
      <c r="Z397" s="51"/>
      <c r="AA397" s="51"/>
    </row>
    <row r="398" spans="23:27">
      <c r="W398" s="53"/>
      <c r="Y398" s="58"/>
      <c r="Z398" s="51"/>
      <c r="AA398" s="51"/>
    </row>
    <row r="399" spans="23:27">
      <c r="W399" s="53"/>
      <c r="Y399" s="58"/>
      <c r="Z399" s="51"/>
      <c r="AA399" s="51"/>
    </row>
    <row r="400" spans="23:27">
      <c r="W400" s="53"/>
      <c r="Y400" s="58"/>
      <c r="Z400" s="51"/>
      <c r="AA400" s="51"/>
    </row>
    <row r="401" spans="23:27">
      <c r="W401" s="53"/>
      <c r="Y401" s="58"/>
      <c r="Z401" s="51"/>
      <c r="AA401" s="51"/>
    </row>
    <row r="402" spans="23:27">
      <c r="W402" s="53"/>
      <c r="Y402" s="58"/>
      <c r="Z402" s="51"/>
      <c r="AA402" s="51"/>
    </row>
    <row r="403" spans="23:27">
      <c r="W403" s="53"/>
      <c r="Y403" s="58"/>
      <c r="Z403" s="51"/>
      <c r="AA403" s="51"/>
    </row>
    <row r="404" spans="23:27">
      <c r="W404" s="53"/>
      <c r="Y404" s="58"/>
      <c r="Z404" s="51"/>
      <c r="AA404" s="51"/>
    </row>
    <row r="405" spans="23:27">
      <c r="W405" s="53"/>
      <c r="Y405" s="58"/>
      <c r="Z405" s="51"/>
      <c r="AA405" s="51"/>
    </row>
    <row r="406" spans="23:27">
      <c r="W406" s="53"/>
      <c r="Y406" s="58"/>
      <c r="Z406" s="51"/>
      <c r="AA406" s="51"/>
    </row>
    <row r="407" spans="23:27">
      <c r="W407" s="53"/>
      <c r="Y407" s="58"/>
      <c r="Z407" s="51"/>
      <c r="AA407" s="51"/>
    </row>
    <row r="408" spans="23:27">
      <c r="W408" s="53"/>
      <c r="Y408" s="58"/>
      <c r="Z408" s="51"/>
      <c r="AA408" s="51"/>
    </row>
    <row r="409" spans="23:27">
      <c r="W409" s="53"/>
      <c r="Y409" s="58"/>
      <c r="Z409" s="51"/>
      <c r="AA409" s="51"/>
    </row>
    <row r="410" spans="23:27">
      <c r="W410" s="53"/>
      <c r="Y410" s="58"/>
      <c r="Z410" s="51"/>
      <c r="AA410" s="51"/>
    </row>
    <row r="411" spans="23:27">
      <c r="W411" s="53"/>
      <c r="Y411" s="58"/>
      <c r="Z411" s="51"/>
      <c r="AA411" s="51"/>
    </row>
    <row r="412" spans="23:27">
      <c r="W412" s="53"/>
      <c r="Y412" s="58"/>
      <c r="Z412" s="51"/>
      <c r="AA412" s="51"/>
    </row>
    <row r="413" spans="23:27">
      <c r="W413" s="53"/>
      <c r="Y413" s="58"/>
      <c r="Z413" s="51"/>
      <c r="AA413" s="51"/>
    </row>
    <row r="414" spans="23:27">
      <c r="W414" s="53"/>
      <c r="Y414" s="58"/>
      <c r="Z414" s="51"/>
      <c r="AA414" s="51"/>
    </row>
    <row r="415" spans="23:27">
      <c r="W415" s="53"/>
      <c r="Y415" s="58"/>
      <c r="Z415" s="51"/>
      <c r="AA415" s="51"/>
    </row>
    <row r="416" spans="23:27">
      <c r="W416" s="53"/>
      <c r="Y416" s="58"/>
      <c r="Z416" s="51"/>
      <c r="AA416" s="51"/>
    </row>
    <row r="417" spans="23:27">
      <c r="W417" s="53"/>
      <c r="Y417" s="58"/>
      <c r="Z417" s="51"/>
      <c r="AA417" s="51"/>
    </row>
    <row r="418" spans="23:27">
      <c r="W418" s="53"/>
      <c r="Y418" s="58"/>
      <c r="Z418" s="51"/>
      <c r="AA418" s="51"/>
    </row>
    <row r="419" spans="23:27">
      <c r="W419" s="53"/>
      <c r="Y419" s="58"/>
      <c r="Z419" s="51"/>
      <c r="AA419" s="51"/>
    </row>
    <row r="420" spans="23:27">
      <c r="W420" s="53"/>
      <c r="Y420" s="58"/>
      <c r="Z420" s="51"/>
      <c r="AA420" s="51"/>
    </row>
    <row r="421" spans="23:27">
      <c r="W421" s="53"/>
      <c r="Y421" s="58"/>
      <c r="Z421" s="51"/>
      <c r="AA421" s="51"/>
    </row>
    <row r="422" spans="23:27">
      <c r="W422" s="53"/>
      <c r="Y422" s="58"/>
      <c r="Z422" s="51"/>
      <c r="AA422" s="51"/>
    </row>
    <row r="423" spans="23:27">
      <c r="W423" s="53"/>
      <c r="Y423" s="58"/>
      <c r="Z423" s="51"/>
      <c r="AA423" s="51"/>
    </row>
    <row r="424" spans="23:27">
      <c r="W424" s="53"/>
      <c r="Y424" s="58"/>
      <c r="Z424" s="51"/>
      <c r="AA424" s="51"/>
    </row>
    <row r="425" spans="23:27">
      <c r="W425" s="53"/>
      <c r="Y425" s="58"/>
      <c r="Z425" s="51"/>
      <c r="AA425" s="51"/>
    </row>
    <row r="426" spans="23:27">
      <c r="W426" s="53"/>
      <c r="Y426" s="58"/>
      <c r="Z426" s="51"/>
      <c r="AA426" s="51"/>
    </row>
    <row r="427" spans="23:27">
      <c r="W427" s="53"/>
      <c r="Y427" s="58"/>
      <c r="Z427" s="51"/>
      <c r="AA427" s="51"/>
    </row>
    <row r="428" spans="23:27">
      <c r="W428" s="53"/>
      <c r="Y428" s="58"/>
      <c r="Z428" s="51"/>
      <c r="AA428" s="51"/>
    </row>
    <row r="429" spans="23:27">
      <c r="W429" s="53"/>
      <c r="Y429" s="58"/>
      <c r="Z429" s="51"/>
      <c r="AA429" s="51"/>
    </row>
    <row r="430" spans="23:27">
      <c r="W430" s="53"/>
      <c r="Y430" s="58"/>
      <c r="Z430" s="51"/>
      <c r="AA430" s="51"/>
    </row>
    <row r="431" spans="23:27">
      <c r="W431" s="53"/>
      <c r="Y431" s="58"/>
      <c r="Z431" s="51"/>
      <c r="AA431" s="51"/>
    </row>
    <row r="432" spans="23:27">
      <c r="W432" s="53"/>
      <c r="Y432" s="58"/>
      <c r="Z432" s="51"/>
      <c r="AA432" s="51"/>
    </row>
    <row r="433" spans="23:27">
      <c r="W433" s="53"/>
      <c r="Y433" s="58"/>
      <c r="Z433" s="51"/>
      <c r="AA433" s="51"/>
    </row>
    <row r="434" spans="23:27">
      <c r="W434" s="53"/>
      <c r="Y434" s="58"/>
      <c r="Z434" s="51"/>
      <c r="AA434" s="51"/>
    </row>
    <row r="435" spans="23:27">
      <c r="W435" s="53"/>
      <c r="Y435" s="58"/>
      <c r="Z435" s="51"/>
      <c r="AA435" s="51"/>
    </row>
    <row r="436" spans="23:27">
      <c r="W436" s="53"/>
      <c r="Y436" s="58"/>
      <c r="Z436" s="51"/>
      <c r="AA436" s="51"/>
    </row>
    <row r="437" spans="23:27">
      <c r="W437" s="53"/>
      <c r="Y437" s="58"/>
      <c r="Z437" s="51"/>
      <c r="AA437" s="51"/>
    </row>
    <row r="438" spans="23:27">
      <c r="W438" s="53"/>
      <c r="Y438" s="58"/>
      <c r="Z438" s="51"/>
      <c r="AA438" s="51"/>
    </row>
    <row r="439" spans="23:27">
      <c r="W439" s="53"/>
      <c r="Y439" s="58"/>
      <c r="Z439" s="51"/>
      <c r="AA439" s="51"/>
    </row>
    <row r="440" spans="23:27">
      <c r="W440" s="53"/>
      <c r="Y440" s="58"/>
      <c r="Z440" s="51"/>
      <c r="AA440" s="51"/>
    </row>
    <row r="441" spans="23:27">
      <c r="W441" s="53"/>
      <c r="Y441" s="58"/>
      <c r="Z441" s="51"/>
      <c r="AA441" s="51"/>
    </row>
    <row r="442" spans="23:27">
      <c r="W442" s="53"/>
      <c r="Y442" s="58"/>
      <c r="Z442" s="51"/>
      <c r="AA442" s="51"/>
    </row>
    <row r="443" spans="23:27">
      <c r="W443" s="53"/>
      <c r="Y443" s="58"/>
      <c r="Z443" s="51"/>
      <c r="AA443" s="51"/>
    </row>
    <row r="444" spans="23:27">
      <c r="W444" s="53"/>
      <c r="Y444" s="58"/>
      <c r="Z444" s="51"/>
      <c r="AA444" s="51"/>
    </row>
    <row r="445" spans="23:27">
      <c r="W445" s="53"/>
      <c r="Y445" s="58"/>
      <c r="Z445" s="51"/>
      <c r="AA445" s="51"/>
    </row>
    <row r="446" spans="23:27">
      <c r="W446" s="53"/>
      <c r="Y446" s="58"/>
      <c r="Z446" s="51"/>
      <c r="AA446" s="51"/>
    </row>
    <row r="447" spans="23:27">
      <c r="W447" s="53"/>
      <c r="Y447" s="58"/>
      <c r="Z447" s="51"/>
      <c r="AA447" s="51"/>
    </row>
    <row r="448" spans="23:27">
      <c r="W448" s="53"/>
      <c r="Y448" s="58"/>
      <c r="Z448" s="51"/>
      <c r="AA448" s="51"/>
    </row>
    <row r="449" spans="23:27">
      <c r="W449" s="53"/>
      <c r="Y449" s="58"/>
      <c r="Z449" s="51"/>
      <c r="AA449" s="51"/>
    </row>
    <row r="450" spans="23:27">
      <c r="W450" s="53"/>
      <c r="Y450" s="58"/>
      <c r="Z450" s="51"/>
      <c r="AA450" s="51"/>
    </row>
    <row r="451" spans="23:27">
      <c r="W451" s="53"/>
      <c r="Y451" s="58"/>
      <c r="Z451" s="51"/>
      <c r="AA451" s="51"/>
    </row>
    <row r="452" spans="23:27">
      <c r="W452" s="53"/>
      <c r="Y452" s="58"/>
      <c r="Z452" s="51"/>
      <c r="AA452" s="51"/>
    </row>
    <row r="453" spans="23:27">
      <c r="W453" s="53"/>
      <c r="Y453" s="58"/>
      <c r="Z453" s="51"/>
      <c r="AA453" s="51"/>
    </row>
    <row r="454" spans="23:27">
      <c r="W454" s="53"/>
      <c r="Y454" s="58"/>
      <c r="Z454" s="51"/>
      <c r="AA454" s="51"/>
    </row>
    <row r="455" spans="23:27">
      <c r="W455" s="53"/>
      <c r="Y455" s="58"/>
      <c r="Z455" s="51"/>
      <c r="AA455" s="51"/>
    </row>
    <row r="456" spans="23:27">
      <c r="W456" s="53"/>
      <c r="Y456" s="58"/>
      <c r="Z456" s="51"/>
      <c r="AA456" s="51"/>
    </row>
    <row r="457" spans="23:27">
      <c r="W457" s="53"/>
      <c r="Y457" s="58"/>
      <c r="Z457" s="51"/>
      <c r="AA457" s="51"/>
    </row>
    <row r="458" spans="23:27">
      <c r="W458" s="53"/>
      <c r="Y458" s="58"/>
      <c r="Z458" s="51"/>
      <c r="AA458" s="51"/>
    </row>
    <row r="459" spans="23:27">
      <c r="W459" s="53"/>
      <c r="Y459" s="58"/>
      <c r="Z459" s="51"/>
      <c r="AA459" s="51"/>
    </row>
    <row r="460" spans="23:27">
      <c r="W460" s="53"/>
      <c r="Y460" s="58"/>
      <c r="Z460" s="51"/>
      <c r="AA460" s="51"/>
    </row>
    <row r="461" spans="23:27">
      <c r="W461" s="53"/>
      <c r="Y461" s="58"/>
      <c r="Z461" s="51"/>
      <c r="AA461" s="51"/>
    </row>
    <row r="462" spans="23:27">
      <c r="W462" s="53"/>
      <c r="Y462" s="58"/>
      <c r="Z462" s="51"/>
      <c r="AA462" s="51"/>
    </row>
    <row r="463" spans="23:27">
      <c r="W463" s="53"/>
      <c r="Y463" s="58"/>
      <c r="Z463" s="51"/>
      <c r="AA463" s="51"/>
    </row>
    <row r="464" spans="23:27">
      <c r="W464" s="53"/>
      <c r="Y464" s="58"/>
      <c r="Z464" s="51"/>
      <c r="AA464" s="51"/>
    </row>
    <row r="465" spans="23:27">
      <c r="W465" s="53"/>
      <c r="Y465" s="58"/>
      <c r="Z465" s="51"/>
      <c r="AA465" s="51"/>
    </row>
    <row r="466" spans="23:27">
      <c r="W466" s="53"/>
      <c r="Y466" s="58"/>
      <c r="Z466" s="51"/>
      <c r="AA466" s="51"/>
    </row>
    <row r="467" spans="23:27">
      <c r="W467" s="53"/>
      <c r="Y467" s="58"/>
      <c r="Z467" s="51"/>
      <c r="AA467" s="51"/>
    </row>
    <row r="468" spans="23:27">
      <c r="W468" s="53"/>
      <c r="Y468" s="58"/>
      <c r="Z468" s="51"/>
      <c r="AA468" s="51"/>
    </row>
    <row r="469" spans="23:27">
      <c r="W469" s="53"/>
      <c r="Y469" s="58"/>
      <c r="Z469" s="51"/>
      <c r="AA469" s="51"/>
    </row>
    <row r="470" spans="23:27">
      <c r="W470" s="53"/>
      <c r="Y470" s="58"/>
      <c r="Z470" s="51"/>
      <c r="AA470" s="51"/>
    </row>
    <row r="471" spans="23:27">
      <c r="W471" s="53"/>
      <c r="Y471" s="58"/>
      <c r="Z471" s="51"/>
      <c r="AA471" s="51"/>
    </row>
    <row r="472" spans="23:27">
      <c r="W472" s="53"/>
      <c r="Y472" s="58"/>
      <c r="Z472" s="51"/>
      <c r="AA472" s="51"/>
    </row>
    <row r="473" spans="23:27">
      <c r="W473" s="53"/>
      <c r="Y473" s="58"/>
      <c r="Z473" s="51"/>
      <c r="AA473" s="51"/>
    </row>
    <row r="474" spans="23:27">
      <c r="W474" s="53"/>
      <c r="Y474" s="58"/>
      <c r="Z474" s="51"/>
      <c r="AA474" s="51"/>
    </row>
    <row r="475" spans="23:27">
      <c r="W475" s="53"/>
      <c r="Y475" s="58"/>
      <c r="Z475" s="51"/>
      <c r="AA475" s="51"/>
    </row>
    <row r="476" spans="23:27">
      <c r="W476" s="53"/>
      <c r="Y476" s="58"/>
      <c r="Z476" s="51"/>
      <c r="AA476" s="51"/>
    </row>
    <row r="477" spans="23:27">
      <c r="W477" s="53"/>
      <c r="Y477" s="58"/>
      <c r="Z477" s="51"/>
      <c r="AA477" s="51"/>
    </row>
    <row r="478" spans="23:27">
      <c r="W478" s="53"/>
      <c r="Y478" s="58"/>
      <c r="Z478" s="51"/>
      <c r="AA478" s="51"/>
    </row>
    <row r="479" spans="23:27">
      <c r="W479" s="53"/>
      <c r="Y479" s="58"/>
      <c r="Z479" s="51"/>
      <c r="AA479" s="51"/>
    </row>
    <row r="480" spans="23:27">
      <c r="W480" s="53"/>
      <c r="Y480" s="58"/>
      <c r="Z480" s="51"/>
      <c r="AA480" s="51"/>
    </row>
    <row r="481" spans="23:27">
      <c r="W481" s="53"/>
      <c r="Y481" s="58"/>
      <c r="Z481" s="51"/>
      <c r="AA481" s="51"/>
    </row>
    <row r="482" spans="23:27">
      <c r="W482" s="53"/>
      <c r="Y482" s="58"/>
      <c r="Z482" s="51"/>
      <c r="AA482" s="51"/>
    </row>
    <row r="483" spans="23:27">
      <c r="W483" s="53"/>
      <c r="Y483" s="58"/>
      <c r="Z483" s="51"/>
      <c r="AA483" s="51"/>
    </row>
    <row r="484" spans="23:27">
      <c r="W484" s="53"/>
      <c r="Y484" s="58"/>
      <c r="Z484" s="51"/>
      <c r="AA484" s="51"/>
    </row>
    <row r="485" spans="23:27">
      <c r="W485" s="53"/>
      <c r="Y485" s="58"/>
      <c r="Z485" s="51"/>
      <c r="AA485" s="51"/>
    </row>
    <row r="486" spans="23:27">
      <c r="W486" s="53"/>
      <c r="Y486" s="58"/>
      <c r="Z486" s="51"/>
      <c r="AA486" s="51"/>
    </row>
    <row r="487" spans="23:27">
      <c r="W487" s="53"/>
      <c r="Y487" s="58"/>
      <c r="Z487" s="51"/>
      <c r="AA487" s="51"/>
    </row>
    <row r="488" spans="23:27">
      <c r="W488" s="53"/>
      <c r="Y488" s="58"/>
      <c r="Z488" s="51"/>
      <c r="AA488" s="51"/>
    </row>
    <row r="489" spans="23:27">
      <c r="W489" s="53"/>
      <c r="Y489" s="58"/>
      <c r="Z489" s="51"/>
      <c r="AA489" s="51"/>
    </row>
    <row r="490" spans="23:27">
      <c r="W490" s="53"/>
      <c r="Y490" s="58"/>
      <c r="Z490" s="51"/>
      <c r="AA490" s="51"/>
    </row>
    <row r="491" spans="23:27">
      <c r="W491" s="53"/>
      <c r="Y491" s="58"/>
      <c r="Z491" s="51"/>
      <c r="AA491" s="51"/>
    </row>
    <row r="492" spans="23:27">
      <c r="W492" s="53"/>
      <c r="Y492" s="58"/>
      <c r="Z492" s="51"/>
      <c r="AA492" s="51"/>
    </row>
    <row r="493" spans="23:27">
      <c r="W493" s="53"/>
      <c r="Y493" s="58"/>
      <c r="Z493" s="51"/>
      <c r="AA493" s="51"/>
    </row>
    <row r="494" spans="23:27">
      <c r="W494" s="53"/>
      <c r="Y494" s="58"/>
      <c r="Z494" s="51"/>
      <c r="AA494" s="51"/>
    </row>
    <row r="495" spans="23:27">
      <c r="W495" s="53"/>
      <c r="Y495" s="58"/>
      <c r="Z495" s="51"/>
      <c r="AA495" s="51"/>
    </row>
    <row r="496" spans="23:27">
      <c r="W496" s="53"/>
      <c r="Y496" s="58"/>
      <c r="Z496" s="51"/>
      <c r="AA496" s="51"/>
    </row>
    <row r="497" spans="23:27">
      <c r="W497" s="53"/>
      <c r="Y497" s="58"/>
      <c r="Z497" s="51"/>
      <c r="AA497" s="51"/>
    </row>
    <row r="498" spans="23:27">
      <c r="W498" s="53"/>
      <c r="Y498" s="58"/>
      <c r="Z498" s="51"/>
      <c r="AA498" s="51"/>
    </row>
    <row r="499" spans="23:27">
      <c r="W499" s="53"/>
      <c r="Y499" s="58"/>
      <c r="Z499" s="51"/>
      <c r="AA499" s="51"/>
    </row>
    <row r="500" spans="23:27">
      <c r="W500" s="53"/>
      <c r="Y500" s="58"/>
      <c r="Z500" s="51"/>
      <c r="AA500" s="51"/>
    </row>
    <row r="501" spans="23:27">
      <c r="W501" s="53"/>
      <c r="Y501" s="58"/>
      <c r="Z501" s="51"/>
      <c r="AA501" s="51"/>
    </row>
    <row r="502" spans="23:27">
      <c r="W502" s="53"/>
      <c r="Y502" s="58"/>
      <c r="Z502" s="51"/>
      <c r="AA502" s="51"/>
    </row>
    <row r="503" spans="23:27">
      <c r="W503" s="53"/>
      <c r="Y503" s="58"/>
      <c r="Z503" s="51"/>
      <c r="AA503" s="51"/>
    </row>
    <row r="504" spans="23:27">
      <c r="W504" s="53"/>
      <c r="Y504" s="58"/>
      <c r="Z504" s="51"/>
      <c r="AA504" s="51"/>
    </row>
    <row r="505" spans="23:27">
      <c r="W505" s="53"/>
      <c r="Y505" s="58"/>
      <c r="Z505" s="51"/>
      <c r="AA505" s="51"/>
    </row>
    <row r="506" spans="23:27">
      <c r="W506" s="53"/>
      <c r="Y506" s="58"/>
      <c r="Z506" s="51"/>
      <c r="AA506" s="51"/>
    </row>
    <row r="507" spans="23:27">
      <c r="W507" s="53"/>
      <c r="Y507" s="58"/>
      <c r="Z507" s="51"/>
      <c r="AA507" s="51"/>
    </row>
    <row r="508" spans="23:27">
      <c r="W508" s="53"/>
      <c r="Y508" s="58"/>
      <c r="Z508" s="51"/>
      <c r="AA508" s="51"/>
    </row>
    <row r="509" spans="23:27">
      <c r="W509" s="53"/>
      <c r="Y509" s="58"/>
      <c r="Z509" s="51"/>
      <c r="AA509" s="51"/>
    </row>
    <row r="510" spans="23:27">
      <c r="W510" s="53"/>
      <c r="Y510" s="58"/>
      <c r="Z510" s="51"/>
      <c r="AA510" s="51"/>
    </row>
    <row r="511" spans="23:27">
      <c r="W511" s="53"/>
      <c r="Y511" s="58"/>
      <c r="Z511" s="51"/>
      <c r="AA511" s="51"/>
    </row>
    <row r="512" spans="23:27">
      <c r="W512" s="53"/>
      <c r="Y512" s="58"/>
      <c r="Z512" s="51"/>
      <c r="AA512" s="51"/>
    </row>
    <row r="513" spans="23:27">
      <c r="W513" s="53"/>
      <c r="Y513" s="58"/>
      <c r="Z513" s="51"/>
      <c r="AA513" s="51"/>
    </row>
    <row r="514" spans="23:27">
      <c r="W514" s="53"/>
      <c r="Y514" s="58"/>
      <c r="Z514" s="51"/>
      <c r="AA514" s="51"/>
    </row>
    <row r="515" spans="23:27">
      <c r="W515" s="53"/>
      <c r="Y515" s="58"/>
      <c r="Z515" s="51"/>
      <c r="AA515" s="51"/>
    </row>
    <row r="516" spans="23:27">
      <c r="W516" s="53"/>
      <c r="Y516" s="58"/>
      <c r="Z516" s="51"/>
      <c r="AA516" s="51"/>
    </row>
    <row r="517" spans="23:27">
      <c r="W517" s="53"/>
      <c r="Y517" s="58"/>
      <c r="Z517" s="51"/>
      <c r="AA517" s="51"/>
    </row>
    <row r="518" spans="23:27">
      <c r="W518" s="53"/>
      <c r="Y518" s="58"/>
      <c r="Z518" s="51"/>
      <c r="AA518" s="51"/>
    </row>
    <row r="519" spans="23:27">
      <c r="W519" s="53"/>
      <c r="Y519" s="58"/>
      <c r="Z519" s="51"/>
      <c r="AA519" s="51"/>
    </row>
    <row r="520" spans="23:27">
      <c r="W520" s="53"/>
      <c r="Y520" s="58"/>
      <c r="Z520" s="51"/>
      <c r="AA520" s="51"/>
    </row>
    <row r="521" spans="23:27">
      <c r="W521" s="53"/>
      <c r="Y521" s="58"/>
      <c r="Z521" s="51"/>
      <c r="AA521" s="51"/>
    </row>
    <row r="522" spans="23:27">
      <c r="W522" s="53"/>
      <c r="Y522" s="58"/>
      <c r="Z522" s="51"/>
      <c r="AA522" s="51"/>
    </row>
    <row r="523" spans="23:27">
      <c r="W523" s="53"/>
      <c r="Y523" s="58"/>
      <c r="Z523" s="51"/>
      <c r="AA523" s="51"/>
    </row>
    <row r="524" spans="23:27">
      <c r="W524" s="53"/>
      <c r="Y524" s="58"/>
      <c r="Z524" s="51"/>
      <c r="AA524" s="51"/>
    </row>
    <row r="525" spans="23:27">
      <c r="W525" s="53"/>
      <c r="Y525" s="58"/>
      <c r="Z525" s="51"/>
      <c r="AA525" s="51"/>
    </row>
    <row r="526" spans="23:27">
      <c r="W526" s="53"/>
      <c r="Y526" s="58"/>
      <c r="Z526" s="51"/>
      <c r="AA526" s="51"/>
    </row>
    <row r="527" spans="23:27">
      <c r="W527" s="53"/>
      <c r="Y527" s="58"/>
      <c r="Z527" s="51"/>
      <c r="AA527" s="51"/>
    </row>
    <row r="528" spans="23:27">
      <c r="W528" s="53"/>
      <c r="Y528" s="58"/>
      <c r="Z528" s="51"/>
      <c r="AA528" s="51"/>
    </row>
    <row r="529" spans="23:27">
      <c r="W529" s="53"/>
      <c r="Y529" s="58"/>
      <c r="Z529" s="51"/>
      <c r="AA529" s="51"/>
    </row>
    <row r="530" spans="23:27">
      <c r="W530" s="53"/>
      <c r="Y530" s="58"/>
      <c r="Z530" s="51"/>
      <c r="AA530" s="51"/>
    </row>
    <row r="531" spans="23:27">
      <c r="W531" s="53"/>
      <c r="Y531" s="58"/>
      <c r="Z531" s="51"/>
      <c r="AA531" s="51"/>
    </row>
    <row r="532" spans="23:27">
      <c r="W532" s="53"/>
      <c r="Y532" s="58"/>
      <c r="Z532" s="51"/>
      <c r="AA532" s="51"/>
    </row>
    <row r="533" spans="23:27">
      <c r="W533" s="53"/>
      <c r="Y533" s="58"/>
      <c r="Z533" s="51"/>
      <c r="AA533" s="51"/>
    </row>
    <row r="534" spans="23:27">
      <c r="W534" s="53"/>
      <c r="Y534" s="58"/>
      <c r="Z534" s="51"/>
      <c r="AA534" s="51"/>
    </row>
    <row r="535" spans="23:27">
      <c r="W535" s="53"/>
      <c r="Y535" s="58"/>
      <c r="Z535" s="51"/>
      <c r="AA535" s="51"/>
    </row>
    <row r="536" spans="23:27">
      <c r="W536" s="53"/>
      <c r="Y536" s="58"/>
      <c r="Z536" s="51"/>
      <c r="AA536" s="51"/>
    </row>
    <row r="537" spans="23:27">
      <c r="W537" s="53"/>
      <c r="Y537" s="58"/>
      <c r="Z537" s="51"/>
      <c r="AA537" s="51"/>
    </row>
    <row r="538" spans="23:27">
      <c r="W538" s="53"/>
      <c r="Y538" s="58"/>
      <c r="Z538" s="51"/>
      <c r="AA538" s="51"/>
    </row>
    <row r="539" spans="23:27">
      <c r="W539" s="53"/>
      <c r="Y539" s="58"/>
      <c r="Z539" s="51"/>
      <c r="AA539" s="51"/>
    </row>
    <row r="540" spans="23:27">
      <c r="W540" s="53"/>
      <c r="Y540" s="58"/>
      <c r="Z540" s="51"/>
      <c r="AA540" s="51"/>
    </row>
    <row r="541" spans="23:27">
      <c r="W541" s="53"/>
      <c r="Y541" s="58"/>
      <c r="Z541" s="51"/>
      <c r="AA541" s="51"/>
    </row>
    <row r="542" spans="23:27">
      <c r="W542" s="53"/>
      <c r="Y542" s="58"/>
      <c r="Z542" s="51"/>
      <c r="AA542" s="51"/>
    </row>
    <row r="543" spans="23:27">
      <c r="W543" s="53"/>
      <c r="Y543" s="58"/>
      <c r="Z543" s="51"/>
      <c r="AA543" s="51"/>
    </row>
    <row r="544" spans="23:27">
      <c r="W544" s="53"/>
      <c r="Y544" s="58"/>
      <c r="Z544" s="51"/>
      <c r="AA544" s="51"/>
    </row>
    <row r="545" spans="23:27">
      <c r="W545" s="53"/>
      <c r="Y545" s="58"/>
      <c r="Z545" s="51"/>
      <c r="AA545" s="51"/>
    </row>
    <row r="546" spans="23:27">
      <c r="W546" s="53"/>
      <c r="Y546" s="58"/>
      <c r="Z546" s="51"/>
      <c r="AA546" s="51"/>
    </row>
    <row r="547" spans="23:27">
      <c r="W547" s="53"/>
      <c r="Y547" s="58"/>
      <c r="Z547" s="51"/>
      <c r="AA547" s="51"/>
    </row>
    <row r="548" spans="23:27">
      <c r="W548" s="53"/>
      <c r="Y548" s="58"/>
      <c r="Z548" s="51"/>
      <c r="AA548" s="51"/>
    </row>
    <row r="549" spans="23:27">
      <c r="W549" s="53"/>
      <c r="Y549" s="58"/>
      <c r="Z549" s="51"/>
      <c r="AA549" s="51"/>
    </row>
    <row r="550" spans="23:27">
      <c r="W550" s="53"/>
      <c r="Y550" s="58"/>
      <c r="Z550" s="51"/>
      <c r="AA550" s="51"/>
    </row>
    <row r="551" spans="23:27">
      <c r="W551" s="53"/>
      <c r="Y551" s="58"/>
      <c r="Z551" s="51"/>
      <c r="AA551" s="51"/>
    </row>
    <row r="552" spans="23:27">
      <c r="W552" s="53"/>
      <c r="Y552" s="58"/>
      <c r="Z552" s="51"/>
      <c r="AA552" s="51"/>
    </row>
    <row r="553" spans="23:27">
      <c r="W553" s="53"/>
      <c r="Y553" s="58"/>
      <c r="Z553" s="51"/>
      <c r="AA553" s="51"/>
    </row>
    <row r="554" spans="23:27">
      <c r="W554" s="53"/>
      <c r="Y554" s="58"/>
      <c r="Z554" s="51"/>
      <c r="AA554" s="51"/>
    </row>
    <row r="555" spans="23:27">
      <c r="W555" s="53"/>
      <c r="Y555" s="58"/>
      <c r="Z555" s="51"/>
      <c r="AA555" s="51"/>
    </row>
    <row r="556" spans="23:27">
      <c r="W556" s="53"/>
      <c r="Y556" s="58"/>
      <c r="Z556" s="51"/>
      <c r="AA556" s="51"/>
    </row>
    <row r="557" spans="23:27">
      <c r="W557" s="53"/>
      <c r="Y557" s="58"/>
      <c r="Z557" s="51"/>
      <c r="AA557" s="51"/>
    </row>
    <row r="558" spans="23:27">
      <c r="W558" s="53"/>
      <c r="Y558" s="58"/>
      <c r="Z558" s="51"/>
      <c r="AA558" s="51"/>
    </row>
    <row r="559" spans="23:27">
      <c r="W559" s="53"/>
      <c r="Y559" s="58"/>
      <c r="Z559" s="51"/>
      <c r="AA559" s="51"/>
    </row>
    <row r="560" spans="23:27">
      <c r="W560" s="53"/>
      <c r="Y560" s="58"/>
      <c r="Z560" s="51"/>
      <c r="AA560" s="51"/>
    </row>
    <row r="561" spans="23:27">
      <c r="W561" s="53"/>
      <c r="Y561" s="58"/>
      <c r="Z561" s="51"/>
      <c r="AA561" s="51"/>
    </row>
    <row r="562" spans="23:27">
      <c r="W562" s="53"/>
      <c r="Y562" s="58"/>
      <c r="Z562" s="51"/>
      <c r="AA562" s="51"/>
    </row>
    <row r="563" spans="23:27">
      <c r="W563" s="53"/>
      <c r="Y563" s="58"/>
      <c r="Z563" s="51"/>
      <c r="AA563" s="51"/>
    </row>
    <row r="564" spans="23:27">
      <c r="W564" s="53"/>
      <c r="Y564" s="58"/>
      <c r="Z564" s="51"/>
      <c r="AA564" s="51"/>
    </row>
    <row r="565" spans="23:27">
      <c r="W565" s="53"/>
      <c r="Y565" s="58"/>
      <c r="Z565" s="51"/>
      <c r="AA565" s="51"/>
    </row>
    <row r="566" spans="23:27">
      <c r="W566" s="53"/>
      <c r="Y566" s="58"/>
      <c r="Z566" s="51"/>
      <c r="AA566" s="51"/>
    </row>
    <row r="567" spans="23:27">
      <c r="W567" s="53"/>
      <c r="Y567" s="58"/>
      <c r="Z567" s="51"/>
      <c r="AA567" s="51"/>
    </row>
    <row r="568" spans="23:27">
      <c r="W568" s="53"/>
      <c r="Y568" s="58"/>
      <c r="Z568" s="51"/>
      <c r="AA568" s="51"/>
    </row>
    <row r="569" spans="23:27">
      <c r="W569" s="53"/>
      <c r="Y569" s="58"/>
      <c r="Z569" s="51"/>
      <c r="AA569" s="51"/>
    </row>
    <row r="570" spans="23:27">
      <c r="W570" s="53"/>
      <c r="Y570" s="58"/>
      <c r="Z570" s="51"/>
      <c r="AA570" s="51"/>
    </row>
    <row r="571" spans="23:27">
      <c r="W571" s="53"/>
      <c r="Y571" s="58"/>
      <c r="Z571" s="51"/>
      <c r="AA571" s="51"/>
    </row>
    <row r="572" spans="23:27">
      <c r="W572" s="53"/>
      <c r="Y572" s="58"/>
      <c r="Z572" s="51"/>
      <c r="AA572" s="51"/>
    </row>
    <row r="573" spans="23:27">
      <c r="W573" s="53"/>
      <c r="Y573" s="58"/>
      <c r="Z573" s="51"/>
      <c r="AA573" s="51"/>
    </row>
    <row r="574" spans="23:27">
      <c r="W574" s="53"/>
      <c r="Y574" s="58"/>
      <c r="Z574" s="51"/>
      <c r="AA574" s="51"/>
    </row>
    <row r="575" spans="23:27">
      <c r="W575" s="53"/>
      <c r="Y575" s="58"/>
      <c r="Z575" s="51"/>
      <c r="AA575" s="51"/>
    </row>
    <row r="576" spans="23:27">
      <c r="W576" s="53"/>
      <c r="Y576" s="58"/>
      <c r="Z576" s="51"/>
      <c r="AA576" s="51"/>
    </row>
    <row r="577" spans="23:27">
      <c r="W577" s="53"/>
      <c r="Y577" s="58"/>
      <c r="Z577" s="51"/>
      <c r="AA577" s="51"/>
    </row>
    <row r="578" spans="23:27">
      <c r="W578" s="53"/>
      <c r="Y578" s="58"/>
      <c r="Z578" s="51"/>
      <c r="AA578" s="51"/>
    </row>
    <row r="579" spans="23:27">
      <c r="W579" s="53"/>
      <c r="Y579" s="58"/>
      <c r="Z579" s="51"/>
      <c r="AA579" s="51"/>
    </row>
    <row r="580" spans="23:27">
      <c r="W580" s="53"/>
      <c r="Y580" s="58"/>
      <c r="Z580" s="51"/>
      <c r="AA580" s="51"/>
    </row>
    <row r="581" spans="23:27">
      <c r="W581" s="53"/>
      <c r="Y581" s="58"/>
      <c r="Z581" s="51"/>
      <c r="AA581" s="51"/>
    </row>
    <row r="582" spans="23:27">
      <c r="W582" s="53"/>
      <c r="Y582" s="58"/>
      <c r="Z582" s="51"/>
      <c r="AA582" s="51"/>
    </row>
    <row r="583" spans="23:27">
      <c r="W583" s="53"/>
      <c r="Y583" s="58"/>
      <c r="Z583" s="51"/>
      <c r="AA583" s="51"/>
    </row>
    <row r="584" spans="23:27">
      <c r="W584" s="53"/>
      <c r="Y584" s="58"/>
      <c r="Z584" s="51"/>
      <c r="AA584" s="51"/>
    </row>
    <row r="585" spans="23:27">
      <c r="W585" s="53"/>
      <c r="Y585" s="58"/>
      <c r="Z585" s="51"/>
      <c r="AA585" s="51"/>
    </row>
    <row r="586" spans="23:27">
      <c r="W586" s="53"/>
      <c r="Y586" s="58"/>
      <c r="Z586" s="51"/>
      <c r="AA586" s="51"/>
    </row>
    <row r="587" spans="23:27">
      <c r="W587" s="53"/>
      <c r="Y587" s="58"/>
      <c r="Z587" s="51"/>
      <c r="AA587" s="51"/>
    </row>
    <row r="588" spans="23:27">
      <c r="W588" s="53"/>
      <c r="Y588" s="58"/>
      <c r="Z588" s="51"/>
      <c r="AA588" s="51"/>
    </row>
    <row r="589" spans="23:27">
      <c r="W589" s="53"/>
      <c r="Y589" s="58"/>
      <c r="Z589" s="51"/>
      <c r="AA589" s="51"/>
    </row>
    <row r="590" spans="23:27">
      <c r="W590" s="53"/>
      <c r="Y590" s="58"/>
      <c r="Z590" s="51"/>
      <c r="AA590" s="51"/>
    </row>
    <row r="591" spans="23:27">
      <c r="W591" s="53"/>
      <c r="Y591" s="58"/>
      <c r="Z591" s="51"/>
      <c r="AA591" s="51"/>
    </row>
    <row r="592" spans="23:27">
      <c r="W592" s="53"/>
      <c r="Y592" s="58"/>
      <c r="Z592" s="51"/>
      <c r="AA592" s="51"/>
    </row>
    <row r="593" spans="23:27">
      <c r="W593" s="53"/>
      <c r="Y593" s="58"/>
      <c r="Z593" s="51"/>
      <c r="AA593" s="51"/>
    </row>
    <row r="594" spans="23:27">
      <c r="W594" s="53"/>
      <c r="Y594" s="58"/>
      <c r="Z594" s="51"/>
      <c r="AA594" s="51"/>
    </row>
    <row r="595" spans="23:27">
      <c r="W595" s="53"/>
      <c r="Y595" s="58"/>
      <c r="Z595" s="51"/>
      <c r="AA595" s="51"/>
    </row>
    <row r="596" spans="23:27">
      <c r="W596" s="53"/>
      <c r="Y596" s="58"/>
      <c r="Z596" s="51"/>
      <c r="AA596" s="51"/>
    </row>
    <row r="597" spans="23:27">
      <c r="W597" s="53"/>
      <c r="Y597" s="58"/>
      <c r="Z597" s="51"/>
      <c r="AA597" s="51"/>
    </row>
    <row r="598" spans="23:27">
      <c r="W598" s="53"/>
      <c r="Y598" s="58"/>
      <c r="Z598" s="51"/>
      <c r="AA598" s="51"/>
    </row>
    <row r="599" spans="23:27">
      <c r="W599" s="53"/>
      <c r="Y599" s="58"/>
      <c r="Z599" s="51"/>
      <c r="AA599" s="51"/>
    </row>
    <row r="600" spans="23:27">
      <c r="W600" s="53"/>
      <c r="Y600" s="58"/>
      <c r="Z600" s="51"/>
      <c r="AA600" s="51"/>
    </row>
    <row r="601" spans="23:27">
      <c r="W601" s="53"/>
      <c r="Y601" s="58"/>
      <c r="Z601" s="51"/>
      <c r="AA601" s="51"/>
    </row>
    <row r="602" spans="23:27">
      <c r="W602" s="53"/>
      <c r="Y602" s="58"/>
      <c r="Z602" s="51"/>
      <c r="AA602" s="51"/>
    </row>
    <row r="603" spans="23:27">
      <c r="W603" s="53"/>
      <c r="Y603" s="58"/>
      <c r="Z603" s="51"/>
      <c r="AA603" s="51"/>
    </row>
    <row r="604" spans="23:27">
      <c r="W604" s="53"/>
      <c r="Y604" s="58"/>
      <c r="Z604" s="51"/>
      <c r="AA604" s="51"/>
    </row>
    <row r="605" spans="23:27">
      <c r="W605" s="53"/>
      <c r="Y605" s="58"/>
      <c r="Z605" s="51"/>
      <c r="AA605" s="51"/>
    </row>
    <row r="606" spans="23:27">
      <c r="W606" s="53"/>
      <c r="Y606" s="58"/>
      <c r="Z606" s="51"/>
      <c r="AA606" s="51"/>
    </row>
    <row r="607" spans="23:27">
      <c r="W607" s="53"/>
      <c r="Y607" s="58"/>
      <c r="Z607" s="51"/>
      <c r="AA607" s="51"/>
    </row>
    <row r="608" spans="23:27">
      <c r="W608" s="53"/>
      <c r="Y608" s="58"/>
      <c r="Z608" s="51"/>
      <c r="AA608" s="51"/>
    </row>
    <row r="609" spans="23:27">
      <c r="W609" s="53"/>
      <c r="Y609" s="58"/>
      <c r="Z609" s="51"/>
      <c r="AA609" s="51"/>
    </row>
    <row r="610" spans="23:27">
      <c r="W610" s="53"/>
      <c r="Y610" s="58"/>
      <c r="Z610" s="51"/>
      <c r="AA610" s="51"/>
    </row>
    <row r="611" spans="23:27">
      <c r="W611" s="53"/>
      <c r="Y611" s="58"/>
      <c r="Z611" s="51"/>
      <c r="AA611" s="51"/>
    </row>
    <row r="612" spans="23:27">
      <c r="W612" s="53"/>
      <c r="Y612" s="58"/>
      <c r="Z612" s="51"/>
      <c r="AA612" s="51"/>
    </row>
    <row r="613" spans="23:27">
      <c r="W613" s="53"/>
      <c r="Y613" s="58"/>
      <c r="Z613" s="51"/>
      <c r="AA613" s="51"/>
    </row>
    <row r="614" spans="23:27">
      <c r="W614" s="53"/>
      <c r="Y614" s="58"/>
      <c r="Z614" s="51"/>
      <c r="AA614" s="51"/>
    </row>
    <row r="615" spans="23:27">
      <c r="W615" s="53"/>
      <c r="Y615" s="58"/>
      <c r="Z615" s="51"/>
      <c r="AA615" s="51"/>
    </row>
    <row r="616" spans="23:27">
      <c r="W616" s="53"/>
      <c r="Y616" s="58"/>
      <c r="Z616" s="51"/>
      <c r="AA616" s="51"/>
    </row>
    <row r="617" spans="23:27">
      <c r="W617" s="53"/>
      <c r="Y617" s="58"/>
      <c r="Z617" s="51"/>
      <c r="AA617" s="51"/>
    </row>
    <row r="618" spans="23:27">
      <c r="W618" s="53"/>
      <c r="Y618" s="58"/>
      <c r="Z618" s="51"/>
      <c r="AA618" s="51"/>
    </row>
    <row r="619" spans="23:27">
      <c r="W619" s="53"/>
      <c r="Y619" s="58"/>
      <c r="Z619" s="51"/>
      <c r="AA619" s="51"/>
    </row>
    <row r="620" spans="23:27">
      <c r="W620" s="53"/>
      <c r="Y620" s="58"/>
      <c r="Z620" s="51"/>
      <c r="AA620" s="51"/>
    </row>
    <row r="621" spans="23:27">
      <c r="W621" s="53"/>
      <c r="Y621" s="58"/>
      <c r="Z621" s="51"/>
      <c r="AA621" s="51"/>
    </row>
    <row r="622" spans="23:27">
      <c r="W622" s="53"/>
      <c r="Y622" s="58"/>
      <c r="Z622" s="51"/>
      <c r="AA622" s="51"/>
    </row>
    <row r="623" spans="23:27">
      <c r="W623" s="53"/>
      <c r="Y623" s="58"/>
      <c r="Z623" s="51"/>
      <c r="AA623" s="51"/>
    </row>
    <row r="624" spans="23:27">
      <c r="W624" s="53"/>
      <c r="Y624" s="58"/>
      <c r="Z624" s="51"/>
      <c r="AA624" s="51"/>
    </row>
    <row r="625" spans="23:27">
      <c r="W625" s="53"/>
      <c r="Y625" s="58"/>
      <c r="Z625" s="51"/>
      <c r="AA625" s="51"/>
    </row>
    <row r="626" spans="23:27">
      <c r="W626" s="53"/>
      <c r="Y626" s="58"/>
      <c r="Z626" s="51"/>
      <c r="AA626" s="51"/>
    </row>
    <row r="627" spans="23:27">
      <c r="W627" s="53"/>
      <c r="Y627" s="58"/>
      <c r="Z627" s="51"/>
      <c r="AA627" s="51"/>
    </row>
    <row r="628" spans="23:27">
      <c r="W628" s="53"/>
      <c r="Y628" s="58"/>
      <c r="Z628" s="51"/>
      <c r="AA628" s="51"/>
    </row>
    <row r="629" spans="23:27">
      <c r="W629" s="53"/>
      <c r="Y629" s="58"/>
      <c r="Z629" s="51"/>
      <c r="AA629" s="51"/>
    </row>
    <row r="630" spans="23:27">
      <c r="W630" s="53"/>
      <c r="Y630" s="58"/>
      <c r="Z630" s="51"/>
      <c r="AA630" s="51"/>
    </row>
    <row r="631" spans="23:27">
      <c r="W631" s="53"/>
      <c r="Y631" s="58"/>
      <c r="Z631" s="51"/>
      <c r="AA631" s="51"/>
    </row>
    <row r="632" spans="23:27">
      <c r="W632" s="53"/>
      <c r="Y632" s="58"/>
      <c r="Z632" s="51"/>
      <c r="AA632" s="51"/>
    </row>
    <row r="633" spans="23:27">
      <c r="W633" s="53"/>
      <c r="Y633" s="58"/>
      <c r="Z633" s="51"/>
      <c r="AA633" s="51"/>
    </row>
    <row r="634" spans="23:27">
      <c r="W634" s="53"/>
      <c r="Y634" s="58"/>
      <c r="Z634" s="51"/>
      <c r="AA634" s="51"/>
    </row>
    <row r="635" spans="23:27">
      <c r="W635" s="53"/>
      <c r="Y635" s="58"/>
      <c r="Z635" s="51"/>
      <c r="AA635" s="51"/>
    </row>
    <row r="636" spans="23:27">
      <c r="W636" s="53"/>
      <c r="Y636" s="58"/>
      <c r="Z636" s="51"/>
      <c r="AA636" s="51"/>
    </row>
    <row r="637" spans="23:27">
      <c r="W637" s="53"/>
      <c r="Y637" s="58"/>
      <c r="Z637" s="51"/>
      <c r="AA637" s="51"/>
    </row>
    <row r="638" spans="23:27">
      <c r="W638" s="53"/>
      <c r="Y638" s="58"/>
      <c r="Z638" s="51"/>
      <c r="AA638" s="51"/>
    </row>
    <row r="639" spans="23:27">
      <c r="W639" s="53"/>
      <c r="Y639" s="58"/>
      <c r="Z639" s="51"/>
      <c r="AA639" s="51"/>
    </row>
    <row r="640" spans="23:27">
      <c r="W640" s="53"/>
      <c r="Y640" s="58"/>
      <c r="Z640" s="51"/>
      <c r="AA640" s="51"/>
    </row>
    <row r="641" spans="23:27">
      <c r="W641" s="53"/>
      <c r="Y641" s="58"/>
      <c r="Z641" s="51"/>
      <c r="AA641" s="51"/>
    </row>
    <row r="642" spans="23:27">
      <c r="W642" s="53"/>
      <c r="Y642" s="58"/>
      <c r="Z642" s="51"/>
      <c r="AA642" s="51"/>
    </row>
    <row r="643" spans="23:27">
      <c r="W643" s="53"/>
      <c r="Y643" s="58"/>
      <c r="Z643" s="51"/>
      <c r="AA643" s="51"/>
    </row>
    <row r="644" spans="23:27">
      <c r="W644" s="53"/>
      <c r="Y644" s="58"/>
      <c r="Z644" s="51"/>
      <c r="AA644" s="51"/>
    </row>
    <row r="645" spans="23:27">
      <c r="W645" s="53"/>
      <c r="Y645" s="58"/>
      <c r="Z645" s="51"/>
      <c r="AA645" s="51"/>
    </row>
    <row r="646" spans="23:27">
      <c r="W646" s="53"/>
      <c r="Y646" s="58"/>
      <c r="Z646" s="51"/>
      <c r="AA646" s="51"/>
    </row>
    <row r="647" spans="23:27">
      <c r="W647" s="53"/>
      <c r="Y647" s="58"/>
      <c r="Z647" s="51"/>
      <c r="AA647" s="51"/>
    </row>
    <row r="648" spans="23:27">
      <c r="W648" s="53"/>
      <c r="Y648" s="58"/>
      <c r="Z648" s="51"/>
      <c r="AA648" s="51"/>
    </row>
    <row r="649" spans="23:27">
      <c r="W649" s="53"/>
      <c r="Y649" s="58"/>
      <c r="Z649" s="51"/>
      <c r="AA649" s="51"/>
    </row>
    <row r="650" spans="23:27">
      <c r="W650" s="53"/>
      <c r="Y650" s="58"/>
      <c r="Z650" s="51"/>
      <c r="AA650" s="51"/>
    </row>
    <row r="651" spans="23:27">
      <c r="W651" s="53"/>
      <c r="Y651" s="58"/>
      <c r="Z651" s="51"/>
      <c r="AA651" s="51"/>
    </row>
    <row r="652" spans="23:27">
      <c r="W652" s="53"/>
      <c r="Y652" s="58"/>
      <c r="Z652" s="51"/>
      <c r="AA652" s="51"/>
    </row>
    <row r="653" spans="23:27">
      <c r="W653" s="53"/>
      <c r="Y653" s="58"/>
      <c r="Z653" s="51"/>
      <c r="AA653" s="51"/>
    </row>
    <row r="654" spans="23:27">
      <c r="W654" s="53"/>
      <c r="Y654" s="58"/>
      <c r="Z654" s="51"/>
      <c r="AA654" s="51"/>
    </row>
    <row r="655" spans="23:27">
      <c r="W655" s="53"/>
      <c r="Y655" s="58"/>
      <c r="Z655" s="51"/>
      <c r="AA655" s="51"/>
    </row>
    <row r="656" spans="23:27">
      <c r="W656" s="53"/>
      <c r="Y656" s="58"/>
      <c r="Z656" s="51"/>
      <c r="AA656" s="51"/>
    </row>
    <row r="657" spans="23:27">
      <c r="W657" s="53"/>
      <c r="Y657" s="58"/>
      <c r="Z657" s="51"/>
      <c r="AA657" s="51"/>
    </row>
    <row r="658" spans="23:27">
      <c r="W658" s="53"/>
      <c r="Y658" s="58"/>
      <c r="Z658" s="51"/>
      <c r="AA658" s="51"/>
    </row>
    <row r="659" spans="23:27">
      <c r="W659" s="53"/>
      <c r="Y659" s="58"/>
      <c r="Z659" s="51"/>
      <c r="AA659" s="51"/>
    </row>
    <row r="660" spans="23:27">
      <c r="W660" s="53"/>
      <c r="Y660" s="58"/>
      <c r="Z660" s="51"/>
      <c r="AA660" s="51"/>
    </row>
    <row r="661" spans="23:27">
      <c r="W661" s="53"/>
      <c r="Y661" s="58"/>
      <c r="Z661" s="51"/>
      <c r="AA661" s="51"/>
    </row>
    <row r="662" spans="23:27">
      <c r="W662" s="53"/>
      <c r="Y662" s="58"/>
      <c r="Z662" s="51"/>
      <c r="AA662" s="51"/>
    </row>
    <row r="663" spans="23:27">
      <c r="W663" s="53"/>
      <c r="Y663" s="58"/>
      <c r="Z663" s="51"/>
      <c r="AA663" s="51"/>
    </row>
    <row r="664" spans="23:27">
      <c r="W664" s="53"/>
      <c r="Y664" s="58"/>
      <c r="Z664" s="51"/>
      <c r="AA664" s="51"/>
    </row>
    <row r="665" spans="23:27">
      <c r="W665" s="53"/>
      <c r="Y665" s="58"/>
      <c r="Z665" s="51"/>
      <c r="AA665" s="51"/>
    </row>
    <row r="666" spans="23:27">
      <c r="W666" s="53"/>
      <c r="Y666" s="58"/>
      <c r="Z666" s="51"/>
      <c r="AA666" s="51"/>
    </row>
    <row r="667" spans="23:27">
      <c r="W667" s="53"/>
      <c r="Y667" s="58"/>
      <c r="Z667" s="51"/>
      <c r="AA667" s="51"/>
    </row>
    <row r="668" spans="23:27">
      <c r="W668" s="53"/>
      <c r="Y668" s="58"/>
      <c r="Z668" s="51"/>
      <c r="AA668" s="51"/>
    </row>
    <row r="669" spans="23:27">
      <c r="W669" s="53"/>
      <c r="Y669" s="58"/>
      <c r="Z669" s="51"/>
      <c r="AA669" s="51"/>
    </row>
    <row r="670" spans="23:27">
      <c r="W670" s="53"/>
      <c r="Y670" s="58"/>
      <c r="Z670" s="51"/>
      <c r="AA670" s="51"/>
    </row>
    <row r="671" spans="23:27">
      <c r="W671" s="53"/>
      <c r="Y671" s="58"/>
      <c r="Z671" s="51"/>
      <c r="AA671" s="51"/>
    </row>
    <row r="672" spans="23:27">
      <c r="W672" s="53"/>
      <c r="Y672" s="58"/>
      <c r="Z672" s="51"/>
      <c r="AA672" s="51"/>
    </row>
    <row r="673" spans="23:27">
      <c r="W673" s="53"/>
      <c r="Y673" s="58"/>
      <c r="Z673" s="51"/>
      <c r="AA673" s="51"/>
    </row>
    <row r="674" spans="23:27">
      <c r="W674" s="53"/>
      <c r="Y674" s="58"/>
      <c r="Z674" s="51"/>
      <c r="AA674" s="51"/>
    </row>
    <row r="675" spans="23:27">
      <c r="W675" s="53"/>
      <c r="Y675" s="58"/>
      <c r="Z675" s="51"/>
      <c r="AA675" s="51"/>
    </row>
    <row r="676" spans="23:27">
      <c r="W676" s="53"/>
      <c r="Y676" s="58"/>
      <c r="Z676" s="51"/>
      <c r="AA676" s="51"/>
    </row>
    <row r="677" spans="23:27">
      <c r="W677" s="53"/>
      <c r="Y677" s="58"/>
      <c r="Z677" s="51"/>
      <c r="AA677" s="51"/>
    </row>
    <row r="678" spans="23:27">
      <c r="W678" s="53"/>
      <c r="Y678" s="58"/>
      <c r="Z678" s="51"/>
      <c r="AA678" s="51"/>
    </row>
    <row r="679" spans="23:27">
      <c r="W679" s="53"/>
      <c r="Y679" s="58"/>
      <c r="Z679" s="51"/>
      <c r="AA679" s="51"/>
    </row>
    <row r="680" spans="23:27">
      <c r="W680" s="53"/>
      <c r="Y680" s="58"/>
      <c r="Z680" s="51"/>
      <c r="AA680" s="51"/>
    </row>
    <row r="681" spans="23:27">
      <c r="W681" s="53"/>
      <c r="Y681" s="58"/>
      <c r="Z681" s="51"/>
      <c r="AA681" s="51"/>
    </row>
    <row r="682" spans="23:27">
      <c r="W682" s="53"/>
      <c r="Y682" s="58"/>
      <c r="Z682" s="51"/>
      <c r="AA682" s="51"/>
    </row>
    <row r="683" spans="23:27">
      <c r="W683" s="53"/>
      <c r="Y683" s="58"/>
      <c r="Z683" s="51"/>
      <c r="AA683" s="51"/>
    </row>
    <row r="684" spans="23:27">
      <c r="W684" s="53"/>
      <c r="Y684" s="58"/>
      <c r="Z684" s="51"/>
      <c r="AA684" s="51"/>
    </row>
    <row r="685" spans="23:27">
      <c r="W685" s="53"/>
      <c r="Y685" s="58"/>
      <c r="Z685" s="51"/>
      <c r="AA685" s="51"/>
    </row>
    <row r="686" spans="23:27">
      <c r="W686" s="53"/>
      <c r="Y686" s="58"/>
      <c r="Z686" s="51"/>
      <c r="AA686" s="51"/>
    </row>
    <row r="687" spans="23:27">
      <c r="W687" s="53"/>
      <c r="Y687" s="58"/>
      <c r="Z687" s="51"/>
      <c r="AA687" s="51"/>
    </row>
    <row r="688" spans="23:27">
      <c r="W688" s="53"/>
      <c r="Y688" s="58"/>
      <c r="Z688" s="51"/>
      <c r="AA688" s="51"/>
    </row>
    <row r="689" spans="23:27">
      <c r="W689" s="53"/>
      <c r="Y689" s="58"/>
      <c r="Z689" s="51"/>
      <c r="AA689" s="51"/>
    </row>
    <row r="690" spans="23:27">
      <c r="W690" s="53"/>
      <c r="Y690" s="58"/>
      <c r="Z690" s="51"/>
      <c r="AA690" s="51"/>
    </row>
    <row r="691" spans="23:27">
      <c r="W691" s="53"/>
      <c r="Y691" s="58"/>
      <c r="Z691" s="51"/>
      <c r="AA691" s="51"/>
    </row>
    <row r="692" spans="23:27">
      <c r="W692" s="53"/>
      <c r="Y692" s="58"/>
      <c r="Z692" s="51"/>
      <c r="AA692" s="51"/>
    </row>
    <row r="693" spans="23:27">
      <c r="W693" s="53"/>
      <c r="Y693" s="58"/>
      <c r="Z693" s="51"/>
      <c r="AA693" s="51"/>
    </row>
    <row r="694" spans="23:27">
      <c r="W694" s="53"/>
      <c r="Y694" s="58"/>
      <c r="Z694" s="51"/>
      <c r="AA694" s="51"/>
    </row>
    <row r="695" spans="23:27">
      <c r="W695" s="53"/>
      <c r="Y695" s="58"/>
      <c r="Z695" s="51"/>
      <c r="AA695" s="51"/>
    </row>
    <row r="696" spans="23:27">
      <c r="W696" s="53"/>
      <c r="Y696" s="58"/>
      <c r="Z696" s="51"/>
      <c r="AA696" s="51"/>
    </row>
    <row r="697" spans="23:27">
      <c r="W697" s="53"/>
      <c r="Y697" s="58"/>
      <c r="Z697" s="51"/>
      <c r="AA697" s="51"/>
    </row>
    <row r="698" spans="23:27">
      <c r="W698" s="53"/>
      <c r="Y698" s="58"/>
      <c r="Z698" s="51"/>
      <c r="AA698" s="51"/>
    </row>
    <row r="699" spans="23:27">
      <c r="W699" s="53"/>
      <c r="Y699" s="58"/>
      <c r="Z699" s="51"/>
      <c r="AA699" s="51"/>
    </row>
    <row r="700" spans="23:27">
      <c r="W700" s="53"/>
      <c r="Y700" s="58"/>
      <c r="Z700" s="51"/>
      <c r="AA700" s="51"/>
    </row>
    <row r="701" spans="23:27">
      <c r="W701" s="53"/>
      <c r="Y701" s="58"/>
      <c r="Z701" s="51"/>
      <c r="AA701" s="51"/>
    </row>
    <row r="702" spans="23:27">
      <c r="W702" s="53"/>
      <c r="Y702" s="58"/>
      <c r="Z702" s="51"/>
      <c r="AA702" s="51"/>
    </row>
    <row r="703" spans="23:27">
      <c r="W703" s="53"/>
      <c r="Y703" s="58"/>
      <c r="Z703" s="51"/>
      <c r="AA703" s="51"/>
    </row>
    <row r="704" spans="23:27">
      <c r="W704" s="53"/>
      <c r="Y704" s="58"/>
      <c r="Z704" s="51"/>
      <c r="AA704" s="51"/>
    </row>
    <row r="705" spans="23:27">
      <c r="W705" s="53"/>
      <c r="Y705" s="58"/>
      <c r="Z705" s="51"/>
      <c r="AA705" s="51"/>
    </row>
    <row r="706" spans="23:27">
      <c r="W706" s="53"/>
      <c r="Y706" s="58"/>
      <c r="Z706" s="51"/>
      <c r="AA706" s="51"/>
    </row>
    <row r="707" spans="23:27">
      <c r="W707" s="53"/>
      <c r="Y707" s="58"/>
      <c r="Z707" s="51"/>
      <c r="AA707" s="51"/>
    </row>
    <row r="708" spans="23:27">
      <c r="W708" s="53"/>
      <c r="Y708" s="58"/>
      <c r="Z708" s="51"/>
      <c r="AA708" s="51"/>
    </row>
    <row r="709" spans="23:27">
      <c r="W709" s="53"/>
      <c r="Y709" s="58"/>
      <c r="Z709" s="51"/>
      <c r="AA709" s="51"/>
    </row>
    <row r="710" spans="23:27">
      <c r="W710" s="53"/>
      <c r="Y710" s="58"/>
      <c r="Z710" s="51"/>
      <c r="AA710" s="51"/>
    </row>
    <row r="711" spans="23:27">
      <c r="W711" s="53"/>
      <c r="Y711" s="58"/>
      <c r="Z711" s="51"/>
      <c r="AA711" s="51"/>
    </row>
    <row r="712" spans="23:27">
      <c r="W712" s="53"/>
      <c r="Y712" s="58"/>
      <c r="Z712" s="51"/>
      <c r="AA712" s="51"/>
    </row>
    <row r="713" spans="23:27">
      <c r="W713" s="53"/>
      <c r="Y713" s="58"/>
      <c r="Z713" s="51"/>
      <c r="AA713" s="51"/>
    </row>
    <row r="714" spans="23:27">
      <c r="W714" s="53"/>
      <c r="Y714" s="58"/>
      <c r="Z714" s="51"/>
      <c r="AA714" s="51"/>
    </row>
    <row r="715" spans="23:27">
      <c r="W715" s="53"/>
      <c r="Y715" s="58"/>
      <c r="Z715" s="51"/>
      <c r="AA715" s="51"/>
    </row>
    <row r="716" spans="23:27">
      <c r="W716" s="53"/>
      <c r="Y716" s="58"/>
      <c r="Z716" s="51"/>
      <c r="AA716" s="51"/>
    </row>
    <row r="717" spans="23:27">
      <c r="W717" s="53"/>
      <c r="Y717" s="58"/>
      <c r="Z717" s="51"/>
      <c r="AA717" s="51"/>
    </row>
    <row r="718" spans="23:27">
      <c r="W718" s="53"/>
      <c r="Y718" s="58"/>
      <c r="Z718" s="51"/>
      <c r="AA718" s="51"/>
    </row>
    <row r="719" spans="23:27">
      <c r="W719" s="53"/>
      <c r="Y719" s="58"/>
      <c r="Z719" s="51"/>
      <c r="AA719" s="51"/>
    </row>
    <row r="720" spans="23:27">
      <c r="W720" s="53"/>
      <c r="Y720" s="58"/>
      <c r="Z720" s="51"/>
      <c r="AA720" s="51"/>
    </row>
    <row r="721" spans="23:27">
      <c r="W721" s="53"/>
      <c r="Y721" s="58"/>
      <c r="Z721" s="51"/>
      <c r="AA721" s="51"/>
    </row>
    <row r="722" spans="23:27">
      <c r="W722" s="53"/>
      <c r="Y722" s="58"/>
      <c r="Z722" s="51"/>
      <c r="AA722" s="51"/>
    </row>
    <row r="723" spans="23:27">
      <c r="W723" s="53"/>
      <c r="Y723" s="58"/>
      <c r="Z723" s="51"/>
      <c r="AA723" s="51"/>
    </row>
    <row r="724" spans="23:27">
      <c r="W724" s="53"/>
      <c r="Y724" s="58"/>
      <c r="Z724" s="51"/>
      <c r="AA724" s="51"/>
    </row>
    <row r="725" spans="23:27">
      <c r="W725" s="53"/>
      <c r="Y725" s="58"/>
      <c r="Z725" s="51"/>
      <c r="AA725" s="51"/>
    </row>
    <row r="726" spans="23:27">
      <c r="W726" s="53"/>
      <c r="Y726" s="58"/>
      <c r="Z726" s="51"/>
      <c r="AA726" s="51"/>
    </row>
    <row r="727" spans="23:27">
      <c r="W727" s="53"/>
      <c r="Y727" s="58"/>
      <c r="Z727" s="51"/>
      <c r="AA727" s="51"/>
    </row>
    <row r="728" spans="23:27">
      <c r="W728" s="53"/>
      <c r="Y728" s="58"/>
      <c r="Z728" s="51"/>
      <c r="AA728" s="51"/>
    </row>
    <row r="729" spans="23:27">
      <c r="W729" s="53"/>
      <c r="Y729" s="58"/>
      <c r="Z729" s="51"/>
      <c r="AA729" s="51"/>
    </row>
    <row r="730" spans="23:27">
      <c r="W730" s="53"/>
      <c r="Y730" s="58"/>
      <c r="Z730" s="51"/>
      <c r="AA730" s="51"/>
    </row>
    <row r="731" spans="23:27">
      <c r="W731" s="53"/>
      <c r="Y731" s="58"/>
      <c r="Z731" s="51"/>
      <c r="AA731" s="51"/>
    </row>
    <row r="732" spans="23:27">
      <c r="W732" s="53"/>
      <c r="Y732" s="58"/>
      <c r="Z732" s="51"/>
      <c r="AA732" s="51"/>
    </row>
    <row r="733" spans="23:27">
      <c r="W733" s="53"/>
      <c r="Y733" s="58"/>
      <c r="Z733" s="51"/>
      <c r="AA733" s="51"/>
    </row>
    <row r="734" spans="23:27">
      <c r="W734" s="53"/>
      <c r="Y734" s="58"/>
      <c r="Z734" s="51"/>
      <c r="AA734" s="51"/>
    </row>
    <row r="735" spans="23:27">
      <c r="W735" s="53"/>
      <c r="Y735" s="58"/>
      <c r="Z735" s="51"/>
      <c r="AA735" s="51"/>
    </row>
    <row r="736" spans="23:27">
      <c r="W736" s="53"/>
      <c r="Y736" s="58"/>
      <c r="Z736" s="51"/>
      <c r="AA736" s="51"/>
    </row>
    <row r="737" spans="23:27">
      <c r="W737" s="53"/>
      <c r="Y737" s="58"/>
      <c r="Z737" s="51"/>
      <c r="AA737" s="51"/>
    </row>
    <row r="738" spans="23:27">
      <c r="W738" s="53"/>
      <c r="Y738" s="58"/>
      <c r="Z738" s="51"/>
      <c r="AA738" s="51"/>
    </row>
    <row r="739" spans="23:27">
      <c r="W739" s="53"/>
      <c r="Y739" s="58"/>
      <c r="Z739" s="51"/>
      <c r="AA739" s="51"/>
    </row>
    <row r="740" spans="23:27">
      <c r="W740" s="53"/>
      <c r="Y740" s="58"/>
      <c r="Z740" s="51"/>
      <c r="AA740" s="51"/>
    </row>
    <row r="741" spans="23:27">
      <c r="W741" s="53"/>
      <c r="Y741" s="58"/>
      <c r="Z741" s="51"/>
      <c r="AA741" s="51"/>
    </row>
    <row r="742" spans="23:27">
      <c r="W742" s="53"/>
      <c r="Y742" s="58"/>
      <c r="Z742" s="51"/>
      <c r="AA742" s="51"/>
    </row>
    <row r="743" spans="23:27">
      <c r="W743" s="53"/>
      <c r="Y743" s="58"/>
      <c r="Z743" s="51"/>
      <c r="AA743" s="51"/>
    </row>
    <row r="744" spans="23:27">
      <c r="W744" s="53"/>
      <c r="Y744" s="58"/>
      <c r="Z744" s="51"/>
      <c r="AA744" s="51"/>
    </row>
    <row r="745" spans="23:27">
      <c r="W745" s="53"/>
      <c r="Y745" s="58"/>
      <c r="Z745" s="51"/>
      <c r="AA745" s="51"/>
    </row>
    <row r="746" spans="23:27">
      <c r="W746" s="53"/>
      <c r="Y746" s="58"/>
      <c r="Z746" s="51"/>
      <c r="AA746" s="51"/>
    </row>
    <row r="747" spans="23:27">
      <c r="W747" s="53"/>
      <c r="Y747" s="58"/>
      <c r="Z747" s="51"/>
      <c r="AA747" s="51"/>
    </row>
    <row r="748" spans="23:27">
      <c r="W748" s="53"/>
      <c r="Y748" s="58"/>
      <c r="Z748" s="51"/>
      <c r="AA748" s="51"/>
    </row>
    <row r="749" spans="23:27">
      <c r="W749" s="53"/>
      <c r="Y749" s="58"/>
      <c r="Z749" s="51"/>
      <c r="AA749" s="51"/>
    </row>
    <row r="750" spans="23:27">
      <c r="W750" s="53"/>
      <c r="Y750" s="58"/>
      <c r="Z750" s="51"/>
      <c r="AA750" s="51"/>
    </row>
    <row r="751" spans="23:27">
      <c r="W751" s="53"/>
      <c r="Y751" s="58"/>
      <c r="Z751" s="51"/>
      <c r="AA751" s="51"/>
    </row>
    <row r="752" spans="23:27">
      <c r="W752" s="53"/>
      <c r="Y752" s="58"/>
      <c r="Z752" s="51"/>
      <c r="AA752" s="51"/>
    </row>
    <row r="753" spans="23:27">
      <c r="W753" s="53"/>
      <c r="Y753" s="58"/>
      <c r="Z753" s="51"/>
      <c r="AA753" s="51"/>
    </row>
    <row r="754" spans="23:27">
      <c r="W754" s="53"/>
      <c r="Y754" s="58"/>
      <c r="Z754" s="51"/>
      <c r="AA754" s="51"/>
    </row>
    <row r="755" spans="23:27">
      <c r="W755" s="53"/>
      <c r="Y755" s="58"/>
      <c r="Z755" s="51"/>
      <c r="AA755" s="51"/>
    </row>
    <row r="756" spans="23:27">
      <c r="W756" s="53"/>
      <c r="Y756" s="58"/>
      <c r="Z756" s="51"/>
      <c r="AA756" s="51"/>
    </row>
    <row r="757" spans="23:27">
      <c r="W757" s="53"/>
      <c r="Y757" s="58"/>
      <c r="Z757" s="51"/>
      <c r="AA757" s="51"/>
    </row>
    <row r="758" spans="23:27">
      <c r="W758" s="53"/>
      <c r="Y758" s="58"/>
      <c r="Z758" s="51"/>
      <c r="AA758" s="51"/>
    </row>
    <row r="759" spans="23:27">
      <c r="W759" s="53"/>
      <c r="Y759" s="58"/>
      <c r="Z759" s="51"/>
      <c r="AA759" s="51"/>
    </row>
    <row r="760" spans="23:27">
      <c r="W760" s="53"/>
      <c r="Y760" s="58"/>
      <c r="Z760" s="51"/>
      <c r="AA760" s="51"/>
    </row>
    <row r="761" spans="23:27">
      <c r="W761" s="53"/>
      <c r="Y761" s="58"/>
      <c r="Z761" s="51"/>
      <c r="AA761" s="51"/>
    </row>
    <row r="762" spans="23:27">
      <c r="W762" s="53"/>
      <c r="Y762" s="58"/>
      <c r="Z762" s="51"/>
      <c r="AA762" s="51"/>
    </row>
    <row r="763" spans="23:27">
      <c r="W763" s="53"/>
      <c r="Y763" s="58"/>
      <c r="Z763" s="51"/>
      <c r="AA763" s="51"/>
    </row>
    <row r="764" spans="23:27">
      <c r="W764" s="53"/>
      <c r="Y764" s="58"/>
      <c r="Z764" s="51"/>
      <c r="AA764" s="51"/>
    </row>
    <row r="765" spans="23:27">
      <c r="W765" s="53"/>
      <c r="Y765" s="58"/>
      <c r="Z765" s="51"/>
      <c r="AA765" s="51"/>
    </row>
    <row r="766" spans="23:27">
      <c r="W766" s="53"/>
      <c r="Y766" s="58"/>
      <c r="Z766" s="51"/>
      <c r="AA766" s="51"/>
    </row>
    <row r="767" spans="23:27">
      <c r="W767" s="53"/>
      <c r="Y767" s="58"/>
      <c r="Z767" s="51"/>
      <c r="AA767" s="51"/>
    </row>
    <row r="768" spans="23:27">
      <c r="W768" s="53"/>
      <c r="Y768" s="58"/>
      <c r="Z768" s="51"/>
      <c r="AA768" s="51"/>
    </row>
    <row r="769" spans="23:27">
      <c r="W769" s="53"/>
      <c r="Y769" s="58"/>
      <c r="Z769" s="51"/>
      <c r="AA769" s="51"/>
    </row>
    <row r="770" spans="23:27">
      <c r="W770" s="53"/>
      <c r="Y770" s="58"/>
      <c r="Z770" s="51"/>
      <c r="AA770" s="51"/>
    </row>
    <row r="771" spans="23:27">
      <c r="W771" s="53"/>
      <c r="Y771" s="58"/>
      <c r="Z771" s="51"/>
      <c r="AA771" s="51"/>
    </row>
    <row r="772" spans="23:27">
      <c r="W772" s="53"/>
      <c r="Y772" s="58"/>
      <c r="Z772" s="51"/>
      <c r="AA772" s="51"/>
    </row>
    <row r="773" spans="23:27">
      <c r="W773" s="53"/>
      <c r="Y773" s="58"/>
      <c r="Z773" s="51"/>
      <c r="AA773" s="51"/>
    </row>
    <row r="774" spans="23:27">
      <c r="W774" s="53"/>
      <c r="Y774" s="58"/>
      <c r="Z774" s="51"/>
      <c r="AA774" s="51"/>
    </row>
    <row r="775" spans="23:27">
      <c r="W775" s="53"/>
      <c r="Y775" s="58"/>
      <c r="Z775" s="51"/>
      <c r="AA775" s="51"/>
    </row>
    <row r="776" spans="23:27">
      <c r="W776" s="53"/>
      <c r="Y776" s="58"/>
      <c r="Z776" s="51"/>
      <c r="AA776" s="51"/>
    </row>
    <row r="777" spans="23:27">
      <c r="W777" s="53"/>
      <c r="Y777" s="58"/>
      <c r="Z777" s="51"/>
      <c r="AA777" s="51"/>
    </row>
    <row r="778" spans="23:27">
      <c r="W778" s="53"/>
      <c r="Y778" s="58"/>
      <c r="Z778" s="51"/>
      <c r="AA778" s="51"/>
    </row>
    <row r="779" spans="23:27">
      <c r="W779" s="53"/>
      <c r="Y779" s="58"/>
      <c r="Z779" s="51"/>
      <c r="AA779" s="51"/>
    </row>
    <row r="780" spans="23:27">
      <c r="W780" s="53"/>
      <c r="Y780" s="58"/>
      <c r="Z780" s="51"/>
      <c r="AA780" s="51"/>
    </row>
    <row r="781" spans="23:27">
      <c r="W781" s="53"/>
      <c r="Y781" s="58"/>
      <c r="Z781" s="51"/>
      <c r="AA781" s="51"/>
    </row>
    <row r="782" spans="23:27">
      <c r="W782" s="53"/>
      <c r="Y782" s="58"/>
      <c r="Z782" s="51"/>
      <c r="AA782" s="51"/>
    </row>
    <row r="783" spans="23:27">
      <c r="W783" s="53"/>
      <c r="Y783" s="58"/>
      <c r="Z783" s="51"/>
      <c r="AA783" s="51"/>
    </row>
    <row r="784" spans="23:27">
      <c r="W784" s="53"/>
      <c r="Y784" s="58"/>
      <c r="Z784" s="51"/>
      <c r="AA784" s="51"/>
    </row>
    <row r="785" spans="23:27">
      <c r="W785" s="53"/>
      <c r="Y785" s="58"/>
      <c r="Z785" s="51"/>
      <c r="AA785" s="51"/>
    </row>
    <row r="786" spans="23:27">
      <c r="W786" s="53"/>
      <c r="Y786" s="58"/>
      <c r="Z786" s="51"/>
      <c r="AA786" s="51"/>
    </row>
    <row r="787" spans="23:27">
      <c r="W787" s="53"/>
      <c r="Y787" s="58"/>
      <c r="Z787" s="51"/>
      <c r="AA787" s="51"/>
    </row>
    <row r="788" spans="23:27">
      <c r="W788" s="53"/>
      <c r="Y788" s="58"/>
      <c r="Z788" s="51"/>
      <c r="AA788" s="51"/>
    </row>
    <row r="789" spans="23:27">
      <c r="W789" s="53"/>
      <c r="Y789" s="58"/>
      <c r="Z789" s="51"/>
      <c r="AA789" s="51"/>
    </row>
    <row r="790" spans="23:27">
      <c r="W790" s="53"/>
      <c r="Y790" s="58"/>
      <c r="Z790" s="51"/>
      <c r="AA790" s="51"/>
    </row>
    <row r="791" spans="23:27">
      <c r="W791" s="53"/>
      <c r="Y791" s="58"/>
      <c r="Z791" s="51"/>
      <c r="AA791" s="51"/>
    </row>
    <row r="792" spans="23:27">
      <c r="W792" s="53"/>
      <c r="Y792" s="58"/>
      <c r="Z792" s="51"/>
      <c r="AA792" s="51"/>
    </row>
    <row r="793" spans="23:27">
      <c r="W793" s="53"/>
      <c r="Y793" s="58"/>
      <c r="Z793" s="51"/>
      <c r="AA793" s="51"/>
    </row>
    <row r="794" spans="23:27">
      <c r="W794" s="53"/>
      <c r="Y794" s="58"/>
      <c r="Z794" s="51"/>
      <c r="AA794" s="51"/>
    </row>
    <row r="795" spans="23:27">
      <c r="W795" s="53"/>
      <c r="Y795" s="58"/>
      <c r="Z795" s="51"/>
      <c r="AA795" s="51"/>
    </row>
    <row r="796" spans="23:27">
      <c r="W796" s="53"/>
      <c r="Y796" s="58"/>
      <c r="Z796" s="51"/>
      <c r="AA796" s="51"/>
    </row>
    <row r="797" spans="23:27">
      <c r="W797" s="53"/>
      <c r="Y797" s="58"/>
      <c r="Z797" s="51"/>
      <c r="AA797" s="51"/>
    </row>
    <row r="798" spans="23:27">
      <c r="W798" s="53"/>
      <c r="Y798" s="58"/>
      <c r="Z798" s="51"/>
      <c r="AA798" s="51"/>
    </row>
    <row r="799" spans="23:27">
      <c r="W799" s="53"/>
      <c r="Y799" s="58"/>
      <c r="Z799" s="51"/>
      <c r="AA799" s="51"/>
    </row>
    <row r="800" spans="23:27">
      <c r="W800" s="53"/>
      <c r="Y800" s="58"/>
      <c r="Z800" s="51"/>
      <c r="AA800" s="51"/>
    </row>
    <row r="801" spans="23:27">
      <c r="W801" s="53"/>
      <c r="Y801" s="58"/>
      <c r="Z801" s="51"/>
      <c r="AA801" s="51"/>
    </row>
    <row r="802" spans="23:27">
      <c r="W802" s="53"/>
      <c r="Y802" s="58"/>
      <c r="Z802" s="51"/>
      <c r="AA802" s="51"/>
    </row>
    <row r="803" spans="23:27">
      <c r="W803" s="53"/>
      <c r="Y803" s="58"/>
      <c r="Z803" s="51"/>
      <c r="AA803" s="51"/>
    </row>
    <row r="804" spans="23:27">
      <c r="W804" s="53"/>
      <c r="Y804" s="58"/>
      <c r="Z804" s="51"/>
      <c r="AA804" s="51"/>
    </row>
    <row r="805" spans="23:27">
      <c r="W805" s="53"/>
      <c r="Y805" s="58"/>
      <c r="Z805" s="51"/>
      <c r="AA805" s="51"/>
    </row>
    <row r="806" spans="23:27">
      <c r="W806" s="53"/>
      <c r="Y806" s="58"/>
      <c r="Z806" s="51"/>
      <c r="AA806" s="51"/>
    </row>
    <row r="807" spans="23:27">
      <c r="W807" s="53"/>
      <c r="Y807" s="58"/>
      <c r="Z807" s="51"/>
      <c r="AA807" s="51"/>
    </row>
    <row r="808" spans="23:27">
      <c r="W808" s="53"/>
      <c r="Y808" s="58"/>
      <c r="Z808" s="51"/>
      <c r="AA808" s="51"/>
    </row>
    <row r="809" spans="23:27">
      <c r="W809" s="53"/>
      <c r="Y809" s="58"/>
      <c r="Z809" s="51"/>
      <c r="AA809" s="51"/>
    </row>
    <row r="810" spans="23:27">
      <c r="W810" s="53"/>
      <c r="Y810" s="58"/>
      <c r="Z810" s="51"/>
      <c r="AA810" s="51"/>
    </row>
    <row r="811" spans="23:27">
      <c r="W811" s="53"/>
      <c r="Y811" s="58"/>
      <c r="Z811" s="51"/>
      <c r="AA811" s="51"/>
    </row>
    <row r="812" spans="23:27">
      <c r="W812" s="53"/>
      <c r="Y812" s="58"/>
      <c r="Z812" s="51"/>
      <c r="AA812" s="51"/>
    </row>
    <row r="813" spans="23:27">
      <c r="W813" s="53"/>
      <c r="Y813" s="58"/>
      <c r="Z813" s="51"/>
      <c r="AA813" s="51"/>
    </row>
    <row r="814" spans="23:27">
      <c r="W814" s="53"/>
      <c r="Y814" s="58"/>
      <c r="Z814" s="51"/>
      <c r="AA814" s="51"/>
    </row>
    <row r="815" spans="23:27">
      <c r="W815" s="53"/>
      <c r="Y815" s="58"/>
      <c r="Z815" s="51"/>
      <c r="AA815" s="51"/>
    </row>
    <row r="816" spans="23:27">
      <c r="W816" s="53"/>
      <c r="Y816" s="58"/>
      <c r="Z816" s="51"/>
      <c r="AA816" s="51"/>
    </row>
    <row r="817" spans="23:27">
      <c r="W817" s="53"/>
      <c r="Y817" s="58"/>
      <c r="Z817" s="51"/>
      <c r="AA817" s="51"/>
    </row>
    <row r="818" spans="23:27">
      <c r="W818" s="53"/>
      <c r="Y818" s="58"/>
      <c r="Z818" s="51"/>
      <c r="AA818" s="51"/>
    </row>
    <row r="819" spans="23:27">
      <c r="W819" s="53"/>
      <c r="Y819" s="58"/>
      <c r="Z819" s="51"/>
      <c r="AA819" s="51"/>
    </row>
    <row r="820" spans="23:27">
      <c r="W820" s="53"/>
      <c r="Y820" s="58"/>
      <c r="Z820" s="51"/>
      <c r="AA820" s="51"/>
    </row>
    <row r="821" spans="23:27">
      <c r="W821" s="53"/>
      <c r="Y821" s="58"/>
      <c r="Z821" s="51"/>
      <c r="AA821" s="51"/>
    </row>
    <row r="822" spans="23:27">
      <c r="W822" s="53"/>
      <c r="Y822" s="58"/>
      <c r="Z822" s="51"/>
      <c r="AA822" s="51"/>
    </row>
    <row r="823" spans="23:27">
      <c r="W823" s="53"/>
      <c r="Y823" s="58"/>
      <c r="Z823" s="51"/>
      <c r="AA823" s="51"/>
    </row>
    <row r="824" spans="23:27">
      <c r="W824" s="53"/>
      <c r="Y824" s="58"/>
      <c r="Z824" s="51"/>
      <c r="AA824" s="51"/>
    </row>
    <row r="825" spans="23:27">
      <c r="W825" s="53"/>
      <c r="Y825" s="58"/>
      <c r="Z825" s="51"/>
      <c r="AA825" s="51"/>
    </row>
    <row r="826" spans="23:27">
      <c r="W826" s="53"/>
      <c r="Y826" s="58"/>
      <c r="Z826" s="51"/>
      <c r="AA826" s="51"/>
    </row>
    <row r="827" spans="23:27">
      <c r="W827" s="53"/>
      <c r="Y827" s="58"/>
      <c r="Z827" s="51"/>
      <c r="AA827" s="51"/>
    </row>
    <row r="828" spans="23:27">
      <c r="W828" s="53"/>
      <c r="Y828" s="58"/>
      <c r="Z828" s="51"/>
      <c r="AA828" s="51"/>
    </row>
    <row r="829" spans="23:27">
      <c r="W829" s="53"/>
      <c r="Y829" s="58"/>
      <c r="Z829" s="51"/>
      <c r="AA829" s="51"/>
    </row>
    <row r="830" spans="23:27">
      <c r="W830" s="53"/>
      <c r="Y830" s="58"/>
      <c r="Z830" s="51"/>
      <c r="AA830" s="51"/>
    </row>
    <row r="831" spans="23:27">
      <c r="W831" s="53"/>
      <c r="Y831" s="58"/>
      <c r="Z831" s="51"/>
      <c r="AA831" s="51"/>
    </row>
    <row r="832" spans="23:27">
      <c r="W832" s="53"/>
      <c r="Y832" s="58"/>
      <c r="Z832" s="51"/>
      <c r="AA832" s="51"/>
    </row>
    <row r="833" spans="23:27">
      <c r="W833" s="53"/>
      <c r="Y833" s="58"/>
      <c r="Z833" s="51"/>
      <c r="AA833" s="51"/>
    </row>
    <row r="834" spans="23:27">
      <c r="W834" s="53"/>
      <c r="Y834" s="58"/>
      <c r="Z834" s="51"/>
      <c r="AA834" s="51"/>
    </row>
    <row r="835" spans="23:27">
      <c r="W835" s="53"/>
      <c r="Y835" s="58"/>
      <c r="Z835" s="51"/>
      <c r="AA835" s="51"/>
    </row>
    <row r="836" spans="23:27">
      <c r="W836" s="53"/>
      <c r="Y836" s="58"/>
      <c r="Z836" s="51"/>
      <c r="AA836" s="51"/>
    </row>
    <row r="837" spans="23:27">
      <c r="W837" s="53"/>
      <c r="Y837" s="58"/>
      <c r="Z837" s="51"/>
      <c r="AA837" s="51"/>
    </row>
    <row r="838" spans="23:27">
      <c r="W838" s="53"/>
      <c r="Y838" s="58"/>
      <c r="Z838" s="51"/>
      <c r="AA838" s="51"/>
    </row>
    <row r="839" spans="23:27">
      <c r="W839" s="53"/>
      <c r="Y839" s="58"/>
      <c r="Z839" s="51"/>
      <c r="AA839" s="51"/>
    </row>
    <row r="840" spans="23:27">
      <c r="W840" s="53"/>
      <c r="Y840" s="58"/>
      <c r="Z840" s="51"/>
      <c r="AA840" s="51"/>
    </row>
    <row r="841" spans="23:27">
      <c r="W841" s="53"/>
      <c r="Y841" s="58"/>
      <c r="Z841" s="51"/>
      <c r="AA841" s="51"/>
    </row>
    <row r="842" spans="23:27">
      <c r="W842" s="53"/>
      <c r="Y842" s="58"/>
      <c r="Z842" s="51"/>
      <c r="AA842" s="51"/>
    </row>
    <row r="843" spans="23:27">
      <c r="W843" s="53"/>
      <c r="Y843" s="58"/>
      <c r="Z843" s="51"/>
      <c r="AA843" s="51"/>
    </row>
    <row r="844" spans="23:27">
      <c r="W844" s="53"/>
      <c r="Y844" s="58"/>
      <c r="Z844" s="51"/>
      <c r="AA844" s="51"/>
    </row>
    <row r="845" spans="23:27">
      <c r="W845" s="53"/>
      <c r="Y845" s="58"/>
      <c r="Z845" s="51"/>
      <c r="AA845" s="51"/>
    </row>
    <row r="846" spans="23:27">
      <c r="W846" s="53"/>
      <c r="Y846" s="58"/>
      <c r="Z846" s="51"/>
      <c r="AA846" s="51"/>
    </row>
    <row r="847" spans="23:27">
      <c r="W847" s="53"/>
      <c r="Y847" s="58"/>
      <c r="Z847" s="51"/>
      <c r="AA847" s="51"/>
    </row>
    <row r="848" spans="23:27">
      <c r="W848" s="53"/>
      <c r="Y848" s="58"/>
      <c r="Z848" s="51"/>
      <c r="AA848" s="51"/>
    </row>
    <row r="849" spans="23:27">
      <c r="W849" s="53"/>
      <c r="Y849" s="58"/>
      <c r="Z849" s="51"/>
      <c r="AA849" s="51"/>
    </row>
    <row r="850" spans="23:27">
      <c r="W850" s="53"/>
      <c r="Y850" s="58"/>
      <c r="Z850" s="51"/>
      <c r="AA850" s="51"/>
    </row>
    <row r="851" spans="23:27">
      <c r="W851" s="53"/>
      <c r="Y851" s="58"/>
      <c r="Z851" s="51"/>
      <c r="AA851" s="51"/>
    </row>
    <row r="852" spans="23:27">
      <c r="W852" s="53"/>
      <c r="Y852" s="58"/>
      <c r="Z852" s="51"/>
      <c r="AA852" s="51"/>
    </row>
    <row r="853" spans="23:27">
      <c r="W853" s="53"/>
      <c r="Y853" s="58"/>
      <c r="Z853" s="51"/>
      <c r="AA853" s="51"/>
    </row>
    <row r="854" spans="23:27">
      <c r="W854" s="53"/>
      <c r="Y854" s="58"/>
      <c r="Z854" s="51"/>
      <c r="AA854" s="51"/>
    </row>
    <row r="855" spans="23:27">
      <c r="W855" s="53"/>
      <c r="Y855" s="58"/>
      <c r="Z855" s="51"/>
      <c r="AA855" s="51"/>
    </row>
    <row r="856" spans="23:27">
      <c r="W856" s="53"/>
      <c r="Y856" s="58"/>
      <c r="Z856" s="51"/>
      <c r="AA856" s="51"/>
    </row>
    <row r="857" spans="23:27">
      <c r="W857" s="53"/>
      <c r="Y857" s="58"/>
      <c r="Z857" s="51"/>
      <c r="AA857" s="51"/>
    </row>
    <row r="858" spans="23:27">
      <c r="W858" s="53"/>
      <c r="Y858" s="58"/>
      <c r="Z858" s="51"/>
      <c r="AA858" s="51"/>
    </row>
    <row r="859" spans="23:27">
      <c r="W859" s="53"/>
      <c r="Y859" s="58"/>
      <c r="Z859" s="51"/>
      <c r="AA859" s="51"/>
    </row>
    <row r="860" spans="23:27">
      <c r="W860" s="53"/>
      <c r="Y860" s="58"/>
      <c r="Z860" s="51"/>
      <c r="AA860" s="51"/>
    </row>
    <row r="861" spans="23:27">
      <c r="W861" s="53"/>
      <c r="Y861" s="58"/>
      <c r="Z861" s="51"/>
      <c r="AA861" s="51"/>
    </row>
    <row r="862" spans="23:27">
      <c r="W862" s="53"/>
      <c r="Y862" s="58"/>
      <c r="Z862" s="51"/>
      <c r="AA862" s="51"/>
    </row>
    <row r="863" spans="23:27">
      <c r="W863" s="53"/>
      <c r="Y863" s="58"/>
      <c r="Z863" s="51"/>
      <c r="AA863" s="51"/>
    </row>
    <row r="864" spans="23:27">
      <c r="W864" s="53"/>
      <c r="Y864" s="58"/>
      <c r="Z864" s="51"/>
      <c r="AA864" s="51"/>
    </row>
    <row r="865" spans="23:27">
      <c r="W865" s="53"/>
      <c r="Y865" s="58"/>
      <c r="Z865" s="51"/>
      <c r="AA865" s="51"/>
    </row>
    <row r="866" spans="23:27">
      <c r="W866" s="53"/>
      <c r="Y866" s="58"/>
      <c r="Z866" s="51"/>
      <c r="AA866" s="51"/>
    </row>
    <row r="867" spans="23:27">
      <c r="W867" s="53"/>
      <c r="Y867" s="58"/>
      <c r="Z867" s="51"/>
      <c r="AA867" s="51"/>
    </row>
    <row r="868" spans="23:27">
      <c r="W868" s="53"/>
      <c r="Y868" s="58"/>
      <c r="Z868" s="51"/>
      <c r="AA868" s="51"/>
    </row>
    <row r="869" spans="23:27">
      <c r="W869" s="53"/>
      <c r="Y869" s="58"/>
      <c r="Z869" s="51"/>
      <c r="AA869" s="51"/>
    </row>
    <row r="870" spans="23:27">
      <c r="W870" s="53"/>
      <c r="Y870" s="58"/>
      <c r="Z870" s="51"/>
      <c r="AA870" s="51"/>
    </row>
    <row r="871" spans="23:27">
      <c r="W871" s="53"/>
      <c r="Y871" s="58"/>
      <c r="Z871" s="51"/>
      <c r="AA871" s="51"/>
    </row>
    <row r="872" spans="23:27">
      <c r="W872" s="53"/>
      <c r="Y872" s="58"/>
      <c r="Z872" s="51"/>
      <c r="AA872" s="51"/>
    </row>
    <row r="873" spans="23:27">
      <c r="W873" s="53"/>
      <c r="Y873" s="58"/>
      <c r="Z873" s="51"/>
      <c r="AA873" s="51"/>
    </row>
    <row r="874" spans="23:27">
      <c r="W874" s="53"/>
      <c r="Y874" s="58"/>
      <c r="Z874" s="51"/>
      <c r="AA874" s="51"/>
    </row>
    <row r="875" spans="23:27">
      <c r="W875" s="53"/>
      <c r="Y875" s="58"/>
      <c r="Z875" s="51"/>
      <c r="AA875" s="51"/>
    </row>
    <row r="876" spans="23:27">
      <c r="W876" s="53"/>
      <c r="Y876" s="58"/>
      <c r="Z876" s="51"/>
      <c r="AA876" s="51"/>
    </row>
    <row r="877" spans="23:27">
      <c r="W877" s="53"/>
      <c r="Y877" s="58"/>
      <c r="Z877" s="51"/>
      <c r="AA877" s="51"/>
    </row>
    <row r="878" spans="23:27">
      <c r="W878" s="53"/>
      <c r="Y878" s="58"/>
      <c r="Z878" s="51"/>
      <c r="AA878" s="51"/>
    </row>
    <row r="879" spans="23:27">
      <c r="W879" s="53"/>
      <c r="Y879" s="58"/>
      <c r="Z879" s="51"/>
      <c r="AA879" s="51"/>
    </row>
    <row r="880" spans="23:27">
      <c r="W880" s="53"/>
      <c r="Y880" s="58"/>
      <c r="Z880" s="51"/>
      <c r="AA880" s="51"/>
    </row>
    <row r="881" spans="23:27">
      <c r="W881" s="53"/>
      <c r="Y881" s="58"/>
      <c r="Z881" s="51"/>
      <c r="AA881" s="51"/>
    </row>
    <row r="882" spans="23:27">
      <c r="W882" s="53"/>
      <c r="Y882" s="58"/>
      <c r="Z882" s="51"/>
      <c r="AA882" s="51"/>
    </row>
    <row r="883" spans="23:27">
      <c r="W883" s="53"/>
      <c r="Y883" s="58"/>
      <c r="Z883" s="51"/>
      <c r="AA883" s="51"/>
    </row>
    <row r="884" spans="23:27">
      <c r="W884" s="53"/>
      <c r="Y884" s="58"/>
      <c r="Z884" s="51"/>
      <c r="AA884" s="51"/>
    </row>
    <row r="885" spans="23:27">
      <c r="W885" s="53"/>
      <c r="Y885" s="58"/>
      <c r="Z885" s="51"/>
      <c r="AA885" s="51"/>
    </row>
    <row r="886" spans="23:27">
      <c r="W886" s="53"/>
      <c r="Y886" s="58"/>
      <c r="Z886" s="51"/>
      <c r="AA886" s="51"/>
    </row>
    <row r="887" spans="23:27">
      <c r="W887" s="53"/>
      <c r="Y887" s="58"/>
      <c r="Z887" s="51"/>
      <c r="AA887" s="51"/>
    </row>
    <row r="888" spans="23:27">
      <c r="W888" s="53"/>
      <c r="Y888" s="58"/>
      <c r="Z888" s="51"/>
      <c r="AA888" s="51"/>
    </row>
    <row r="889" spans="23:27">
      <c r="W889" s="53"/>
      <c r="Y889" s="58"/>
      <c r="Z889" s="51"/>
      <c r="AA889" s="51"/>
    </row>
    <row r="890" spans="23:27">
      <c r="W890" s="53"/>
      <c r="Y890" s="58"/>
      <c r="Z890" s="51"/>
      <c r="AA890" s="51"/>
    </row>
    <row r="891" spans="23:27">
      <c r="W891" s="53"/>
      <c r="Y891" s="58"/>
      <c r="Z891" s="51"/>
      <c r="AA891" s="51"/>
    </row>
    <row r="892" spans="23:27">
      <c r="W892" s="53"/>
      <c r="Y892" s="58"/>
      <c r="Z892" s="51"/>
      <c r="AA892" s="51"/>
    </row>
    <row r="893" spans="23:27">
      <c r="W893" s="53"/>
      <c r="Y893" s="58"/>
      <c r="Z893" s="51"/>
      <c r="AA893" s="51"/>
    </row>
    <row r="894" spans="23:27">
      <c r="W894" s="53"/>
      <c r="Y894" s="58"/>
      <c r="Z894" s="51"/>
      <c r="AA894" s="51"/>
    </row>
    <row r="895" spans="23:27">
      <c r="W895" s="53"/>
      <c r="Y895" s="58"/>
      <c r="Z895" s="51"/>
      <c r="AA895" s="51"/>
    </row>
    <row r="896" spans="23:27">
      <c r="W896" s="53"/>
      <c r="Y896" s="58"/>
      <c r="Z896" s="51"/>
      <c r="AA896" s="51"/>
    </row>
    <row r="897" spans="23:27">
      <c r="W897" s="53"/>
      <c r="Y897" s="58"/>
      <c r="Z897" s="51"/>
      <c r="AA897" s="51"/>
    </row>
    <row r="898" spans="23:27">
      <c r="W898" s="53"/>
      <c r="Y898" s="58"/>
      <c r="Z898" s="51"/>
      <c r="AA898" s="51"/>
    </row>
    <row r="899" spans="23:27">
      <c r="W899" s="53"/>
      <c r="Y899" s="58"/>
      <c r="Z899" s="51"/>
      <c r="AA899" s="51"/>
    </row>
    <row r="900" spans="23:27">
      <c r="W900" s="53"/>
      <c r="Y900" s="58"/>
      <c r="Z900" s="51"/>
      <c r="AA900" s="51"/>
    </row>
    <row r="901" spans="23:27">
      <c r="W901" s="53"/>
      <c r="Y901" s="58"/>
      <c r="Z901" s="51"/>
      <c r="AA901" s="51"/>
    </row>
    <row r="902" spans="23:27">
      <c r="W902" s="53"/>
      <c r="Y902" s="58"/>
      <c r="Z902" s="51"/>
      <c r="AA902" s="51"/>
    </row>
    <row r="903" spans="23:27">
      <c r="W903" s="53"/>
      <c r="Y903" s="58"/>
      <c r="Z903" s="51"/>
      <c r="AA903" s="51"/>
    </row>
    <row r="904" spans="23:27">
      <c r="W904" s="53"/>
      <c r="Y904" s="58"/>
      <c r="Z904" s="51"/>
      <c r="AA904" s="51"/>
    </row>
    <row r="905" spans="23:27">
      <c r="W905" s="53"/>
      <c r="Y905" s="58"/>
      <c r="Z905" s="51"/>
      <c r="AA905" s="51"/>
    </row>
    <row r="906" spans="23:27">
      <c r="W906" s="53"/>
      <c r="Y906" s="58"/>
      <c r="Z906" s="51"/>
      <c r="AA906" s="51"/>
    </row>
    <row r="907" spans="23:27">
      <c r="W907" s="53"/>
      <c r="Y907" s="58"/>
      <c r="Z907" s="51"/>
      <c r="AA907" s="51"/>
    </row>
    <row r="908" spans="23:27">
      <c r="W908" s="53"/>
      <c r="Y908" s="58"/>
      <c r="Z908" s="51"/>
      <c r="AA908" s="51"/>
    </row>
    <row r="909" spans="23:27">
      <c r="W909" s="53"/>
      <c r="Y909" s="58"/>
      <c r="Z909" s="51"/>
      <c r="AA909" s="51"/>
    </row>
    <row r="910" spans="23:27">
      <c r="W910" s="53"/>
      <c r="Y910" s="58"/>
      <c r="Z910" s="51"/>
      <c r="AA910" s="51"/>
    </row>
    <row r="911" spans="23:27">
      <c r="W911" s="53"/>
      <c r="Y911" s="58"/>
      <c r="Z911" s="51"/>
      <c r="AA911" s="51"/>
    </row>
    <row r="912" spans="23:27">
      <c r="W912" s="53"/>
      <c r="Y912" s="58"/>
      <c r="Z912" s="51"/>
      <c r="AA912" s="51"/>
    </row>
    <row r="913" spans="23:27">
      <c r="W913" s="53"/>
      <c r="Y913" s="58"/>
      <c r="Z913" s="51"/>
      <c r="AA913" s="51"/>
    </row>
    <row r="914" spans="23:27">
      <c r="W914" s="53"/>
      <c r="Y914" s="58"/>
      <c r="Z914" s="51"/>
      <c r="AA914" s="51"/>
    </row>
    <row r="915" spans="23:27">
      <c r="W915" s="53"/>
      <c r="Y915" s="58"/>
      <c r="Z915" s="51"/>
      <c r="AA915" s="51"/>
    </row>
    <row r="916" spans="23:27">
      <c r="W916" s="53"/>
      <c r="Y916" s="58"/>
      <c r="Z916" s="51"/>
      <c r="AA916" s="51"/>
    </row>
    <row r="917" spans="23:27">
      <c r="W917" s="53"/>
      <c r="Y917" s="58"/>
      <c r="Z917" s="51"/>
      <c r="AA917" s="51"/>
    </row>
    <row r="918" spans="23:27">
      <c r="W918" s="53"/>
      <c r="Y918" s="58"/>
      <c r="Z918" s="51"/>
      <c r="AA918" s="51"/>
    </row>
    <row r="919" spans="23:27">
      <c r="W919" s="53"/>
      <c r="Y919" s="58"/>
      <c r="Z919" s="51"/>
      <c r="AA919" s="51"/>
    </row>
    <row r="920" spans="23:27">
      <c r="W920" s="53"/>
      <c r="Y920" s="58"/>
      <c r="Z920" s="51"/>
      <c r="AA920" s="51"/>
    </row>
    <row r="921" spans="23:27">
      <c r="W921" s="53"/>
      <c r="Y921" s="58"/>
      <c r="Z921" s="51"/>
      <c r="AA921" s="51"/>
    </row>
    <row r="922" spans="23:27">
      <c r="W922" s="53"/>
      <c r="Y922" s="58"/>
      <c r="Z922" s="51"/>
      <c r="AA922" s="51"/>
    </row>
    <row r="923" spans="23:27">
      <c r="W923" s="53"/>
      <c r="Y923" s="58"/>
      <c r="Z923" s="51"/>
      <c r="AA923" s="51"/>
    </row>
    <row r="924" spans="23:27">
      <c r="W924" s="53"/>
      <c r="Y924" s="58"/>
      <c r="Z924" s="51"/>
      <c r="AA924" s="51"/>
    </row>
    <row r="925" spans="23:27">
      <c r="W925" s="53"/>
      <c r="Y925" s="58"/>
      <c r="Z925" s="51"/>
      <c r="AA925" s="51"/>
    </row>
    <row r="926" spans="23:27">
      <c r="W926" s="53"/>
      <c r="Y926" s="58"/>
      <c r="Z926" s="51"/>
      <c r="AA926" s="51"/>
    </row>
    <row r="927" spans="23:27">
      <c r="W927" s="53"/>
      <c r="Y927" s="58"/>
      <c r="Z927" s="51"/>
      <c r="AA927" s="51"/>
    </row>
    <row r="928" spans="23:27">
      <c r="W928" s="53"/>
      <c r="Y928" s="58"/>
      <c r="Z928" s="51"/>
      <c r="AA928" s="51"/>
    </row>
    <row r="929" spans="23:27">
      <c r="W929" s="53"/>
      <c r="Y929" s="58"/>
      <c r="Z929" s="51"/>
      <c r="AA929" s="51"/>
    </row>
    <row r="930" spans="23:27">
      <c r="W930" s="53"/>
      <c r="Y930" s="58"/>
      <c r="Z930" s="51"/>
      <c r="AA930" s="51"/>
    </row>
    <row r="931" spans="23:27">
      <c r="W931" s="53"/>
      <c r="Y931" s="58"/>
      <c r="Z931" s="51"/>
      <c r="AA931" s="51"/>
    </row>
    <row r="932" spans="23:27">
      <c r="W932" s="53"/>
      <c r="Y932" s="58"/>
      <c r="Z932" s="51"/>
      <c r="AA932" s="51"/>
    </row>
    <row r="933" spans="23:27">
      <c r="W933" s="53"/>
      <c r="Y933" s="58"/>
      <c r="Z933" s="51"/>
      <c r="AA933" s="51"/>
    </row>
    <row r="934" spans="23:27">
      <c r="W934" s="53"/>
      <c r="Y934" s="58"/>
      <c r="Z934" s="51"/>
      <c r="AA934" s="51"/>
    </row>
    <row r="935" spans="23:27">
      <c r="W935" s="53"/>
      <c r="Y935" s="58"/>
      <c r="Z935" s="51"/>
      <c r="AA935" s="51"/>
    </row>
    <row r="936" spans="23:27">
      <c r="W936" s="53"/>
      <c r="Y936" s="58"/>
      <c r="Z936" s="51"/>
      <c r="AA936" s="51"/>
    </row>
    <row r="937" spans="23:27">
      <c r="W937" s="53"/>
      <c r="Y937" s="58"/>
      <c r="Z937" s="51"/>
      <c r="AA937" s="51"/>
    </row>
    <row r="938" spans="23:27">
      <c r="W938" s="53"/>
      <c r="Y938" s="58"/>
      <c r="Z938" s="51"/>
      <c r="AA938" s="51"/>
    </row>
    <row r="939" spans="23:27">
      <c r="W939" s="53"/>
      <c r="Y939" s="58"/>
      <c r="Z939" s="51"/>
      <c r="AA939" s="51"/>
    </row>
    <row r="940" spans="23:27">
      <c r="W940" s="53"/>
      <c r="Y940" s="58"/>
      <c r="Z940" s="51"/>
      <c r="AA940" s="51"/>
    </row>
    <row r="941" spans="23:27">
      <c r="W941" s="53"/>
      <c r="Y941" s="58"/>
      <c r="Z941" s="51"/>
      <c r="AA941" s="51"/>
    </row>
    <row r="942" spans="23:27">
      <c r="W942" s="53"/>
      <c r="Y942" s="58"/>
      <c r="Z942" s="51"/>
      <c r="AA942" s="51"/>
    </row>
    <row r="943" spans="23:27">
      <c r="W943" s="53"/>
      <c r="Y943" s="58"/>
      <c r="Z943" s="51"/>
      <c r="AA943" s="51"/>
    </row>
    <row r="944" spans="23:27">
      <c r="W944" s="53"/>
      <c r="Y944" s="58"/>
      <c r="Z944" s="51"/>
      <c r="AA944" s="51"/>
    </row>
    <row r="945" spans="23:27">
      <c r="W945" s="53"/>
      <c r="Y945" s="58"/>
      <c r="Z945" s="51"/>
      <c r="AA945" s="51"/>
    </row>
    <row r="946" spans="23:27">
      <c r="W946" s="53"/>
      <c r="Y946" s="58"/>
      <c r="Z946" s="51"/>
      <c r="AA946" s="51"/>
    </row>
    <row r="947" spans="23:27">
      <c r="W947" s="53"/>
      <c r="Y947" s="58"/>
      <c r="Z947" s="51"/>
      <c r="AA947" s="51"/>
    </row>
    <row r="948" spans="23:27">
      <c r="W948" s="53"/>
      <c r="Y948" s="58"/>
      <c r="Z948" s="51"/>
      <c r="AA948" s="51"/>
    </row>
    <row r="949" spans="23:27">
      <c r="W949" s="53"/>
      <c r="Y949" s="58"/>
      <c r="Z949" s="51"/>
      <c r="AA949" s="51"/>
    </row>
    <row r="950" spans="23:27">
      <c r="W950" s="53"/>
      <c r="Y950" s="58"/>
      <c r="Z950" s="51"/>
      <c r="AA950" s="51"/>
    </row>
    <row r="951" spans="23:27">
      <c r="W951" s="53"/>
      <c r="Y951" s="58"/>
      <c r="Z951" s="51"/>
      <c r="AA951" s="51"/>
    </row>
    <row r="952" spans="23:27">
      <c r="W952" s="53"/>
      <c r="Y952" s="58"/>
      <c r="Z952" s="51"/>
      <c r="AA952" s="51"/>
    </row>
    <row r="953" spans="23:27">
      <c r="W953" s="53"/>
      <c r="Y953" s="58"/>
      <c r="Z953" s="51"/>
      <c r="AA953" s="51"/>
    </row>
    <row r="954" spans="23:27">
      <c r="W954" s="53"/>
      <c r="Y954" s="58"/>
      <c r="Z954" s="51"/>
      <c r="AA954" s="51"/>
    </row>
    <row r="955" spans="23:27">
      <c r="W955" s="53"/>
      <c r="Y955" s="58"/>
      <c r="Z955" s="51"/>
      <c r="AA955" s="51"/>
    </row>
    <row r="956" spans="23:27">
      <c r="W956" s="53"/>
      <c r="Y956" s="58"/>
      <c r="Z956" s="51"/>
      <c r="AA956" s="51"/>
    </row>
    <row r="957" spans="23:27">
      <c r="W957" s="53"/>
      <c r="Y957" s="58"/>
      <c r="Z957" s="51"/>
      <c r="AA957" s="51"/>
    </row>
    <row r="958" spans="23:27">
      <c r="W958" s="53"/>
      <c r="Y958" s="58"/>
      <c r="Z958" s="51"/>
      <c r="AA958" s="51"/>
    </row>
    <row r="959" spans="23:27">
      <c r="W959" s="53"/>
      <c r="Y959" s="58"/>
      <c r="Z959" s="51"/>
      <c r="AA959" s="51"/>
    </row>
    <row r="960" spans="23:27">
      <c r="W960" s="53"/>
      <c r="Y960" s="58"/>
      <c r="Z960" s="51"/>
      <c r="AA960" s="51"/>
    </row>
    <row r="961" spans="23:27">
      <c r="W961" s="53"/>
      <c r="Y961" s="58"/>
      <c r="Z961" s="51"/>
      <c r="AA961" s="51"/>
    </row>
    <row r="962" spans="23:27">
      <c r="W962" s="53"/>
      <c r="Y962" s="58"/>
      <c r="Z962" s="51"/>
      <c r="AA962" s="51"/>
    </row>
    <row r="963" spans="23:27">
      <c r="W963" s="53"/>
      <c r="Y963" s="58"/>
      <c r="Z963" s="51"/>
      <c r="AA963" s="51"/>
    </row>
    <row r="964" spans="23:27">
      <c r="W964" s="53"/>
      <c r="Y964" s="58"/>
      <c r="Z964" s="51"/>
      <c r="AA964" s="51"/>
    </row>
    <row r="965" spans="23:27">
      <c r="W965" s="53"/>
      <c r="Y965" s="58"/>
      <c r="Z965" s="51"/>
      <c r="AA965" s="51"/>
    </row>
    <row r="966" spans="23:27">
      <c r="W966" s="53"/>
      <c r="Y966" s="58"/>
      <c r="Z966" s="51"/>
      <c r="AA966" s="51"/>
    </row>
    <row r="967" spans="23:27">
      <c r="W967" s="53"/>
      <c r="Y967" s="58"/>
      <c r="Z967" s="51"/>
      <c r="AA967" s="51"/>
    </row>
    <row r="968" spans="23:27">
      <c r="W968" s="53"/>
      <c r="Y968" s="58"/>
      <c r="Z968" s="51"/>
      <c r="AA968" s="51"/>
    </row>
    <row r="969" spans="23:27">
      <c r="W969" s="53"/>
      <c r="Y969" s="58"/>
      <c r="Z969" s="51"/>
      <c r="AA969" s="51"/>
    </row>
    <row r="970" spans="23:27">
      <c r="W970" s="53"/>
      <c r="Y970" s="58"/>
      <c r="Z970" s="51"/>
      <c r="AA970" s="51"/>
    </row>
    <row r="971" spans="23:27">
      <c r="W971" s="53"/>
      <c r="Y971" s="58"/>
      <c r="Z971" s="51"/>
      <c r="AA971" s="51"/>
    </row>
    <row r="972" spans="23:27">
      <c r="W972" s="53"/>
      <c r="Y972" s="58"/>
      <c r="Z972" s="51"/>
      <c r="AA972" s="51"/>
    </row>
    <row r="973" spans="23:27">
      <c r="W973" s="53"/>
      <c r="Y973" s="58"/>
      <c r="Z973" s="51"/>
      <c r="AA973" s="51"/>
    </row>
    <row r="974" spans="23:27">
      <c r="W974" s="53"/>
      <c r="Y974" s="58"/>
      <c r="Z974" s="51"/>
      <c r="AA974" s="51"/>
    </row>
    <row r="975" spans="23:27">
      <c r="W975" s="53"/>
      <c r="Y975" s="58"/>
      <c r="Z975" s="51"/>
      <c r="AA975" s="51"/>
    </row>
    <row r="976" spans="23:27">
      <c r="W976" s="53"/>
      <c r="Y976" s="58"/>
      <c r="Z976" s="51"/>
      <c r="AA976" s="51"/>
    </row>
    <row r="977" spans="23:27">
      <c r="W977" s="53"/>
      <c r="Y977" s="58"/>
      <c r="Z977" s="51"/>
      <c r="AA977" s="51"/>
    </row>
    <row r="978" spans="23:27">
      <c r="W978" s="53"/>
      <c r="Y978" s="58"/>
      <c r="Z978" s="51"/>
      <c r="AA978" s="51"/>
    </row>
    <row r="979" spans="23:27">
      <c r="W979" s="53"/>
      <c r="Y979" s="58"/>
      <c r="Z979" s="51"/>
      <c r="AA979" s="51"/>
    </row>
    <row r="980" spans="23:27">
      <c r="W980" s="53"/>
      <c r="Y980" s="58"/>
      <c r="Z980" s="51"/>
      <c r="AA980" s="51"/>
    </row>
    <row r="981" spans="23:27">
      <c r="W981" s="53"/>
      <c r="Y981" s="58"/>
      <c r="Z981" s="51"/>
      <c r="AA981" s="51"/>
    </row>
    <row r="982" spans="23:27">
      <c r="W982" s="53"/>
      <c r="Y982" s="58"/>
      <c r="Z982" s="51"/>
      <c r="AA982" s="51"/>
    </row>
    <row r="983" spans="23:27">
      <c r="W983" s="53"/>
      <c r="Y983" s="58"/>
      <c r="Z983" s="51"/>
      <c r="AA983" s="51"/>
    </row>
    <row r="984" spans="23:27">
      <c r="W984" s="53"/>
      <c r="Y984" s="58"/>
      <c r="Z984" s="51"/>
      <c r="AA984" s="51"/>
    </row>
    <row r="985" spans="23:27">
      <c r="W985" s="53"/>
      <c r="Y985" s="58"/>
      <c r="Z985" s="51"/>
      <c r="AA985" s="51"/>
    </row>
    <row r="986" spans="23:27">
      <c r="W986" s="53"/>
      <c r="Y986" s="58"/>
      <c r="Z986" s="51"/>
      <c r="AA986" s="51"/>
    </row>
    <row r="987" spans="23:27">
      <c r="W987" s="53"/>
      <c r="Y987" s="58"/>
      <c r="Z987" s="51"/>
      <c r="AA987" s="51"/>
    </row>
    <row r="988" spans="23:27">
      <c r="W988" s="53"/>
      <c r="Y988" s="58"/>
      <c r="Z988" s="51"/>
      <c r="AA988" s="51"/>
    </row>
    <row r="989" spans="23:27">
      <c r="W989" s="53"/>
      <c r="Y989" s="58"/>
      <c r="Z989" s="51"/>
      <c r="AA989" s="51"/>
    </row>
    <row r="990" spans="23:27">
      <c r="W990" s="53"/>
      <c r="Y990" s="58"/>
      <c r="Z990" s="51"/>
      <c r="AA990" s="51"/>
    </row>
    <row r="991" spans="23:27">
      <c r="W991" s="53"/>
      <c r="Y991" s="58"/>
      <c r="Z991" s="51"/>
      <c r="AA991" s="51"/>
    </row>
    <row r="992" spans="23:27">
      <c r="W992" s="53"/>
      <c r="Y992" s="58"/>
      <c r="Z992" s="51"/>
      <c r="AA992" s="51"/>
    </row>
    <row r="993" spans="23:27">
      <c r="W993" s="53"/>
      <c r="Y993" s="58"/>
      <c r="Z993" s="51"/>
      <c r="AA993" s="51"/>
    </row>
    <row r="994" spans="23:27">
      <c r="W994" s="53"/>
      <c r="Y994" s="58"/>
      <c r="Z994" s="51"/>
      <c r="AA994" s="51"/>
    </row>
    <row r="995" spans="23:27">
      <c r="W995" s="53"/>
      <c r="Y995" s="58"/>
      <c r="Z995" s="51"/>
      <c r="AA995" s="51"/>
    </row>
    <row r="996" spans="23:27">
      <c r="W996" s="53"/>
      <c r="Y996" s="58"/>
      <c r="Z996" s="51"/>
      <c r="AA996" s="51"/>
    </row>
    <row r="997" spans="23:27">
      <c r="W997" s="53"/>
      <c r="Y997" s="58"/>
      <c r="Z997" s="51"/>
      <c r="AA997" s="51"/>
    </row>
    <row r="998" spans="23:27">
      <c r="W998" s="53"/>
      <c r="Y998" s="58"/>
      <c r="Z998" s="51"/>
      <c r="AA998" s="51"/>
    </row>
    <row r="999" spans="23:27">
      <c r="W999" s="53"/>
      <c r="Y999" s="58"/>
      <c r="Z999" s="51"/>
      <c r="AA999" s="51"/>
    </row>
    <row r="1000" spans="23:27">
      <c r="W1000" s="53"/>
      <c r="Y1000" s="58"/>
      <c r="Z1000" s="51"/>
      <c r="AA1000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999"/>
  <sheetViews>
    <sheetView tabSelected="1" workbookViewId="0">
      <pane xSplit="2" ySplit="1" topLeftCell="Y2" activePane="bottomRight" state="frozen"/>
      <selection pane="topRight" activeCell="C1" sqref="C1"/>
      <selection pane="bottomLeft" activeCell="A2" sqref="A2"/>
      <selection pane="bottomRight" activeCell="AF6" sqref="AF6"/>
    </sheetView>
  </sheetViews>
  <sheetFormatPr defaultColWidth="14.453125" defaultRowHeight="15" customHeight="1"/>
  <cols>
    <col min="1" max="1" width="10.26953125" customWidth="1"/>
    <col min="3" max="3" width="43.453125" customWidth="1"/>
    <col min="4" max="4" width="25.7265625" customWidth="1"/>
    <col min="5" max="5" width="24" customWidth="1"/>
    <col min="6" max="6" width="29" customWidth="1"/>
    <col min="7" max="7" width="24.54296875" customWidth="1"/>
    <col min="8" max="9" width="25.7265625" customWidth="1"/>
    <col min="10" max="10" width="24" customWidth="1"/>
    <col min="11" max="11" width="22.453125" customWidth="1"/>
    <col min="12" max="12" width="26.54296875" customWidth="1"/>
    <col min="13" max="13" width="27.81640625" customWidth="1"/>
    <col min="14" max="14" width="26.1796875" customWidth="1"/>
    <col min="15" max="15" width="24.26953125" customWidth="1"/>
    <col min="16" max="16" width="23" customWidth="1"/>
    <col min="22" max="22" width="15.81640625" bestFit="1" customWidth="1"/>
    <col min="23" max="23" width="15.81640625" style="86" customWidth="1"/>
    <col min="25" max="25" width="14.453125" style="86"/>
  </cols>
  <sheetData>
    <row r="1" spans="1:29">
      <c r="A1" s="68" t="s">
        <v>449</v>
      </c>
      <c r="B1" s="68" t="s">
        <v>450</v>
      </c>
      <c r="C1" s="68" t="s">
        <v>451</v>
      </c>
      <c r="D1" s="69" t="s">
        <v>452</v>
      </c>
      <c r="E1" s="69" t="s">
        <v>453</v>
      </c>
      <c r="F1" s="69" t="s">
        <v>454</v>
      </c>
      <c r="G1" s="69" t="s">
        <v>455</v>
      </c>
      <c r="H1" s="69" t="s">
        <v>456</v>
      </c>
      <c r="I1" s="69" t="s">
        <v>457</v>
      </c>
      <c r="J1" s="69" t="s">
        <v>458</v>
      </c>
      <c r="K1" s="70" t="s">
        <v>459</v>
      </c>
      <c r="L1" s="69" t="s">
        <v>460</v>
      </c>
      <c r="M1" s="69" t="s">
        <v>461</v>
      </c>
      <c r="N1" s="69" t="s">
        <v>462</v>
      </c>
      <c r="O1" s="69" t="s">
        <v>463</v>
      </c>
      <c r="P1" s="69" t="s">
        <v>464</v>
      </c>
      <c r="Q1" s="71" t="s">
        <v>465</v>
      </c>
      <c r="R1" s="70" t="s">
        <v>466</v>
      </c>
      <c r="S1" s="70" t="s">
        <v>467</v>
      </c>
      <c r="T1" s="68" t="s">
        <v>468</v>
      </c>
      <c r="U1" s="68" t="s">
        <v>469</v>
      </c>
      <c r="V1" s="68" t="s">
        <v>470</v>
      </c>
      <c r="W1" s="84" t="s">
        <v>508</v>
      </c>
      <c r="X1" s="72" t="s">
        <v>471</v>
      </c>
      <c r="Y1" s="84" t="s">
        <v>472</v>
      </c>
      <c r="Z1" s="70" t="s">
        <v>473</v>
      </c>
      <c r="AA1" s="70" t="s">
        <v>474</v>
      </c>
      <c r="AB1" s="71" t="s">
        <v>475</v>
      </c>
      <c r="AC1" s="71" t="s">
        <v>507</v>
      </c>
    </row>
    <row r="2" spans="1:29">
      <c r="A2" s="49">
        <v>2018</v>
      </c>
      <c r="B2" s="59" t="s">
        <v>54</v>
      </c>
      <c r="C2" s="49" t="s">
        <v>55</v>
      </c>
      <c r="D2" s="50">
        <v>673579165000</v>
      </c>
      <c r="E2" s="50">
        <v>123308301000</v>
      </c>
      <c r="F2" s="50">
        <v>874472888000</v>
      </c>
      <c r="G2" s="50"/>
      <c r="H2" s="50"/>
      <c r="I2" s="50">
        <v>593110979000</v>
      </c>
      <c r="J2" s="50">
        <v>281361909000</v>
      </c>
      <c r="K2" s="51">
        <v>348386472</v>
      </c>
      <c r="L2" s="50">
        <v>264899142000</v>
      </c>
      <c r="M2" s="50">
        <v>124758053000</v>
      </c>
      <c r="N2" s="50">
        <v>3501669000</v>
      </c>
      <c r="O2" s="50">
        <v>13939519000</v>
      </c>
      <c r="P2" s="50">
        <v>3658165000</v>
      </c>
      <c r="Q2" s="52">
        <v>250</v>
      </c>
      <c r="R2" s="51">
        <f t="shared" ref="R2:R150" si="0">D2/I2</f>
        <v>1.1356713816622841</v>
      </c>
      <c r="S2" s="51">
        <f t="shared" ref="S2:S150" si="1">I2/J2</f>
        <v>2.1080002659492902</v>
      </c>
      <c r="T2" s="51">
        <f t="shared" ref="T2:T255" si="2">O2/F2</f>
        <v>1.59404816218842E-2</v>
      </c>
      <c r="U2" s="51">
        <f t="shared" ref="U2:U255" si="3">O2/J2</f>
        <v>4.9543021120175869E-2</v>
      </c>
      <c r="V2" s="51">
        <f t="shared" ref="V2:V255" si="4">O2/L2</f>
        <v>5.2621986219947819E-2</v>
      </c>
      <c r="W2" s="58">
        <f>(L2-M2)/L2</f>
        <v>0.52903564708412687</v>
      </c>
      <c r="X2" s="51">
        <f t="shared" ref="X2:X120" si="5">(P2/K2)/Q2</f>
        <v>4.2001229025907756E-2</v>
      </c>
      <c r="Y2" s="58">
        <f t="shared" ref="Y2:Y153" si="6">P2/O2</f>
        <v>0.26243122162249644</v>
      </c>
      <c r="Z2" s="51">
        <f t="shared" ref="Z2:Z120" si="7">Q2/(O2/K2)</f>
        <v>6.2481795820931838</v>
      </c>
      <c r="AA2" s="51">
        <f t="shared" ref="AA2:AA120" si="8">Q2/(J2/K2)</f>
        <v>0.30955369299829422</v>
      </c>
      <c r="AB2" s="52">
        <v>1</v>
      </c>
      <c r="AC2">
        <v>2</v>
      </c>
    </row>
    <row r="3" spans="1:29">
      <c r="A3" s="49">
        <v>2019</v>
      </c>
      <c r="B3" s="59" t="s">
        <v>54</v>
      </c>
      <c r="C3" s="49" t="s">
        <v>55</v>
      </c>
      <c r="D3" s="50">
        <v>653613149000</v>
      </c>
      <c r="E3" s="50">
        <v>127895603000</v>
      </c>
      <c r="F3" s="50">
        <v>857520585000</v>
      </c>
      <c r="G3" s="50"/>
      <c r="H3" s="50"/>
      <c r="I3" s="50">
        <v>566035087000</v>
      </c>
      <c r="J3" s="50">
        <v>291351494000</v>
      </c>
      <c r="K3" s="51">
        <v>348386472</v>
      </c>
      <c r="L3" s="50">
        <v>250804486000</v>
      </c>
      <c r="M3" s="50">
        <v>134257087000</v>
      </c>
      <c r="N3" s="50">
        <v>1102516000</v>
      </c>
      <c r="O3" s="50">
        <v>8009060000</v>
      </c>
      <c r="P3" s="50">
        <v>3516989000</v>
      </c>
      <c r="Q3" s="52">
        <v>308</v>
      </c>
      <c r="R3" s="51">
        <f t="shared" si="0"/>
        <v>1.1547219669087405</v>
      </c>
      <c r="S3" s="51">
        <f t="shared" si="1"/>
        <v>1.9427910913681465</v>
      </c>
      <c r="T3" s="51">
        <f t="shared" si="2"/>
        <v>9.3397874524493198E-3</v>
      </c>
      <c r="U3" s="51">
        <f t="shared" si="3"/>
        <v>2.7489339045572218E-2</v>
      </c>
      <c r="V3" s="51">
        <f t="shared" si="4"/>
        <v>3.1933479850117193E-2</v>
      </c>
      <c r="W3" s="58">
        <f t="shared" ref="W3:W66" si="9">(L3-M3)/L3</f>
        <v>0.46469423597152087</v>
      </c>
      <c r="X3" s="51">
        <f t="shared" si="5"/>
        <v>3.2776230916754585E-2</v>
      </c>
      <c r="Y3" s="58">
        <f t="shared" si="6"/>
        <v>0.43912631444888661</v>
      </c>
      <c r="Z3" s="51">
        <f t="shared" si="7"/>
        <v>13.397706269649621</v>
      </c>
      <c r="AA3" s="51">
        <f t="shared" si="8"/>
        <v>0.36829409007938702</v>
      </c>
      <c r="AB3" s="52">
        <v>1</v>
      </c>
      <c r="AC3">
        <v>2</v>
      </c>
    </row>
    <row r="4" spans="1:29">
      <c r="A4" s="49">
        <v>2020</v>
      </c>
      <c r="B4" s="59" t="s">
        <v>54</v>
      </c>
      <c r="C4" s="49" t="s">
        <v>55</v>
      </c>
      <c r="D4" s="50">
        <v>632468200000</v>
      </c>
      <c r="E4" s="50">
        <v>125064327000</v>
      </c>
      <c r="F4" s="50">
        <v>871769183000</v>
      </c>
      <c r="G4" s="50"/>
      <c r="H4" s="50"/>
      <c r="I4" s="50">
        <v>557997452000</v>
      </c>
      <c r="J4" s="50">
        <v>313771731000</v>
      </c>
      <c r="K4" s="51">
        <v>348386472</v>
      </c>
      <c r="L4" s="50">
        <v>231470118000</v>
      </c>
      <c r="M4" s="50">
        <v>109895092000</v>
      </c>
      <c r="N4" s="50">
        <v>1205232000</v>
      </c>
      <c r="O4" s="50">
        <v>23668304000</v>
      </c>
      <c r="P4" s="50">
        <v>2091802000</v>
      </c>
      <c r="Q4" s="52">
        <v>310</v>
      </c>
      <c r="R4" s="51">
        <f t="shared" si="0"/>
        <v>1.1334607312866367</v>
      </c>
      <c r="S4" s="51">
        <f t="shared" si="1"/>
        <v>1.778354761984597</v>
      </c>
      <c r="T4" s="51">
        <f t="shared" si="2"/>
        <v>2.7149736950497366E-2</v>
      </c>
      <c r="U4" s="51">
        <f t="shared" si="3"/>
        <v>7.5431600943043534E-2</v>
      </c>
      <c r="V4" s="51">
        <f t="shared" si="4"/>
        <v>0.10225209285977899</v>
      </c>
      <c r="W4" s="58">
        <f t="shared" si="9"/>
        <v>0.52522989598164893</v>
      </c>
      <c r="X4" s="51">
        <f t="shared" si="5"/>
        <v>1.9368571771342415E-2</v>
      </c>
      <c r="Y4" s="58">
        <f t="shared" si="6"/>
        <v>8.8379885605660638E-2</v>
      </c>
      <c r="Z4" s="51">
        <f t="shared" si="7"/>
        <v>4.5630564116465635</v>
      </c>
      <c r="AA4" s="51">
        <f t="shared" si="8"/>
        <v>0.34419865032391972</v>
      </c>
      <c r="AB4" s="52">
        <v>1</v>
      </c>
      <c r="AC4">
        <v>2</v>
      </c>
    </row>
    <row r="5" spans="1:29">
      <c r="A5" s="49">
        <v>2018</v>
      </c>
      <c r="B5" s="73" t="s">
        <v>58</v>
      </c>
      <c r="C5" s="49" t="s">
        <v>59</v>
      </c>
      <c r="D5" s="50">
        <v>920102856747</v>
      </c>
      <c r="E5" s="50">
        <v>21609167523</v>
      </c>
      <c r="F5" s="50">
        <v>969866560976</v>
      </c>
      <c r="G5" s="50"/>
      <c r="H5" s="50"/>
      <c r="I5" s="50">
        <v>450272263738</v>
      </c>
      <c r="J5" s="50">
        <v>519594297238</v>
      </c>
      <c r="K5" s="51">
        <v>8958380460</v>
      </c>
      <c r="L5" s="50">
        <v>135633770098</v>
      </c>
      <c r="M5" s="50">
        <v>68591523905</v>
      </c>
      <c r="N5" s="50">
        <v>76025853817</v>
      </c>
      <c r="O5" s="50">
        <v>69900405337</v>
      </c>
      <c r="P5" s="50"/>
      <c r="Q5" s="52">
        <v>700</v>
      </c>
      <c r="R5" s="51">
        <f t="shared" si="0"/>
        <v>2.0434366734220619</v>
      </c>
      <c r="S5" s="51">
        <f t="shared" si="1"/>
        <v>0.8665843065089549</v>
      </c>
      <c r="T5" s="51">
        <f t="shared" si="2"/>
        <v>7.2072188226241701E-2</v>
      </c>
      <c r="U5" s="51">
        <f t="shared" si="3"/>
        <v>0.13452881547886222</v>
      </c>
      <c r="V5" s="51">
        <f t="shared" si="4"/>
        <v>0.51536136823812084</v>
      </c>
      <c r="W5" s="58">
        <f t="shared" si="9"/>
        <v>0.49428874641293025</v>
      </c>
      <c r="X5" s="51">
        <f t="shared" si="5"/>
        <v>0</v>
      </c>
      <c r="Y5" s="58">
        <f t="shared" si="6"/>
        <v>0</v>
      </c>
      <c r="Z5" s="74">
        <f t="shared" si="7"/>
        <v>89.711444329503422</v>
      </c>
      <c r="AA5" s="51">
        <f t="shared" si="8"/>
        <v>12.068774340545989</v>
      </c>
      <c r="AB5" s="52">
        <v>1</v>
      </c>
      <c r="AC5">
        <v>2</v>
      </c>
    </row>
    <row r="6" spans="1:29">
      <c r="A6" s="49">
        <v>2019</v>
      </c>
      <c r="B6" s="73" t="s">
        <v>58</v>
      </c>
      <c r="C6" s="49" t="s">
        <v>59</v>
      </c>
      <c r="D6" s="50">
        <v>922123474882</v>
      </c>
      <c r="E6" s="50">
        <v>24621076327</v>
      </c>
      <c r="F6" s="50">
        <v>975687462693</v>
      </c>
      <c r="G6" s="50"/>
      <c r="H6" s="50"/>
      <c r="I6" s="50">
        <v>445392630259</v>
      </c>
      <c r="J6" s="50">
        <v>530294832434</v>
      </c>
      <c r="K6" s="51">
        <v>8958380460</v>
      </c>
      <c r="L6" s="50">
        <v>175174507884</v>
      </c>
      <c r="M6" s="50">
        <v>101954815930</v>
      </c>
      <c r="N6" s="50">
        <v>72793612247</v>
      </c>
      <c r="O6" s="50">
        <v>9408511340</v>
      </c>
      <c r="P6" s="50"/>
      <c r="Q6" s="52">
        <v>1285</v>
      </c>
      <c r="R6" s="51">
        <f t="shared" si="0"/>
        <v>2.0703608731598826</v>
      </c>
      <c r="S6" s="51">
        <f t="shared" si="1"/>
        <v>0.83989622945162901</v>
      </c>
      <c r="T6" s="51">
        <f t="shared" si="2"/>
        <v>9.6429560691817431E-3</v>
      </c>
      <c r="U6" s="51">
        <f t="shared" si="3"/>
        <v>1.7742038512455191E-2</v>
      </c>
      <c r="V6" s="51">
        <f t="shared" si="4"/>
        <v>5.3709363614883314E-2</v>
      </c>
      <c r="W6" s="58">
        <f t="shared" si="9"/>
        <v>0.41798143370544444</v>
      </c>
      <c r="X6" s="51">
        <f t="shared" si="5"/>
        <v>0</v>
      </c>
      <c r="Y6" s="58">
        <f t="shared" si="6"/>
        <v>0</v>
      </c>
      <c r="Z6" s="74">
        <f t="shared" si="7"/>
        <v>1223.5218171188387</v>
      </c>
      <c r="AA6" s="51">
        <f t="shared" si="8"/>
        <v>21.707771200151594</v>
      </c>
      <c r="AB6" s="52">
        <v>1</v>
      </c>
      <c r="AC6">
        <v>2</v>
      </c>
    </row>
    <row r="7" spans="1:29">
      <c r="A7" s="49">
        <v>2020</v>
      </c>
      <c r="B7" s="59" t="s">
        <v>58</v>
      </c>
      <c r="C7" s="49" t="s">
        <v>59</v>
      </c>
      <c r="D7" s="50">
        <v>924782474882</v>
      </c>
      <c r="E7" s="50">
        <v>23989286699</v>
      </c>
      <c r="F7" s="50">
        <v>990991744064</v>
      </c>
      <c r="G7" s="50"/>
      <c r="H7" s="50"/>
      <c r="I7" s="50">
        <v>547541424689</v>
      </c>
      <c r="J7" s="50">
        <v>443450319375</v>
      </c>
      <c r="K7" s="51">
        <v>8958380460</v>
      </c>
      <c r="L7" s="50">
        <v>185567699856</v>
      </c>
      <c r="M7" s="50">
        <v>179184782942</v>
      </c>
      <c r="N7" s="50">
        <v>91760615438</v>
      </c>
      <c r="O7" s="50">
        <v>-88526593736</v>
      </c>
      <c r="P7" s="50"/>
      <c r="Q7" s="52">
        <v>990</v>
      </c>
      <c r="R7" s="51">
        <f t="shared" si="0"/>
        <v>1.6889726204866975</v>
      </c>
      <c r="S7" s="51">
        <f t="shared" si="1"/>
        <v>1.2347300267157464</v>
      </c>
      <c r="T7" s="51">
        <f t="shared" si="2"/>
        <v>-8.9331313067208359E-2</v>
      </c>
      <c r="U7" s="51">
        <f t="shared" si="3"/>
        <v>-0.19963136763723521</v>
      </c>
      <c r="V7" s="51">
        <f t="shared" si="4"/>
        <v>-0.47705820465898097</v>
      </c>
      <c r="W7" s="58">
        <f t="shared" si="9"/>
        <v>3.4396702222170804E-2</v>
      </c>
      <c r="X7" s="51">
        <f t="shared" si="5"/>
        <v>0</v>
      </c>
      <c r="Y7" s="58">
        <f t="shared" si="6"/>
        <v>0</v>
      </c>
      <c r="Z7" s="51">
        <f t="shared" si="7"/>
        <v>-100.18228739092937</v>
      </c>
      <c r="AA7" s="51">
        <f t="shared" si="8"/>
        <v>19.999527044877777</v>
      </c>
      <c r="AB7" s="52">
        <v>1</v>
      </c>
      <c r="AC7">
        <v>0</v>
      </c>
    </row>
    <row r="8" spans="1:29">
      <c r="A8" s="49">
        <v>2018</v>
      </c>
      <c r="B8" s="59" t="s">
        <v>60</v>
      </c>
      <c r="C8" s="49" t="s">
        <v>61</v>
      </c>
      <c r="D8" s="50">
        <v>1210842541630</v>
      </c>
      <c r="E8" s="50">
        <v>59951428986</v>
      </c>
      <c r="F8" s="50">
        <v>1478007061719</v>
      </c>
      <c r="G8" s="50"/>
      <c r="H8" s="50"/>
      <c r="I8" s="50">
        <v>1072221723281</v>
      </c>
      <c r="J8" s="50">
        <v>405785338438</v>
      </c>
      <c r="K8" s="51">
        <v>214559422</v>
      </c>
      <c r="L8" s="50">
        <v>902165344517</v>
      </c>
      <c r="M8" s="50">
        <v>590399043504</v>
      </c>
      <c r="N8" s="50">
        <v>31849926816</v>
      </c>
      <c r="O8" s="50">
        <v>3573526494</v>
      </c>
      <c r="P8" s="50">
        <v>21297309695</v>
      </c>
      <c r="Q8" s="52">
        <v>2350</v>
      </c>
      <c r="R8" s="51">
        <f t="shared" si="0"/>
        <v>1.1292837249415355</v>
      </c>
      <c r="S8" s="51">
        <f t="shared" si="1"/>
        <v>2.6423372697700978</v>
      </c>
      <c r="T8" s="51">
        <f t="shared" si="2"/>
        <v>2.4178006902374339E-3</v>
      </c>
      <c r="U8" s="51">
        <f t="shared" si="3"/>
        <v>8.8064455649276736E-3</v>
      </c>
      <c r="V8" s="51">
        <f t="shared" si="4"/>
        <v>3.9610549393395171E-3</v>
      </c>
      <c r="W8" s="58">
        <f t="shared" si="9"/>
        <v>0.34557556761384245</v>
      </c>
      <c r="X8" s="51">
        <f t="shared" si="5"/>
        <v>4.2238578441900092E-2</v>
      </c>
      <c r="Y8" s="58">
        <f t="shared" si="6"/>
        <v>5.9597458507047518</v>
      </c>
      <c r="Z8" s="51">
        <f t="shared" si="7"/>
        <v>141.09721658607634</v>
      </c>
      <c r="AA8" s="51">
        <f t="shared" si="8"/>
        <v>1.2425649572280912</v>
      </c>
      <c r="AB8" s="52">
        <v>1</v>
      </c>
      <c r="AC8">
        <v>0</v>
      </c>
    </row>
    <row r="9" spans="1:29">
      <c r="A9" s="49">
        <v>2019</v>
      </c>
      <c r="B9" s="59" t="s">
        <v>60</v>
      </c>
      <c r="C9" s="49" t="s">
        <v>61</v>
      </c>
      <c r="D9" s="50">
        <v>1254061746961</v>
      </c>
      <c r="E9" s="50">
        <v>67512713635</v>
      </c>
      <c r="F9" s="50">
        <v>1548001829554</v>
      </c>
      <c r="G9" s="50"/>
      <c r="H9" s="50"/>
      <c r="I9" s="50">
        <v>1104712550189</v>
      </c>
      <c r="J9" s="50">
        <v>443289279365</v>
      </c>
      <c r="K9" s="51">
        <v>234064634</v>
      </c>
      <c r="L9" s="50">
        <v>1177500392010</v>
      </c>
      <c r="M9" s="50">
        <v>842624761795</v>
      </c>
      <c r="N9" s="50">
        <v>40486294000</v>
      </c>
      <c r="O9" s="50">
        <v>2089220151</v>
      </c>
      <c r="P9" s="50">
        <v>18237550870</v>
      </c>
      <c r="Q9" s="52">
        <v>2010</v>
      </c>
      <c r="R9" s="51">
        <f t="shared" si="0"/>
        <v>1.135192812597674</v>
      </c>
      <c r="S9" s="51">
        <f t="shared" si="1"/>
        <v>2.4920804576448838</v>
      </c>
      <c r="T9" s="51">
        <f t="shared" si="2"/>
        <v>1.3496238254459506E-3</v>
      </c>
      <c r="U9" s="51">
        <f t="shared" si="3"/>
        <v>4.7129949860117348E-3</v>
      </c>
      <c r="V9" s="51">
        <f t="shared" si="4"/>
        <v>1.7742840386096935E-3</v>
      </c>
      <c r="W9" s="58">
        <f t="shared" si="9"/>
        <v>0.2843953449929349</v>
      </c>
      <c r="X9" s="51">
        <f t="shared" si="5"/>
        <v>3.8764542246202072E-2</v>
      </c>
      <c r="Y9" s="58">
        <f t="shared" si="6"/>
        <v>8.7293581106187599</v>
      </c>
      <c r="Z9" s="51">
        <f t="shared" si="7"/>
        <v>225.18924782283511</v>
      </c>
      <c r="AA9" s="51">
        <f t="shared" si="8"/>
        <v>1.0613157958927757</v>
      </c>
      <c r="AB9" s="52">
        <v>1</v>
      </c>
      <c r="AC9">
        <v>0</v>
      </c>
    </row>
    <row r="10" spans="1:29">
      <c r="A10" s="49">
        <v>2020</v>
      </c>
      <c r="B10" s="59" t="s">
        <v>60</v>
      </c>
      <c r="C10" s="49" t="s">
        <v>61</v>
      </c>
      <c r="D10" s="50">
        <v>1213949686630</v>
      </c>
      <c r="E10" s="50">
        <v>65757265183</v>
      </c>
      <c r="F10" s="50">
        <v>1516562973028</v>
      </c>
      <c r="G10" s="50"/>
      <c r="H10" s="50"/>
      <c r="I10" s="50">
        <v>1013381758085</v>
      </c>
      <c r="J10" s="50">
        <v>503181214943</v>
      </c>
      <c r="K10" s="51">
        <v>304283840</v>
      </c>
      <c r="L10" s="50">
        <v>1323139975825</v>
      </c>
      <c r="M10" s="50">
        <v>1014017867183</v>
      </c>
      <c r="N10" s="50">
        <v>25818453029</v>
      </c>
      <c r="O10" s="50">
        <v>16434884891</v>
      </c>
      <c r="P10" s="50">
        <v>16272822539</v>
      </c>
      <c r="Q10" s="52">
        <v>1680</v>
      </c>
      <c r="R10" s="51">
        <f t="shared" si="0"/>
        <v>1.1979194187627924</v>
      </c>
      <c r="S10" s="51">
        <f t="shared" si="1"/>
        <v>2.0139499011301427</v>
      </c>
      <c r="T10" s="51">
        <f t="shared" si="2"/>
        <v>1.083692875488433E-2</v>
      </c>
      <c r="U10" s="51">
        <f t="shared" si="3"/>
        <v>3.2661960349338028E-2</v>
      </c>
      <c r="V10" s="51">
        <f t="shared" si="4"/>
        <v>1.2421123381713695E-2</v>
      </c>
      <c r="W10" s="58">
        <f t="shared" si="9"/>
        <v>0.2336276692488693</v>
      </c>
      <c r="X10" s="51">
        <f t="shared" si="5"/>
        <v>3.1832791029132224E-2</v>
      </c>
      <c r="Y10" s="58">
        <f t="shared" si="6"/>
        <v>0.99013912460751408</v>
      </c>
      <c r="Z10" s="51">
        <f t="shared" si="7"/>
        <v>31.10437673219965</v>
      </c>
      <c r="AA10" s="51">
        <f t="shared" si="8"/>
        <v>1.0159299195179772</v>
      </c>
      <c r="AB10" s="52">
        <v>1</v>
      </c>
      <c r="AC10">
        <v>0</v>
      </c>
    </row>
    <row r="11" spans="1:29">
      <c r="A11" s="49">
        <v>2018</v>
      </c>
      <c r="B11" s="59" t="s">
        <v>62</v>
      </c>
      <c r="C11" s="49" t="s">
        <v>63</v>
      </c>
      <c r="D11" s="50">
        <v>2315732267904</v>
      </c>
      <c r="E11" s="50">
        <v>41712464138</v>
      </c>
      <c r="F11" s="50">
        <v>2485186649117</v>
      </c>
      <c r="G11" s="50"/>
      <c r="H11" s="50"/>
      <c r="I11" s="50">
        <v>1605367155250</v>
      </c>
      <c r="J11" s="50">
        <v>879819493867</v>
      </c>
      <c r="K11" s="51">
        <v>150000000</v>
      </c>
      <c r="L11" s="50">
        <v>1132421357486</v>
      </c>
      <c r="M11" s="50">
        <v>1054327720740</v>
      </c>
      <c r="N11" s="50">
        <v>140384182320</v>
      </c>
      <c r="O11" s="50">
        <v>68687123783</v>
      </c>
      <c r="P11" s="50">
        <v>36732360000</v>
      </c>
      <c r="Q11" s="52">
        <v>4300</v>
      </c>
      <c r="R11" s="51">
        <f t="shared" si="0"/>
        <v>1.4424938621242545</v>
      </c>
      <c r="S11" s="51">
        <f t="shared" si="1"/>
        <v>1.8246551326045966</v>
      </c>
      <c r="T11" s="51">
        <f t="shared" si="2"/>
        <v>2.7638617730143086E-2</v>
      </c>
      <c r="U11" s="51">
        <f t="shared" si="3"/>
        <v>7.8069563429545075E-2</v>
      </c>
      <c r="V11" s="51">
        <f t="shared" si="4"/>
        <v>6.0655093909114277E-2</v>
      </c>
      <c r="W11" s="58">
        <f t="shared" si="9"/>
        <v>6.8961642439674189E-2</v>
      </c>
      <c r="X11" s="51">
        <f t="shared" si="5"/>
        <v>5.6949395348837209E-2</v>
      </c>
      <c r="Y11" s="58">
        <f t="shared" si="6"/>
        <v>0.53477796094719032</v>
      </c>
      <c r="Z11" s="51">
        <f t="shared" si="7"/>
        <v>9.3904063014447683</v>
      </c>
      <c r="AA11" s="51">
        <f t="shared" si="8"/>
        <v>0.7331049203798421</v>
      </c>
      <c r="AB11" s="52">
        <v>1</v>
      </c>
      <c r="AC11">
        <v>0</v>
      </c>
    </row>
    <row r="12" spans="1:29">
      <c r="A12" s="49">
        <v>2019</v>
      </c>
      <c r="B12" s="59" t="s">
        <v>62</v>
      </c>
      <c r="C12" s="49" t="s">
        <v>63</v>
      </c>
      <c r="D12" s="50">
        <v>2235292189141</v>
      </c>
      <c r="E12" s="50">
        <v>59931111698</v>
      </c>
      <c r="F12" s="50">
        <v>2425843273596</v>
      </c>
      <c r="G12" s="50"/>
      <c r="H12" s="50"/>
      <c r="I12" s="50">
        <v>1575194310012</v>
      </c>
      <c r="J12" s="50">
        <v>848511733189</v>
      </c>
      <c r="K12" s="51">
        <v>150000000</v>
      </c>
      <c r="L12" s="50">
        <v>1167490752228</v>
      </c>
      <c r="M12" s="50">
        <v>1079716721795</v>
      </c>
      <c r="N12" s="50">
        <v>190106898267</v>
      </c>
      <c r="O12" s="50">
        <v>80002543527</v>
      </c>
      <c r="P12" s="50">
        <v>48726600000</v>
      </c>
      <c r="Q12" s="52">
        <v>3600</v>
      </c>
      <c r="R12" s="51">
        <f t="shared" si="0"/>
        <v>1.4190580647310562</v>
      </c>
      <c r="S12" s="51">
        <f t="shared" si="1"/>
        <v>1.8564201865445937</v>
      </c>
      <c r="T12" s="51">
        <f t="shared" si="2"/>
        <v>3.2979271331245792E-2</v>
      </c>
      <c r="U12" s="51">
        <f t="shared" si="3"/>
        <v>9.4285724519474617E-2</v>
      </c>
      <c r="V12" s="51">
        <f t="shared" si="4"/>
        <v>6.852520533830854E-2</v>
      </c>
      <c r="W12" s="58">
        <f t="shared" si="9"/>
        <v>7.5181777898878421E-2</v>
      </c>
      <c r="X12" s="51">
        <f t="shared" si="5"/>
        <v>9.0234444444444437E-2</v>
      </c>
      <c r="Y12" s="58">
        <f t="shared" si="6"/>
        <v>0.60906313539338031</v>
      </c>
      <c r="Z12" s="51">
        <f t="shared" si="7"/>
        <v>6.7497853967324897</v>
      </c>
      <c r="AA12" s="51">
        <f t="shared" si="8"/>
        <v>0.63640840648189223</v>
      </c>
      <c r="AB12" s="52">
        <v>1</v>
      </c>
      <c r="AC12">
        <v>0</v>
      </c>
    </row>
    <row r="13" spans="1:29">
      <c r="A13" s="49">
        <v>2020</v>
      </c>
      <c r="B13" s="59" t="s">
        <v>62</v>
      </c>
      <c r="C13" s="49" t="s">
        <v>63</v>
      </c>
      <c r="D13" s="50">
        <v>2624614720238</v>
      </c>
      <c r="E13" s="50">
        <v>61211166120</v>
      </c>
      <c r="F13" s="50">
        <v>2815578393095</v>
      </c>
      <c r="G13" s="50"/>
      <c r="H13" s="50"/>
      <c r="I13" s="50">
        <v>1954498917680</v>
      </c>
      <c r="J13" s="50">
        <v>861079475415</v>
      </c>
      <c r="K13" s="51">
        <v>150000000</v>
      </c>
      <c r="L13" s="50">
        <v>1220142637207</v>
      </c>
      <c r="M13" s="50">
        <v>1108228300836</v>
      </c>
      <c r="N13" s="50">
        <v>206201182748</v>
      </c>
      <c r="O13" s="50">
        <v>92908485040</v>
      </c>
      <c r="P13" s="50">
        <v>32084592000</v>
      </c>
      <c r="Q13" s="52">
        <v>3390</v>
      </c>
      <c r="R13" s="51">
        <f t="shared" si="0"/>
        <v>1.3428581087951845</v>
      </c>
      <c r="S13" s="51">
        <f t="shared" si="1"/>
        <v>2.2698240679096702</v>
      </c>
      <c r="T13" s="51">
        <f t="shared" si="2"/>
        <v>3.2998010379626179E-2</v>
      </c>
      <c r="U13" s="51">
        <f t="shared" si="3"/>
        <v>0.10789768853243478</v>
      </c>
      <c r="V13" s="51">
        <f t="shared" si="4"/>
        <v>7.6145593315773835E-2</v>
      </c>
      <c r="W13" s="58">
        <f t="shared" si="9"/>
        <v>9.1722338813747625E-2</v>
      </c>
      <c r="X13" s="51">
        <f t="shared" si="5"/>
        <v>6.309654277286135E-2</v>
      </c>
      <c r="Y13" s="58">
        <f t="shared" si="6"/>
        <v>0.34533543396156535</v>
      </c>
      <c r="Z13" s="51">
        <f t="shared" si="7"/>
        <v>5.4731276673069731</v>
      </c>
      <c r="AA13" s="51">
        <f t="shared" si="8"/>
        <v>0.59053782434533919</v>
      </c>
      <c r="AB13" s="52">
        <v>1</v>
      </c>
      <c r="AC13">
        <v>0</v>
      </c>
    </row>
    <row r="14" spans="1:29">
      <c r="A14" s="49">
        <v>2018</v>
      </c>
      <c r="B14" s="59" t="s">
        <v>64</v>
      </c>
      <c r="C14" s="49" t="s">
        <v>65</v>
      </c>
      <c r="D14" s="50">
        <v>2614558188655</v>
      </c>
      <c r="E14" s="50">
        <v>56864203151</v>
      </c>
      <c r="F14" s="50">
        <v>3426618296227</v>
      </c>
      <c r="G14" s="50"/>
      <c r="H14" s="50"/>
      <c r="I14" s="50">
        <v>2016141327384</v>
      </c>
      <c r="J14" s="50">
        <v>1410476968843</v>
      </c>
      <c r="K14" s="51">
        <v>517791681</v>
      </c>
      <c r="L14" s="50">
        <v>1216973600364</v>
      </c>
      <c r="M14" s="50">
        <v>1045948505140</v>
      </c>
      <c r="N14" s="50">
        <v>94173689178</v>
      </c>
      <c r="O14" s="50">
        <v>140867155045</v>
      </c>
      <c r="P14" s="50">
        <v>28291292960</v>
      </c>
      <c r="Q14" s="52">
        <v>5100</v>
      </c>
      <c r="R14" s="51">
        <f t="shared" si="0"/>
        <v>1.2968129531115076</v>
      </c>
      <c r="S14" s="51">
        <f t="shared" si="1"/>
        <v>1.429403933506139</v>
      </c>
      <c r="T14" s="51">
        <f t="shared" si="2"/>
        <v>4.1109672238692822E-2</v>
      </c>
      <c r="U14" s="51">
        <f t="shared" si="3"/>
        <v>9.9871999441828466E-2</v>
      </c>
      <c r="V14" s="51">
        <f t="shared" si="4"/>
        <v>0.11575202206758328</v>
      </c>
      <c r="W14" s="58">
        <f t="shared" si="9"/>
        <v>0.14053311852684885</v>
      </c>
      <c r="X14" s="51">
        <f t="shared" si="5"/>
        <v>1.0713405697025941E-2</v>
      </c>
      <c r="Y14" s="58">
        <f t="shared" si="6"/>
        <v>0.20083668865863266</v>
      </c>
      <c r="Z14" s="51">
        <f t="shared" si="7"/>
        <v>18.746297334225403</v>
      </c>
      <c r="AA14" s="51">
        <f t="shared" si="8"/>
        <v>1.8722301969001098</v>
      </c>
      <c r="AB14" s="52">
        <v>1</v>
      </c>
      <c r="AC14">
        <v>0</v>
      </c>
    </row>
    <row r="15" spans="1:29">
      <c r="A15" s="49">
        <v>2019</v>
      </c>
      <c r="B15" s="59" t="s">
        <v>64</v>
      </c>
      <c r="C15" s="49" t="s">
        <v>65</v>
      </c>
      <c r="D15" s="50">
        <v>3050314188997</v>
      </c>
      <c r="E15" s="50">
        <v>51455786161</v>
      </c>
      <c r="F15" s="50">
        <v>3915599148016</v>
      </c>
      <c r="G15" s="50"/>
      <c r="H15" s="50"/>
      <c r="I15" s="50">
        <v>2320512877462</v>
      </c>
      <c r="J15" s="50">
        <v>1595086270554</v>
      </c>
      <c r="K15" s="51">
        <v>517791681</v>
      </c>
      <c r="L15" s="50">
        <v>1470949804896</v>
      </c>
      <c r="M15" s="50">
        <v>1309841112268</v>
      </c>
      <c r="N15" s="50">
        <v>97129177369</v>
      </c>
      <c r="O15" s="50">
        <v>179282076899</v>
      </c>
      <c r="P15" s="50">
        <v>25754804480</v>
      </c>
      <c r="Q15" s="52">
        <v>4280</v>
      </c>
      <c r="R15" s="51">
        <f t="shared" si="0"/>
        <v>1.3145000049873461</v>
      </c>
      <c r="S15" s="51">
        <f t="shared" si="1"/>
        <v>1.4547883210455115</v>
      </c>
      <c r="T15" s="51">
        <f t="shared" si="2"/>
        <v>4.578662680265437E-2</v>
      </c>
      <c r="U15" s="51">
        <f t="shared" si="3"/>
        <v>0.11239647673522533</v>
      </c>
      <c r="V15" s="51">
        <f t="shared" si="4"/>
        <v>0.12188184552747244</v>
      </c>
      <c r="W15" s="58">
        <f t="shared" si="9"/>
        <v>0.10952698188052094</v>
      </c>
      <c r="X15" s="51">
        <f t="shared" si="5"/>
        <v>1.1621425957677737E-2</v>
      </c>
      <c r="Y15" s="58">
        <f t="shared" si="6"/>
        <v>0.14365521041185381</v>
      </c>
      <c r="Z15" s="51">
        <f t="shared" si="7"/>
        <v>12.361237849383487</v>
      </c>
      <c r="AA15" s="51">
        <f t="shared" si="8"/>
        <v>1.3893595823568181</v>
      </c>
      <c r="AB15" s="52">
        <v>1</v>
      </c>
      <c r="AC15">
        <v>0</v>
      </c>
    </row>
    <row r="16" spans="1:29">
      <c r="A16" s="49">
        <v>2020</v>
      </c>
      <c r="B16" s="59" t="s">
        <v>64</v>
      </c>
      <c r="C16" s="49" t="s">
        <v>65</v>
      </c>
      <c r="D16" s="50">
        <v>3311255955993</v>
      </c>
      <c r="E16" s="50">
        <v>47281288654</v>
      </c>
      <c r="F16" s="50">
        <v>4203345266072</v>
      </c>
      <c r="G16" s="50"/>
      <c r="H16" s="50"/>
      <c r="I16" s="50">
        <v>2447545581054</v>
      </c>
      <c r="J16" s="50">
        <v>1755799685018</v>
      </c>
      <c r="K16" s="51">
        <v>517791681</v>
      </c>
      <c r="L16" s="50">
        <v>1526256873467</v>
      </c>
      <c r="M16" s="50">
        <v>1437653868089</v>
      </c>
      <c r="N16" s="50">
        <v>92126420155</v>
      </c>
      <c r="O16" s="50">
        <v>105182858790</v>
      </c>
      <c r="P16" s="50">
        <v>25718451237</v>
      </c>
      <c r="Q16" s="52">
        <v>4700</v>
      </c>
      <c r="R16" s="51">
        <f t="shared" si="0"/>
        <v>1.3528883717732667</v>
      </c>
      <c r="S16" s="51">
        <f t="shared" si="1"/>
        <v>1.39397768546069</v>
      </c>
      <c r="T16" s="51">
        <f t="shared" si="2"/>
        <v>2.5023606706544174E-2</v>
      </c>
      <c r="U16" s="51">
        <f t="shared" si="3"/>
        <v>5.9905956065211215E-2</v>
      </c>
      <c r="V16" s="51">
        <f t="shared" si="4"/>
        <v>6.8915567633821506E-2</v>
      </c>
      <c r="W16" s="58">
        <f t="shared" si="9"/>
        <v>5.8052485737038508E-2</v>
      </c>
      <c r="X16" s="51">
        <f t="shared" si="5"/>
        <v>1.0567977629384434E-2</v>
      </c>
      <c r="Y16" s="58">
        <f t="shared" si="6"/>
        <v>0.244511810506572</v>
      </c>
      <c r="Z16" s="51">
        <f t="shared" si="7"/>
        <v>23.137048457285044</v>
      </c>
      <c r="AA16" s="51">
        <f t="shared" si="8"/>
        <v>1.3860470083607808</v>
      </c>
      <c r="AB16" s="52">
        <v>1</v>
      </c>
      <c r="AC16">
        <v>0</v>
      </c>
    </row>
    <row r="17" spans="1:29">
      <c r="A17" s="49">
        <v>2018</v>
      </c>
      <c r="B17" s="59" t="s">
        <v>66</v>
      </c>
      <c r="C17" s="49" t="s">
        <v>67</v>
      </c>
      <c r="D17" s="50">
        <v>256222710742</v>
      </c>
      <c r="E17" s="50">
        <v>1162886570</v>
      </c>
      <c r="F17" s="50">
        <v>262118630829</v>
      </c>
      <c r="G17" s="50"/>
      <c r="H17" s="50"/>
      <c r="I17" s="50">
        <v>82390315351</v>
      </c>
      <c r="J17" s="50">
        <v>179728315478</v>
      </c>
      <c r="K17" s="51">
        <v>1453582700</v>
      </c>
      <c r="L17" s="50">
        <v>25396161153</v>
      </c>
      <c r="M17" s="50">
        <v>13254779808</v>
      </c>
      <c r="N17" s="50">
        <v>13406900449</v>
      </c>
      <c r="O17" s="50">
        <v>3947657923</v>
      </c>
      <c r="P17" s="50">
        <v>2325732322</v>
      </c>
      <c r="Q17" s="52">
        <v>126</v>
      </c>
      <c r="R17" s="51">
        <f t="shared" si="0"/>
        <v>3.1098644258179808</v>
      </c>
      <c r="S17" s="51">
        <f t="shared" si="1"/>
        <v>0.45841588806904021</v>
      </c>
      <c r="T17" s="51">
        <f t="shared" si="2"/>
        <v>1.5060577382518677E-2</v>
      </c>
      <c r="U17" s="51">
        <f t="shared" si="3"/>
        <v>2.1964585338158475E-2</v>
      </c>
      <c r="V17" s="51">
        <f t="shared" si="4"/>
        <v>0.15544309627022787</v>
      </c>
      <c r="W17" s="58">
        <f t="shared" si="9"/>
        <v>0.47807939443500347</v>
      </c>
      <c r="X17" s="51">
        <f t="shared" si="5"/>
        <v>1.2698412709332625E-2</v>
      </c>
      <c r="Y17" s="58">
        <f t="shared" si="6"/>
        <v>0.58914231358541147</v>
      </c>
      <c r="Z17" s="51">
        <f t="shared" si="7"/>
        <v>46.394957154954078</v>
      </c>
      <c r="AA17" s="51">
        <f t="shared" si="8"/>
        <v>1.0190459956901952</v>
      </c>
      <c r="AB17" s="52">
        <v>1</v>
      </c>
      <c r="AC17">
        <v>2</v>
      </c>
    </row>
    <row r="18" spans="1:29">
      <c r="A18" s="49">
        <v>2019</v>
      </c>
      <c r="B18" s="59" t="s">
        <v>66</v>
      </c>
      <c r="C18" s="49" t="s">
        <v>67</v>
      </c>
      <c r="D18" s="50">
        <v>278787602299</v>
      </c>
      <c r="E18" s="50">
        <v>2050262917</v>
      </c>
      <c r="F18" s="50">
        <v>284170955431</v>
      </c>
      <c r="G18" s="50"/>
      <c r="H18" s="50"/>
      <c r="I18" s="50">
        <v>97838690688</v>
      </c>
      <c r="J18" s="50">
        <v>186332264743</v>
      </c>
      <c r="K18" s="51">
        <v>1456606201</v>
      </c>
      <c r="L18" s="50">
        <v>26117484368</v>
      </c>
      <c r="M18" s="50">
        <v>11356539881</v>
      </c>
      <c r="N18" s="50">
        <v>15315108957</v>
      </c>
      <c r="O18" s="50">
        <v>21806030031</v>
      </c>
      <c r="P18" s="50">
        <v>12646169490</v>
      </c>
      <c r="Q18" s="52">
        <v>123</v>
      </c>
      <c r="R18" s="51">
        <f t="shared" si="0"/>
        <v>2.8494617041435282</v>
      </c>
      <c r="S18" s="51">
        <f t="shared" si="1"/>
        <v>0.52507648540066132</v>
      </c>
      <c r="T18" s="51">
        <f t="shared" si="2"/>
        <v>7.6735604446017208E-2</v>
      </c>
      <c r="U18" s="51">
        <f t="shared" si="3"/>
        <v>0.11702766593362728</v>
      </c>
      <c r="V18" s="51">
        <f t="shared" si="4"/>
        <v>0.83492076509931656</v>
      </c>
      <c r="W18" s="58">
        <f t="shared" si="9"/>
        <v>0.56517481848617834</v>
      </c>
      <c r="X18" s="51">
        <f t="shared" si="5"/>
        <v>7.0584888370635854E-2</v>
      </c>
      <c r="Y18" s="58">
        <f t="shared" si="6"/>
        <v>0.57993910271708737</v>
      </c>
      <c r="Z18" s="51">
        <f t="shared" si="7"/>
        <v>8.2161935239150825</v>
      </c>
      <c r="AA18" s="51">
        <f t="shared" si="8"/>
        <v>0.96152195096276605</v>
      </c>
      <c r="AB18" s="52">
        <v>1</v>
      </c>
      <c r="AC18">
        <v>2</v>
      </c>
    </row>
    <row r="19" spans="1:29">
      <c r="A19" s="49">
        <v>2020</v>
      </c>
      <c r="B19" s="59" t="s">
        <v>66</v>
      </c>
      <c r="C19" s="49" t="s">
        <v>67</v>
      </c>
      <c r="D19" s="50">
        <v>317224915081</v>
      </c>
      <c r="E19" s="50">
        <v>3518827068</v>
      </c>
      <c r="F19" s="50">
        <v>322342387320</v>
      </c>
      <c r="G19" s="50"/>
      <c r="H19" s="50"/>
      <c r="I19" s="50">
        <v>138095296876</v>
      </c>
      <c r="J19" s="50">
        <v>184247090444</v>
      </c>
      <c r="K19" s="51">
        <v>1460573616</v>
      </c>
      <c r="L19" s="50">
        <v>26509968632</v>
      </c>
      <c r="M19" s="50">
        <v>17239784399</v>
      </c>
      <c r="N19" s="50">
        <v>13577579905</v>
      </c>
      <c r="O19" s="50">
        <v>6211645756</v>
      </c>
      <c r="P19" s="50">
        <v>13874395982</v>
      </c>
      <c r="Q19" s="52">
        <v>91</v>
      </c>
      <c r="R19" s="51">
        <f t="shared" si="0"/>
        <v>2.2971449590049833</v>
      </c>
      <c r="S19" s="51">
        <f t="shared" si="1"/>
        <v>0.74951141178521152</v>
      </c>
      <c r="T19" s="51">
        <f t="shared" si="2"/>
        <v>1.927033489962179E-2</v>
      </c>
      <c r="U19" s="51">
        <f t="shared" si="3"/>
        <v>3.3713670815811149E-2</v>
      </c>
      <c r="V19" s="51">
        <f t="shared" si="4"/>
        <v>0.23431358377776296</v>
      </c>
      <c r="W19" s="58">
        <f t="shared" si="9"/>
        <v>0.34968672961046149</v>
      </c>
      <c r="X19" s="51">
        <f t="shared" si="5"/>
        <v>0.10438767908846569</v>
      </c>
      <c r="Y19" s="58">
        <f t="shared" si="6"/>
        <v>2.2336103066724848</v>
      </c>
      <c r="Z19" s="51">
        <f t="shared" si="7"/>
        <v>21.397259965704976</v>
      </c>
      <c r="AA19" s="51">
        <f t="shared" si="8"/>
        <v>0.72138017884411199</v>
      </c>
      <c r="AB19" s="52">
        <v>1</v>
      </c>
      <c r="AC19">
        <v>2</v>
      </c>
    </row>
    <row r="20" spans="1:29">
      <c r="A20" s="49">
        <v>2018</v>
      </c>
      <c r="B20" s="59" t="s">
        <v>68</v>
      </c>
      <c r="C20" s="49" t="s">
        <v>69</v>
      </c>
      <c r="D20" s="50">
        <v>22966954769000</v>
      </c>
      <c r="E20" s="50">
        <v>259140701000</v>
      </c>
      <c r="F20" s="50">
        <v>23313671252000</v>
      </c>
      <c r="G20" s="50"/>
      <c r="H20" s="50"/>
      <c r="I20" s="50">
        <v>18889385436000</v>
      </c>
      <c r="J20" s="50">
        <v>4424285816000</v>
      </c>
      <c r="K20" s="51">
        <v>21343290230</v>
      </c>
      <c r="L20" s="50">
        <v>1663667161000</v>
      </c>
      <c r="M20" s="50">
        <v>987737580000</v>
      </c>
      <c r="N20" s="50">
        <v>281302960000</v>
      </c>
      <c r="O20" s="50">
        <v>142660203000</v>
      </c>
      <c r="P20" s="50">
        <v>53388294000</v>
      </c>
      <c r="Q20" s="52">
        <v>310</v>
      </c>
      <c r="R20" s="51">
        <f t="shared" si="0"/>
        <v>1.2158656429991013</v>
      </c>
      <c r="S20" s="51">
        <f t="shared" si="1"/>
        <v>4.2694767520869403</v>
      </c>
      <c r="T20" s="51">
        <f t="shared" si="2"/>
        <v>6.1191650794922168E-3</v>
      </c>
      <c r="U20" s="51">
        <f t="shared" si="3"/>
        <v>3.2244798128566475E-2</v>
      </c>
      <c r="V20" s="51">
        <f t="shared" si="4"/>
        <v>8.5750447171325753E-2</v>
      </c>
      <c r="W20" s="58">
        <f t="shared" si="9"/>
        <v>0.40628894820146061</v>
      </c>
      <c r="X20" s="51">
        <f t="shared" si="5"/>
        <v>8.0690606448172927E-3</v>
      </c>
      <c r="Y20" s="58">
        <f t="shared" si="6"/>
        <v>0.37423396909087531</v>
      </c>
      <c r="Z20" s="51">
        <f t="shared" si="7"/>
        <v>46.378876744623732</v>
      </c>
      <c r="AA20" s="51">
        <f t="shared" si="8"/>
        <v>1.4954775180600584</v>
      </c>
      <c r="AB20" s="52">
        <v>1</v>
      </c>
      <c r="AC20">
        <v>2</v>
      </c>
    </row>
    <row r="21" spans="1:29">
      <c r="A21" s="49">
        <v>2019</v>
      </c>
      <c r="B21" s="59" t="s">
        <v>68</v>
      </c>
      <c r="C21" s="49" t="s">
        <v>69</v>
      </c>
      <c r="D21" s="50">
        <v>26693158085000</v>
      </c>
      <c r="E21" s="50">
        <v>262120871000</v>
      </c>
      <c r="F21" s="50">
        <v>27067922912000</v>
      </c>
      <c r="G21" s="50"/>
      <c r="H21" s="50"/>
      <c r="I21" s="50">
        <v>22586218693000</v>
      </c>
      <c r="J21" s="50">
        <v>4481704219000</v>
      </c>
      <c r="K21" s="51">
        <v>21343290230</v>
      </c>
      <c r="L21" s="50">
        <v>2054837678000</v>
      </c>
      <c r="M21" s="50">
        <v>1361627112000</v>
      </c>
      <c r="N21" s="50">
        <v>312040493000</v>
      </c>
      <c r="O21" s="50">
        <v>86365196000</v>
      </c>
      <c r="P21" s="50">
        <v>40842525000</v>
      </c>
      <c r="Q21" s="52">
        <v>198</v>
      </c>
      <c r="R21" s="51">
        <f t="shared" si="0"/>
        <v>1.1818338628445513</v>
      </c>
      <c r="S21" s="51">
        <f t="shared" si="1"/>
        <v>5.0396495594793294</v>
      </c>
      <c r="T21" s="51">
        <f t="shared" si="2"/>
        <v>3.1906842752870332E-3</v>
      </c>
      <c r="U21" s="51">
        <f t="shared" si="3"/>
        <v>1.9270614877674952E-2</v>
      </c>
      <c r="V21" s="51">
        <f t="shared" si="4"/>
        <v>4.2030179281149035E-2</v>
      </c>
      <c r="W21" s="58">
        <f t="shared" si="9"/>
        <v>0.33735538987912211</v>
      </c>
      <c r="X21" s="51">
        <f t="shared" si="5"/>
        <v>9.664647604235797E-3</v>
      </c>
      <c r="Y21" s="58">
        <f t="shared" si="6"/>
        <v>0.47290490720359157</v>
      </c>
      <c r="Z21" s="51">
        <f t="shared" si="7"/>
        <v>48.931417530042999</v>
      </c>
      <c r="AA21" s="51">
        <f t="shared" si="8"/>
        <v>0.94293850264017165</v>
      </c>
      <c r="AB21" s="52">
        <v>1</v>
      </c>
      <c r="AC21">
        <v>0</v>
      </c>
    </row>
    <row r="22" spans="1:29">
      <c r="A22" s="49">
        <v>2020</v>
      </c>
      <c r="B22" s="59" t="s">
        <v>68</v>
      </c>
      <c r="C22" s="49" t="s">
        <v>69</v>
      </c>
      <c r="D22" s="50">
        <v>27536353583000</v>
      </c>
      <c r="E22" s="50">
        <v>277438069000</v>
      </c>
      <c r="F22" s="50">
        <v>28015492262000</v>
      </c>
      <c r="G22" s="50"/>
      <c r="H22" s="50"/>
      <c r="I22" s="50">
        <v>23727802051000</v>
      </c>
      <c r="J22" s="50">
        <v>4287690211000</v>
      </c>
      <c r="K22" s="51">
        <v>21343290230</v>
      </c>
      <c r="L22" s="50">
        <v>1931524786000</v>
      </c>
      <c r="M22" s="50">
        <v>1306889194000</v>
      </c>
      <c r="N22" s="50">
        <v>315820017000</v>
      </c>
      <c r="O22" s="50">
        <v>117206028000</v>
      </c>
      <c r="P22" s="50">
        <v>0</v>
      </c>
      <c r="Q22" s="52">
        <v>1035</v>
      </c>
      <c r="R22" s="51">
        <f t="shared" si="0"/>
        <v>1.1605100853342414</v>
      </c>
      <c r="S22" s="51">
        <f t="shared" si="1"/>
        <v>5.5339357284084345</v>
      </c>
      <c r="T22" s="51">
        <f t="shared" si="2"/>
        <v>4.183614797980093E-3</v>
      </c>
      <c r="U22" s="51">
        <f t="shared" si="3"/>
        <v>2.7335470202420369E-2</v>
      </c>
      <c r="V22" s="51">
        <f t="shared" si="4"/>
        <v>6.0680571561663614E-2</v>
      </c>
      <c r="W22" s="58">
        <f t="shared" si="9"/>
        <v>0.32338989203113438</v>
      </c>
      <c r="X22" s="51">
        <f t="shared" si="5"/>
        <v>0</v>
      </c>
      <c r="Y22" s="58">
        <f t="shared" si="6"/>
        <v>0</v>
      </c>
      <c r="Z22" s="51">
        <f t="shared" si="7"/>
        <v>188.47414049429267</v>
      </c>
      <c r="AA22" s="51">
        <f t="shared" si="8"/>
        <v>5.1520292514085275</v>
      </c>
      <c r="AB22" s="52">
        <v>1</v>
      </c>
      <c r="AC22">
        <v>0</v>
      </c>
    </row>
    <row r="23" spans="1:29">
      <c r="A23" s="49">
        <v>2018</v>
      </c>
      <c r="B23" s="59" t="s">
        <v>72</v>
      </c>
      <c r="C23" s="49" t="s">
        <v>73</v>
      </c>
      <c r="D23" s="50">
        <v>4035734000000</v>
      </c>
      <c r="E23" s="50">
        <v>15792000000</v>
      </c>
      <c r="F23" s="50">
        <v>4151151000000</v>
      </c>
      <c r="G23" s="50"/>
      <c r="H23" s="50"/>
      <c r="I23" s="50">
        <v>3618348000000</v>
      </c>
      <c r="J23" s="50">
        <v>532803000000</v>
      </c>
      <c r="K23" s="51">
        <v>5256176644</v>
      </c>
      <c r="L23" s="50">
        <v>133934000000</v>
      </c>
      <c r="M23" s="50">
        <v>171078000000</v>
      </c>
      <c r="N23" s="50">
        <v>171078000000</v>
      </c>
      <c r="O23" s="50">
        <v>-31122000000</v>
      </c>
      <c r="P23" s="50"/>
      <c r="Q23" s="52">
        <v>238</v>
      </c>
      <c r="R23" s="51">
        <f t="shared" si="0"/>
        <v>1.1153526415922403</v>
      </c>
      <c r="S23" s="51">
        <f t="shared" si="1"/>
        <v>6.7911554552057698</v>
      </c>
      <c r="T23" s="51">
        <f t="shared" si="2"/>
        <v>-7.4971977651499544E-3</v>
      </c>
      <c r="U23" s="51">
        <f t="shared" si="3"/>
        <v>-5.8411833266704578E-2</v>
      </c>
      <c r="V23" s="51">
        <f t="shared" si="4"/>
        <v>-0.23236818134304957</v>
      </c>
      <c r="W23" s="58">
        <f t="shared" si="9"/>
        <v>-0.27733062553197846</v>
      </c>
      <c r="X23" s="51">
        <f t="shared" si="5"/>
        <v>0</v>
      </c>
      <c r="Y23" s="58">
        <f t="shared" si="6"/>
        <v>0</v>
      </c>
      <c r="Z23" s="51">
        <f t="shared" si="7"/>
        <v>-40.195682837606839</v>
      </c>
      <c r="AA23" s="51">
        <f t="shared" si="8"/>
        <v>2.3479035239516293</v>
      </c>
      <c r="AB23" s="52">
        <v>1</v>
      </c>
      <c r="AC23">
        <v>0</v>
      </c>
    </row>
    <row r="24" spans="1:29">
      <c r="A24" s="49">
        <v>2019</v>
      </c>
      <c r="B24" s="59" t="s">
        <v>72</v>
      </c>
      <c r="C24" s="49" t="s">
        <v>73</v>
      </c>
      <c r="D24" s="50">
        <v>6083396000000</v>
      </c>
      <c r="E24" s="50">
        <v>134776000000</v>
      </c>
      <c r="F24" s="50">
        <v>6421844000000</v>
      </c>
      <c r="G24" s="50"/>
      <c r="H24" s="50"/>
      <c r="I24" s="50">
        <v>5219244000000</v>
      </c>
      <c r="J24" s="50">
        <v>1202600000000</v>
      </c>
      <c r="K24" s="51">
        <v>7108349644</v>
      </c>
      <c r="L24" s="50">
        <v>166231000000</v>
      </c>
      <c r="M24" s="50">
        <v>223544000000</v>
      </c>
      <c r="N24" s="50">
        <v>212614000000</v>
      </c>
      <c r="O24" s="50">
        <v>-259525000000</v>
      </c>
      <c r="P24" s="50"/>
      <c r="Q24" s="52">
        <v>135</v>
      </c>
      <c r="R24" s="51">
        <f t="shared" si="0"/>
        <v>1.1655703393058459</v>
      </c>
      <c r="S24" s="51">
        <f t="shared" si="1"/>
        <v>4.3399667387327456</v>
      </c>
      <c r="T24" s="51">
        <f t="shared" si="2"/>
        <v>-4.0412847151067514E-2</v>
      </c>
      <c r="U24" s="51">
        <f t="shared" si="3"/>
        <v>-0.21580325960419092</v>
      </c>
      <c r="V24" s="51">
        <f t="shared" si="4"/>
        <v>-1.5612310579855744</v>
      </c>
      <c r="W24" s="58">
        <f t="shared" si="9"/>
        <v>-0.34477925296725642</v>
      </c>
      <c r="X24" s="51">
        <f t="shared" si="5"/>
        <v>0</v>
      </c>
      <c r="Y24" s="58">
        <f t="shared" si="6"/>
        <v>0</v>
      </c>
      <c r="Z24" s="51">
        <f t="shared" si="7"/>
        <v>-3.6976291376167998</v>
      </c>
      <c r="AA24" s="51">
        <f t="shared" si="8"/>
        <v>0.79796042070513884</v>
      </c>
      <c r="AB24" s="52">
        <v>1</v>
      </c>
      <c r="AC24">
        <v>0</v>
      </c>
    </row>
    <row r="25" spans="1:29">
      <c r="A25" s="49">
        <v>2020</v>
      </c>
      <c r="B25" s="59" t="s">
        <v>72</v>
      </c>
      <c r="C25" s="49" t="s">
        <v>73</v>
      </c>
      <c r="D25" s="50">
        <v>7907292000000</v>
      </c>
      <c r="E25" s="50">
        <v>171496000000</v>
      </c>
      <c r="F25" s="50">
        <v>9854035000000</v>
      </c>
      <c r="G25" s="50"/>
      <c r="H25" s="50"/>
      <c r="I25" s="50">
        <v>7954197000000</v>
      </c>
      <c r="J25" s="50">
        <v>1899838000000</v>
      </c>
      <c r="K25" s="51">
        <v>11226007038</v>
      </c>
      <c r="L25" s="50">
        <v>169710000000</v>
      </c>
      <c r="M25" s="50">
        <v>336070000000</v>
      </c>
      <c r="N25" s="50">
        <v>336070000000</v>
      </c>
      <c r="O25" s="50">
        <v>-176863000000</v>
      </c>
      <c r="P25" s="50"/>
      <c r="Q25" s="52">
        <v>204</v>
      </c>
      <c r="R25" s="51">
        <f t="shared" si="0"/>
        <v>0.99410311311122923</v>
      </c>
      <c r="S25" s="51">
        <f t="shared" si="1"/>
        <v>4.1867764514658621</v>
      </c>
      <c r="T25" s="51">
        <f t="shared" si="2"/>
        <v>-1.7948282099667801E-2</v>
      </c>
      <c r="U25" s="51">
        <f t="shared" si="3"/>
        <v>-9.3093726938823201E-2</v>
      </c>
      <c r="V25" s="51">
        <f t="shared" si="4"/>
        <v>-1.0421483707501031</v>
      </c>
      <c r="W25" s="58">
        <f t="shared" si="9"/>
        <v>-0.98026044428731363</v>
      </c>
      <c r="X25" s="51">
        <f t="shared" si="5"/>
        <v>0</v>
      </c>
      <c r="Y25" s="58">
        <f t="shared" si="6"/>
        <v>0</v>
      </c>
      <c r="Z25" s="51">
        <f t="shared" si="7"/>
        <v>-12.948471052464336</v>
      </c>
      <c r="AA25" s="51">
        <f t="shared" si="8"/>
        <v>1.2054214284333717</v>
      </c>
      <c r="AB25" s="52">
        <v>1</v>
      </c>
      <c r="AC25">
        <v>0</v>
      </c>
    </row>
    <row r="26" spans="1:29">
      <c r="A26" s="49">
        <v>2018</v>
      </c>
      <c r="B26" s="59" t="s">
        <v>74</v>
      </c>
      <c r="C26" s="49" t="s">
        <v>75</v>
      </c>
      <c r="D26" s="50">
        <v>9968365000000</v>
      </c>
      <c r="E26" s="50">
        <v>48137000000</v>
      </c>
      <c r="F26" s="50">
        <v>10854855000000</v>
      </c>
      <c r="G26" s="50"/>
      <c r="H26" s="50"/>
      <c r="I26" s="50">
        <v>9424865000000</v>
      </c>
      <c r="J26" s="50">
        <v>1429990000000</v>
      </c>
      <c r="K26" s="51">
        <f>21785053618</f>
        <v>21785053618</v>
      </c>
      <c r="L26" s="50">
        <v>960256000000</v>
      </c>
      <c r="M26" s="50">
        <v>572785000000</v>
      </c>
      <c r="N26" s="50">
        <v>307274000000</v>
      </c>
      <c r="O26" s="50">
        <v>57021000000</v>
      </c>
      <c r="P26" s="50"/>
      <c r="Q26" s="52">
        <v>50</v>
      </c>
      <c r="R26" s="51">
        <f t="shared" si="0"/>
        <v>1.0576666084872304</v>
      </c>
      <c r="S26" s="51">
        <f t="shared" si="1"/>
        <v>6.5908607752501762</v>
      </c>
      <c r="T26" s="51">
        <f t="shared" si="2"/>
        <v>5.2530411507109029E-3</v>
      </c>
      <c r="U26" s="51">
        <f t="shared" si="3"/>
        <v>3.9875104021706444E-2</v>
      </c>
      <c r="V26" s="51">
        <f t="shared" si="4"/>
        <v>5.9381040055985074E-2</v>
      </c>
      <c r="W26" s="58">
        <f t="shared" si="9"/>
        <v>0.40350802286057053</v>
      </c>
      <c r="X26" s="51">
        <f t="shared" si="5"/>
        <v>0</v>
      </c>
      <c r="Y26" s="58">
        <f t="shared" si="6"/>
        <v>0</v>
      </c>
      <c r="Z26" s="51">
        <f t="shared" si="7"/>
        <v>19.102658334648638</v>
      </c>
      <c r="AA26" s="51">
        <f t="shared" si="8"/>
        <v>0.76172048818523208</v>
      </c>
      <c r="AB26" s="52">
        <v>1</v>
      </c>
      <c r="AC26">
        <v>2</v>
      </c>
    </row>
    <row r="27" spans="1:29">
      <c r="A27" s="49">
        <v>2019</v>
      </c>
      <c r="B27" s="59" t="s">
        <v>74</v>
      </c>
      <c r="C27" s="49" t="s">
        <v>75</v>
      </c>
      <c r="D27" s="50">
        <v>9281777000000</v>
      </c>
      <c r="E27" s="50">
        <v>48316000000</v>
      </c>
      <c r="F27" s="50">
        <v>10607879000000</v>
      </c>
      <c r="G27" s="50"/>
      <c r="H27" s="50"/>
      <c r="I27" s="50">
        <v>9048429000000</v>
      </c>
      <c r="J27" s="50">
        <v>1559450000000</v>
      </c>
      <c r="K27" s="51">
        <f>21785059005+3548237308</f>
        <v>25333296313</v>
      </c>
      <c r="L27" s="50">
        <v>1071032000000</v>
      </c>
      <c r="M27" s="50">
        <v>667529000000</v>
      </c>
      <c r="N27" s="50">
        <v>339722000000</v>
      </c>
      <c r="O27" s="50">
        <v>20433000000</v>
      </c>
      <c r="P27" s="50"/>
      <c r="Q27" s="52">
        <v>50</v>
      </c>
      <c r="R27" s="51">
        <f t="shared" si="0"/>
        <v>1.0257887860975645</v>
      </c>
      <c r="S27" s="51">
        <f t="shared" si="1"/>
        <v>5.8023206899868542</v>
      </c>
      <c r="T27" s="51">
        <f t="shared" si="2"/>
        <v>1.9262097540893896E-3</v>
      </c>
      <c r="U27" s="51">
        <f t="shared" si="3"/>
        <v>1.3102696463496745E-2</v>
      </c>
      <c r="V27" s="51">
        <f t="shared" si="4"/>
        <v>1.9077861352415241E-2</v>
      </c>
      <c r="W27" s="58">
        <f t="shared" si="9"/>
        <v>0.37674224486289859</v>
      </c>
      <c r="X27" s="51">
        <f t="shared" si="5"/>
        <v>0</v>
      </c>
      <c r="Y27" s="58">
        <f t="shared" si="6"/>
        <v>0</v>
      </c>
      <c r="Z27" s="51">
        <f t="shared" si="7"/>
        <v>61.991132758283172</v>
      </c>
      <c r="AA27" s="51">
        <f t="shared" si="8"/>
        <v>0.81225099596011407</v>
      </c>
      <c r="AB27" s="52">
        <v>1</v>
      </c>
      <c r="AC27">
        <v>2</v>
      </c>
    </row>
    <row r="28" spans="1:29">
      <c r="A28" s="49">
        <v>2020</v>
      </c>
      <c r="B28" s="59" t="s">
        <v>74</v>
      </c>
      <c r="C28" s="49" t="s">
        <v>75</v>
      </c>
      <c r="D28" s="50">
        <v>102648350000000</v>
      </c>
      <c r="E28" s="50">
        <v>40914000000</v>
      </c>
      <c r="F28" s="50">
        <v>11652904000000</v>
      </c>
      <c r="G28" s="50"/>
      <c r="H28" s="50"/>
      <c r="I28" s="50">
        <v>10101667000000</v>
      </c>
      <c r="J28" s="50">
        <v>11652904000000</v>
      </c>
      <c r="K28" s="51">
        <f>21785059005+3548236258</f>
        <v>25333295263</v>
      </c>
      <c r="L28" s="50">
        <v>969784000000</v>
      </c>
      <c r="M28" s="50">
        <v>368535000000</v>
      </c>
      <c r="N28" s="50">
        <v>345839000000</v>
      </c>
      <c r="O28" s="50">
        <v>10414000000</v>
      </c>
      <c r="P28" s="50"/>
      <c r="Q28" s="52">
        <v>50</v>
      </c>
      <c r="R28" s="51">
        <f t="shared" si="0"/>
        <v>10.161525815491641</v>
      </c>
      <c r="S28" s="51">
        <f t="shared" si="1"/>
        <v>0.86687979236763646</v>
      </c>
      <c r="T28" s="51">
        <f t="shared" si="2"/>
        <v>8.9368281073970923E-4</v>
      </c>
      <c r="U28" s="51">
        <f t="shared" si="3"/>
        <v>8.9368281073970923E-4</v>
      </c>
      <c r="V28" s="51">
        <f t="shared" si="4"/>
        <v>1.0738473721983452E-2</v>
      </c>
      <c r="W28" s="58">
        <f t="shared" si="9"/>
        <v>0.61998238783069215</v>
      </c>
      <c r="X28" s="51">
        <f t="shared" si="5"/>
        <v>0</v>
      </c>
      <c r="Y28" s="58">
        <f t="shared" si="6"/>
        <v>0</v>
      </c>
      <c r="Z28" s="51">
        <f t="shared" si="7"/>
        <v>121.63095478682543</v>
      </c>
      <c r="AA28" s="51">
        <f t="shared" si="8"/>
        <v>0.10869949354684463</v>
      </c>
      <c r="AB28" s="52">
        <v>1</v>
      </c>
      <c r="AC28">
        <v>2</v>
      </c>
    </row>
    <row r="29" spans="1:29">
      <c r="A29" s="49">
        <v>2018</v>
      </c>
      <c r="B29" s="59" t="s">
        <v>76</v>
      </c>
      <c r="C29" s="49" t="s">
        <v>77</v>
      </c>
      <c r="D29" s="50">
        <v>788261904000000</v>
      </c>
      <c r="E29" s="50">
        <v>19336901000000</v>
      </c>
      <c r="F29" s="50">
        <v>824787944000000</v>
      </c>
      <c r="G29" s="50"/>
      <c r="H29" s="50"/>
      <c r="I29" s="50">
        <v>668438779000000</v>
      </c>
      <c r="J29" s="50">
        <v>151753427000000</v>
      </c>
      <c r="K29" s="51">
        <v>24655010000</v>
      </c>
      <c r="L29" s="50">
        <v>56766800000000</v>
      </c>
      <c r="M29" s="50">
        <v>11476255000000</v>
      </c>
      <c r="N29" s="50">
        <v>27651554000000</v>
      </c>
      <c r="O29" s="50">
        <v>25851660000000</v>
      </c>
      <c r="P29" s="50">
        <v>6410302000000</v>
      </c>
      <c r="Q29" s="52">
        <v>26000</v>
      </c>
      <c r="R29" s="51">
        <f t="shared" si="0"/>
        <v>1.1792581890285572</v>
      </c>
      <c r="S29" s="51">
        <f t="shared" si="1"/>
        <v>4.4047689216270554</v>
      </c>
      <c r="T29" s="51">
        <f t="shared" si="2"/>
        <v>3.1343401886582377E-2</v>
      </c>
      <c r="U29" s="51">
        <f t="shared" si="3"/>
        <v>0.17035305568420542</v>
      </c>
      <c r="V29" s="51">
        <f t="shared" si="4"/>
        <v>0.45540104427235639</v>
      </c>
      <c r="W29" s="58">
        <f t="shared" si="9"/>
        <v>0.79783509022879573</v>
      </c>
      <c r="X29" s="51">
        <f t="shared" si="5"/>
        <v>9.9999990640067433E-3</v>
      </c>
      <c r="Y29" s="58">
        <f t="shared" si="6"/>
        <v>0.24796481154401689</v>
      </c>
      <c r="Z29" s="51">
        <f t="shared" si="7"/>
        <v>24.796483475335823</v>
      </c>
      <c r="AA29" s="51">
        <f t="shared" si="8"/>
        <v>4.2241567302463618</v>
      </c>
      <c r="AB29" s="52">
        <v>1</v>
      </c>
      <c r="AC29">
        <v>2</v>
      </c>
    </row>
    <row r="30" spans="1:29">
      <c r="A30" s="49">
        <v>2019</v>
      </c>
      <c r="B30" s="59" t="s">
        <v>76</v>
      </c>
      <c r="C30" s="49" t="s">
        <v>77</v>
      </c>
      <c r="D30" s="50">
        <v>878881370000000</v>
      </c>
      <c r="E30" s="50">
        <v>20852301000000</v>
      </c>
      <c r="F30" s="50">
        <v>918989312000000</v>
      </c>
      <c r="G30" s="50"/>
      <c r="H30" s="50"/>
      <c r="I30" s="50">
        <v>740067127000000</v>
      </c>
      <c r="J30" s="50">
        <v>174143156000000</v>
      </c>
      <c r="K30" s="51">
        <v>24655010000</v>
      </c>
      <c r="L30" s="50">
        <v>63837795000000</v>
      </c>
      <c r="M30" s="50">
        <v>13360347000000</v>
      </c>
      <c r="N30" s="50">
        <v>30742208000000</v>
      </c>
      <c r="O30" s="50">
        <v>28569974000000</v>
      </c>
      <c r="P30" s="50">
        <v>8752529000000</v>
      </c>
      <c r="Q30" s="52">
        <v>33425</v>
      </c>
      <c r="R30" s="51">
        <f t="shared" si="0"/>
        <v>1.1875698000027504</v>
      </c>
      <c r="S30" s="51">
        <f t="shared" si="1"/>
        <v>4.2497629191927588</v>
      </c>
      <c r="T30" s="51">
        <f t="shared" si="2"/>
        <v>3.1088472550157363E-2</v>
      </c>
      <c r="U30" s="51">
        <f t="shared" si="3"/>
        <v>0.16406027463979117</v>
      </c>
      <c r="V30" s="51">
        <f t="shared" si="4"/>
        <v>0.44754011318843329</v>
      </c>
      <c r="W30" s="58">
        <f t="shared" si="9"/>
        <v>0.79071415295594094</v>
      </c>
      <c r="X30" s="51">
        <f t="shared" si="5"/>
        <v>1.0620793365800104E-2</v>
      </c>
      <c r="Y30" s="58">
        <f t="shared" si="6"/>
        <v>0.30635411148781583</v>
      </c>
      <c r="Z30" s="51">
        <f t="shared" si="7"/>
        <v>28.844748309886455</v>
      </c>
      <c r="AA30" s="51">
        <f t="shared" si="8"/>
        <v>4.7322773296356244</v>
      </c>
      <c r="AB30" s="52">
        <v>1</v>
      </c>
      <c r="AC30">
        <v>2</v>
      </c>
    </row>
    <row r="31" spans="1:29">
      <c r="A31" s="49">
        <v>2020</v>
      </c>
      <c r="B31" s="59" t="s">
        <v>76</v>
      </c>
      <c r="C31" s="49" t="s">
        <v>77</v>
      </c>
      <c r="D31" s="50">
        <v>1030530192000000</v>
      </c>
      <c r="E31" s="50">
        <v>21915054000000</v>
      </c>
      <c r="F31" s="50">
        <v>1075570256000000</v>
      </c>
      <c r="G31" s="50"/>
      <c r="H31" s="50"/>
      <c r="I31" s="50">
        <v>885537919000000</v>
      </c>
      <c r="J31" s="50">
        <v>184714709000000</v>
      </c>
      <c r="K31" s="51">
        <v>24655010000</v>
      </c>
      <c r="L31" s="50">
        <v>65403161000000</v>
      </c>
      <c r="M31" s="50">
        <v>11241891000000</v>
      </c>
      <c r="N31" s="50">
        <v>29968715000000</v>
      </c>
      <c r="O31" s="50">
        <v>27147109000000</v>
      </c>
      <c r="P31" s="50">
        <v>13634221000000</v>
      </c>
      <c r="Q31" s="52">
        <v>33850</v>
      </c>
      <c r="R31" s="51">
        <f t="shared" si="0"/>
        <v>1.1637335566202898</v>
      </c>
      <c r="S31" s="51">
        <f t="shared" si="1"/>
        <v>4.7940844765102062</v>
      </c>
      <c r="T31" s="51">
        <f t="shared" si="2"/>
        <v>2.5239735710951085E-2</v>
      </c>
      <c r="U31" s="51">
        <f t="shared" si="3"/>
        <v>0.14696777071500028</v>
      </c>
      <c r="V31" s="51">
        <f t="shared" si="4"/>
        <v>0.41507334790745054</v>
      </c>
      <c r="W31" s="58">
        <f t="shared" si="9"/>
        <v>0.82811395002758348</v>
      </c>
      <c r="X31" s="51">
        <f t="shared" si="5"/>
        <v>1.6336780474536561E-2</v>
      </c>
      <c r="Y31" s="58">
        <f t="shared" si="6"/>
        <v>0.50223473151413656</v>
      </c>
      <c r="Z31" s="51">
        <f t="shared" si="7"/>
        <v>30.742576990426496</v>
      </c>
      <c r="AA31" s="51">
        <f t="shared" si="8"/>
        <v>4.5181680063172447</v>
      </c>
      <c r="AB31" s="52">
        <v>1</v>
      </c>
      <c r="AC31">
        <v>2</v>
      </c>
    </row>
    <row r="32" spans="1:29">
      <c r="A32" s="49">
        <v>2018</v>
      </c>
      <c r="B32" s="59" t="s">
        <v>78</v>
      </c>
      <c r="C32" s="49" t="s">
        <v>79</v>
      </c>
      <c r="D32" s="50">
        <v>2020118373285</v>
      </c>
      <c r="E32" s="50">
        <v>34368921424</v>
      </c>
      <c r="F32" s="50">
        <v>2264172563518</v>
      </c>
      <c r="G32" s="50"/>
      <c r="H32" s="50"/>
      <c r="I32" s="50">
        <v>1927690426617</v>
      </c>
      <c r="J32" s="50">
        <v>336482136901</v>
      </c>
      <c r="K32" s="51">
        <v>10000000000</v>
      </c>
      <c r="L32" s="50">
        <v>222339040371</v>
      </c>
      <c r="M32" s="50">
        <v>120624113372</v>
      </c>
      <c r="N32" s="50">
        <v>58187078926</v>
      </c>
      <c r="O32" s="50">
        <v>-123143307728</v>
      </c>
      <c r="P32" s="50"/>
      <c r="Q32" s="52">
        <v>171</v>
      </c>
      <c r="R32" s="51">
        <f t="shared" si="0"/>
        <v>1.0479475051552787</v>
      </c>
      <c r="S32" s="51">
        <f t="shared" si="1"/>
        <v>5.728953234697765</v>
      </c>
      <c r="T32" s="51">
        <f t="shared" si="2"/>
        <v>-5.4387774903810249E-2</v>
      </c>
      <c r="U32" s="51">
        <f t="shared" si="3"/>
        <v>-0.36597279386700787</v>
      </c>
      <c r="V32" s="51">
        <f t="shared" si="4"/>
        <v>-0.55385373402044136</v>
      </c>
      <c r="W32" s="58">
        <f t="shared" si="9"/>
        <v>0.45747668438829342</v>
      </c>
      <c r="X32" s="51">
        <f t="shared" si="5"/>
        <v>0</v>
      </c>
      <c r="Y32" s="58">
        <f t="shared" si="6"/>
        <v>0</v>
      </c>
      <c r="Z32" s="51">
        <f t="shared" si="7"/>
        <v>-13.886260094434549</v>
      </c>
      <c r="AA32" s="51">
        <f t="shared" si="8"/>
        <v>5.0819934031241525</v>
      </c>
      <c r="AB32" s="52">
        <v>1</v>
      </c>
      <c r="AC32">
        <v>0</v>
      </c>
    </row>
    <row r="33" spans="1:29">
      <c r="A33" s="49">
        <v>2019</v>
      </c>
      <c r="B33" s="59" t="s">
        <v>78</v>
      </c>
      <c r="C33" s="49" t="s">
        <v>79</v>
      </c>
      <c r="D33" s="50">
        <v>2287435487925</v>
      </c>
      <c r="E33" s="50">
        <v>32804430650</v>
      </c>
      <c r="F33" s="50">
        <v>2527173168770</v>
      </c>
      <c r="G33" s="50"/>
      <c r="H33" s="50"/>
      <c r="I33" s="50">
        <v>2227407291122</v>
      </c>
      <c r="J33" s="50">
        <v>299765877648</v>
      </c>
      <c r="K33" s="51">
        <v>4184431795</v>
      </c>
      <c r="L33" s="50">
        <v>222323923791</v>
      </c>
      <c r="M33" s="50">
        <v>135940003048</v>
      </c>
      <c r="N33" s="50">
        <v>60987155987</v>
      </c>
      <c r="O33" s="50">
        <v>-36549663189</v>
      </c>
      <c r="P33" s="50"/>
      <c r="Q33" s="52">
        <v>125</v>
      </c>
      <c r="R33" s="51">
        <f t="shared" si="0"/>
        <v>1.0269498070883849</v>
      </c>
      <c r="S33" s="51">
        <f t="shared" si="1"/>
        <v>7.430489782888273</v>
      </c>
      <c r="T33" s="51">
        <f t="shared" si="2"/>
        <v>-1.4462666682548343E-2</v>
      </c>
      <c r="U33" s="51">
        <f t="shared" si="3"/>
        <v>-0.12192736370054244</v>
      </c>
      <c r="V33" s="51">
        <f t="shared" si="4"/>
        <v>-0.1643982463324965</v>
      </c>
      <c r="W33" s="58">
        <f t="shared" si="9"/>
        <v>0.38854982077505484</v>
      </c>
      <c r="X33" s="51">
        <f t="shared" si="5"/>
        <v>0</v>
      </c>
      <c r="Y33" s="58">
        <f t="shared" si="6"/>
        <v>0</v>
      </c>
      <c r="Z33" s="51">
        <f t="shared" si="7"/>
        <v>-14.310774128622301</v>
      </c>
      <c r="AA33" s="51">
        <f t="shared" si="8"/>
        <v>1.7448749620168444</v>
      </c>
      <c r="AB33" s="52">
        <v>1</v>
      </c>
      <c r="AC33">
        <v>0</v>
      </c>
    </row>
    <row r="34" spans="1:29">
      <c r="A34" s="49">
        <v>2020</v>
      </c>
      <c r="B34" s="59" t="s">
        <v>78</v>
      </c>
      <c r="C34" s="49" t="s">
        <v>79</v>
      </c>
      <c r="D34" s="50">
        <v>2306058477913</v>
      </c>
      <c r="E34" s="50">
        <v>30376640192</v>
      </c>
      <c r="F34" s="50">
        <v>2586663487991</v>
      </c>
      <c r="G34" s="50"/>
      <c r="H34" s="50"/>
      <c r="I34" s="50">
        <v>2239597029811</v>
      </c>
      <c r="J34" s="50">
        <v>347066458180</v>
      </c>
      <c r="K34" s="51">
        <v>4184431795</v>
      </c>
      <c r="L34" s="50">
        <v>162125871157</v>
      </c>
      <c r="M34" s="50">
        <v>114535488869</v>
      </c>
      <c r="N34" s="50">
        <v>41188991154</v>
      </c>
      <c r="O34" s="50">
        <v>37011391337</v>
      </c>
      <c r="P34" s="50"/>
      <c r="Q34" s="52">
        <v>424</v>
      </c>
      <c r="R34" s="51">
        <f t="shared" si="0"/>
        <v>1.0296756278997248</v>
      </c>
      <c r="S34" s="51">
        <f t="shared" si="1"/>
        <v>6.4529342350031182</v>
      </c>
      <c r="T34" s="51">
        <f t="shared" si="2"/>
        <v>1.4308545162071262E-2</v>
      </c>
      <c r="U34" s="51">
        <f t="shared" si="3"/>
        <v>0.10664064609148916</v>
      </c>
      <c r="V34" s="51">
        <f t="shared" si="4"/>
        <v>0.22828800285155465</v>
      </c>
      <c r="W34" s="58">
        <f t="shared" si="9"/>
        <v>0.2935397166928051</v>
      </c>
      <c r="X34" s="51">
        <f t="shared" si="5"/>
        <v>0</v>
      </c>
      <c r="Y34" s="58">
        <f t="shared" si="6"/>
        <v>0</v>
      </c>
      <c r="Z34" s="51">
        <f t="shared" si="7"/>
        <v>47.936568094005885</v>
      </c>
      <c r="AA34" s="51">
        <f t="shared" si="8"/>
        <v>5.1119865929534525</v>
      </c>
      <c r="AB34" s="52">
        <v>1</v>
      </c>
      <c r="AC34">
        <v>0</v>
      </c>
    </row>
    <row r="35" spans="1:29">
      <c r="A35" s="49">
        <v>2018</v>
      </c>
      <c r="B35" s="59" t="s">
        <v>80</v>
      </c>
      <c r="C35" s="49" t="s">
        <v>81</v>
      </c>
      <c r="D35" s="50">
        <v>85349356000000</v>
      </c>
      <c r="E35" s="50">
        <v>3075041000000</v>
      </c>
      <c r="F35" s="50">
        <v>95643923000000</v>
      </c>
      <c r="G35" s="50"/>
      <c r="H35" s="50"/>
      <c r="I35" s="50">
        <v>87049486000000</v>
      </c>
      <c r="J35" s="50">
        <v>8594437000000</v>
      </c>
      <c r="K35" s="51">
        <f t="shared" ref="K35:K36" si="10">21337978+11630570770</f>
        <v>11651908748</v>
      </c>
      <c r="L35" s="50">
        <v>7980892000000</v>
      </c>
      <c r="M35" s="50">
        <v>5387749000000</v>
      </c>
      <c r="N35" s="50">
        <v>2759809000000</v>
      </c>
      <c r="O35" s="50">
        <v>189970000000</v>
      </c>
      <c r="P35" s="50"/>
      <c r="Q35" s="52">
        <v>272</v>
      </c>
      <c r="R35" s="51">
        <f t="shared" si="0"/>
        <v>0.98046938496569636</v>
      </c>
      <c r="S35" s="51">
        <f t="shared" si="1"/>
        <v>10.128585037041985</v>
      </c>
      <c r="T35" s="51">
        <f t="shared" si="2"/>
        <v>1.9862213305491452E-3</v>
      </c>
      <c r="U35" s="51">
        <f t="shared" si="3"/>
        <v>2.210383297940284E-2</v>
      </c>
      <c r="V35" s="51">
        <f t="shared" si="4"/>
        <v>2.3803103713219025E-2</v>
      </c>
      <c r="W35" s="58">
        <f t="shared" si="9"/>
        <v>0.3249189438974992</v>
      </c>
      <c r="X35" s="51">
        <f t="shared" si="5"/>
        <v>0</v>
      </c>
      <c r="Y35" s="58">
        <f t="shared" si="6"/>
        <v>0</v>
      </c>
      <c r="Z35" s="51">
        <f t="shared" si="7"/>
        <v>16.683261459472547</v>
      </c>
      <c r="AA35" s="51">
        <f t="shared" si="8"/>
        <v>0.36876402485188964</v>
      </c>
      <c r="AB35" s="52">
        <v>1</v>
      </c>
      <c r="AC35">
        <v>0</v>
      </c>
    </row>
    <row r="36" spans="1:29">
      <c r="A36" s="49">
        <v>2019</v>
      </c>
      <c r="B36" s="59" t="s">
        <v>80</v>
      </c>
      <c r="C36" s="49" t="s">
        <v>81</v>
      </c>
      <c r="D36" s="50">
        <v>87668576000000</v>
      </c>
      <c r="E36" s="50">
        <v>3012215000000</v>
      </c>
      <c r="F36" s="50">
        <v>100264248000000</v>
      </c>
      <c r="G36" s="50"/>
      <c r="H36" s="50"/>
      <c r="I36" s="50">
        <v>91358763000000</v>
      </c>
      <c r="J36" s="50">
        <v>8905485000000</v>
      </c>
      <c r="K36" s="51">
        <f t="shared" si="10"/>
        <v>11651908748</v>
      </c>
      <c r="L36" s="50">
        <v>7764858000000</v>
      </c>
      <c r="M36" s="50">
        <v>5750319000000</v>
      </c>
      <c r="N36" s="50">
        <v>2801776000000</v>
      </c>
      <c r="O36" s="50">
        <v>216749000000</v>
      </c>
      <c r="P36" s="50"/>
      <c r="Q36" s="52">
        <v>224</v>
      </c>
      <c r="R36" s="51">
        <f t="shared" si="0"/>
        <v>0.95960773899707907</v>
      </c>
      <c r="S36" s="51">
        <f t="shared" si="1"/>
        <v>10.258707190007058</v>
      </c>
      <c r="T36" s="51">
        <f t="shared" si="2"/>
        <v>2.1617775460700608E-3</v>
      </c>
      <c r="U36" s="51">
        <f t="shared" si="3"/>
        <v>2.4338820401134807E-2</v>
      </c>
      <c r="V36" s="51">
        <f t="shared" si="4"/>
        <v>2.7914097076855753E-2</v>
      </c>
      <c r="W36" s="58">
        <f t="shared" si="9"/>
        <v>0.25944312181884072</v>
      </c>
      <c r="X36" s="51">
        <f t="shared" si="5"/>
        <v>0</v>
      </c>
      <c r="Y36" s="58">
        <f t="shared" si="6"/>
        <v>0</v>
      </c>
      <c r="Z36" s="51">
        <f t="shared" si="7"/>
        <v>12.041705196111632</v>
      </c>
      <c r="AA36" s="51">
        <f t="shared" si="8"/>
        <v>0.29308090009157278</v>
      </c>
      <c r="AB36" s="52">
        <v>1</v>
      </c>
      <c r="AC36">
        <v>0</v>
      </c>
    </row>
    <row r="37" spans="1:29">
      <c r="A37" s="49">
        <v>2020</v>
      </c>
      <c r="B37" s="59" t="s">
        <v>80</v>
      </c>
      <c r="C37" s="49" t="s">
        <v>81</v>
      </c>
      <c r="D37" s="50">
        <v>69019702000000</v>
      </c>
      <c r="E37" s="50">
        <v>3504403000000</v>
      </c>
      <c r="F37" s="50">
        <v>79938578000000</v>
      </c>
      <c r="G37" s="50"/>
      <c r="H37" s="50"/>
      <c r="I37" s="50">
        <v>71472136000000</v>
      </c>
      <c r="J37" s="50">
        <v>8466442000000</v>
      </c>
      <c r="K37" s="51">
        <f>21337978+32651913216</f>
        <v>32673251194</v>
      </c>
      <c r="L37" s="50">
        <v>5308366000000</v>
      </c>
      <c r="M37" s="50">
        <v>4756310000000</v>
      </c>
      <c r="N37" s="50">
        <v>2758323000000</v>
      </c>
      <c r="O37" s="50">
        <v>-3258109000000</v>
      </c>
      <c r="P37" s="50"/>
      <c r="Q37" s="52">
        <v>575</v>
      </c>
      <c r="R37" s="51">
        <f t="shared" si="0"/>
        <v>0.96568685172638469</v>
      </c>
      <c r="S37" s="51">
        <f t="shared" si="1"/>
        <v>8.4418148733553</v>
      </c>
      <c r="T37" s="51">
        <f t="shared" si="2"/>
        <v>-4.0757655208727879E-2</v>
      </c>
      <c r="U37" s="51">
        <f t="shared" si="3"/>
        <v>-0.38482623515285408</v>
      </c>
      <c r="V37" s="51">
        <f t="shared" si="4"/>
        <v>-0.61376871903708219</v>
      </c>
      <c r="W37" s="58">
        <f t="shared" si="9"/>
        <v>0.10399735059715175</v>
      </c>
      <c r="X37" s="51">
        <f t="shared" si="5"/>
        <v>0</v>
      </c>
      <c r="Y37" s="58">
        <f t="shared" si="6"/>
        <v>0</v>
      </c>
      <c r="Z37" s="51">
        <f t="shared" si="7"/>
        <v>-5.766264859938695</v>
      </c>
      <c r="AA37" s="51">
        <f t="shared" si="8"/>
        <v>2.2190099969444073</v>
      </c>
      <c r="AB37" s="52">
        <v>1</v>
      </c>
      <c r="AC37">
        <v>0</v>
      </c>
    </row>
    <row r="38" spans="1:29">
      <c r="A38" s="49">
        <v>2018</v>
      </c>
      <c r="B38" s="59" t="s">
        <v>82</v>
      </c>
      <c r="C38" s="49" t="s">
        <v>83</v>
      </c>
      <c r="D38" s="50">
        <v>11454704380759</v>
      </c>
      <c r="E38" s="50">
        <v>470415776572</v>
      </c>
      <c r="F38" s="50">
        <v>12093079368934</v>
      </c>
      <c r="G38" s="50"/>
      <c r="H38" s="50"/>
      <c r="I38" s="50">
        <v>9005066283473</v>
      </c>
      <c r="J38" s="50">
        <v>3088013085461</v>
      </c>
      <c r="K38" s="51">
        <v>4090090000</v>
      </c>
      <c r="L38" s="50">
        <v>1026137099056</v>
      </c>
      <c r="M38" s="50">
        <v>339167553637</v>
      </c>
      <c r="N38" s="50">
        <v>428776741954</v>
      </c>
      <c r="O38" s="50">
        <v>265862564725</v>
      </c>
      <c r="P38" s="50"/>
      <c r="Q38" s="52">
        <v>1380</v>
      </c>
      <c r="R38" s="51">
        <f t="shared" si="0"/>
        <v>1.2720288802073363</v>
      </c>
      <c r="S38" s="51">
        <f t="shared" si="1"/>
        <v>2.9161360506763079</v>
      </c>
      <c r="T38" s="51">
        <f t="shared" si="2"/>
        <v>2.198468699444546E-2</v>
      </c>
      <c r="U38" s="51">
        <f t="shared" si="3"/>
        <v>8.6095025301782424E-2</v>
      </c>
      <c r="V38" s="51">
        <f t="shared" si="4"/>
        <v>0.25909068580561173</v>
      </c>
      <c r="W38" s="58">
        <f t="shared" si="9"/>
        <v>0.66947150244444054</v>
      </c>
      <c r="X38" s="51">
        <f t="shared" si="5"/>
        <v>0</v>
      </c>
      <c r="Y38" s="58">
        <f t="shared" si="6"/>
        <v>0</v>
      </c>
      <c r="Z38" s="51">
        <f t="shared" si="7"/>
        <v>21.230233018470702</v>
      </c>
      <c r="AA38" s="51">
        <f t="shared" si="8"/>
        <v>1.8278174488879719</v>
      </c>
      <c r="AB38" s="52">
        <v>1</v>
      </c>
      <c r="AC38">
        <v>2</v>
      </c>
    </row>
    <row r="39" spans="1:29">
      <c r="A39" s="49">
        <v>2019</v>
      </c>
      <c r="B39" s="59" t="s">
        <v>82</v>
      </c>
      <c r="C39" s="49" t="s">
        <v>83</v>
      </c>
      <c r="D39" s="50">
        <v>12276512567406</v>
      </c>
      <c r="E39" s="50">
        <v>492662820097</v>
      </c>
      <c r="F39" s="50">
        <v>12900218775263</v>
      </c>
      <c r="G39" s="50"/>
      <c r="H39" s="50"/>
      <c r="I39" s="50">
        <v>9419749653807</v>
      </c>
      <c r="J39" s="50">
        <v>3480469121456</v>
      </c>
      <c r="K39" s="51">
        <v>4090090000</v>
      </c>
      <c r="L39" s="50">
        <v>1058536635511</v>
      </c>
      <c r="M39" s="50">
        <v>358086464478</v>
      </c>
      <c r="N39" s="50">
        <v>473384503657</v>
      </c>
      <c r="O39" s="50">
        <v>247573726183</v>
      </c>
      <c r="P39" s="50"/>
      <c r="Q39" s="52">
        <v>2800</v>
      </c>
      <c r="R39" s="51">
        <f t="shared" si="0"/>
        <v>1.3032737618928585</v>
      </c>
      <c r="S39" s="51">
        <f t="shared" si="1"/>
        <v>2.7064597688102445</v>
      </c>
      <c r="T39" s="51">
        <f t="shared" si="2"/>
        <v>1.9191436245851779E-2</v>
      </c>
      <c r="U39" s="51">
        <f t="shared" si="3"/>
        <v>7.1132286350936338E-2</v>
      </c>
      <c r="V39" s="51">
        <f t="shared" si="4"/>
        <v>0.23388300213481586</v>
      </c>
      <c r="W39" s="58">
        <f t="shared" si="9"/>
        <v>0.66171556801608789</v>
      </c>
      <c r="X39" s="51">
        <f t="shared" si="5"/>
        <v>0</v>
      </c>
      <c r="Y39" s="58">
        <f t="shared" si="6"/>
        <v>0</v>
      </c>
      <c r="Z39" s="51">
        <f t="shared" si="7"/>
        <v>46.257945770605708</v>
      </c>
      <c r="AA39" s="51">
        <f t="shared" si="8"/>
        <v>3.2904334445608092</v>
      </c>
      <c r="AB39" s="52">
        <v>1</v>
      </c>
      <c r="AC39">
        <v>2</v>
      </c>
    </row>
    <row r="40" spans="1:29">
      <c r="A40" s="49">
        <v>2020</v>
      </c>
      <c r="B40" s="59" t="s">
        <v>82</v>
      </c>
      <c r="C40" s="49" t="s">
        <v>83</v>
      </c>
      <c r="D40" s="50">
        <v>13522482361051</v>
      </c>
      <c r="E40" s="50">
        <v>479822488029</v>
      </c>
      <c r="F40" s="50">
        <v>14159755232533</v>
      </c>
      <c r="G40" s="50"/>
      <c r="H40" s="50"/>
      <c r="I40" s="50">
        <v>10150492606994</v>
      </c>
      <c r="J40" s="50">
        <v>4009262625539</v>
      </c>
      <c r="K40" s="51">
        <v>4090090000</v>
      </c>
      <c r="L40" s="50">
        <v>1122202992204</v>
      </c>
      <c r="M40" s="50">
        <v>326616871157</v>
      </c>
      <c r="N40" s="50">
        <v>534878138389</v>
      </c>
      <c r="O40" s="50">
        <v>325932118524</v>
      </c>
      <c r="P40" s="50"/>
      <c r="Q40" s="52">
        <v>1500</v>
      </c>
      <c r="R40" s="51">
        <f t="shared" si="0"/>
        <v>1.3321996167687069</v>
      </c>
      <c r="S40" s="51">
        <f t="shared" si="1"/>
        <v>2.5317604644643055</v>
      </c>
      <c r="T40" s="51">
        <f t="shared" si="2"/>
        <v>2.3018202869435823E-2</v>
      </c>
      <c r="U40" s="51">
        <f t="shared" si="3"/>
        <v>8.1294778857292277E-2</v>
      </c>
      <c r="V40" s="51">
        <f t="shared" si="4"/>
        <v>0.29043953793410521</v>
      </c>
      <c r="W40" s="58">
        <f t="shared" si="9"/>
        <v>0.7089502759963896</v>
      </c>
      <c r="X40" s="51">
        <f t="shared" si="5"/>
        <v>0</v>
      </c>
      <c r="Y40" s="58">
        <f t="shared" si="6"/>
        <v>0</v>
      </c>
      <c r="Z40" s="51">
        <f t="shared" si="7"/>
        <v>18.823352015086048</v>
      </c>
      <c r="AA40" s="51">
        <f t="shared" si="8"/>
        <v>1.530240239419387</v>
      </c>
      <c r="AB40" s="52">
        <v>1</v>
      </c>
      <c r="AC40">
        <v>2</v>
      </c>
    </row>
    <row r="41" spans="1:29">
      <c r="A41" s="49">
        <v>2018</v>
      </c>
      <c r="B41" s="59" t="s">
        <v>86</v>
      </c>
      <c r="C41" s="49" t="s">
        <v>87</v>
      </c>
      <c r="D41" s="50">
        <v>1241029135000000</v>
      </c>
      <c r="E41" s="50">
        <v>26914859000000</v>
      </c>
      <c r="F41" s="50">
        <v>1296898292000000</v>
      </c>
      <c r="G41" s="50"/>
      <c r="H41" s="50"/>
      <c r="I41" s="50">
        <v>109066408400000</v>
      </c>
      <c r="J41" s="50">
        <v>185275331000000</v>
      </c>
      <c r="K41" s="51">
        <v>123345810000</v>
      </c>
      <c r="L41" s="50">
        <v>111582804000000</v>
      </c>
      <c r="M41" s="50">
        <v>33917032000000</v>
      </c>
      <c r="N41" s="50">
        <v>41990284000000</v>
      </c>
      <c r="O41" s="50">
        <v>32418486000000</v>
      </c>
      <c r="P41" s="50">
        <v>13048441000000</v>
      </c>
      <c r="Q41" s="52">
        <v>3660</v>
      </c>
      <c r="R41" s="51">
        <f t="shared" si="0"/>
        <v>11.378655932709709</v>
      </c>
      <c r="S41" s="51">
        <f t="shared" si="1"/>
        <v>0.58867204722467881</v>
      </c>
      <c r="T41" s="51">
        <f t="shared" si="2"/>
        <v>2.4996937847767634E-2</v>
      </c>
      <c r="U41" s="51">
        <f t="shared" si="3"/>
        <v>0.17497464894557388</v>
      </c>
      <c r="V41" s="51">
        <f t="shared" si="4"/>
        <v>0.29053299287944045</v>
      </c>
      <c r="W41" s="58">
        <f t="shared" si="9"/>
        <v>0.69603710621934178</v>
      </c>
      <c r="X41" s="51">
        <f t="shared" si="5"/>
        <v>2.8903679940223751E-2</v>
      </c>
      <c r="Y41" s="58">
        <f t="shared" si="6"/>
        <v>0.40250001187594014</v>
      </c>
      <c r="Z41" s="51">
        <f t="shared" si="7"/>
        <v>13.92556285941299</v>
      </c>
      <c r="AA41" s="51">
        <f t="shared" si="8"/>
        <v>2.4366204726953096</v>
      </c>
      <c r="AB41" s="52">
        <v>1</v>
      </c>
      <c r="AC41">
        <v>2</v>
      </c>
    </row>
    <row r="42" spans="1:29">
      <c r="A42" s="49">
        <v>2019</v>
      </c>
      <c r="B42" s="59" t="s">
        <v>86</v>
      </c>
      <c r="C42" s="49" t="s">
        <v>87</v>
      </c>
      <c r="D42" s="50">
        <v>1359773127000000</v>
      </c>
      <c r="E42" s="50">
        <v>31432629000000</v>
      </c>
      <c r="F42" s="50">
        <v>1416758840000000</v>
      </c>
      <c r="G42" s="50"/>
      <c r="H42" s="50"/>
      <c r="I42" s="50">
        <v>1183155670000000</v>
      </c>
      <c r="J42" s="50">
        <v>208784336000000</v>
      </c>
      <c r="K42" s="51">
        <v>123345810000</v>
      </c>
      <c r="L42" s="50">
        <v>121756276000000</v>
      </c>
      <c r="M42" s="50">
        <v>38671838000000</v>
      </c>
      <c r="N42" s="50">
        <v>45033505000000</v>
      </c>
      <c r="O42" s="50">
        <v>34413825000000</v>
      </c>
      <c r="P42" s="50">
        <v>16175565000000</v>
      </c>
      <c r="Q42" s="52">
        <v>4400</v>
      </c>
      <c r="R42" s="51">
        <f t="shared" si="0"/>
        <v>1.1492766011086268</v>
      </c>
      <c r="S42" s="51">
        <f t="shared" si="1"/>
        <v>5.6668794827596649</v>
      </c>
      <c r="T42" s="51">
        <f t="shared" si="2"/>
        <v>2.4290531337005809E-2</v>
      </c>
      <c r="U42" s="51">
        <f t="shared" si="3"/>
        <v>0.16482953491300228</v>
      </c>
      <c r="V42" s="51">
        <f t="shared" si="4"/>
        <v>0.28264518372753122</v>
      </c>
      <c r="W42" s="58">
        <f t="shared" si="9"/>
        <v>0.68238320626691962</v>
      </c>
      <c r="X42" s="51">
        <f t="shared" si="5"/>
        <v>2.9804537119884924E-2</v>
      </c>
      <c r="Y42" s="58">
        <f t="shared" si="6"/>
        <v>0.47003101224580529</v>
      </c>
      <c r="Z42" s="51">
        <f t="shared" si="7"/>
        <v>15.770451671675556</v>
      </c>
      <c r="AA42" s="51">
        <f t="shared" si="8"/>
        <v>2.599436214410261</v>
      </c>
      <c r="AB42" s="52">
        <v>1</v>
      </c>
      <c r="AC42">
        <v>2</v>
      </c>
    </row>
    <row r="43" spans="1:29">
      <c r="A43" s="49">
        <v>2020</v>
      </c>
      <c r="B43" s="59" t="s">
        <v>86</v>
      </c>
      <c r="C43" s="49" t="s">
        <v>87</v>
      </c>
      <c r="D43" s="50">
        <v>1442620167000000</v>
      </c>
      <c r="E43" s="50">
        <v>32185160000000</v>
      </c>
      <c r="F43" s="50">
        <v>1511804628000000</v>
      </c>
      <c r="G43" s="50"/>
      <c r="H43" s="50"/>
      <c r="I43" s="50">
        <v>1278346276000000</v>
      </c>
      <c r="J43" s="50">
        <v>199911376000000</v>
      </c>
      <c r="K43" s="51">
        <v>123345810000</v>
      </c>
      <c r="L43" s="50">
        <v>116932512000000</v>
      </c>
      <c r="M43" s="50">
        <v>37722595000000</v>
      </c>
      <c r="N43" s="50">
        <v>68827650000000</v>
      </c>
      <c r="O43" s="50">
        <v>34413825000000</v>
      </c>
      <c r="P43" s="50">
        <v>20623565000000</v>
      </c>
      <c r="Q43" s="52"/>
      <c r="R43" s="51">
        <f t="shared" si="0"/>
        <v>1.1285050021923793</v>
      </c>
      <c r="S43" s="51">
        <f t="shared" si="1"/>
        <v>6.3945649396160427</v>
      </c>
      <c r="T43" s="51">
        <f t="shared" si="2"/>
        <v>2.2763407627298254E-2</v>
      </c>
      <c r="U43" s="51">
        <f t="shared" si="3"/>
        <v>0.17214540607233877</v>
      </c>
      <c r="V43" s="51">
        <f t="shared" si="4"/>
        <v>0.29430501758142336</v>
      </c>
      <c r="W43" s="58">
        <f t="shared" si="9"/>
        <v>0.67739857500025313</v>
      </c>
      <c r="X43" s="51" t="e">
        <f t="shared" si="5"/>
        <v>#DIV/0!</v>
      </c>
      <c r="Y43" s="58">
        <f t="shared" si="6"/>
        <v>0.59928139345161424</v>
      </c>
      <c r="Z43" s="51">
        <f t="shared" si="7"/>
        <v>0</v>
      </c>
      <c r="AA43" s="51">
        <f t="shared" si="8"/>
        <v>0</v>
      </c>
      <c r="AB43" s="52">
        <v>1</v>
      </c>
      <c r="AC43">
        <v>2</v>
      </c>
    </row>
    <row r="44" spans="1:29">
      <c r="A44" s="49">
        <v>2018</v>
      </c>
      <c r="B44" s="59" t="s">
        <v>88</v>
      </c>
      <c r="C44" s="49" t="s">
        <v>89</v>
      </c>
      <c r="D44" s="50">
        <v>4781138960034</v>
      </c>
      <c r="E44" s="50">
        <v>83206069558</v>
      </c>
      <c r="F44" s="50">
        <v>4533729146622</v>
      </c>
      <c r="G44" s="50"/>
      <c r="H44" s="50"/>
      <c r="I44" s="50">
        <v>3933343821678</v>
      </c>
      <c r="J44" s="50">
        <v>600385324944</v>
      </c>
      <c r="K44" s="51">
        <v>5192586184</v>
      </c>
      <c r="L44" s="50">
        <v>589663115314</v>
      </c>
      <c r="M44" s="50">
        <v>303322028671</v>
      </c>
      <c r="N44" s="50">
        <v>440184797149</v>
      </c>
      <c r="O44" s="50">
        <v>-136988450929</v>
      </c>
      <c r="P44" s="50">
        <v>5763770665</v>
      </c>
      <c r="Q44" s="52">
        <v>284</v>
      </c>
      <c r="R44" s="51">
        <f t="shared" si="0"/>
        <v>1.2155405621251596</v>
      </c>
      <c r="S44" s="51">
        <f t="shared" si="1"/>
        <v>6.5513656950973553</v>
      </c>
      <c r="T44" s="51">
        <f t="shared" si="2"/>
        <v>-3.0215402486288276E-2</v>
      </c>
      <c r="U44" s="51">
        <f t="shared" si="3"/>
        <v>-0.22816755379851661</v>
      </c>
      <c r="V44" s="51">
        <f t="shared" si="4"/>
        <v>-0.23231646574341458</v>
      </c>
      <c r="W44" s="58">
        <f t="shared" si="9"/>
        <v>0.48560114954879152</v>
      </c>
      <c r="X44" s="51">
        <f t="shared" si="5"/>
        <v>3.9084507047407136E-3</v>
      </c>
      <c r="Y44" s="58">
        <f t="shared" si="6"/>
        <v>-4.2074865624893557E-2</v>
      </c>
      <c r="Z44" s="51">
        <f t="shared" si="7"/>
        <v>-10.765100753057805</v>
      </c>
      <c r="AA44" s="51">
        <f t="shared" si="8"/>
        <v>2.4562467052197681</v>
      </c>
      <c r="AB44" s="52">
        <v>1</v>
      </c>
      <c r="AC44">
        <v>0</v>
      </c>
    </row>
    <row r="45" spans="1:29">
      <c r="A45" s="49">
        <v>2019</v>
      </c>
      <c r="B45" s="59" t="s">
        <v>88</v>
      </c>
      <c r="C45" s="49" t="s">
        <v>89</v>
      </c>
      <c r="D45" s="50">
        <v>4918029226569</v>
      </c>
      <c r="E45" s="50">
        <v>87885955385</v>
      </c>
      <c r="F45" s="50">
        <v>5123734649117</v>
      </c>
      <c r="G45" s="50"/>
      <c r="H45" s="50"/>
      <c r="I45" s="50">
        <v>4177951053821</v>
      </c>
      <c r="J45" s="50">
        <v>945783595296</v>
      </c>
      <c r="K45" s="51">
        <v>6161782101</v>
      </c>
      <c r="L45" s="50">
        <v>532495206620</v>
      </c>
      <c r="M45" s="50">
        <v>316396580171</v>
      </c>
      <c r="N45" s="50">
        <v>403790198835</v>
      </c>
      <c r="O45" s="50">
        <v>16002797471</v>
      </c>
      <c r="P45" s="50">
        <v>0</v>
      </c>
      <c r="Q45" s="52">
        <v>284</v>
      </c>
      <c r="R45" s="51">
        <f t="shared" si="0"/>
        <v>1.1771390241805613</v>
      </c>
      <c r="S45" s="51">
        <f t="shared" si="1"/>
        <v>4.4174492712716535</v>
      </c>
      <c r="T45" s="51">
        <f t="shared" si="2"/>
        <v>3.1232681953500159E-3</v>
      </c>
      <c r="U45" s="51">
        <f t="shared" si="3"/>
        <v>1.6920147008884879E-2</v>
      </c>
      <c r="V45" s="51">
        <f t="shared" si="4"/>
        <v>3.0052472345389467E-2</v>
      </c>
      <c r="W45" s="58">
        <f t="shared" si="9"/>
        <v>0.40582266988031801</v>
      </c>
      <c r="X45" s="51">
        <f t="shared" si="5"/>
        <v>0</v>
      </c>
      <c r="Y45" s="58">
        <f t="shared" si="6"/>
        <v>0</v>
      </c>
      <c r="Z45" s="51">
        <f t="shared" si="7"/>
        <v>109.35251288752625</v>
      </c>
      <c r="AA45" s="51">
        <f t="shared" si="8"/>
        <v>1.8502605938479222</v>
      </c>
      <c r="AB45" s="52">
        <v>1</v>
      </c>
      <c r="AC45">
        <v>2</v>
      </c>
    </row>
    <row r="46" spans="1:29">
      <c r="A46" s="49">
        <v>2020</v>
      </c>
      <c r="B46" s="59" t="s">
        <v>88</v>
      </c>
      <c r="C46" s="49" t="s">
        <v>89</v>
      </c>
      <c r="D46" s="50">
        <v>4978233171638</v>
      </c>
      <c r="E46" s="50">
        <v>108803796324</v>
      </c>
      <c r="F46" s="50">
        <v>5421324398438</v>
      </c>
      <c r="G46" s="50"/>
      <c r="H46" s="50"/>
      <c r="I46" s="50">
        <v>4300705118122</v>
      </c>
      <c r="J46" s="50">
        <v>1120619280316</v>
      </c>
      <c r="K46" s="51">
        <v>6661795239</v>
      </c>
      <c r="L46" s="50">
        <v>435200503846</v>
      </c>
      <c r="M46" s="50">
        <v>276969580433</v>
      </c>
      <c r="N46" s="50">
        <v>229554559339</v>
      </c>
      <c r="O46" s="50">
        <v>15871502695</v>
      </c>
      <c r="P46" s="50">
        <v>1598830857</v>
      </c>
      <c r="Q46" s="52">
        <v>298</v>
      </c>
      <c r="R46" s="51">
        <f t="shared" si="0"/>
        <v>1.1575388302399718</v>
      </c>
      <c r="S46" s="51">
        <f t="shared" si="1"/>
        <v>3.8377932574114353</v>
      </c>
      <c r="T46" s="51">
        <f t="shared" si="2"/>
        <v>2.9276061582983156E-3</v>
      </c>
      <c r="U46" s="51">
        <f t="shared" si="3"/>
        <v>1.4163153332971787E-2</v>
      </c>
      <c r="V46" s="51">
        <f t="shared" si="4"/>
        <v>3.6469403308908598E-2</v>
      </c>
      <c r="W46" s="58">
        <f t="shared" si="9"/>
        <v>0.363581664117263</v>
      </c>
      <c r="X46" s="51">
        <f t="shared" si="5"/>
        <v>8.0536912733543799E-4</v>
      </c>
      <c r="Y46" s="58">
        <f t="shared" si="6"/>
        <v>0.10073594717050199</v>
      </c>
      <c r="Z46" s="51">
        <f t="shared" si="7"/>
        <v>125.08046776487032</v>
      </c>
      <c r="AA46" s="51">
        <f t="shared" si="8"/>
        <v>1.7715338439136932</v>
      </c>
      <c r="AB46" s="52">
        <v>1</v>
      </c>
      <c r="AC46">
        <v>2</v>
      </c>
    </row>
    <row r="47" spans="1:29">
      <c r="A47" s="49">
        <v>2018</v>
      </c>
      <c r="B47" s="59" t="s">
        <v>90</v>
      </c>
      <c r="C47" s="49" t="s">
        <v>91</v>
      </c>
      <c r="D47" s="50">
        <v>12539574000000</v>
      </c>
      <c r="E47" s="50">
        <v>194079000000</v>
      </c>
      <c r="F47" s="50">
        <v>17823669000000</v>
      </c>
      <c r="G47" s="50"/>
      <c r="H47" s="50"/>
      <c r="I47" s="50">
        <v>16508766000000</v>
      </c>
      <c r="J47" s="50">
        <v>1314903000000</v>
      </c>
      <c r="K47" s="51">
        <f t="shared" ref="K47:K49" si="11">10011841000+283501</f>
        <v>10012124501</v>
      </c>
      <c r="L47" s="50">
        <v>1426813000000</v>
      </c>
      <c r="M47" s="50">
        <v>1035272000000</v>
      </c>
      <c r="N47" s="50">
        <v>734524000000</v>
      </c>
      <c r="O47" s="50">
        <v>-401101000000</v>
      </c>
      <c r="P47" s="50">
        <v>0</v>
      </c>
      <c r="Q47" s="52">
        <v>450</v>
      </c>
      <c r="R47" s="51">
        <f t="shared" si="0"/>
        <v>0.75957064265130414</v>
      </c>
      <c r="S47" s="51">
        <f t="shared" si="1"/>
        <v>12.555120795982669</v>
      </c>
      <c r="T47" s="51">
        <f t="shared" si="2"/>
        <v>-2.2503840258703188E-2</v>
      </c>
      <c r="U47" s="51">
        <f t="shared" si="3"/>
        <v>-0.30504227308021958</v>
      </c>
      <c r="V47" s="51">
        <f t="shared" si="4"/>
        <v>-0.28111672657874576</v>
      </c>
      <c r="W47" s="58">
        <f t="shared" si="9"/>
        <v>0.27441647924430179</v>
      </c>
      <c r="X47" s="51">
        <f t="shared" si="5"/>
        <v>0</v>
      </c>
      <c r="Y47" s="58">
        <f t="shared" si="6"/>
        <v>0</v>
      </c>
      <c r="Z47" s="51">
        <f t="shared" si="7"/>
        <v>-11.232721996330103</v>
      </c>
      <c r="AA47" s="51">
        <f t="shared" si="8"/>
        <v>3.4264550506387161</v>
      </c>
      <c r="AB47" s="52">
        <v>1</v>
      </c>
      <c r="AC47">
        <v>0</v>
      </c>
    </row>
    <row r="48" spans="1:29">
      <c r="A48" s="49">
        <v>2019</v>
      </c>
      <c r="B48" s="59" t="s">
        <v>90</v>
      </c>
      <c r="C48" s="49" t="s">
        <v>91</v>
      </c>
      <c r="D48" s="50">
        <v>8271271000000</v>
      </c>
      <c r="E48" s="50">
        <v>199165000000</v>
      </c>
      <c r="F48" s="50">
        <v>17311597000000</v>
      </c>
      <c r="G48" s="50"/>
      <c r="H48" s="50"/>
      <c r="I48" s="50">
        <v>15637771000000</v>
      </c>
      <c r="J48" s="50">
        <v>1673826000000</v>
      </c>
      <c r="K48" s="51">
        <f t="shared" si="11"/>
        <v>10012124501</v>
      </c>
      <c r="L48" s="50">
        <v>1132243000000</v>
      </c>
      <c r="M48" s="50">
        <v>1081987000000</v>
      </c>
      <c r="N48" s="50">
        <v>743645000000</v>
      </c>
      <c r="O48" s="50">
        <v>49495000000</v>
      </c>
      <c r="P48" s="50">
        <v>0</v>
      </c>
      <c r="Q48" s="52">
        <v>450</v>
      </c>
      <c r="R48" s="51">
        <f t="shared" si="0"/>
        <v>0.52892902703332845</v>
      </c>
      <c r="S48" s="51">
        <f t="shared" si="1"/>
        <v>9.3425308245898915</v>
      </c>
      <c r="T48" s="51">
        <f t="shared" si="2"/>
        <v>2.8590660930935489E-3</v>
      </c>
      <c r="U48" s="51">
        <f t="shared" si="3"/>
        <v>2.9569979197359823E-2</v>
      </c>
      <c r="V48" s="51">
        <f t="shared" si="4"/>
        <v>4.3714114372974705E-2</v>
      </c>
      <c r="W48" s="58">
        <f t="shared" si="9"/>
        <v>4.4386231577497055E-2</v>
      </c>
      <c r="X48" s="51">
        <f t="shared" si="5"/>
        <v>0</v>
      </c>
      <c r="Y48" s="58">
        <f t="shared" si="6"/>
        <v>0</v>
      </c>
      <c r="Z48" s="51">
        <f t="shared" si="7"/>
        <v>91.028508444287297</v>
      </c>
      <c r="AA48" s="51">
        <f t="shared" si="8"/>
        <v>2.6917111010642683</v>
      </c>
      <c r="AB48" s="52">
        <v>1</v>
      </c>
      <c r="AC48">
        <v>0</v>
      </c>
    </row>
    <row r="49" spans="1:29">
      <c r="A49" s="49">
        <v>2020</v>
      </c>
      <c r="B49" s="59" t="s">
        <v>90</v>
      </c>
      <c r="C49" s="49" t="s">
        <v>91</v>
      </c>
      <c r="D49" s="50">
        <v>11101933000000</v>
      </c>
      <c r="E49" s="50">
        <v>194214000000</v>
      </c>
      <c r="F49" s="50">
        <v>16204908000000</v>
      </c>
      <c r="G49" s="50"/>
      <c r="H49" s="50"/>
      <c r="I49" s="50">
        <v>14761678000000</v>
      </c>
      <c r="J49" s="50">
        <v>1443230000000</v>
      </c>
      <c r="K49" s="51">
        <f t="shared" si="11"/>
        <v>10012124501</v>
      </c>
      <c r="L49" s="50">
        <v>978794000000</v>
      </c>
      <c r="M49" s="50">
        <v>952657000000</v>
      </c>
      <c r="N49" s="50">
        <v>662860000000</v>
      </c>
      <c r="O49" s="50">
        <v>-484441000000</v>
      </c>
      <c r="P49" s="50">
        <v>0</v>
      </c>
      <c r="Q49" s="52">
        <v>700</v>
      </c>
      <c r="R49" s="51">
        <f t="shared" si="0"/>
        <v>0.75207798192048358</v>
      </c>
      <c r="S49" s="51">
        <f t="shared" si="1"/>
        <v>10.228222805789791</v>
      </c>
      <c r="T49" s="51">
        <f t="shared" si="2"/>
        <v>-2.9894708442652067E-2</v>
      </c>
      <c r="U49" s="51">
        <f t="shared" si="3"/>
        <v>-0.33566444710822252</v>
      </c>
      <c r="V49" s="51">
        <f t="shared" si="4"/>
        <v>-0.4949366260929266</v>
      </c>
      <c r="W49" s="58">
        <f t="shared" si="9"/>
        <v>2.6703269533732327E-2</v>
      </c>
      <c r="X49" s="51">
        <f t="shared" si="5"/>
        <v>0</v>
      </c>
      <c r="Y49" s="58">
        <f t="shared" si="6"/>
        <v>0</v>
      </c>
      <c r="Z49" s="51">
        <f t="shared" si="7"/>
        <v>-14.467163495038612</v>
      </c>
      <c r="AA49" s="51">
        <f t="shared" si="8"/>
        <v>4.8561124357863958</v>
      </c>
      <c r="AB49" s="52">
        <v>1</v>
      </c>
      <c r="AC49">
        <v>0</v>
      </c>
    </row>
    <row r="50" spans="1:29">
      <c r="A50" s="49">
        <v>2018</v>
      </c>
      <c r="B50" s="59" t="s">
        <v>92</v>
      </c>
      <c r="C50" s="49" t="s">
        <v>93</v>
      </c>
      <c r="D50" s="50">
        <v>171650004000000</v>
      </c>
      <c r="E50" s="50">
        <v>1902608000000</v>
      </c>
      <c r="F50" s="50">
        <v>186762189000000</v>
      </c>
      <c r="G50" s="50"/>
      <c r="H50" s="50"/>
      <c r="I50" s="50">
        <v>144822368000000</v>
      </c>
      <c r="J50" s="50">
        <v>41939821000000</v>
      </c>
      <c r="K50" s="51">
        <f>22400000+9562243365</f>
        <v>9584643365</v>
      </c>
      <c r="L50" s="50">
        <v>20172187000000</v>
      </c>
      <c r="M50" s="50">
        <v>5931103000000</v>
      </c>
      <c r="N50" s="50">
        <v>13129417000000</v>
      </c>
      <c r="O50" s="50">
        <v>4107068000000</v>
      </c>
      <c r="P50" s="50">
        <v>1341456000000</v>
      </c>
      <c r="Q50" s="52">
        <v>7600</v>
      </c>
      <c r="R50" s="51">
        <f t="shared" si="0"/>
        <v>1.185245113517271</v>
      </c>
      <c r="S50" s="51">
        <f t="shared" si="1"/>
        <v>3.4530993348779435</v>
      </c>
      <c r="T50" s="51">
        <f t="shared" si="2"/>
        <v>2.199089666913253E-2</v>
      </c>
      <c r="U50" s="51">
        <f t="shared" si="3"/>
        <v>9.7927647330683654E-2</v>
      </c>
      <c r="V50" s="51">
        <f t="shared" si="4"/>
        <v>0.2036005317618759</v>
      </c>
      <c r="W50" s="58">
        <f t="shared" si="9"/>
        <v>0.70597620377007209</v>
      </c>
      <c r="X50" s="51">
        <f t="shared" si="5"/>
        <v>1.8415642783914124E-2</v>
      </c>
      <c r="Y50" s="58">
        <f t="shared" si="6"/>
        <v>0.32662132694175017</v>
      </c>
      <c r="Z50" s="51">
        <f t="shared" si="7"/>
        <v>17.736080720845138</v>
      </c>
      <c r="AA50" s="51">
        <f t="shared" si="8"/>
        <v>1.7368526578594603</v>
      </c>
      <c r="AB50" s="52">
        <v>1</v>
      </c>
      <c r="AC50">
        <v>2</v>
      </c>
    </row>
    <row r="51" spans="1:29">
      <c r="A51" s="49">
        <v>2019</v>
      </c>
      <c r="B51" s="59" t="s">
        <v>92</v>
      </c>
      <c r="C51" s="49" t="s">
        <v>93</v>
      </c>
      <c r="D51" s="50">
        <v>181728084000000</v>
      </c>
      <c r="E51" s="50">
        <v>1785994000000</v>
      </c>
      <c r="F51" s="50">
        <v>193533970000000</v>
      </c>
      <c r="G51" s="50"/>
      <c r="H51" s="50"/>
      <c r="I51" s="50">
        <v>148116943000000</v>
      </c>
      <c r="J51" s="50">
        <v>45417027000000</v>
      </c>
      <c r="K51" s="51">
        <f t="shared" ref="K51:K52" si="12">22400000+9751152870</f>
        <v>9773552870</v>
      </c>
      <c r="L51" s="50">
        <v>21970144000000</v>
      </c>
      <c r="M51" s="50">
        <v>7390746000000</v>
      </c>
      <c r="N51" s="50">
        <v>15538521000000</v>
      </c>
      <c r="O51" s="50">
        <v>4240671000000</v>
      </c>
      <c r="P51" s="50">
        <v>1444699000000</v>
      </c>
      <c r="Q51" s="52">
        <v>3950</v>
      </c>
      <c r="R51" s="51">
        <f t="shared" si="0"/>
        <v>1.2269229996192941</v>
      </c>
      <c r="S51" s="51">
        <f t="shared" si="1"/>
        <v>3.2612646133794709</v>
      </c>
      <c r="T51" s="51">
        <f t="shared" si="2"/>
        <v>2.1911765670905217E-2</v>
      </c>
      <c r="U51" s="51">
        <f t="shared" si="3"/>
        <v>9.3371831670091485E-2</v>
      </c>
      <c r="V51" s="51">
        <f t="shared" si="4"/>
        <v>0.19301971803188908</v>
      </c>
      <c r="W51" s="58">
        <f t="shared" si="9"/>
        <v>0.66360047526315713</v>
      </c>
      <c r="X51" s="51">
        <f t="shared" si="5"/>
        <v>3.7422070268954402E-2</v>
      </c>
      <c r="Y51" s="58">
        <f t="shared" si="6"/>
        <v>0.34067698248696965</v>
      </c>
      <c r="Z51" s="51">
        <f t="shared" si="7"/>
        <v>9.103638041361851</v>
      </c>
      <c r="AA51" s="51">
        <f t="shared" si="8"/>
        <v>0.85002335878348001</v>
      </c>
      <c r="AB51" s="52">
        <v>1</v>
      </c>
      <c r="AC51">
        <v>2</v>
      </c>
    </row>
    <row r="52" spans="1:29">
      <c r="A52" s="49">
        <v>2020</v>
      </c>
      <c r="B52" s="59" t="s">
        <v>92</v>
      </c>
      <c r="C52" s="49" t="s">
        <v>93</v>
      </c>
      <c r="D52" s="50">
        <v>187946193000000</v>
      </c>
      <c r="E52" s="50">
        <v>2105691000000</v>
      </c>
      <c r="F52" s="50">
        <v>200890068000000</v>
      </c>
      <c r="G52" s="50"/>
      <c r="H52" s="50"/>
      <c r="I52" s="50">
        <v>157314590000000</v>
      </c>
      <c r="J52" s="50">
        <v>43575499000000</v>
      </c>
      <c r="K52" s="51">
        <f t="shared" si="12"/>
        <v>9773552870</v>
      </c>
      <c r="L52" s="50">
        <v>20087555000000</v>
      </c>
      <c r="M52" s="50">
        <v>6363892000000</v>
      </c>
      <c r="N52" s="50">
        <v>15958508000000</v>
      </c>
      <c r="O52" s="50">
        <v>1088942000000</v>
      </c>
      <c r="P52" s="50">
        <v>1916205000000</v>
      </c>
      <c r="Q52" s="52">
        <v>3140</v>
      </c>
      <c r="R52" s="51">
        <f t="shared" si="0"/>
        <v>1.1947155886812533</v>
      </c>
      <c r="S52" s="51">
        <f t="shared" si="1"/>
        <v>3.6101615267790739</v>
      </c>
      <c r="T52" s="51">
        <f t="shared" si="2"/>
        <v>5.4205865468670159E-3</v>
      </c>
      <c r="U52" s="51">
        <f t="shared" si="3"/>
        <v>2.4989776938641597E-2</v>
      </c>
      <c r="V52" s="51">
        <f t="shared" si="4"/>
        <v>5.4209783121937936E-2</v>
      </c>
      <c r="W52" s="58">
        <f t="shared" si="9"/>
        <v>0.68319230488727967</v>
      </c>
      <c r="X52" s="51">
        <f t="shared" si="5"/>
        <v>6.2439562924956234E-2</v>
      </c>
      <c r="Y52" s="58">
        <f t="shared" si="6"/>
        <v>1.7596942720548936</v>
      </c>
      <c r="Z52" s="51">
        <f t="shared" si="7"/>
        <v>28.182360503865219</v>
      </c>
      <c r="AA52" s="51">
        <f t="shared" si="8"/>
        <v>0.7042709025959748</v>
      </c>
      <c r="AB52" s="52">
        <v>1</v>
      </c>
      <c r="AC52">
        <v>2</v>
      </c>
    </row>
    <row r="53" spans="1:29">
      <c r="A53" s="49">
        <v>2018</v>
      </c>
      <c r="B53" s="59" t="s">
        <v>94</v>
      </c>
      <c r="C53" s="49" t="s">
        <v>95</v>
      </c>
      <c r="D53" s="50">
        <v>8488491000000</v>
      </c>
      <c r="E53" s="50">
        <v>77068000000</v>
      </c>
      <c r="F53" s="50">
        <v>9482130000000</v>
      </c>
      <c r="G53" s="50"/>
      <c r="H53" s="50"/>
      <c r="I53" s="50">
        <v>8788732000000</v>
      </c>
      <c r="J53" s="50">
        <v>693398000000</v>
      </c>
      <c r="K53" s="51">
        <f t="shared" ref="K53:K54" si="13">10755117153+53354313204</f>
        <v>64109430357</v>
      </c>
      <c r="L53" s="50">
        <v>571662000000</v>
      </c>
      <c r="M53" s="50">
        <v>436252000000</v>
      </c>
      <c r="N53" s="50">
        <v>296067000000</v>
      </c>
      <c r="O53" s="50">
        <v>-100131000000</v>
      </c>
      <c r="P53" s="50">
        <v>0</v>
      </c>
      <c r="Q53" s="52">
        <v>50</v>
      </c>
      <c r="R53" s="51">
        <f t="shared" si="0"/>
        <v>0.96583796160811364</v>
      </c>
      <c r="S53" s="51">
        <f t="shared" si="1"/>
        <v>12.674873593520605</v>
      </c>
      <c r="T53" s="51">
        <f t="shared" si="2"/>
        <v>-1.0559969120862085E-2</v>
      </c>
      <c r="U53" s="51">
        <f t="shared" si="3"/>
        <v>-0.14440624287926992</v>
      </c>
      <c r="V53" s="51">
        <f t="shared" si="4"/>
        <v>-0.17515769808033418</v>
      </c>
      <c r="W53" s="58">
        <f t="shared" si="9"/>
        <v>0.23687073830340305</v>
      </c>
      <c r="X53" s="51">
        <f t="shared" si="5"/>
        <v>0</v>
      </c>
      <c r="Y53" s="58">
        <f t="shared" si="6"/>
        <v>0</v>
      </c>
      <c r="Z53" s="51">
        <f t="shared" si="7"/>
        <v>-32.012778438745244</v>
      </c>
      <c r="AA53" s="51">
        <f t="shared" si="8"/>
        <v>4.6228450584657015</v>
      </c>
      <c r="AB53" s="52">
        <v>1</v>
      </c>
      <c r="AC53">
        <v>0</v>
      </c>
    </row>
    <row r="54" spans="1:29">
      <c r="A54" s="49">
        <v>2019</v>
      </c>
      <c r="B54" s="59" t="s">
        <v>94</v>
      </c>
      <c r="C54" s="49" t="s">
        <v>95</v>
      </c>
      <c r="D54" s="50">
        <v>7018761000000</v>
      </c>
      <c r="E54" s="50">
        <v>65551000000</v>
      </c>
      <c r="F54" s="50">
        <v>8097328000000</v>
      </c>
      <c r="G54" s="50"/>
      <c r="H54" s="50"/>
      <c r="I54" s="50">
        <v>7547795000000</v>
      </c>
      <c r="J54" s="50">
        <v>549533000000</v>
      </c>
      <c r="K54" s="51">
        <f t="shared" si="13"/>
        <v>64109430357</v>
      </c>
      <c r="L54" s="50">
        <v>553871000000</v>
      </c>
      <c r="M54" s="50">
        <v>481024000000</v>
      </c>
      <c r="N54" s="50">
        <v>308662000000</v>
      </c>
      <c r="O54" s="50">
        <v>-137559000000</v>
      </c>
      <c r="P54" s="50">
        <v>0</v>
      </c>
      <c r="Q54" s="52">
        <v>50</v>
      </c>
      <c r="R54" s="51">
        <f t="shared" si="0"/>
        <v>0.92990880117968233</v>
      </c>
      <c r="S54" s="51">
        <f t="shared" si="1"/>
        <v>13.734925837028895</v>
      </c>
      <c r="T54" s="51">
        <f t="shared" si="2"/>
        <v>-1.6988196600162424E-2</v>
      </c>
      <c r="U54" s="51">
        <f t="shared" si="3"/>
        <v>-0.25031981700825973</v>
      </c>
      <c r="V54" s="51">
        <f t="shared" si="4"/>
        <v>-0.24835927499363569</v>
      </c>
      <c r="W54" s="58">
        <f t="shared" si="9"/>
        <v>0.13152340526945805</v>
      </c>
      <c r="X54" s="51">
        <f t="shared" si="5"/>
        <v>0</v>
      </c>
      <c r="Y54" s="58">
        <f t="shared" si="6"/>
        <v>0</v>
      </c>
      <c r="Z54" s="51">
        <f t="shared" si="7"/>
        <v>-23.302521229799577</v>
      </c>
      <c r="AA54" s="51">
        <f t="shared" si="8"/>
        <v>5.8330828500745175</v>
      </c>
      <c r="AB54" s="52">
        <v>1</v>
      </c>
      <c r="AC54">
        <v>0</v>
      </c>
    </row>
    <row r="55" spans="1:29">
      <c r="A55" s="49">
        <v>2020</v>
      </c>
      <c r="B55" s="59" t="s">
        <v>94</v>
      </c>
      <c r="C55" s="49" t="s">
        <v>95</v>
      </c>
      <c r="D55" s="50">
        <v>4119081000000</v>
      </c>
      <c r="E55" s="50">
        <v>65323000000</v>
      </c>
      <c r="F55" s="50">
        <v>5337281000000</v>
      </c>
      <c r="G55" s="50"/>
      <c r="H55" s="50"/>
      <c r="I55" s="50">
        <v>3975700000000</v>
      </c>
      <c r="J55" s="50">
        <v>1361581000000</v>
      </c>
      <c r="K55" s="51">
        <f>1075511715+5335431323+2749411299</f>
        <v>9160354337</v>
      </c>
      <c r="L55" s="50">
        <v>372209000000</v>
      </c>
      <c r="M55" s="50">
        <v>338465000000</v>
      </c>
      <c r="N55" s="50">
        <v>294640000000</v>
      </c>
      <c r="O55" s="50">
        <v>308158000000</v>
      </c>
      <c r="P55" s="50">
        <v>0</v>
      </c>
      <c r="Q55" s="52">
        <v>98</v>
      </c>
      <c r="R55" s="51">
        <f t="shared" si="0"/>
        <v>1.0360643408707901</v>
      </c>
      <c r="S55" s="51">
        <f t="shared" si="1"/>
        <v>2.9199144230126595</v>
      </c>
      <c r="T55" s="51">
        <f t="shared" si="2"/>
        <v>5.7736888876564675E-2</v>
      </c>
      <c r="U55" s="51">
        <f t="shared" si="3"/>
        <v>0.22632366344712507</v>
      </c>
      <c r="V55" s="51">
        <f t="shared" si="4"/>
        <v>0.82791657375291838</v>
      </c>
      <c r="W55" s="58">
        <f t="shared" si="9"/>
        <v>9.0658742803102557E-2</v>
      </c>
      <c r="X55" s="51">
        <f t="shared" si="5"/>
        <v>0</v>
      </c>
      <c r="Y55" s="58">
        <f t="shared" si="6"/>
        <v>0</v>
      </c>
      <c r="Z55" s="51">
        <f t="shared" si="7"/>
        <v>2.9131637829490069</v>
      </c>
      <c r="AA55" s="51">
        <f t="shared" si="8"/>
        <v>0.65931789957850473</v>
      </c>
      <c r="AB55" s="52">
        <v>1</v>
      </c>
      <c r="AC55">
        <v>0</v>
      </c>
    </row>
    <row r="56" spans="1:29">
      <c r="A56" s="49">
        <v>2018</v>
      </c>
      <c r="B56" s="59" t="s">
        <v>96</v>
      </c>
      <c r="C56" s="49" t="s">
        <v>97</v>
      </c>
      <c r="D56" s="50">
        <v>18425155000000</v>
      </c>
      <c r="E56" s="50">
        <v>119656000000</v>
      </c>
      <c r="F56" s="50">
        <v>20486926000000</v>
      </c>
      <c r="G56" s="50"/>
      <c r="H56" s="50"/>
      <c r="I56" s="50">
        <v>15814866000000</v>
      </c>
      <c r="J56" s="50">
        <v>4672060000000</v>
      </c>
      <c r="K56" s="51">
        <v>20436685984</v>
      </c>
      <c r="L56" s="50">
        <v>1353059000000</v>
      </c>
      <c r="M56" s="50">
        <v>1050216000000</v>
      </c>
      <c r="N56" s="50">
        <v>2149585000000</v>
      </c>
      <c r="O56" s="50">
        <v>14568000000</v>
      </c>
      <c r="P56" s="50">
        <v>0</v>
      </c>
      <c r="Q56" s="52">
        <v>182</v>
      </c>
      <c r="R56" s="51">
        <f t="shared" si="0"/>
        <v>1.1650528686110904</v>
      </c>
      <c r="S56" s="51">
        <f t="shared" si="1"/>
        <v>3.3849877784103799</v>
      </c>
      <c r="T56" s="51">
        <f t="shared" si="2"/>
        <v>7.1108764682412584E-4</v>
      </c>
      <c r="U56" s="51">
        <f t="shared" si="3"/>
        <v>3.1181106407023882E-3</v>
      </c>
      <c r="V56" s="51">
        <f t="shared" si="4"/>
        <v>1.0766714533512581E-2</v>
      </c>
      <c r="W56" s="58">
        <f t="shared" si="9"/>
        <v>0.2238209863723607</v>
      </c>
      <c r="X56" s="51">
        <f t="shared" si="5"/>
        <v>0</v>
      </c>
      <c r="Y56" s="58">
        <f t="shared" si="6"/>
        <v>0</v>
      </c>
      <c r="Z56" s="51">
        <f t="shared" si="7"/>
        <v>255.31829002526084</v>
      </c>
      <c r="AA56" s="51">
        <f t="shared" si="8"/>
        <v>0.79611067689370418</v>
      </c>
      <c r="AB56" s="52">
        <v>1</v>
      </c>
      <c r="AC56">
        <v>0</v>
      </c>
    </row>
    <row r="57" spans="1:29">
      <c r="A57" s="49">
        <v>2019</v>
      </c>
      <c r="B57" s="59" t="s">
        <v>96</v>
      </c>
      <c r="C57" s="49" t="s">
        <v>97</v>
      </c>
      <c r="D57" s="50">
        <v>20919800000000</v>
      </c>
      <c r="E57" s="50">
        <v>138903000000</v>
      </c>
      <c r="F57" s="50">
        <v>23021785000000</v>
      </c>
      <c r="G57" s="50"/>
      <c r="H57" s="50"/>
      <c r="I57" s="50">
        <v>18332221000000</v>
      </c>
      <c r="J57" s="50">
        <v>4689564000000</v>
      </c>
      <c r="K57" s="51">
        <v>20436685984</v>
      </c>
      <c r="L57" s="50">
        <v>1401513000000</v>
      </c>
      <c r="M57" s="50">
        <v>979937000000</v>
      </c>
      <c r="N57" s="50">
        <v>594032000000</v>
      </c>
      <c r="O57" s="50">
        <v>5277000000</v>
      </c>
      <c r="P57" s="50">
        <v>0</v>
      </c>
      <c r="Q57" s="52">
        <v>180</v>
      </c>
      <c r="R57" s="51">
        <f t="shared" si="0"/>
        <v>1.141149236636412</v>
      </c>
      <c r="S57" s="51">
        <f t="shared" si="1"/>
        <v>3.9091525352889951</v>
      </c>
      <c r="T57" s="51">
        <f t="shared" si="2"/>
        <v>2.2921767360784578E-4</v>
      </c>
      <c r="U57" s="51">
        <f t="shared" si="3"/>
        <v>1.1252645235250015E-3</v>
      </c>
      <c r="V57" s="51">
        <f t="shared" si="4"/>
        <v>3.7652165909270907E-3</v>
      </c>
      <c r="W57" s="58">
        <f t="shared" si="9"/>
        <v>0.30080063474259605</v>
      </c>
      <c r="X57" s="51">
        <f t="shared" si="5"/>
        <v>0</v>
      </c>
      <c r="Y57" s="58">
        <f t="shared" si="6"/>
        <v>0</v>
      </c>
      <c r="Z57" s="75">
        <f t="shared" si="7"/>
        <v>697.10128427515633</v>
      </c>
      <c r="AA57" s="51">
        <f t="shared" si="8"/>
        <v>0.78442334449855045</v>
      </c>
      <c r="AB57" s="52">
        <v>1</v>
      </c>
      <c r="AC57">
        <v>0</v>
      </c>
    </row>
    <row r="58" spans="1:29">
      <c r="A58" s="49">
        <v>2020</v>
      </c>
      <c r="B58" s="59" t="s">
        <v>96</v>
      </c>
      <c r="C58" s="49" t="s">
        <v>97</v>
      </c>
      <c r="D58" s="50">
        <v>16044957000000</v>
      </c>
      <c r="E58" s="50">
        <v>365906000000</v>
      </c>
      <c r="F58" s="50">
        <v>18297700000000</v>
      </c>
      <c r="G58" s="50"/>
      <c r="H58" s="50"/>
      <c r="I58" s="50">
        <v>14185258000000</v>
      </c>
      <c r="J58" s="50">
        <v>4112442000000</v>
      </c>
      <c r="K58" s="51">
        <v>20436685984</v>
      </c>
      <c r="L58" s="50">
        <v>1233605000000</v>
      </c>
      <c r="M58" s="50">
        <v>971493000000</v>
      </c>
      <c r="N58" s="50">
        <v>663981000000</v>
      </c>
      <c r="O58" s="50">
        <v>-422168000000</v>
      </c>
      <c r="P58" s="50">
        <v>0</v>
      </c>
      <c r="Q58" s="52">
        <v>106</v>
      </c>
      <c r="R58" s="51">
        <f t="shared" si="0"/>
        <v>1.1311008231221455</v>
      </c>
      <c r="S58" s="51">
        <f t="shared" si="1"/>
        <v>3.4493515045318572</v>
      </c>
      <c r="T58" s="51">
        <f t="shared" si="2"/>
        <v>-2.3072189400853659E-2</v>
      </c>
      <c r="U58" s="51">
        <f t="shared" si="3"/>
        <v>-0.1026562806235322</v>
      </c>
      <c r="V58" s="51">
        <f t="shared" si="4"/>
        <v>-0.34222299682637475</v>
      </c>
      <c r="W58" s="58">
        <f t="shared" si="9"/>
        <v>0.21247644100015808</v>
      </c>
      <c r="X58" s="51">
        <f t="shared" si="5"/>
        <v>0</v>
      </c>
      <c r="Y58" s="58">
        <f t="shared" si="6"/>
        <v>0</v>
      </c>
      <c r="Z58" s="51">
        <f t="shared" si="7"/>
        <v>-5.1313427694756593</v>
      </c>
      <c r="AA58" s="51">
        <f t="shared" si="8"/>
        <v>0.52676456331882615</v>
      </c>
      <c r="AB58" s="52">
        <v>1</v>
      </c>
      <c r="AC58">
        <v>0</v>
      </c>
    </row>
    <row r="59" spans="1:29">
      <c r="A59" s="49">
        <v>2018</v>
      </c>
      <c r="B59" s="59" t="s">
        <v>98</v>
      </c>
      <c r="C59" s="49" t="s">
        <v>99</v>
      </c>
      <c r="D59" s="50">
        <v>6096941183000</v>
      </c>
      <c r="E59" s="50">
        <v>439337143000</v>
      </c>
      <c r="F59" s="50">
        <v>6694023677000</v>
      </c>
      <c r="G59" s="50"/>
      <c r="H59" s="50"/>
      <c r="I59" s="50">
        <v>5493283082000</v>
      </c>
      <c r="J59" s="50">
        <v>1200740595000</v>
      </c>
      <c r="K59" s="51">
        <v>4443461538</v>
      </c>
      <c r="L59" s="50">
        <v>511186044000</v>
      </c>
      <c r="M59" s="50">
        <v>276263254000</v>
      </c>
      <c r="N59" s="50">
        <v>196095958000</v>
      </c>
      <c r="O59" s="50">
        <v>71013866000</v>
      </c>
      <c r="P59" s="50">
        <v>35547692000</v>
      </c>
      <c r="Q59" s="52">
        <v>368</v>
      </c>
      <c r="R59" s="51">
        <f t="shared" si="0"/>
        <v>1.1098902226571983</v>
      </c>
      <c r="S59" s="51">
        <f t="shared" si="1"/>
        <v>4.5749124372696004</v>
      </c>
      <c r="T59" s="51">
        <f t="shared" si="2"/>
        <v>1.0608547179777177E-2</v>
      </c>
      <c r="U59" s="51">
        <f t="shared" si="3"/>
        <v>5.9141721613901126E-2</v>
      </c>
      <c r="V59" s="51">
        <f t="shared" si="4"/>
        <v>0.13891980587795547</v>
      </c>
      <c r="W59" s="58">
        <f t="shared" si="9"/>
        <v>0.45956416994827032</v>
      </c>
      <c r="X59" s="51">
        <f t="shared" si="5"/>
        <v>2.1739130248871929E-2</v>
      </c>
      <c r="Y59" s="58">
        <f t="shared" si="6"/>
        <v>0.50057395833089835</v>
      </c>
      <c r="Z59" s="51">
        <f t="shared" si="7"/>
        <v>23.026402280140616</v>
      </c>
      <c r="AA59" s="51">
        <f t="shared" si="8"/>
        <v>1.3618210734217744</v>
      </c>
      <c r="AB59" s="52">
        <v>1</v>
      </c>
      <c r="AC59">
        <v>2</v>
      </c>
    </row>
    <row r="60" spans="1:29">
      <c r="A60" s="49">
        <v>2019</v>
      </c>
      <c r="B60" s="59" t="s">
        <v>98</v>
      </c>
      <c r="C60" s="49" t="s">
        <v>99</v>
      </c>
      <c r="D60" s="50">
        <v>7004129740000</v>
      </c>
      <c r="E60" s="50">
        <v>438379326000</v>
      </c>
      <c r="F60" s="50">
        <v>7569580138000</v>
      </c>
      <c r="G60" s="50"/>
      <c r="H60" s="50"/>
      <c r="I60" s="50">
        <v>6340648554000</v>
      </c>
      <c r="J60" s="50">
        <v>1228931584000</v>
      </c>
      <c r="K60" s="51">
        <v>4443461538</v>
      </c>
      <c r="L60" s="50">
        <v>595200789000</v>
      </c>
      <c r="M60" s="50">
        <v>354239522000</v>
      </c>
      <c r="N60" s="50">
        <v>197195767000</v>
      </c>
      <c r="O60" s="50">
        <v>59746814000</v>
      </c>
      <c r="P60" s="50">
        <v>35547692000</v>
      </c>
      <c r="Q60" s="52">
        <v>358</v>
      </c>
      <c r="R60" s="51">
        <f t="shared" si="0"/>
        <v>1.1046393251967013</v>
      </c>
      <c r="S60" s="51">
        <f t="shared" si="1"/>
        <v>5.1594805085585627</v>
      </c>
      <c r="T60" s="51">
        <f t="shared" si="2"/>
        <v>7.8930155848493371E-3</v>
      </c>
      <c r="U60" s="51">
        <f t="shared" si="3"/>
        <v>4.861687564862846E-2</v>
      </c>
      <c r="V60" s="51">
        <f t="shared" si="4"/>
        <v>0.1003809388431439</v>
      </c>
      <c r="W60" s="58">
        <f t="shared" si="9"/>
        <v>0.40484030171539304</v>
      </c>
      <c r="X60" s="51">
        <f t="shared" si="5"/>
        <v>2.2346368523980083E-2</v>
      </c>
      <c r="Y60" s="58">
        <f t="shared" si="6"/>
        <v>0.59497217709382799</v>
      </c>
      <c r="Z60" s="51">
        <f t="shared" si="7"/>
        <v>26.625005152642952</v>
      </c>
      <c r="AA60" s="51">
        <f t="shared" si="8"/>
        <v>1.2944245646501342</v>
      </c>
      <c r="AB60" s="52">
        <v>1</v>
      </c>
      <c r="AC60">
        <v>2</v>
      </c>
    </row>
    <row r="61" spans="1:29">
      <c r="A61" s="49">
        <v>2020</v>
      </c>
      <c r="B61" s="59" t="s">
        <v>98</v>
      </c>
      <c r="C61" s="49" t="s">
        <v>99</v>
      </c>
      <c r="D61" s="50">
        <v>9332393513000</v>
      </c>
      <c r="E61" s="50">
        <v>433371108000</v>
      </c>
      <c r="F61" s="50">
        <v>10110519691000</v>
      </c>
      <c r="G61" s="50"/>
      <c r="H61" s="50"/>
      <c r="I61" s="50">
        <v>8826257598000</v>
      </c>
      <c r="J61" s="50">
        <v>1284262093000</v>
      </c>
      <c r="K61" s="51">
        <v>4443461538</v>
      </c>
      <c r="L61" s="50">
        <v>630419914000</v>
      </c>
      <c r="M61" s="50">
        <v>401285815000</v>
      </c>
      <c r="N61" s="50">
        <v>209895189000</v>
      </c>
      <c r="O61" s="50">
        <v>66986471000</v>
      </c>
      <c r="P61" s="50">
        <v>0</v>
      </c>
      <c r="Q61" s="52">
        <v>430</v>
      </c>
      <c r="R61" s="51">
        <f t="shared" si="0"/>
        <v>1.0573443398156301</v>
      </c>
      <c r="S61" s="51">
        <f t="shared" si="1"/>
        <v>6.8726295404251259</v>
      </c>
      <c r="T61" s="51">
        <f t="shared" si="2"/>
        <v>6.6254231283114761E-3</v>
      </c>
      <c r="U61" s="51">
        <f t="shared" si="3"/>
        <v>5.2159501837760774E-2</v>
      </c>
      <c r="V61" s="51">
        <f t="shared" si="4"/>
        <v>0.10625690831206833</v>
      </c>
      <c r="W61" s="58">
        <f t="shared" si="9"/>
        <v>0.3634626602230081</v>
      </c>
      <c r="X61" s="51">
        <f t="shared" si="5"/>
        <v>0</v>
      </c>
      <c r="Y61" s="58">
        <f t="shared" si="6"/>
        <v>0</v>
      </c>
      <c r="Z61" s="51">
        <f t="shared" si="7"/>
        <v>28.523497846901058</v>
      </c>
      <c r="AA61" s="51">
        <f t="shared" si="8"/>
        <v>1.4877714383648011</v>
      </c>
      <c r="AB61" s="52">
        <v>1</v>
      </c>
      <c r="AC61">
        <v>2</v>
      </c>
    </row>
    <row r="62" spans="1:29">
      <c r="A62" s="49">
        <v>2018</v>
      </c>
      <c r="B62" s="59" t="s">
        <v>100</v>
      </c>
      <c r="C62" s="49" t="s">
        <v>101</v>
      </c>
      <c r="D62" s="50">
        <v>1132873678000000</v>
      </c>
      <c r="E62" s="50">
        <v>38442696000000</v>
      </c>
      <c r="F62" s="50">
        <v>1202252094000000</v>
      </c>
      <c r="G62" s="50"/>
      <c r="H62" s="50"/>
      <c r="I62" s="50">
        <v>941953100000000</v>
      </c>
      <c r="J62" s="50">
        <v>184960305000000</v>
      </c>
      <c r="K62" s="51">
        <v>46666666666</v>
      </c>
      <c r="L62" s="50">
        <v>91335057000000</v>
      </c>
      <c r="M62" s="50">
        <v>34005292000000</v>
      </c>
      <c r="N62" s="50">
        <v>37566139000000</v>
      </c>
      <c r="O62" s="50">
        <v>25851937000000</v>
      </c>
      <c r="P62" s="50">
        <v>9287857000000</v>
      </c>
      <c r="Q62" s="52">
        <v>7375</v>
      </c>
      <c r="R62" s="51">
        <f t="shared" si="0"/>
        <v>1.2026858640838913</v>
      </c>
      <c r="S62" s="51">
        <f t="shared" si="1"/>
        <v>5.0927311133056357</v>
      </c>
      <c r="T62" s="51">
        <f t="shared" si="2"/>
        <v>2.1502925325742873E-2</v>
      </c>
      <c r="U62" s="51">
        <f t="shared" si="3"/>
        <v>0.13977019014971889</v>
      </c>
      <c r="V62" s="51">
        <f t="shared" si="4"/>
        <v>0.28304506340867558</v>
      </c>
      <c r="W62" s="58">
        <f t="shared" si="9"/>
        <v>0.62768631107330453</v>
      </c>
      <c r="X62" s="51">
        <f t="shared" si="5"/>
        <v>2.6986509443484796E-2</v>
      </c>
      <c r="Y62" s="58">
        <f t="shared" si="6"/>
        <v>0.35927122211384005</v>
      </c>
      <c r="Z62" s="51">
        <f t="shared" si="7"/>
        <v>13.31299340013671</v>
      </c>
      <c r="AA62" s="51">
        <f t="shared" si="8"/>
        <v>1.8607596189990605</v>
      </c>
      <c r="AB62" s="52">
        <v>1</v>
      </c>
      <c r="AC62">
        <v>2</v>
      </c>
    </row>
    <row r="63" spans="1:29">
      <c r="A63" s="49">
        <v>2019</v>
      </c>
      <c r="B63" s="59" t="s">
        <v>100</v>
      </c>
      <c r="C63" s="49" t="s">
        <v>101</v>
      </c>
      <c r="D63" s="50">
        <v>1244815928000000</v>
      </c>
      <c r="E63" s="50">
        <v>44612199000000</v>
      </c>
      <c r="F63" s="50">
        <v>1318246335000000</v>
      </c>
      <c r="G63" s="50"/>
      <c r="H63" s="50"/>
      <c r="I63" s="50">
        <v>1025749580000000</v>
      </c>
      <c r="J63" s="50">
        <v>209034525000000</v>
      </c>
      <c r="K63" s="51">
        <v>46666666666</v>
      </c>
      <c r="L63" s="50">
        <v>102638740000000</v>
      </c>
      <c r="M63" s="50">
        <v>41391049000000</v>
      </c>
      <c r="N63" s="50">
        <v>40086241000000</v>
      </c>
      <c r="O63" s="50">
        <v>28455592000000</v>
      </c>
      <c r="P63" s="50">
        <v>11256759000000</v>
      </c>
      <c r="Q63" s="52">
        <v>7675</v>
      </c>
      <c r="R63" s="51">
        <f t="shared" si="0"/>
        <v>1.2135670852529132</v>
      </c>
      <c r="S63" s="51">
        <f t="shared" si="1"/>
        <v>4.9070821195685257</v>
      </c>
      <c r="T63" s="51">
        <f t="shared" si="2"/>
        <v>2.1585944329592998E-2</v>
      </c>
      <c r="U63" s="51">
        <f t="shared" si="3"/>
        <v>0.13612867061075198</v>
      </c>
      <c r="V63" s="51">
        <f t="shared" si="4"/>
        <v>0.27724027009684649</v>
      </c>
      <c r="W63" s="58">
        <f t="shared" si="9"/>
        <v>0.59673073734147553</v>
      </c>
      <c r="X63" s="51">
        <f t="shared" si="5"/>
        <v>3.1428829223343349E-2</v>
      </c>
      <c r="Y63" s="58">
        <f t="shared" si="6"/>
        <v>0.39559039924384637</v>
      </c>
      <c r="Z63" s="51">
        <f t="shared" si="7"/>
        <v>12.586864004148991</v>
      </c>
      <c r="AA63" s="51">
        <f t="shared" si="8"/>
        <v>1.7134330640431288</v>
      </c>
      <c r="AB63" s="52">
        <v>1</v>
      </c>
      <c r="AC63">
        <v>2</v>
      </c>
    </row>
    <row r="64" spans="1:29">
      <c r="A64" s="49">
        <v>2020</v>
      </c>
      <c r="B64" s="59" t="s">
        <v>100</v>
      </c>
      <c r="C64" s="49" t="s">
        <v>101</v>
      </c>
      <c r="D64" s="50">
        <v>1343718521000000</v>
      </c>
      <c r="E64" s="50">
        <v>46728153000000</v>
      </c>
      <c r="F64" s="50">
        <v>1429334484000000</v>
      </c>
      <c r="G64" s="50"/>
      <c r="H64" s="50"/>
      <c r="I64" s="50">
        <v>1151267847000000</v>
      </c>
      <c r="J64" s="50">
        <v>193796083000000</v>
      </c>
      <c r="K64" s="51">
        <v>46666666666</v>
      </c>
      <c r="L64" s="50">
        <v>100211477000000</v>
      </c>
      <c r="M64" s="50">
        <v>42189633000000</v>
      </c>
      <c r="N64" s="50">
        <v>40646791000000</v>
      </c>
      <c r="O64" s="50">
        <v>17645624000000</v>
      </c>
      <c r="P64" s="50">
        <v>16489280000000</v>
      </c>
      <c r="Q64" s="52">
        <v>6325</v>
      </c>
      <c r="R64" s="51">
        <f t="shared" si="0"/>
        <v>1.1671641178041168</v>
      </c>
      <c r="S64" s="51">
        <f t="shared" si="1"/>
        <v>5.9406146356425582</v>
      </c>
      <c r="T64" s="51">
        <f t="shared" si="2"/>
        <v>1.2345342673478799E-2</v>
      </c>
      <c r="U64" s="51">
        <f t="shared" si="3"/>
        <v>9.1052531748022997E-2</v>
      </c>
      <c r="V64" s="51">
        <f t="shared" si="4"/>
        <v>0.17608386312877117</v>
      </c>
      <c r="W64" s="58">
        <f t="shared" si="9"/>
        <v>0.57899400085680808</v>
      </c>
      <c r="X64" s="51">
        <f t="shared" si="5"/>
        <v>5.586430265466593E-2</v>
      </c>
      <c r="Y64" s="58">
        <f t="shared" si="6"/>
        <v>0.93446851185313706</v>
      </c>
      <c r="Z64" s="51">
        <f t="shared" si="7"/>
        <v>16.72747116579442</v>
      </c>
      <c r="AA64" s="51">
        <f t="shared" si="8"/>
        <v>1.5230785993876357</v>
      </c>
      <c r="AB64" s="52">
        <v>1</v>
      </c>
      <c r="AC64">
        <v>2</v>
      </c>
    </row>
    <row r="65" spans="1:29">
      <c r="A65" s="49">
        <v>2018</v>
      </c>
      <c r="B65" s="59" t="s">
        <v>102</v>
      </c>
      <c r="C65" s="49" t="s">
        <v>103</v>
      </c>
      <c r="D65" s="50">
        <v>6441678685504</v>
      </c>
      <c r="E65" s="50">
        <v>788081883230</v>
      </c>
      <c r="F65" s="50">
        <v>7297273467260</v>
      </c>
      <c r="G65" s="50"/>
      <c r="H65" s="50"/>
      <c r="I65" s="50">
        <v>5802518829966</v>
      </c>
      <c r="J65" s="50">
        <v>1494754637294</v>
      </c>
      <c r="K65" s="51">
        <v>2310000000</v>
      </c>
      <c r="L65" s="50">
        <v>645259846041</v>
      </c>
      <c r="M65" s="50">
        <v>311140279900</v>
      </c>
      <c r="N65" s="50">
        <v>244105811984</v>
      </c>
      <c r="O65" s="50">
        <v>92897864488</v>
      </c>
      <c r="P65" s="50">
        <v>23100000000</v>
      </c>
      <c r="Q65" s="52">
        <v>278</v>
      </c>
      <c r="R65" s="51">
        <f t="shared" si="0"/>
        <v>1.1101521381089159</v>
      </c>
      <c r="S65" s="51">
        <f t="shared" si="1"/>
        <v>3.8819206076995201</v>
      </c>
      <c r="T65" s="51">
        <f t="shared" si="2"/>
        <v>1.2730489669161535E-2</v>
      </c>
      <c r="U65" s="51">
        <f t="shared" si="3"/>
        <v>6.214923986198554E-2</v>
      </c>
      <c r="V65" s="51">
        <f t="shared" si="4"/>
        <v>0.14396969694918416</v>
      </c>
      <c r="W65" s="58">
        <f t="shared" si="9"/>
        <v>0.51780622673329957</v>
      </c>
      <c r="X65" s="51">
        <f t="shared" si="5"/>
        <v>3.5971223021582732E-2</v>
      </c>
      <c r="Y65" s="58">
        <f t="shared" si="6"/>
        <v>0.24866018317335942</v>
      </c>
      <c r="Z65" s="51">
        <f t="shared" si="7"/>
        <v>6.9127530922193907</v>
      </c>
      <c r="AA65" s="51">
        <f t="shared" si="8"/>
        <v>0.42962235003502519</v>
      </c>
      <c r="AB65" s="52">
        <v>1</v>
      </c>
      <c r="AC65">
        <v>2</v>
      </c>
    </row>
    <row r="66" spans="1:29">
      <c r="A66" s="49">
        <v>2019</v>
      </c>
      <c r="B66" s="59" t="s">
        <v>102</v>
      </c>
      <c r="C66" s="49" t="s">
        <v>103</v>
      </c>
      <c r="D66" s="50">
        <v>6738663303391</v>
      </c>
      <c r="E66" s="50">
        <v>790755582369</v>
      </c>
      <c r="F66" s="50">
        <v>7607653715376</v>
      </c>
      <c r="G66" s="50"/>
      <c r="H66" s="50"/>
      <c r="I66" s="50">
        <v>6083998151873</v>
      </c>
      <c r="J66" s="50">
        <v>1523655563503</v>
      </c>
      <c r="K66" s="51">
        <v>2310000000</v>
      </c>
      <c r="L66" s="50">
        <v>653036862635</v>
      </c>
      <c r="M66" s="50">
        <v>345037801425</v>
      </c>
      <c r="N66" s="50">
        <v>253248805324</v>
      </c>
      <c r="O66" s="50">
        <v>51167901115</v>
      </c>
      <c r="P66" s="50">
        <v>25410000000</v>
      </c>
      <c r="Q66" s="52">
        <v>322</v>
      </c>
      <c r="R66" s="51">
        <f t="shared" si="0"/>
        <v>1.1076044297147685</v>
      </c>
      <c r="S66" s="51">
        <f t="shared" si="1"/>
        <v>3.993027228467191</v>
      </c>
      <c r="T66" s="51">
        <f t="shared" si="2"/>
        <v>6.7258451855640332E-3</v>
      </c>
      <c r="U66" s="51">
        <f t="shared" si="3"/>
        <v>3.3582328145976184E-2</v>
      </c>
      <c r="V66" s="51">
        <f t="shared" si="4"/>
        <v>7.8353771498499813E-2</v>
      </c>
      <c r="W66" s="58">
        <f t="shared" si="9"/>
        <v>0.47164115662204054</v>
      </c>
      <c r="X66" s="51">
        <f t="shared" si="5"/>
        <v>3.4161490683229816E-2</v>
      </c>
      <c r="Y66" s="58">
        <f t="shared" si="6"/>
        <v>0.49660039685604757</v>
      </c>
      <c r="Z66" s="51">
        <f t="shared" si="7"/>
        <v>14.536847980695212</v>
      </c>
      <c r="AA66" s="51">
        <f t="shared" si="8"/>
        <v>0.48818119909587787</v>
      </c>
      <c r="AB66" s="52">
        <v>1</v>
      </c>
      <c r="AC66">
        <v>2</v>
      </c>
    </row>
    <row r="67" spans="1:29">
      <c r="A67" s="49">
        <v>2020</v>
      </c>
      <c r="B67" s="59" t="s">
        <v>102</v>
      </c>
      <c r="C67" s="49" t="s">
        <v>103</v>
      </c>
      <c r="D67" s="50">
        <v>6748884951929</v>
      </c>
      <c r="E67" s="50">
        <v>815641804959</v>
      </c>
      <c r="F67" s="50">
        <v>7637524325854</v>
      </c>
      <c r="G67" s="50"/>
      <c r="H67" s="50"/>
      <c r="I67" s="50">
        <v>6128138202911</v>
      </c>
      <c r="J67" s="50">
        <v>1509386122943</v>
      </c>
      <c r="K67" s="51">
        <v>2310000000</v>
      </c>
      <c r="L67" s="50">
        <v>633832905528</v>
      </c>
      <c r="M67" s="50">
        <v>346829023353</v>
      </c>
      <c r="N67" s="50">
        <v>247615102198</v>
      </c>
      <c r="O67" s="50">
        <v>35053333152</v>
      </c>
      <c r="P67" s="50">
        <v>13282500000</v>
      </c>
      <c r="Q67" s="52">
        <v>378</v>
      </c>
      <c r="R67" s="51">
        <f t="shared" si="0"/>
        <v>1.1012945087829664</v>
      </c>
      <c r="S67" s="51">
        <f t="shared" si="1"/>
        <v>4.0600202358839503</v>
      </c>
      <c r="T67" s="51">
        <f t="shared" si="2"/>
        <v>4.5896198370642136E-3</v>
      </c>
      <c r="U67" s="51">
        <f t="shared" si="3"/>
        <v>2.3223569250559316E-2</v>
      </c>
      <c r="V67" s="51">
        <f t="shared" si="4"/>
        <v>5.5303744640394809E-2</v>
      </c>
      <c r="W67" s="58">
        <f t="shared" ref="W67:W130" si="14">(L67-M67)/L67</f>
        <v>0.45280685125666992</v>
      </c>
      <c r="X67" s="51">
        <f t="shared" si="5"/>
        <v>1.5211640211640211E-2</v>
      </c>
      <c r="Y67" s="58">
        <f t="shared" si="6"/>
        <v>0.37892259610245238</v>
      </c>
      <c r="Z67" s="51">
        <f t="shared" si="7"/>
        <v>24.910041969865567</v>
      </c>
      <c r="AA67" s="51">
        <f t="shared" si="8"/>
        <v>0.57850008472151204</v>
      </c>
      <c r="AB67" s="52">
        <v>1</v>
      </c>
      <c r="AC67">
        <v>2</v>
      </c>
    </row>
    <row r="68" spans="1:29">
      <c r="A68" s="49">
        <v>2018</v>
      </c>
      <c r="B68" s="59" t="s">
        <v>105</v>
      </c>
      <c r="C68" s="49" t="s">
        <v>106</v>
      </c>
      <c r="D68" s="50">
        <v>239800296000000</v>
      </c>
      <c r="E68" s="50">
        <v>5453282000000</v>
      </c>
      <c r="F68" s="50">
        <v>266781498000000</v>
      </c>
      <c r="G68" s="50"/>
      <c r="H68" s="50"/>
      <c r="I68" s="50">
        <v>227200919000000</v>
      </c>
      <c r="J68" s="50">
        <v>39580579000000</v>
      </c>
      <c r="K68" s="51">
        <f t="shared" ref="K68:K70" si="15">71853936+25059752907</f>
        <v>25131606843</v>
      </c>
      <c r="L68" s="50">
        <v>20293247000000</v>
      </c>
      <c r="M68" s="50">
        <v>8281516000000</v>
      </c>
      <c r="N68" s="50">
        <v>8004128000000</v>
      </c>
      <c r="O68" s="50">
        <v>3482428000000</v>
      </c>
      <c r="P68" s="50">
        <v>595420000000</v>
      </c>
      <c r="Q68" s="52">
        <v>915</v>
      </c>
      <c r="R68" s="51">
        <f t="shared" si="0"/>
        <v>1.0554547800926808</v>
      </c>
      <c r="S68" s="51">
        <f t="shared" si="1"/>
        <v>5.7402121126120971</v>
      </c>
      <c r="T68" s="51">
        <f t="shared" si="2"/>
        <v>1.3053483941378874E-2</v>
      </c>
      <c r="U68" s="51">
        <f t="shared" si="3"/>
        <v>8.7983250573469382E-2</v>
      </c>
      <c r="V68" s="51">
        <f t="shared" si="4"/>
        <v>0.17160526356378553</v>
      </c>
      <c r="W68" s="58">
        <f t="shared" si="14"/>
        <v>0.59190779080351208</v>
      </c>
      <c r="X68" s="51">
        <f t="shared" si="5"/>
        <v>2.5892981873477355E-2</v>
      </c>
      <c r="Y68" s="58">
        <f t="shared" si="6"/>
        <v>0.17097840931671809</v>
      </c>
      <c r="Z68" s="51">
        <f t="shared" si="7"/>
        <v>6.6032722747878774</v>
      </c>
      <c r="AA68" s="51">
        <f t="shared" si="8"/>
        <v>0.58097735915750492</v>
      </c>
      <c r="AB68" s="52">
        <v>1</v>
      </c>
      <c r="AC68">
        <v>2</v>
      </c>
    </row>
    <row r="69" spans="1:29">
      <c r="A69" s="49">
        <v>2019</v>
      </c>
      <c r="B69" s="59" t="s">
        <v>105</v>
      </c>
      <c r="C69" s="49" t="s">
        <v>106</v>
      </c>
      <c r="D69" s="50">
        <v>270925989000000</v>
      </c>
      <c r="E69" s="50">
        <v>6248281000000</v>
      </c>
      <c r="F69" s="50">
        <v>274467227000000</v>
      </c>
      <c r="G69" s="50"/>
      <c r="H69" s="50"/>
      <c r="I69" s="50">
        <v>231173061000000</v>
      </c>
      <c r="J69" s="50">
        <v>43294166000000</v>
      </c>
      <c r="K69" s="51">
        <f t="shared" si="15"/>
        <v>25131606843</v>
      </c>
      <c r="L69" s="50">
        <v>21689486000000</v>
      </c>
      <c r="M69" s="50">
        <v>9121468000000</v>
      </c>
      <c r="N69" s="50">
        <v>8634364000000</v>
      </c>
      <c r="O69" s="50">
        <v>3642935000000</v>
      </c>
      <c r="P69" s="50">
        <v>696485000000</v>
      </c>
      <c r="Q69" s="52">
        <v>965</v>
      </c>
      <c r="R69" s="51">
        <f t="shared" si="0"/>
        <v>1.1719617667735083</v>
      </c>
      <c r="S69" s="51">
        <f t="shared" si="1"/>
        <v>5.3395891954588057</v>
      </c>
      <c r="T69" s="51">
        <f t="shared" si="2"/>
        <v>1.3272750411108281E-2</v>
      </c>
      <c r="U69" s="51">
        <f t="shared" si="3"/>
        <v>8.4143785100283489E-2</v>
      </c>
      <c r="V69" s="51">
        <f t="shared" si="4"/>
        <v>0.16795856757509145</v>
      </c>
      <c r="W69" s="58">
        <f t="shared" si="14"/>
        <v>0.57945209028927658</v>
      </c>
      <c r="X69" s="51">
        <f t="shared" si="5"/>
        <v>2.871866166371562E-2</v>
      </c>
      <c r="Y69" s="58">
        <f t="shared" si="6"/>
        <v>0.19118787461209164</v>
      </c>
      <c r="Z69" s="51">
        <f t="shared" si="7"/>
        <v>6.6572696475492972</v>
      </c>
      <c r="AA69" s="51">
        <f t="shared" si="8"/>
        <v>0.56016786657802808</v>
      </c>
      <c r="AB69" s="52">
        <v>1</v>
      </c>
      <c r="AC69">
        <v>2</v>
      </c>
    </row>
    <row r="70" spans="1:29">
      <c r="A70" s="49">
        <v>2020</v>
      </c>
      <c r="B70" s="59" t="s">
        <v>105</v>
      </c>
      <c r="C70" s="49" t="s">
        <v>106</v>
      </c>
      <c r="D70" s="50">
        <v>261686905000000</v>
      </c>
      <c r="E70" s="50">
        <v>6989721000000</v>
      </c>
      <c r="F70" s="50">
        <v>280943605000000</v>
      </c>
      <c r="G70" s="50"/>
      <c r="H70" s="50"/>
      <c r="I70" s="50">
        <v>239890554000000</v>
      </c>
      <c r="J70" s="50">
        <v>41053051000000</v>
      </c>
      <c r="K70" s="51">
        <f t="shared" si="15"/>
        <v>25131606843</v>
      </c>
      <c r="L70" s="50">
        <v>20703099000000</v>
      </c>
      <c r="M70" s="50">
        <v>8232581000000</v>
      </c>
      <c r="N70" s="50">
        <v>8100784000000</v>
      </c>
      <c r="O70" s="50">
        <v>2011254000000</v>
      </c>
      <c r="P70" s="50">
        <v>1392161000000</v>
      </c>
      <c r="Q70" s="52">
        <v>995</v>
      </c>
      <c r="R70" s="51">
        <f t="shared" si="0"/>
        <v>1.0908595633990656</v>
      </c>
      <c r="S70" s="51">
        <f t="shared" si="1"/>
        <v>5.8434281534885191</v>
      </c>
      <c r="T70" s="51">
        <f t="shared" si="2"/>
        <v>7.1589242972802314E-3</v>
      </c>
      <c r="U70" s="51">
        <f t="shared" si="3"/>
        <v>4.899158408470055E-2</v>
      </c>
      <c r="V70" s="51">
        <f t="shared" si="4"/>
        <v>9.7147485021445337E-2</v>
      </c>
      <c r="W70" s="58">
        <f t="shared" si="14"/>
        <v>0.60235030514030774</v>
      </c>
      <c r="X70" s="51">
        <f t="shared" si="5"/>
        <v>5.567319243295063E-2</v>
      </c>
      <c r="Y70" s="58">
        <f t="shared" si="6"/>
        <v>0.69218557178755147</v>
      </c>
      <c r="Z70" s="51">
        <f t="shared" si="7"/>
        <v>12.433013835539917</v>
      </c>
      <c r="AA70" s="51">
        <f t="shared" si="8"/>
        <v>0.60911304275009914</v>
      </c>
      <c r="AB70" s="52">
        <v>1</v>
      </c>
      <c r="AC70">
        <v>2</v>
      </c>
    </row>
    <row r="71" spans="1:29">
      <c r="A71" s="49">
        <v>2018</v>
      </c>
      <c r="B71" s="59" t="s">
        <v>107</v>
      </c>
      <c r="C71" s="49" t="s">
        <v>108</v>
      </c>
      <c r="D71" s="50">
        <v>169633988000000</v>
      </c>
      <c r="E71" s="50">
        <v>2926594000000</v>
      </c>
      <c r="F71" s="50">
        <v>177532858000000</v>
      </c>
      <c r="G71" s="50"/>
      <c r="H71" s="50"/>
      <c r="I71" s="50">
        <v>152442167000000</v>
      </c>
      <c r="J71" s="50">
        <v>25090691000000</v>
      </c>
      <c r="K71" s="51">
        <f t="shared" ref="K71:K73" si="16">388146231+8891200000+66935849590</f>
        <v>76215195821</v>
      </c>
      <c r="L71" s="50">
        <v>14790035000000</v>
      </c>
      <c r="M71" s="50">
        <v>6690157000000</v>
      </c>
      <c r="N71" s="50">
        <v>7333658000000</v>
      </c>
      <c r="O71" s="50">
        <v>2262245000000</v>
      </c>
      <c r="P71" s="50">
        <v>377734000000</v>
      </c>
      <c r="Q71" s="52">
        <v>206</v>
      </c>
      <c r="R71" s="51">
        <f t="shared" si="0"/>
        <v>1.1127760208236872</v>
      </c>
      <c r="S71" s="51">
        <f t="shared" si="1"/>
        <v>6.0756464220136461</v>
      </c>
      <c r="T71" s="51">
        <f t="shared" si="2"/>
        <v>1.2742683385404633E-2</v>
      </c>
      <c r="U71" s="51">
        <f t="shared" si="3"/>
        <v>9.0162722102791026E-2</v>
      </c>
      <c r="V71" s="51">
        <f t="shared" si="4"/>
        <v>0.15295737974927037</v>
      </c>
      <c r="W71" s="58">
        <f t="shared" si="14"/>
        <v>0.5476577979700521</v>
      </c>
      <c r="X71" s="51">
        <f t="shared" si="5"/>
        <v>2.4058984227782021E-2</v>
      </c>
      <c r="Y71" s="58">
        <f t="shared" si="6"/>
        <v>0.16697307320825108</v>
      </c>
      <c r="Z71" s="51">
        <f t="shared" si="7"/>
        <v>6.9401547308651361</v>
      </c>
      <c r="AA71" s="51">
        <f t="shared" si="8"/>
        <v>0.62574324234936374</v>
      </c>
      <c r="AB71" s="52">
        <v>1</v>
      </c>
      <c r="AC71">
        <v>2</v>
      </c>
    </row>
    <row r="72" spans="1:29">
      <c r="A72" s="49">
        <v>2019</v>
      </c>
      <c r="B72" s="59" t="s">
        <v>107</v>
      </c>
      <c r="C72" s="49" t="s">
        <v>108</v>
      </c>
      <c r="D72" s="50">
        <v>161319040000000</v>
      </c>
      <c r="E72" s="50">
        <v>2927444000000</v>
      </c>
      <c r="F72" s="50">
        <v>169082830000000</v>
      </c>
      <c r="G72" s="50"/>
      <c r="H72" s="50"/>
      <c r="I72" s="50">
        <v>142397914000000</v>
      </c>
      <c r="J72" s="50">
        <v>26684916000000</v>
      </c>
      <c r="K72" s="51">
        <f t="shared" si="16"/>
        <v>76215195821</v>
      </c>
      <c r="L72" s="50">
        <v>15479869000000</v>
      </c>
      <c r="M72" s="50">
        <v>7311894000000</v>
      </c>
      <c r="N72" s="50">
        <v>8178275000000</v>
      </c>
      <c r="O72" s="50">
        <v>1924180000000</v>
      </c>
      <c r="P72" s="50">
        <v>524096000000</v>
      </c>
      <c r="Q72" s="52">
        <v>206</v>
      </c>
      <c r="R72" s="51">
        <f t="shared" si="0"/>
        <v>1.1328750223124757</v>
      </c>
      <c r="S72" s="51">
        <f t="shared" si="1"/>
        <v>5.3362698986948285</v>
      </c>
      <c r="T72" s="51">
        <f t="shared" si="2"/>
        <v>1.1380102876205703E-2</v>
      </c>
      <c r="U72" s="51">
        <f t="shared" si="3"/>
        <v>7.2107403298552641E-2</v>
      </c>
      <c r="V72" s="51">
        <f t="shared" si="4"/>
        <v>0.12430208550214475</v>
      </c>
      <c r="W72" s="58">
        <f t="shared" si="14"/>
        <v>0.52765142909155105</v>
      </c>
      <c r="X72" s="51">
        <f t="shared" si="5"/>
        <v>3.3381208463743393E-2</v>
      </c>
      <c r="Y72" s="58">
        <f t="shared" si="6"/>
        <v>0.27237368645345028</v>
      </c>
      <c r="Z72" s="51">
        <f t="shared" si="7"/>
        <v>8.159491492025694</v>
      </c>
      <c r="AA72" s="51">
        <f t="shared" si="8"/>
        <v>0.58835974372660571</v>
      </c>
      <c r="AB72" s="52">
        <v>1</v>
      </c>
      <c r="AC72">
        <v>2</v>
      </c>
    </row>
    <row r="73" spans="1:29">
      <c r="A73" s="49">
        <v>2020</v>
      </c>
      <c r="B73" s="59" t="s">
        <v>107</v>
      </c>
      <c r="C73" s="49" t="s">
        <v>108</v>
      </c>
      <c r="D73" s="50">
        <v>165206394000000</v>
      </c>
      <c r="E73" s="50">
        <v>3479263000000</v>
      </c>
      <c r="F73" s="50">
        <v>173224412000000</v>
      </c>
      <c r="G73" s="50"/>
      <c r="H73" s="50"/>
      <c r="I73" s="50">
        <v>146000782000000</v>
      </c>
      <c r="J73" s="50">
        <v>27223630000000</v>
      </c>
      <c r="K73" s="51">
        <f t="shared" si="16"/>
        <v>76215195821</v>
      </c>
      <c r="L73" s="50">
        <v>12826683000000</v>
      </c>
      <c r="M73" s="50">
        <v>5566873000000</v>
      </c>
      <c r="N73" s="50">
        <v>7793430000000</v>
      </c>
      <c r="O73" s="50">
        <v>1254392000000</v>
      </c>
      <c r="P73" s="50">
        <v>392907000000</v>
      </c>
      <c r="Q73" s="52">
        <v>346</v>
      </c>
      <c r="R73" s="51">
        <f t="shared" si="0"/>
        <v>1.131544583096822</v>
      </c>
      <c r="S73" s="51">
        <f t="shared" si="1"/>
        <v>5.3630166880757635</v>
      </c>
      <c r="T73" s="51">
        <f t="shared" si="2"/>
        <v>7.2414273803394404E-3</v>
      </c>
      <c r="U73" s="51">
        <f t="shared" si="3"/>
        <v>4.6077323266588623E-2</v>
      </c>
      <c r="V73" s="51">
        <f t="shared" si="4"/>
        <v>9.7795509563930128E-2</v>
      </c>
      <c r="W73" s="58">
        <f t="shared" si="14"/>
        <v>0.56599278238964823</v>
      </c>
      <c r="X73" s="51">
        <f t="shared" si="5"/>
        <v>1.4899513829615588E-2</v>
      </c>
      <c r="Y73" s="58">
        <f t="shared" si="6"/>
        <v>0.31322505245569165</v>
      </c>
      <c r="Z73" s="51">
        <f t="shared" si="7"/>
        <v>21.022501541835407</v>
      </c>
      <c r="AA73" s="51">
        <f t="shared" si="8"/>
        <v>0.96866059941550775</v>
      </c>
      <c r="AB73" s="52">
        <v>1</v>
      </c>
      <c r="AC73">
        <v>2</v>
      </c>
    </row>
    <row r="74" spans="1:29">
      <c r="A74" s="49">
        <v>2018</v>
      </c>
      <c r="B74" s="59" t="s">
        <v>109</v>
      </c>
      <c r="C74" s="49" t="s">
        <v>110</v>
      </c>
      <c r="D74" s="50">
        <v>141176845000000</v>
      </c>
      <c r="E74" s="50">
        <v>2552305000000</v>
      </c>
      <c r="F74" s="50">
        <v>152892866000000</v>
      </c>
      <c r="G74" s="50"/>
      <c r="H74" s="50"/>
      <c r="I74" s="50">
        <v>130440930000000</v>
      </c>
      <c r="J74" s="50">
        <v>22451936000000</v>
      </c>
      <c r="K74" s="51">
        <f t="shared" ref="K74:K76" si="17">26880234+28015858971</f>
        <v>28042739205</v>
      </c>
      <c r="L74" s="50">
        <v>11080952000000</v>
      </c>
      <c r="M74" s="50">
        <v>5680767000000</v>
      </c>
      <c r="N74" s="50">
        <v>4465833000000</v>
      </c>
      <c r="O74" s="50">
        <v>901252000000</v>
      </c>
      <c r="P74" s="50"/>
      <c r="Q74" s="52">
        <v>625</v>
      </c>
      <c r="R74" s="51">
        <f t="shared" si="0"/>
        <v>1.0823048026413182</v>
      </c>
      <c r="S74" s="51">
        <f t="shared" si="1"/>
        <v>5.8097854011342269</v>
      </c>
      <c r="T74" s="51">
        <f t="shared" si="2"/>
        <v>5.8946635221031173E-3</v>
      </c>
      <c r="U74" s="51">
        <f t="shared" si="3"/>
        <v>4.0141393597416274E-2</v>
      </c>
      <c r="V74" s="51">
        <f t="shared" si="4"/>
        <v>8.1333444996422685E-2</v>
      </c>
      <c r="W74" s="58">
        <f t="shared" si="14"/>
        <v>0.48733944520290312</v>
      </c>
      <c r="X74" s="51">
        <f t="shared" si="5"/>
        <v>0</v>
      </c>
      <c r="Y74" s="58">
        <f t="shared" si="6"/>
        <v>0</v>
      </c>
      <c r="Z74" s="51">
        <f t="shared" si="7"/>
        <v>19.447071410798532</v>
      </c>
      <c r="AA74" s="51">
        <f t="shared" si="8"/>
        <v>0.78063254781792535</v>
      </c>
      <c r="AB74" s="52">
        <v>1</v>
      </c>
      <c r="AC74">
        <v>2</v>
      </c>
    </row>
    <row r="75" spans="1:29">
      <c r="A75" s="49">
        <v>2019</v>
      </c>
      <c r="B75" s="59" t="s">
        <v>109</v>
      </c>
      <c r="C75" s="49" t="s">
        <v>110</v>
      </c>
      <c r="D75" s="50">
        <v>150355796000000</v>
      </c>
      <c r="E75" s="50">
        <v>2451459000000</v>
      </c>
      <c r="F75" s="50">
        <v>161451259000000</v>
      </c>
      <c r="G75" s="50"/>
      <c r="H75" s="50"/>
      <c r="I75" s="50">
        <v>137413908000000</v>
      </c>
      <c r="J75" s="50">
        <v>24037351000000</v>
      </c>
      <c r="K75" s="51">
        <f t="shared" si="17"/>
        <v>28042739205</v>
      </c>
      <c r="L75" s="50">
        <v>11742063000000</v>
      </c>
      <c r="M75" s="50">
        <v>6021095000000</v>
      </c>
      <c r="N75" s="50">
        <v>4737632000000</v>
      </c>
      <c r="O75" s="50">
        <v>1500420000000</v>
      </c>
      <c r="P75" s="50"/>
      <c r="Q75" s="52">
        <v>1265</v>
      </c>
      <c r="R75" s="51">
        <f t="shared" si="0"/>
        <v>1.0941817912638072</v>
      </c>
      <c r="S75" s="51">
        <f t="shared" si="1"/>
        <v>5.7166826743928647</v>
      </c>
      <c r="T75" s="51">
        <f t="shared" si="2"/>
        <v>9.2933310603666459E-3</v>
      </c>
      <c r="U75" s="51">
        <f t="shared" si="3"/>
        <v>6.2420355720561718E-2</v>
      </c>
      <c r="V75" s="51">
        <f t="shared" si="4"/>
        <v>0.1277816342835156</v>
      </c>
      <c r="W75" s="58">
        <f t="shared" si="14"/>
        <v>0.48722000554757711</v>
      </c>
      <c r="X75" s="51">
        <f t="shared" si="5"/>
        <v>0</v>
      </c>
      <c r="Y75" s="58">
        <f t="shared" si="6"/>
        <v>0</v>
      </c>
      <c r="Z75" s="51">
        <f t="shared" si="7"/>
        <v>23.642756757657857</v>
      </c>
      <c r="AA75" s="51">
        <f t="shared" si="8"/>
        <v>1.4757892870277178</v>
      </c>
      <c r="AB75" s="52">
        <v>1</v>
      </c>
      <c r="AC75">
        <v>2</v>
      </c>
    </row>
    <row r="76" spans="1:29">
      <c r="A76" s="49">
        <v>2020</v>
      </c>
      <c r="B76" s="59" t="s">
        <v>109</v>
      </c>
      <c r="C76" s="49" t="s">
        <v>110</v>
      </c>
      <c r="D76" s="50">
        <v>186388089000000</v>
      </c>
      <c r="E76" s="50">
        <v>3073596000000</v>
      </c>
      <c r="F76" s="50">
        <v>197726097000000</v>
      </c>
      <c r="G76" s="50"/>
      <c r="H76" s="50"/>
      <c r="I76" s="50">
        <v>162654644000000</v>
      </c>
      <c r="J76" s="50">
        <v>35071453000000</v>
      </c>
      <c r="K76" s="51">
        <f t="shared" si="17"/>
        <v>28042739205</v>
      </c>
      <c r="L76" s="50">
        <v>11923778000000</v>
      </c>
      <c r="M76" s="50">
        <v>5291988000000</v>
      </c>
      <c r="N76" s="50">
        <v>5076563000000</v>
      </c>
      <c r="O76" s="50">
        <v>721587000000</v>
      </c>
      <c r="P76" s="50"/>
      <c r="Q76" s="52">
        <v>3020</v>
      </c>
      <c r="R76" s="51">
        <f t="shared" si="0"/>
        <v>1.1459131102337292</v>
      </c>
      <c r="S76" s="51">
        <f t="shared" si="1"/>
        <v>4.6378073928103296</v>
      </c>
      <c r="T76" s="51">
        <f t="shared" si="2"/>
        <v>3.6494272174906685E-3</v>
      </c>
      <c r="U76" s="51">
        <f t="shared" si="3"/>
        <v>2.0574767746292119E-2</v>
      </c>
      <c r="V76" s="51">
        <f t="shared" si="4"/>
        <v>6.0516641621472654E-2</v>
      </c>
      <c r="W76" s="58">
        <f t="shared" si="14"/>
        <v>0.55618194166312052</v>
      </c>
      <c r="X76" s="51">
        <f t="shared" si="5"/>
        <v>0</v>
      </c>
      <c r="Y76" s="58">
        <f t="shared" si="6"/>
        <v>0</v>
      </c>
      <c r="Z76" s="51">
        <f t="shared" si="7"/>
        <v>117.36501960137862</v>
      </c>
      <c r="AA76" s="51">
        <f t="shared" si="8"/>
        <v>2.4147580198373877</v>
      </c>
      <c r="AB76" s="52">
        <v>1</v>
      </c>
      <c r="AC76">
        <v>2</v>
      </c>
    </row>
    <row r="77" spans="1:29">
      <c r="A77" s="49">
        <v>2018</v>
      </c>
      <c r="B77" s="73" t="s">
        <v>111</v>
      </c>
      <c r="C77" s="49" t="s">
        <v>112</v>
      </c>
      <c r="D77" s="50">
        <v>27617905000000</v>
      </c>
      <c r="E77" s="50">
        <v>1211744000000</v>
      </c>
      <c r="F77" s="50">
        <v>30748742000000</v>
      </c>
      <c r="G77" s="50"/>
      <c r="H77" s="50"/>
      <c r="I77" s="50">
        <v>23532846000000</v>
      </c>
      <c r="J77" s="50">
        <v>4856420000000</v>
      </c>
      <c r="K77" s="51">
        <v>15381803206</v>
      </c>
      <c r="L77" s="50">
        <v>3085519000000</v>
      </c>
      <c r="M77" s="50">
        <v>919577000000</v>
      </c>
      <c r="N77" s="50">
        <v>781734000000</v>
      </c>
      <c r="O77" s="50">
        <v>50472000000</v>
      </c>
      <c r="P77" s="50"/>
      <c r="Q77" s="52">
        <v>550</v>
      </c>
      <c r="R77" s="51">
        <f t="shared" si="0"/>
        <v>1.1735896712195371</v>
      </c>
      <c r="S77" s="51">
        <f t="shared" si="1"/>
        <v>4.8457188628660619</v>
      </c>
      <c r="T77" s="51">
        <f t="shared" si="2"/>
        <v>1.6414330056169451E-3</v>
      </c>
      <c r="U77" s="51">
        <f t="shared" si="3"/>
        <v>1.0392840816898044E-2</v>
      </c>
      <c r="V77" s="51">
        <f t="shared" si="4"/>
        <v>1.6357701897152473E-2</v>
      </c>
      <c r="W77" s="58">
        <f t="shared" si="14"/>
        <v>0.70197007375420473</v>
      </c>
      <c r="X77" s="51">
        <f t="shared" si="5"/>
        <v>0</v>
      </c>
      <c r="Y77" s="58">
        <f t="shared" si="6"/>
        <v>0</v>
      </c>
      <c r="Z77" s="51">
        <f t="shared" si="7"/>
        <v>167.61752582223806</v>
      </c>
      <c r="AA77" s="51">
        <f t="shared" si="8"/>
        <v>1.7420222639928178</v>
      </c>
      <c r="AB77" s="52">
        <v>1</v>
      </c>
      <c r="AC77">
        <v>2</v>
      </c>
    </row>
    <row r="78" spans="1:29">
      <c r="A78" s="49">
        <v>2019</v>
      </c>
      <c r="B78" s="73" t="s">
        <v>111</v>
      </c>
      <c r="C78" s="49" t="s">
        <v>112</v>
      </c>
      <c r="D78" s="50">
        <v>31667485000000</v>
      </c>
      <c r="E78" s="50">
        <v>1399242000000</v>
      </c>
      <c r="F78" s="50">
        <v>36559556000000</v>
      </c>
      <c r="G78" s="50"/>
      <c r="H78" s="50"/>
      <c r="I78" s="50">
        <v>26385919000000</v>
      </c>
      <c r="J78" s="50">
        <v>6074463000000</v>
      </c>
      <c r="K78" s="51">
        <v>16981803206</v>
      </c>
      <c r="L78" s="50">
        <v>3360860000000</v>
      </c>
      <c r="M78" s="50">
        <v>1150357000000</v>
      </c>
      <c r="N78" s="50">
        <v>987162000000</v>
      </c>
      <c r="O78" s="50">
        <v>6752000000</v>
      </c>
      <c r="P78" s="50"/>
      <c r="Q78" s="52">
        <v>585</v>
      </c>
      <c r="R78" s="51">
        <f t="shared" si="0"/>
        <v>1.2001660810070705</v>
      </c>
      <c r="S78" s="51">
        <f t="shared" si="1"/>
        <v>4.3437451178812019</v>
      </c>
      <c r="T78" s="51">
        <f t="shared" si="2"/>
        <v>1.8468495623962173E-4</v>
      </c>
      <c r="U78" s="51">
        <f t="shared" si="3"/>
        <v>1.1115385837398302E-3</v>
      </c>
      <c r="V78" s="51">
        <f t="shared" si="4"/>
        <v>2.0090095987336577E-3</v>
      </c>
      <c r="W78" s="58">
        <f t="shared" si="14"/>
        <v>0.65771945275911525</v>
      </c>
      <c r="X78" s="51">
        <f t="shared" si="5"/>
        <v>0</v>
      </c>
      <c r="Y78" s="58">
        <f t="shared" si="6"/>
        <v>0</v>
      </c>
      <c r="Z78" s="76">
        <f t="shared" si="7"/>
        <v>1471.3203310885665</v>
      </c>
      <c r="AA78" s="51">
        <f t="shared" si="8"/>
        <v>1.6354293170458032</v>
      </c>
      <c r="AB78" s="52">
        <v>1</v>
      </c>
      <c r="AC78">
        <v>2</v>
      </c>
    </row>
    <row r="79" spans="1:29">
      <c r="A79" s="49">
        <v>2020</v>
      </c>
      <c r="B79" s="73" t="s">
        <v>111</v>
      </c>
      <c r="C79" s="49" t="s">
        <v>112</v>
      </c>
      <c r="D79" s="50">
        <v>39397647000000</v>
      </c>
      <c r="E79" s="50">
        <v>1584298000000</v>
      </c>
      <c r="F79" s="50">
        <v>44612045000000</v>
      </c>
      <c r="G79" s="50"/>
      <c r="H79" s="50"/>
      <c r="I79" s="50">
        <v>32557921000000</v>
      </c>
      <c r="J79" s="50">
        <v>6056844000000</v>
      </c>
      <c r="K79" s="51">
        <v>17461803306</v>
      </c>
      <c r="L79" s="50">
        <v>3300261000000</v>
      </c>
      <c r="M79" s="50">
        <v>1112057000000</v>
      </c>
      <c r="N79" s="50">
        <v>1201125000000</v>
      </c>
      <c r="O79" s="50">
        <v>118522000000</v>
      </c>
      <c r="P79" s="50"/>
      <c r="Q79" s="52">
        <v>505</v>
      </c>
      <c r="R79" s="51">
        <f t="shared" si="0"/>
        <v>1.2100787086497322</v>
      </c>
      <c r="S79" s="51">
        <f t="shared" si="1"/>
        <v>5.3753936868771923</v>
      </c>
      <c r="T79" s="51">
        <f t="shared" si="2"/>
        <v>2.6567264513429052E-3</v>
      </c>
      <c r="U79" s="51">
        <f t="shared" si="3"/>
        <v>1.9568276812148372E-2</v>
      </c>
      <c r="V79" s="51">
        <f t="shared" si="4"/>
        <v>3.591291719048887E-2</v>
      </c>
      <c r="W79" s="58">
        <f t="shared" si="14"/>
        <v>0.66303968080100328</v>
      </c>
      <c r="X79" s="51">
        <f t="shared" si="5"/>
        <v>0</v>
      </c>
      <c r="Y79" s="58">
        <f t="shared" si="6"/>
        <v>0</v>
      </c>
      <c r="Z79" s="51">
        <f t="shared" si="7"/>
        <v>74.401466981066804</v>
      </c>
      <c r="AA79" s="51">
        <f t="shared" si="8"/>
        <v>1.4559085011154322</v>
      </c>
      <c r="AB79" s="52">
        <v>1</v>
      </c>
      <c r="AC79">
        <v>2</v>
      </c>
    </row>
    <row r="80" spans="1:29">
      <c r="A80" s="49">
        <v>2018</v>
      </c>
      <c r="B80" s="59" t="s">
        <v>113</v>
      </c>
      <c r="C80" s="49" t="s">
        <v>114</v>
      </c>
      <c r="D80" s="50">
        <v>3589446529008</v>
      </c>
      <c r="E80" s="50">
        <v>125754140019</v>
      </c>
      <c r="F80" s="50">
        <v>3896760492444</v>
      </c>
      <c r="G80" s="50"/>
      <c r="H80" s="50"/>
      <c r="I80" s="50">
        <v>2766528043722</v>
      </c>
      <c r="J80" s="50">
        <v>1130232448722</v>
      </c>
      <c r="K80" s="51">
        <v>1388800000</v>
      </c>
      <c r="L80" s="50">
        <v>314850371256</v>
      </c>
      <c r="M80" s="50">
        <v>176462730317</v>
      </c>
      <c r="N80" s="50">
        <v>10669420520</v>
      </c>
      <c r="O80" s="50">
        <v>9879658315</v>
      </c>
      <c r="P80" s="50"/>
      <c r="Q80" s="52">
        <v>1750</v>
      </c>
      <c r="R80" s="51">
        <f t="shared" si="0"/>
        <v>1.2974553202717118</v>
      </c>
      <c r="S80" s="51">
        <f t="shared" si="1"/>
        <v>2.4477513867613925</v>
      </c>
      <c r="T80" s="51">
        <f t="shared" si="2"/>
        <v>2.5353516938382836E-3</v>
      </c>
      <c r="U80" s="51">
        <f t="shared" si="3"/>
        <v>8.7412623183587886E-3</v>
      </c>
      <c r="V80" s="51">
        <f t="shared" si="4"/>
        <v>3.1378900001254886E-2</v>
      </c>
      <c r="W80" s="58">
        <f t="shared" si="14"/>
        <v>0.43953462842347779</v>
      </c>
      <c r="X80" s="51">
        <f t="shared" si="5"/>
        <v>0</v>
      </c>
      <c r="Y80" s="58">
        <f t="shared" si="6"/>
        <v>0</v>
      </c>
      <c r="Z80" s="51">
        <f t="shared" si="7"/>
        <v>246.00041038969877</v>
      </c>
      <c r="AA80" s="51">
        <f t="shared" si="8"/>
        <v>2.1503541176402718</v>
      </c>
      <c r="AB80" s="52">
        <v>1</v>
      </c>
      <c r="AC80">
        <v>2</v>
      </c>
    </row>
    <row r="81" spans="1:29">
      <c r="A81" s="49">
        <v>2019</v>
      </c>
      <c r="B81" s="59" t="s">
        <v>113</v>
      </c>
      <c r="C81" s="49" t="s">
        <v>114</v>
      </c>
      <c r="D81" s="50">
        <v>3628547496443</v>
      </c>
      <c r="E81" s="50">
        <v>123155112941</v>
      </c>
      <c r="F81" s="50">
        <v>4007412556573</v>
      </c>
      <c r="G81" s="50"/>
      <c r="H81" s="50"/>
      <c r="I81" s="50">
        <v>2846135386095</v>
      </c>
      <c r="J81" s="50">
        <v>1161277170478</v>
      </c>
      <c r="K81" s="51">
        <v>1388800000</v>
      </c>
      <c r="L81" s="50">
        <v>287717146129</v>
      </c>
      <c r="M81" s="50">
        <v>145535047285</v>
      </c>
      <c r="N81" s="50">
        <v>1675418516</v>
      </c>
      <c r="O81" s="50">
        <v>30952161285</v>
      </c>
      <c r="P81" s="50"/>
      <c r="Q81" s="52">
        <v>1750</v>
      </c>
      <c r="R81" s="51">
        <f t="shared" si="0"/>
        <v>1.2749033352982893</v>
      </c>
      <c r="S81" s="51">
        <f t="shared" si="1"/>
        <v>2.4508665617903138</v>
      </c>
      <c r="T81" s="51">
        <f t="shared" si="2"/>
        <v>7.7237271800808084E-3</v>
      </c>
      <c r="U81" s="51">
        <f t="shared" si="3"/>
        <v>2.6653551858131855E-2</v>
      </c>
      <c r="V81" s="51">
        <f t="shared" si="4"/>
        <v>0.10757843841229532</v>
      </c>
      <c r="W81" s="58">
        <f t="shared" si="14"/>
        <v>0.49417318625929807</v>
      </c>
      <c r="X81" s="51">
        <f t="shared" si="5"/>
        <v>0</v>
      </c>
      <c r="Y81" s="58">
        <f t="shared" si="6"/>
        <v>0</v>
      </c>
      <c r="Z81" s="51">
        <f t="shared" si="7"/>
        <v>78.521172645149591</v>
      </c>
      <c r="AA81" s="51">
        <f t="shared" si="8"/>
        <v>2.0928681470588191</v>
      </c>
      <c r="AB81" s="52">
        <v>1</v>
      </c>
      <c r="AC81">
        <v>2</v>
      </c>
    </row>
    <row r="82" spans="1:29">
      <c r="A82" s="49">
        <v>2020</v>
      </c>
      <c r="B82" s="59" t="s">
        <v>113</v>
      </c>
      <c r="C82" s="49" t="s">
        <v>114</v>
      </c>
      <c r="D82" s="50">
        <v>3420216280720</v>
      </c>
      <c r="E82" s="50">
        <v>122716526336</v>
      </c>
      <c r="F82" s="50">
        <v>3721363459751</v>
      </c>
      <c r="G82" s="50"/>
      <c r="H82" s="50"/>
      <c r="I82" s="50">
        <v>2663693880300</v>
      </c>
      <c r="J82" s="50">
        <v>1057669579451</v>
      </c>
      <c r="K82" s="51">
        <v>1388800000</v>
      </c>
      <c r="L82" s="50">
        <v>230453382943</v>
      </c>
      <c r="M82" s="50">
        <v>142465319309</v>
      </c>
      <c r="N82" s="50">
        <v>2848631236</v>
      </c>
      <c r="O82" s="50">
        <v>70581531876</v>
      </c>
      <c r="P82" s="50"/>
      <c r="Q82" s="52">
        <v>1750</v>
      </c>
      <c r="R82" s="51">
        <f t="shared" si="0"/>
        <v>1.2840125158581648</v>
      </c>
      <c r="S82" s="51">
        <f t="shared" si="1"/>
        <v>2.5184556047103408</v>
      </c>
      <c r="T82" s="51">
        <f t="shared" si="2"/>
        <v>1.896657841659E-2</v>
      </c>
      <c r="U82" s="51">
        <f t="shared" si="3"/>
        <v>6.6733064132029257E-2</v>
      </c>
      <c r="V82" s="51">
        <f t="shared" si="4"/>
        <v>0.30627249196622786</v>
      </c>
      <c r="W82" s="58">
        <f t="shared" si="14"/>
        <v>0.38180417449442622</v>
      </c>
      <c r="X82" s="51">
        <f t="shared" si="5"/>
        <v>0</v>
      </c>
      <c r="Y82" s="58">
        <f t="shared" si="6"/>
        <v>0</v>
      </c>
      <c r="Z82" s="51">
        <f t="shared" si="7"/>
        <v>34.43393668856335</v>
      </c>
      <c r="AA82" s="51">
        <f t="shared" si="8"/>
        <v>2.2978821053561331</v>
      </c>
      <c r="AB82" s="52">
        <v>1</v>
      </c>
      <c r="AC82">
        <v>2</v>
      </c>
    </row>
    <row r="83" spans="1:29">
      <c r="A83" s="49">
        <v>2018</v>
      </c>
      <c r="B83" s="59" t="s">
        <v>115</v>
      </c>
      <c r="C83" s="49" t="s">
        <v>116</v>
      </c>
      <c r="D83" s="50">
        <v>95049657000000</v>
      </c>
      <c r="E83" s="50">
        <v>1786727000000</v>
      </c>
      <c r="F83" s="50">
        <v>101919301000000</v>
      </c>
      <c r="G83" s="50"/>
      <c r="H83" s="50"/>
      <c r="I83" s="50">
        <v>76544999000000</v>
      </c>
      <c r="J83" s="50">
        <v>19364407000000</v>
      </c>
      <c r="K83" s="51">
        <v>5851646757</v>
      </c>
      <c r="L83" s="50">
        <v>14126651000000</v>
      </c>
      <c r="M83" s="50">
        <v>4526243000000</v>
      </c>
      <c r="N83" s="50">
        <v>7286241000000</v>
      </c>
      <c r="O83" s="50">
        <v>2128064000000</v>
      </c>
      <c r="P83" s="50">
        <v>574509000000</v>
      </c>
      <c r="Q83" s="52">
        <v>3440</v>
      </c>
      <c r="R83" s="51">
        <f t="shared" si="0"/>
        <v>1.2417487522600921</v>
      </c>
      <c r="S83" s="51">
        <f t="shared" si="1"/>
        <v>3.9528708005362621</v>
      </c>
      <c r="T83" s="51">
        <f t="shared" si="2"/>
        <v>2.0879892023592275E-2</v>
      </c>
      <c r="U83" s="51">
        <f t="shared" si="3"/>
        <v>0.10989564513904299</v>
      </c>
      <c r="V83" s="51">
        <f t="shared" si="4"/>
        <v>0.15064179047107484</v>
      </c>
      <c r="W83" s="58">
        <f t="shared" si="14"/>
        <v>0.67959546816864091</v>
      </c>
      <c r="X83" s="51">
        <f t="shared" si="5"/>
        <v>2.8540415573235899E-2</v>
      </c>
      <c r="Y83" s="58">
        <f t="shared" si="6"/>
        <v>0.26996791449881208</v>
      </c>
      <c r="Z83" s="51">
        <f t="shared" si="7"/>
        <v>9.4591444825343594</v>
      </c>
      <c r="AA83" s="51">
        <f t="shared" si="8"/>
        <v>1.0395187853715324</v>
      </c>
      <c r="AB83" s="52">
        <v>1</v>
      </c>
      <c r="AC83">
        <v>2</v>
      </c>
    </row>
    <row r="84" spans="1:29">
      <c r="A84" s="49">
        <v>2019</v>
      </c>
      <c r="B84" s="59" t="s">
        <v>115</v>
      </c>
      <c r="C84" s="49" t="s">
        <v>116</v>
      </c>
      <c r="D84" s="50">
        <v>174663286000000</v>
      </c>
      <c r="E84" s="50">
        <v>1893746000000</v>
      </c>
      <c r="F84" s="50">
        <v>181631385000000</v>
      </c>
      <c r="G84" s="50"/>
      <c r="H84" s="50"/>
      <c r="I84" s="50">
        <v>142608793000000</v>
      </c>
      <c r="J84" s="50">
        <v>31471928000000</v>
      </c>
      <c r="K84" s="51">
        <f t="shared" ref="K84:K85" si="18">8148931869</f>
        <v>8148931869</v>
      </c>
      <c r="L84" s="50">
        <v>18680979000000</v>
      </c>
      <c r="M84" s="50">
        <v>7689284000000</v>
      </c>
      <c r="N84" s="50">
        <v>8594419000000</v>
      </c>
      <c r="O84" s="50">
        <v>2992418000000</v>
      </c>
      <c r="P84" s="50">
        <v>0</v>
      </c>
      <c r="Q84" s="52">
        <v>3250</v>
      </c>
      <c r="R84" s="51">
        <f t="shared" si="0"/>
        <v>1.2247722060167776</v>
      </c>
      <c r="S84" s="51">
        <f t="shared" si="1"/>
        <v>4.5313014506133849</v>
      </c>
      <c r="T84" s="51">
        <f t="shared" si="2"/>
        <v>1.6475225358216588E-2</v>
      </c>
      <c r="U84" s="51">
        <f t="shared" si="3"/>
        <v>9.5082131606300066E-2</v>
      </c>
      <c r="V84" s="51">
        <f t="shared" si="4"/>
        <v>0.16018528793378548</v>
      </c>
      <c r="W84" s="58">
        <f t="shared" si="14"/>
        <v>0.58838966630175005</v>
      </c>
      <c r="X84" s="51">
        <f t="shared" si="5"/>
        <v>0</v>
      </c>
      <c r="Y84" s="58">
        <f t="shared" si="6"/>
        <v>0</v>
      </c>
      <c r="Z84" s="51">
        <f t="shared" si="7"/>
        <v>8.8503773785112916</v>
      </c>
      <c r="AA84" s="51">
        <f t="shared" si="8"/>
        <v>0.84151274666903153</v>
      </c>
      <c r="AB84" s="52">
        <v>1</v>
      </c>
      <c r="AC84">
        <v>2</v>
      </c>
    </row>
    <row r="85" spans="1:29">
      <c r="A85" s="49">
        <v>2020</v>
      </c>
      <c r="B85" s="59" t="s">
        <v>115</v>
      </c>
      <c r="C85" s="49" t="s">
        <v>116</v>
      </c>
      <c r="D85" s="50">
        <v>175897784000000</v>
      </c>
      <c r="E85" s="50">
        <v>2357987000000</v>
      </c>
      <c r="F85" s="50">
        <v>183165978000000</v>
      </c>
      <c r="G85" s="50"/>
      <c r="H85" s="50"/>
      <c r="I85" s="50">
        <v>142277859000000</v>
      </c>
      <c r="J85" s="50">
        <v>32964753000000</v>
      </c>
      <c r="K85" s="51">
        <f t="shared" si="18"/>
        <v>8148931869</v>
      </c>
      <c r="L85" s="50">
        <v>16403483000000</v>
      </c>
      <c r="M85" s="50">
        <v>5779055000000</v>
      </c>
      <c r="N85" s="50">
        <v>9690939000000</v>
      </c>
      <c r="O85" s="50">
        <v>2005677000000</v>
      </c>
      <c r="P85" s="50">
        <v>103887000000</v>
      </c>
      <c r="Q85" s="52">
        <v>3110</v>
      </c>
      <c r="R85" s="51">
        <f t="shared" si="0"/>
        <v>1.2362976589351122</v>
      </c>
      <c r="S85" s="51">
        <f t="shared" si="1"/>
        <v>4.3160602174085758</v>
      </c>
      <c r="T85" s="51">
        <f t="shared" si="2"/>
        <v>1.0950052088821867E-2</v>
      </c>
      <c r="U85" s="51">
        <f t="shared" si="3"/>
        <v>6.0843076846351617E-2</v>
      </c>
      <c r="V85" s="51">
        <f t="shared" si="4"/>
        <v>0.12227141028524247</v>
      </c>
      <c r="W85" s="58">
        <f t="shared" si="14"/>
        <v>0.64769341974506267</v>
      </c>
      <c r="X85" s="51">
        <f t="shared" si="5"/>
        <v>4.0992096389201853E-3</v>
      </c>
      <c r="Y85" s="58">
        <f t="shared" si="6"/>
        <v>5.1796475703715004E-2</v>
      </c>
      <c r="Z85" s="51">
        <f t="shared" si="7"/>
        <v>12.635722557814642</v>
      </c>
      <c r="AA85" s="51">
        <f t="shared" si="8"/>
        <v>0.76879623859429491</v>
      </c>
      <c r="AB85" s="52">
        <v>1</v>
      </c>
      <c r="AC85">
        <v>2</v>
      </c>
    </row>
    <row r="86" spans="1:29">
      <c r="A86" s="49">
        <v>2018</v>
      </c>
      <c r="B86" s="59" t="s">
        <v>117</v>
      </c>
      <c r="C86" s="49" t="s">
        <v>118</v>
      </c>
      <c r="D86" s="50">
        <v>28094350409000</v>
      </c>
      <c r="E86" s="50">
        <v>541283738000</v>
      </c>
      <c r="F86" s="50">
        <v>30172315337000</v>
      </c>
      <c r="G86" s="50"/>
      <c r="H86" s="50"/>
      <c r="I86" s="50">
        <v>25808570240000</v>
      </c>
      <c r="J86" s="50">
        <v>2806025405000</v>
      </c>
      <c r="K86" s="51">
        <v>8671048162</v>
      </c>
      <c r="L86" s="50">
        <v>2280212771000</v>
      </c>
      <c r="M86" s="50">
        <v>1820882197000</v>
      </c>
      <c r="N86" s="50">
        <v>741051703000</v>
      </c>
      <c r="O86" s="50">
        <v>79081921000</v>
      </c>
      <c r="P86" s="50"/>
      <c r="Q86" s="52">
        <v>190</v>
      </c>
      <c r="R86" s="51">
        <f t="shared" si="0"/>
        <v>1.088566710505231</v>
      </c>
      <c r="S86" s="51">
        <f t="shared" si="1"/>
        <v>9.197554018581668</v>
      </c>
      <c r="T86" s="51">
        <f t="shared" si="2"/>
        <v>2.6210093629448002E-3</v>
      </c>
      <c r="U86" s="51">
        <f t="shared" si="3"/>
        <v>2.8182895585722609E-2</v>
      </c>
      <c r="V86" s="51">
        <f t="shared" si="4"/>
        <v>3.4681816541759912E-2</v>
      </c>
      <c r="W86" s="58">
        <f t="shared" si="14"/>
        <v>0.20144197938096717</v>
      </c>
      <c r="X86" s="51">
        <f t="shared" si="5"/>
        <v>0</v>
      </c>
      <c r="Y86" s="58">
        <f t="shared" si="6"/>
        <v>0</v>
      </c>
      <c r="Z86" s="51">
        <f t="shared" si="7"/>
        <v>20.832816526801366</v>
      </c>
      <c r="AA86" s="51">
        <f t="shared" si="8"/>
        <v>0.58712909293135918</v>
      </c>
      <c r="AB86" s="52">
        <v>1</v>
      </c>
      <c r="AC86">
        <v>0</v>
      </c>
    </row>
    <row r="87" spans="1:29">
      <c r="A87" s="49">
        <v>2019</v>
      </c>
      <c r="B87" s="59" t="s">
        <v>117</v>
      </c>
      <c r="C87" s="49" t="s">
        <v>118</v>
      </c>
      <c r="D87" s="50">
        <v>28304904517000</v>
      </c>
      <c r="E87" s="50">
        <v>521735784000</v>
      </c>
      <c r="F87" s="50">
        <v>30456458802000</v>
      </c>
      <c r="G87" s="50"/>
      <c r="H87" s="50"/>
      <c r="I87" s="50">
        <v>25782313852000</v>
      </c>
      <c r="J87" s="50">
        <v>2986454603000</v>
      </c>
      <c r="K87" s="51">
        <v>8951947039</v>
      </c>
      <c r="L87" s="50">
        <v>2223204722000</v>
      </c>
      <c r="M87" s="50">
        <v>1954056503000</v>
      </c>
      <c r="N87" s="50">
        <v>648356649000</v>
      </c>
      <c r="O87" s="50">
        <v>-13764500000</v>
      </c>
      <c r="P87" s="50"/>
      <c r="Q87" s="52">
        <v>84</v>
      </c>
      <c r="R87" s="51">
        <f t="shared" si="0"/>
        <v>1.0978419035421181</v>
      </c>
      <c r="S87" s="51">
        <f t="shared" si="1"/>
        <v>8.6330841346460616</v>
      </c>
      <c r="T87" s="51">
        <f t="shared" si="2"/>
        <v>-4.5194026296636034E-4</v>
      </c>
      <c r="U87" s="51">
        <f t="shared" si="3"/>
        <v>-4.6089768068709527E-3</v>
      </c>
      <c r="V87" s="51">
        <f t="shared" si="4"/>
        <v>-6.1912876775546896E-3</v>
      </c>
      <c r="W87" s="58">
        <f t="shared" si="14"/>
        <v>0.12106317350651975</v>
      </c>
      <c r="X87" s="51">
        <f t="shared" si="5"/>
        <v>0</v>
      </c>
      <c r="Y87" s="58">
        <f t="shared" si="6"/>
        <v>0</v>
      </c>
      <c r="Z87" s="51">
        <f t="shared" si="7"/>
        <v>-54.63064777332994</v>
      </c>
      <c r="AA87" s="51">
        <f t="shared" si="8"/>
        <v>0.25179138853161398</v>
      </c>
      <c r="AB87" s="52">
        <v>1</v>
      </c>
      <c r="AC87">
        <v>0</v>
      </c>
    </row>
    <row r="88" spans="1:29">
      <c r="A88" s="49">
        <v>2020</v>
      </c>
      <c r="B88" s="59" t="s">
        <v>117</v>
      </c>
      <c r="C88" s="49" t="s">
        <v>118</v>
      </c>
      <c r="D88" s="50">
        <v>23651943876000</v>
      </c>
      <c r="E88" s="50">
        <v>559673354000</v>
      </c>
      <c r="F88" s="50">
        <v>26221407472000</v>
      </c>
      <c r="G88" s="50"/>
      <c r="H88" s="50"/>
      <c r="I88" s="50">
        <v>22197849857000</v>
      </c>
      <c r="J88" s="50">
        <v>2644375254000</v>
      </c>
      <c r="K88" s="51">
        <v>8951947039</v>
      </c>
      <c r="L88" s="50">
        <v>1790640395000</v>
      </c>
      <c r="M88" s="50">
        <v>1600981946000</v>
      </c>
      <c r="N88" s="50">
        <v>928353052000</v>
      </c>
      <c r="O88" s="50">
        <v>-252193690000</v>
      </c>
      <c r="P88" s="50"/>
      <c r="Q88" s="52">
        <v>114</v>
      </c>
      <c r="R88" s="51">
        <f t="shared" si="0"/>
        <v>1.0655060750643583</v>
      </c>
      <c r="S88" s="51">
        <f t="shared" si="1"/>
        <v>8.3943645378705387</v>
      </c>
      <c r="T88" s="51">
        <f t="shared" si="2"/>
        <v>-9.6178548107800823E-3</v>
      </c>
      <c r="U88" s="51">
        <f t="shared" si="3"/>
        <v>-9.5369857064923208E-2</v>
      </c>
      <c r="V88" s="51">
        <f t="shared" si="4"/>
        <v>-0.14083994234922864</v>
      </c>
      <c r="W88" s="58">
        <f t="shared" si="14"/>
        <v>0.10591654780579213</v>
      </c>
      <c r="X88" s="51">
        <f t="shared" si="5"/>
        <v>0</v>
      </c>
      <c r="Y88" s="58">
        <f t="shared" si="6"/>
        <v>0</v>
      </c>
      <c r="Z88" s="51">
        <f t="shared" si="7"/>
        <v>-4.0465800807545982</v>
      </c>
      <c r="AA88" s="51">
        <f t="shared" si="8"/>
        <v>0.38592176390333138</v>
      </c>
      <c r="AB88" s="52">
        <v>1</v>
      </c>
      <c r="AC88">
        <v>0</v>
      </c>
    </row>
    <row r="89" spans="1:29">
      <c r="A89" s="49">
        <v>2018</v>
      </c>
      <c r="B89" s="59" t="s">
        <v>119</v>
      </c>
      <c r="C89" s="49" t="s">
        <v>120</v>
      </c>
      <c r="D89" s="50">
        <v>22228828000000</v>
      </c>
      <c r="E89" s="50">
        <v>2053140000000</v>
      </c>
      <c r="F89" s="50">
        <v>26025188000000</v>
      </c>
      <c r="G89" s="50"/>
      <c r="H89" s="50"/>
      <c r="I89" s="50">
        <v>21438077000000</v>
      </c>
      <c r="J89" s="50">
        <v>4587111000000</v>
      </c>
      <c r="K89" s="51">
        <v>15796193049</v>
      </c>
      <c r="L89" s="50">
        <v>2263784000000</v>
      </c>
      <c r="M89" s="50">
        <v>1065854000000</v>
      </c>
      <c r="N89" s="50">
        <v>1197424000000</v>
      </c>
      <c r="O89" s="50">
        <v>53621000000</v>
      </c>
      <c r="P89" s="50"/>
      <c r="Q89" s="52">
        <v>62</v>
      </c>
      <c r="R89" s="51">
        <f t="shared" si="0"/>
        <v>1.0368853512374268</v>
      </c>
      <c r="S89" s="51">
        <f t="shared" si="1"/>
        <v>4.6735465961037352</v>
      </c>
      <c r="T89" s="51">
        <f t="shared" si="2"/>
        <v>2.0603501500162072E-3</v>
      </c>
      <c r="U89" s="51">
        <f t="shared" si="3"/>
        <v>1.1689492580406273E-2</v>
      </c>
      <c r="V89" s="51">
        <f t="shared" si="4"/>
        <v>2.3686447116862741E-2</v>
      </c>
      <c r="W89" s="58">
        <f t="shared" si="14"/>
        <v>0.52917151106289295</v>
      </c>
      <c r="X89" s="51">
        <f t="shared" si="5"/>
        <v>0</v>
      </c>
      <c r="Y89" s="58">
        <f t="shared" si="6"/>
        <v>0</v>
      </c>
      <c r="Z89" s="51">
        <f t="shared" si="7"/>
        <v>18.264559949236304</v>
      </c>
      <c r="AA89" s="51">
        <f t="shared" si="8"/>
        <v>0.2135034380109834</v>
      </c>
      <c r="AB89" s="52">
        <v>1</v>
      </c>
      <c r="AC89">
        <v>2</v>
      </c>
    </row>
    <row r="90" spans="1:29">
      <c r="A90" s="49">
        <v>2019</v>
      </c>
      <c r="B90" s="59" t="s">
        <v>119</v>
      </c>
      <c r="C90" s="49" t="s">
        <v>120</v>
      </c>
      <c r="D90" s="50">
        <v>20925424000000</v>
      </c>
      <c r="E90" s="50">
        <v>2029527000000</v>
      </c>
      <c r="F90" s="50">
        <v>25532041000000</v>
      </c>
      <c r="G90" s="50"/>
      <c r="H90" s="50"/>
      <c r="I90" s="50">
        <v>20995806000000</v>
      </c>
      <c r="J90" s="50">
        <v>4536235000000</v>
      </c>
      <c r="K90" s="51">
        <v>15796193049</v>
      </c>
      <c r="L90" s="50">
        <v>1976522000000</v>
      </c>
      <c r="M90" s="50">
        <v>1049601000000</v>
      </c>
      <c r="N90" s="50">
        <v>1110037000000</v>
      </c>
      <c r="O90" s="50">
        <v>-58345000000</v>
      </c>
      <c r="P90" s="50"/>
      <c r="Q90" s="52">
        <v>61</v>
      </c>
      <c r="R90" s="51">
        <f t="shared" si="0"/>
        <v>0.99664780670958764</v>
      </c>
      <c r="S90" s="51">
        <f t="shared" si="1"/>
        <v>4.6284652360382568</v>
      </c>
      <c r="T90" s="51">
        <f t="shared" si="2"/>
        <v>-2.2851678798416469E-3</v>
      </c>
      <c r="U90" s="51">
        <f t="shared" si="3"/>
        <v>-1.2861987970199957E-2</v>
      </c>
      <c r="V90" s="51">
        <f t="shared" si="4"/>
        <v>-2.9519023820630381E-2</v>
      </c>
      <c r="W90" s="58">
        <f t="shared" si="14"/>
        <v>0.46896568821394347</v>
      </c>
      <c r="X90" s="51">
        <f t="shared" si="5"/>
        <v>0</v>
      </c>
      <c r="Y90" s="58">
        <f t="shared" si="6"/>
        <v>0</v>
      </c>
      <c r="Z90" s="51">
        <f t="shared" si="7"/>
        <v>-16.515001730893822</v>
      </c>
      <c r="AA90" s="51">
        <f t="shared" si="8"/>
        <v>0.21241575359058781</v>
      </c>
      <c r="AB90" s="52">
        <v>1</v>
      </c>
      <c r="AC90">
        <v>2</v>
      </c>
    </row>
    <row r="91" spans="1:29">
      <c r="A91" s="49">
        <v>2020</v>
      </c>
      <c r="B91" s="59" t="s">
        <v>119</v>
      </c>
      <c r="C91" s="49" t="s">
        <v>120</v>
      </c>
      <c r="D91" s="50">
        <v>25019864000000</v>
      </c>
      <c r="E91" s="50">
        <v>2065208000000</v>
      </c>
      <c r="F91" s="50">
        <v>30526965000000</v>
      </c>
      <c r="G91" s="50"/>
      <c r="H91" s="50"/>
      <c r="I91" s="50">
        <v>26967430000000</v>
      </c>
      <c r="J91" s="50">
        <v>3559535000000</v>
      </c>
      <c r="K91" s="51">
        <v>15796195097</v>
      </c>
      <c r="L91" s="50">
        <v>1688028000000</v>
      </c>
      <c r="M91" s="50">
        <v>1056241000000</v>
      </c>
      <c r="N91" s="50">
        <v>717238000000</v>
      </c>
      <c r="O91" s="50">
        <v>21371000000</v>
      </c>
      <c r="P91" s="50"/>
      <c r="Q91" s="52">
        <v>69</v>
      </c>
      <c r="R91" s="51">
        <f t="shared" si="0"/>
        <v>0.92778080818231479</v>
      </c>
      <c r="S91" s="51">
        <f t="shared" si="1"/>
        <v>7.5761103627299633</v>
      </c>
      <c r="T91" s="51">
        <f t="shared" si="2"/>
        <v>7.0006959420957835E-4</v>
      </c>
      <c r="U91" s="51">
        <f t="shared" si="3"/>
        <v>6.0038741015329246E-3</v>
      </c>
      <c r="V91" s="51">
        <f t="shared" si="4"/>
        <v>1.2660335018139509E-2</v>
      </c>
      <c r="W91" s="58">
        <f t="shared" si="14"/>
        <v>0.37427518974803736</v>
      </c>
      <c r="X91" s="51">
        <f t="shared" si="5"/>
        <v>0</v>
      </c>
      <c r="Y91" s="58">
        <f t="shared" si="6"/>
        <v>0</v>
      </c>
      <c r="Z91" s="51">
        <f t="shared" si="7"/>
        <v>51.000770281830519</v>
      </c>
      <c r="AA91" s="51">
        <f t="shared" si="8"/>
        <v>0.30620220385331226</v>
      </c>
      <c r="AB91" s="52">
        <v>1</v>
      </c>
      <c r="AC91">
        <v>2</v>
      </c>
    </row>
    <row r="92" spans="1:29">
      <c r="A92" s="49">
        <v>2018</v>
      </c>
      <c r="B92" s="59" t="s">
        <v>121</v>
      </c>
      <c r="C92" s="49" t="s">
        <v>122</v>
      </c>
      <c r="D92" s="50">
        <v>14724304000000</v>
      </c>
      <c r="E92" s="50">
        <v>683878000000</v>
      </c>
      <c r="F92" s="50">
        <v>15992475000000</v>
      </c>
      <c r="G92" s="50"/>
      <c r="H92" s="50"/>
      <c r="I92" s="50">
        <v>13476317000000</v>
      </c>
      <c r="J92" s="50">
        <v>2516158000000</v>
      </c>
      <c r="K92" s="51">
        <v>16631460751</v>
      </c>
      <c r="L92" s="50">
        <v>1240762000000</v>
      </c>
      <c r="M92" s="50">
        <v>653396000000</v>
      </c>
      <c r="N92" s="50">
        <v>470404000000</v>
      </c>
      <c r="O92" s="50">
        <v>89860000000</v>
      </c>
      <c r="P92" s="50"/>
      <c r="Q92" s="52">
        <v>142</v>
      </c>
      <c r="R92" s="51">
        <f t="shared" si="0"/>
        <v>1.0926059397385799</v>
      </c>
      <c r="S92" s="51">
        <f t="shared" si="1"/>
        <v>5.3559104793896095</v>
      </c>
      <c r="T92" s="51">
        <f t="shared" si="2"/>
        <v>5.6188926354426069E-3</v>
      </c>
      <c r="U92" s="51">
        <f t="shared" si="3"/>
        <v>3.5713178584174762E-2</v>
      </c>
      <c r="V92" s="51">
        <f t="shared" si="4"/>
        <v>7.2423236688422113E-2</v>
      </c>
      <c r="W92" s="58">
        <f t="shared" si="14"/>
        <v>0.47339135144370958</v>
      </c>
      <c r="X92" s="51">
        <f t="shared" si="5"/>
        <v>0</v>
      </c>
      <c r="Y92" s="58">
        <f t="shared" si="6"/>
        <v>0</v>
      </c>
      <c r="Z92" s="51">
        <f t="shared" si="7"/>
        <v>26.281631723147118</v>
      </c>
      <c r="AA92" s="51">
        <f t="shared" si="8"/>
        <v>0.93860060721226579</v>
      </c>
      <c r="AB92" s="52">
        <v>1</v>
      </c>
      <c r="AC92">
        <v>2</v>
      </c>
    </row>
    <row r="93" spans="1:29">
      <c r="A93" s="49">
        <v>2019</v>
      </c>
      <c r="B93" s="59" t="s">
        <v>121</v>
      </c>
      <c r="C93" s="49" t="s">
        <v>122</v>
      </c>
      <c r="D93" s="50">
        <v>17492563000000</v>
      </c>
      <c r="E93" s="50">
        <v>828752000000</v>
      </c>
      <c r="F93" s="50">
        <v>18893684000000</v>
      </c>
      <c r="G93" s="50"/>
      <c r="H93" s="50"/>
      <c r="I93" s="50">
        <v>16098826000000</v>
      </c>
      <c r="J93" s="50">
        <v>2794858000000</v>
      </c>
      <c r="K93" s="51">
        <v>16631460751</v>
      </c>
      <c r="L93" s="50">
        <v>1298866000000</v>
      </c>
      <c r="M93" s="50">
        <v>738975000000</v>
      </c>
      <c r="N93" s="50">
        <v>493623000000</v>
      </c>
      <c r="O93" s="50">
        <v>78967000000</v>
      </c>
      <c r="P93" s="50"/>
      <c r="Q93" s="52">
        <v>129</v>
      </c>
      <c r="R93" s="51">
        <f t="shared" si="0"/>
        <v>1.0865738284269921</v>
      </c>
      <c r="S93" s="51">
        <f t="shared" si="1"/>
        <v>5.7601588345454404</v>
      </c>
      <c r="T93" s="51">
        <f t="shared" si="2"/>
        <v>4.1795448680098596E-3</v>
      </c>
      <c r="U93" s="51">
        <f t="shared" si="3"/>
        <v>2.825438716385591E-2</v>
      </c>
      <c r="V93" s="51">
        <f t="shared" si="4"/>
        <v>6.0796879739711408E-2</v>
      </c>
      <c r="W93" s="58">
        <f t="shared" si="14"/>
        <v>0.43106140279289779</v>
      </c>
      <c r="X93" s="51">
        <f t="shared" si="5"/>
        <v>0</v>
      </c>
      <c r="Y93" s="58">
        <f t="shared" si="6"/>
        <v>0</v>
      </c>
      <c r="Z93" s="51">
        <f t="shared" si="7"/>
        <v>27.169050829827651</v>
      </c>
      <c r="AA93" s="51">
        <f t="shared" si="8"/>
        <v>0.76764488102043116</v>
      </c>
      <c r="AB93" s="52">
        <v>1</v>
      </c>
      <c r="AC93">
        <v>2</v>
      </c>
    </row>
    <row r="94" spans="1:29">
      <c r="A94" s="49">
        <v>2020</v>
      </c>
      <c r="B94" s="59" t="s">
        <v>121</v>
      </c>
      <c r="C94" s="49" t="s">
        <v>122</v>
      </c>
      <c r="D94" s="50">
        <v>23842335000000</v>
      </c>
      <c r="E94" s="50">
        <v>832249000000</v>
      </c>
      <c r="F94" s="50">
        <v>25235573000000</v>
      </c>
      <c r="G94" s="50"/>
      <c r="H94" s="50"/>
      <c r="I94" s="50">
        <v>19218857000000</v>
      </c>
      <c r="J94" s="50">
        <v>6016716000000</v>
      </c>
      <c r="K94" s="51">
        <v>37919730514</v>
      </c>
      <c r="L94" s="50">
        <v>1282612000000</v>
      </c>
      <c r="M94" s="50">
        <v>720255000000</v>
      </c>
      <c r="N94" s="50">
        <v>514337000000</v>
      </c>
      <c r="O94" s="50">
        <v>49979000000</v>
      </c>
      <c r="P94" s="50"/>
      <c r="Q94" s="52">
        <v>139</v>
      </c>
      <c r="R94" s="51">
        <f t="shared" si="0"/>
        <v>1.2405698736402482</v>
      </c>
      <c r="S94" s="51">
        <f t="shared" si="1"/>
        <v>3.1942436704674111</v>
      </c>
      <c r="T94" s="51">
        <f t="shared" si="2"/>
        <v>1.9804979264786259E-3</v>
      </c>
      <c r="U94" s="51">
        <f t="shared" si="3"/>
        <v>8.30669089250681E-3</v>
      </c>
      <c r="V94" s="51">
        <f t="shared" si="4"/>
        <v>3.8966577577630647E-2</v>
      </c>
      <c r="W94" s="58">
        <f t="shared" si="14"/>
        <v>0.43844670095087213</v>
      </c>
      <c r="X94" s="51">
        <f t="shared" si="5"/>
        <v>0</v>
      </c>
      <c r="Y94" s="58">
        <f t="shared" si="6"/>
        <v>0</v>
      </c>
      <c r="Z94" s="51">
        <f t="shared" si="7"/>
        <v>105.46114450961403</v>
      </c>
      <c r="AA94" s="51">
        <f t="shared" si="8"/>
        <v>0.87603312861135552</v>
      </c>
      <c r="AB94" s="52">
        <v>1</v>
      </c>
      <c r="AC94">
        <v>2</v>
      </c>
    </row>
    <row r="95" spans="1:29">
      <c r="A95" s="77">
        <v>2018</v>
      </c>
      <c r="B95" s="78" t="s">
        <v>123</v>
      </c>
      <c r="C95" s="77" t="s">
        <v>124</v>
      </c>
      <c r="D95" s="79">
        <v>167124533000000</v>
      </c>
      <c r="E95" s="79">
        <v>2799661000000</v>
      </c>
      <c r="F95" s="79">
        <v>173582894000000</v>
      </c>
      <c r="G95" s="79"/>
      <c r="H95" s="79"/>
      <c r="I95" s="79">
        <v>149154640000000</v>
      </c>
      <c r="J95" s="79">
        <v>24428254000000</v>
      </c>
      <c r="K95" s="80">
        <v>22945296972</v>
      </c>
      <c r="L95" s="79">
        <v>12221471000000</v>
      </c>
      <c r="M95" s="79">
        <v>5843536000000</v>
      </c>
      <c r="N95" s="79">
        <v>3512758000000</v>
      </c>
      <c r="O95" s="79">
        <v>2638064000000</v>
      </c>
      <c r="P95" s="79"/>
      <c r="Q95" s="81">
        <v>855</v>
      </c>
      <c r="R95" s="80">
        <f t="shared" si="0"/>
        <v>1.1204782700692382</v>
      </c>
      <c r="S95" s="80">
        <f t="shared" si="1"/>
        <v>6.105824837092328</v>
      </c>
      <c r="T95" s="80">
        <f t="shared" si="2"/>
        <v>1.5197718733736517E-2</v>
      </c>
      <c r="U95" s="80">
        <f t="shared" si="3"/>
        <v>0.1079923272453283</v>
      </c>
      <c r="V95" s="80">
        <f t="shared" si="4"/>
        <v>0.21585486722506644</v>
      </c>
      <c r="W95" s="58">
        <f t="shared" si="14"/>
        <v>0.52186312105964983</v>
      </c>
      <c r="X95" s="80">
        <f t="shared" si="5"/>
        <v>0</v>
      </c>
      <c r="Y95" s="85">
        <f t="shared" si="6"/>
        <v>0</v>
      </c>
      <c r="Z95" s="80">
        <f t="shared" si="7"/>
        <v>7.4366008220649684</v>
      </c>
      <c r="AA95" s="80">
        <f t="shared" si="8"/>
        <v>0.80309582956931758</v>
      </c>
      <c r="AB95" s="81">
        <v>1</v>
      </c>
      <c r="AC95">
        <v>2</v>
      </c>
    </row>
    <row r="96" spans="1:29">
      <c r="A96" s="49">
        <v>2019</v>
      </c>
      <c r="B96" s="59" t="s">
        <v>123</v>
      </c>
      <c r="C96" s="49" t="s">
        <v>124</v>
      </c>
      <c r="D96" s="50">
        <v>174533222000000</v>
      </c>
      <c r="E96" s="50">
        <v>2784242000000</v>
      </c>
      <c r="F96" s="50">
        <v>180706987000000</v>
      </c>
      <c r="G96" s="50"/>
      <c r="H96" s="50"/>
      <c r="I96" s="50">
        <v>153042184000000</v>
      </c>
      <c r="J96" s="50">
        <v>27664803000000</v>
      </c>
      <c r="K96" s="51">
        <v>22945296972</v>
      </c>
      <c r="L96" s="50">
        <v>13496091000000</v>
      </c>
      <c r="M96" s="50">
        <v>7057159000000</v>
      </c>
      <c r="N96" s="50">
        <v>3768918000000</v>
      </c>
      <c r="O96" s="50">
        <v>2939243000000</v>
      </c>
      <c r="P96" s="50"/>
      <c r="Q96" s="52">
        <v>845</v>
      </c>
      <c r="R96" s="51">
        <f t="shared" si="0"/>
        <v>1.1404255835763557</v>
      </c>
      <c r="S96" s="51">
        <f t="shared" si="1"/>
        <v>5.5320178495397201</v>
      </c>
      <c r="T96" s="51">
        <f t="shared" si="2"/>
        <v>1.6265242693687322E-2</v>
      </c>
      <c r="U96" s="51">
        <f t="shared" si="3"/>
        <v>0.10624485560226112</v>
      </c>
      <c r="V96" s="51">
        <f t="shared" si="4"/>
        <v>0.21778476449217776</v>
      </c>
      <c r="W96" s="58">
        <f t="shared" si="14"/>
        <v>0.47709607174403312</v>
      </c>
      <c r="X96" s="51">
        <f t="shared" si="5"/>
        <v>0</v>
      </c>
      <c r="Y96" s="58">
        <f t="shared" si="6"/>
        <v>0</v>
      </c>
      <c r="Z96" s="51">
        <f t="shared" si="7"/>
        <v>6.5965202405313201</v>
      </c>
      <c r="AA96" s="51">
        <f t="shared" si="8"/>
        <v>0.70084634043264293</v>
      </c>
      <c r="AB96" s="52">
        <v>1</v>
      </c>
      <c r="AC96">
        <v>2</v>
      </c>
    </row>
    <row r="97" spans="1:29">
      <c r="A97" s="49">
        <v>2020</v>
      </c>
      <c r="B97" s="59" t="s">
        <v>123</v>
      </c>
      <c r="C97" s="49" t="s">
        <v>124</v>
      </c>
      <c r="D97" s="50">
        <v>199398374000000</v>
      </c>
      <c r="E97" s="50">
        <v>3001632000000</v>
      </c>
      <c r="F97" s="50">
        <v>206297200000000</v>
      </c>
      <c r="G97" s="50"/>
      <c r="H97" s="50"/>
      <c r="I97" s="50">
        <v>176467884000000</v>
      </c>
      <c r="J97" s="50">
        <v>29829316000000</v>
      </c>
      <c r="K97" s="51">
        <v>22945296972</v>
      </c>
      <c r="L97" s="50">
        <v>12484662000000</v>
      </c>
      <c r="M97" s="50">
        <v>5658106000000</v>
      </c>
      <c r="N97" s="50">
        <v>3839552000000</v>
      </c>
      <c r="O97" s="50">
        <v>2101671000000</v>
      </c>
      <c r="P97" s="50"/>
      <c r="Q97" s="52">
        <v>820</v>
      </c>
      <c r="R97" s="51">
        <f t="shared" si="0"/>
        <v>1.1299414345558765</v>
      </c>
      <c r="S97" s="51">
        <f t="shared" si="1"/>
        <v>5.9159212366787086</v>
      </c>
      <c r="T97" s="51">
        <f t="shared" si="2"/>
        <v>1.0187588585787883E-2</v>
      </c>
      <c r="U97" s="51">
        <f t="shared" si="3"/>
        <v>7.0456560250996031E-2</v>
      </c>
      <c r="V97" s="51">
        <f t="shared" si="4"/>
        <v>0.16834024020834526</v>
      </c>
      <c r="W97" s="58">
        <f t="shared" si="14"/>
        <v>0.54679541985197522</v>
      </c>
      <c r="X97" s="51">
        <f t="shared" si="5"/>
        <v>0</v>
      </c>
      <c r="Y97" s="58">
        <f t="shared" si="6"/>
        <v>0</v>
      </c>
      <c r="Z97" s="51">
        <f t="shared" si="7"/>
        <v>8.9524685438586715</v>
      </c>
      <c r="AA97" s="51">
        <f t="shared" si="8"/>
        <v>0.63076013935552533</v>
      </c>
      <c r="AB97" s="52">
        <v>1</v>
      </c>
      <c r="AC97">
        <v>2</v>
      </c>
    </row>
    <row r="98" spans="1:29">
      <c r="A98" s="49">
        <v>2018</v>
      </c>
      <c r="B98" s="59" t="s">
        <v>125</v>
      </c>
      <c r="C98" s="49" t="s">
        <v>126</v>
      </c>
      <c r="D98" s="50">
        <v>11479310000000</v>
      </c>
      <c r="E98" s="50">
        <v>63494000000</v>
      </c>
      <c r="F98" s="50">
        <v>11793981000000</v>
      </c>
      <c r="G98" s="50"/>
      <c r="H98" s="50"/>
      <c r="I98" s="50">
        <v>10379604000000</v>
      </c>
      <c r="J98" s="50">
        <v>1414377000000</v>
      </c>
      <c r="K98" s="51">
        <v>4437912300</v>
      </c>
      <c r="L98" s="50">
        <v>747203000000</v>
      </c>
      <c r="M98" s="50">
        <v>315463000000</v>
      </c>
      <c r="N98" s="50">
        <v>433657000000</v>
      </c>
      <c r="O98" s="50">
        <v>44748000000</v>
      </c>
      <c r="P98" s="50"/>
      <c r="Q98" s="52">
        <v>1000</v>
      </c>
      <c r="R98" s="51">
        <f t="shared" si="0"/>
        <v>1.1059487433239263</v>
      </c>
      <c r="S98" s="51">
        <f t="shared" si="1"/>
        <v>7.3386402635223851</v>
      </c>
      <c r="T98" s="51">
        <f t="shared" si="2"/>
        <v>3.7941387221159676E-3</v>
      </c>
      <c r="U98" s="51">
        <f t="shared" si="3"/>
        <v>3.1637957913625572E-2</v>
      </c>
      <c r="V98" s="51">
        <f t="shared" si="4"/>
        <v>5.988733985275755E-2</v>
      </c>
      <c r="W98" s="58">
        <f t="shared" si="14"/>
        <v>0.57780817261172668</v>
      </c>
      <c r="X98" s="51">
        <f t="shared" si="5"/>
        <v>0</v>
      </c>
      <c r="Y98" s="58">
        <f t="shared" si="6"/>
        <v>0</v>
      </c>
      <c r="Z98" s="51">
        <f t="shared" si="7"/>
        <v>99.175657012603907</v>
      </c>
      <c r="AA98" s="51">
        <f t="shared" si="8"/>
        <v>3.1377152626209277</v>
      </c>
      <c r="AB98" s="52">
        <v>1</v>
      </c>
      <c r="AC98">
        <v>2</v>
      </c>
    </row>
    <row r="99" spans="1:29">
      <c r="A99" s="49">
        <v>2019</v>
      </c>
      <c r="B99" s="59" t="s">
        <v>125</v>
      </c>
      <c r="C99" s="49" t="s">
        <v>126</v>
      </c>
      <c r="D99" s="50">
        <v>12779731000000</v>
      </c>
      <c r="E99" s="50">
        <v>60705000000</v>
      </c>
      <c r="F99" s="50">
        <v>13147503000000</v>
      </c>
      <c r="G99" s="50"/>
      <c r="H99" s="50"/>
      <c r="I99" s="50">
        <v>11683086000000</v>
      </c>
      <c r="J99" s="50">
        <v>1464417000000</v>
      </c>
      <c r="K99" s="51">
        <v>4437912300</v>
      </c>
      <c r="L99" s="50">
        <v>821937000000</v>
      </c>
      <c r="M99" s="50">
        <v>385728000000</v>
      </c>
      <c r="N99" s="50">
        <v>466161000000</v>
      </c>
      <c r="O99" s="50">
        <v>45794000000</v>
      </c>
      <c r="P99" s="50"/>
      <c r="Q99" s="52">
        <v>890</v>
      </c>
      <c r="R99" s="51">
        <f t="shared" si="0"/>
        <v>1.0938660384764778</v>
      </c>
      <c r="S99" s="51">
        <f t="shared" si="1"/>
        <v>7.9779775842536651</v>
      </c>
      <c r="T99" s="51">
        <f t="shared" si="2"/>
        <v>3.4830948507864955E-3</v>
      </c>
      <c r="U99" s="51">
        <f t="shared" si="3"/>
        <v>3.1271147494190521E-2</v>
      </c>
      <c r="V99" s="51">
        <f t="shared" si="4"/>
        <v>5.5714732394331924E-2</v>
      </c>
      <c r="W99" s="58">
        <f t="shared" si="14"/>
        <v>0.5307085579551718</v>
      </c>
      <c r="X99" s="51">
        <f t="shared" si="5"/>
        <v>0</v>
      </c>
      <c r="Y99" s="58">
        <f t="shared" si="6"/>
        <v>0</v>
      </c>
      <c r="Z99" s="51">
        <f t="shared" si="7"/>
        <v>86.250206293400893</v>
      </c>
      <c r="AA99" s="51">
        <f t="shared" si="8"/>
        <v>2.6971429224052983</v>
      </c>
      <c r="AB99" s="52">
        <v>1</v>
      </c>
      <c r="AC99">
        <v>2</v>
      </c>
    </row>
    <row r="100" spans="1:29">
      <c r="A100" s="49">
        <v>2020</v>
      </c>
      <c r="B100" s="59" t="s">
        <v>125</v>
      </c>
      <c r="C100" s="49" t="s">
        <v>126</v>
      </c>
      <c r="D100" s="50">
        <v>13176673000000</v>
      </c>
      <c r="E100" s="50">
        <v>92302000000</v>
      </c>
      <c r="F100" s="50">
        <v>13737934000000</v>
      </c>
      <c r="G100" s="50"/>
      <c r="H100" s="50"/>
      <c r="I100" s="50">
        <v>12218080000000</v>
      </c>
      <c r="J100" s="50">
        <v>1519854000000</v>
      </c>
      <c r="K100" s="51">
        <v>4437912300</v>
      </c>
      <c r="L100" s="50">
        <v>792351000000</v>
      </c>
      <c r="M100" s="50">
        <v>360971000000</v>
      </c>
      <c r="N100" s="50">
        <v>462416000000</v>
      </c>
      <c r="O100" s="50">
        <v>53607000000</v>
      </c>
      <c r="P100" s="50"/>
      <c r="Q100" s="52">
        <v>825</v>
      </c>
      <c r="R100" s="51">
        <f t="shared" si="0"/>
        <v>1.0784569261291463</v>
      </c>
      <c r="S100" s="51">
        <f t="shared" si="1"/>
        <v>8.0389826917585498</v>
      </c>
      <c r="T100" s="51">
        <f t="shared" si="2"/>
        <v>3.9021151215313742E-3</v>
      </c>
      <c r="U100" s="51">
        <f t="shared" si="3"/>
        <v>3.5271151044771402E-2</v>
      </c>
      <c r="V100" s="51">
        <f t="shared" si="4"/>
        <v>6.7655622318896547E-2</v>
      </c>
      <c r="W100" s="58">
        <f t="shared" si="14"/>
        <v>0.5444304355014381</v>
      </c>
      <c r="X100" s="51">
        <f t="shared" si="5"/>
        <v>0</v>
      </c>
      <c r="Y100" s="58">
        <f t="shared" si="6"/>
        <v>0</v>
      </c>
      <c r="Z100" s="51">
        <f t="shared" si="7"/>
        <v>68.298499216520227</v>
      </c>
      <c r="AA100" s="51">
        <f t="shared" si="8"/>
        <v>2.4089666819970867</v>
      </c>
      <c r="AB100" s="52">
        <v>1</v>
      </c>
      <c r="AC100">
        <v>2</v>
      </c>
    </row>
    <row r="101" spans="1:29">
      <c r="A101" s="49">
        <v>2018</v>
      </c>
      <c r="B101" s="59" t="s">
        <v>127</v>
      </c>
      <c r="C101" s="49" t="s">
        <v>128</v>
      </c>
      <c r="D101" s="50">
        <v>192727760000000</v>
      </c>
      <c r="E101" s="50">
        <v>10260918000000</v>
      </c>
      <c r="F101" s="50">
        <v>207204418000000</v>
      </c>
      <c r="G101" s="50"/>
      <c r="H101" s="50"/>
      <c r="I101" s="50">
        <v>166457301000000</v>
      </c>
      <c r="J101" s="50">
        <v>40747117000000</v>
      </c>
      <c r="K101" s="51">
        <v>24087645998</v>
      </c>
      <c r="L101" s="50">
        <v>17212026000000</v>
      </c>
      <c r="M101" s="50">
        <v>8247532000000</v>
      </c>
      <c r="N101" s="50">
        <v>5048285000000</v>
      </c>
      <c r="O101" s="50">
        <v>3187157000000</v>
      </c>
      <c r="P101" s="50"/>
      <c r="Q101" s="52">
        <v>1145</v>
      </c>
      <c r="R101" s="51">
        <f t="shared" si="0"/>
        <v>1.1578210078030762</v>
      </c>
      <c r="S101" s="51">
        <f t="shared" si="1"/>
        <v>4.0851307590669546</v>
      </c>
      <c r="T101" s="51">
        <f t="shared" si="2"/>
        <v>1.5381703878534096E-2</v>
      </c>
      <c r="U101" s="51">
        <f t="shared" si="3"/>
        <v>7.8217975519593197E-2</v>
      </c>
      <c r="V101" s="51">
        <f t="shared" si="4"/>
        <v>0.18517035705151735</v>
      </c>
      <c r="W101" s="58">
        <f t="shared" si="14"/>
        <v>0.5208273564076652</v>
      </c>
      <c r="X101" s="51">
        <f t="shared" si="5"/>
        <v>0</v>
      </c>
      <c r="Y101" s="58">
        <f t="shared" si="6"/>
        <v>0</v>
      </c>
      <c r="Z101" s="51">
        <f t="shared" si="7"/>
        <v>8.6535914822238134</v>
      </c>
      <c r="AA101" s="51">
        <f t="shared" si="8"/>
        <v>0.67686640671314247</v>
      </c>
      <c r="AB101" s="52">
        <v>1</v>
      </c>
      <c r="AC101">
        <v>2</v>
      </c>
    </row>
    <row r="102" spans="1:29">
      <c r="A102" s="49">
        <v>2019</v>
      </c>
      <c r="B102" s="59" t="s">
        <v>127</v>
      </c>
      <c r="C102" s="49" t="s">
        <v>128</v>
      </c>
      <c r="D102" s="50">
        <v>195566210000000</v>
      </c>
      <c r="E102" s="50">
        <v>10312649000000</v>
      </c>
      <c r="F102" s="50">
        <v>211287370000000</v>
      </c>
      <c r="G102" s="50"/>
      <c r="H102" s="50"/>
      <c r="I102" s="50">
        <v>166845656000000</v>
      </c>
      <c r="J102" s="50">
        <v>44441714000000</v>
      </c>
      <c r="K102" s="51">
        <v>24087645998</v>
      </c>
      <c r="L102" s="50">
        <v>17724694000000</v>
      </c>
      <c r="M102" s="50">
        <v>8755818000000</v>
      </c>
      <c r="N102" s="50">
        <v>4865928000000</v>
      </c>
      <c r="O102" s="50">
        <v>3498299000000</v>
      </c>
      <c r="P102" s="50"/>
      <c r="Q102" s="52">
        <v>1335</v>
      </c>
      <c r="R102" s="51">
        <f t="shared" si="0"/>
        <v>1.1721384583126335</v>
      </c>
      <c r="S102" s="51">
        <f t="shared" si="1"/>
        <v>3.7542579028342606</v>
      </c>
      <c r="T102" s="51">
        <f t="shared" si="2"/>
        <v>1.6557066331035309E-2</v>
      </c>
      <c r="U102" s="51">
        <f t="shared" si="3"/>
        <v>7.8716563452075672E-2</v>
      </c>
      <c r="V102" s="51">
        <f t="shared" si="4"/>
        <v>0.19736865414996727</v>
      </c>
      <c r="W102" s="58">
        <f t="shared" si="14"/>
        <v>0.50601020248925033</v>
      </c>
      <c r="X102" s="51">
        <f t="shared" si="5"/>
        <v>0</v>
      </c>
      <c r="Y102" s="58">
        <f t="shared" si="6"/>
        <v>0</v>
      </c>
      <c r="Z102" s="51">
        <f t="shared" si="7"/>
        <v>9.1921838034227488</v>
      </c>
      <c r="AA102" s="51">
        <f t="shared" si="8"/>
        <v>0.72357711962526916</v>
      </c>
      <c r="AB102" s="52">
        <v>1</v>
      </c>
      <c r="AC102">
        <v>2</v>
      </c>
    </row>
    <row r="103" spans="1:29">
      <c r="A103" s="49">
        <v>2020</v>
      </c>
      <c r="B103" s="59" t="s">
        <v>127</v>
      </c>
      <c r="C103" s="49" t="s">
        <v>128</v>
      </c>
      <c r="D103" s="50">
        <v>201949618000000</v>
      </c>
      <c r="E103" s="50">
        <v>10326085000000</v>
      </c>
      <c r="F103" s="50">
        <v>218067091000000</v>
      </c>
      <c r="G103" s="50"/>
      <c r="H103" s="50"/>
      <c r="I103" s="50">
        <v>170606759000000</v>
      </c>
      <c r="J103" s="50">
        <v>47460332000000</v>
      </c>
      <c r="K103" s="51">
        <v>24087645998</v>
      </c>
      <c r="L103" s="50">
        <v>16185399000000</v>
      </c>
      <c r="M103" s="50">
        <v>7378410000000</v>
      </c>
      <c r="N103" s="50">
        <v>5475803000000</v>
      </c>
      <c r="O103" s="50">
        <v>3124205000000</v>
      </c>
      <c r="P103" s="50"/>
      <c r="Q103" s="52">
        <v>1065</v>
      </c>
      <c r="R103" s="51">
        <f t="shared" si="0"/>
        <v>1.1837140520323699</v>
      </c>
      <c r="S103" s="51">
        <f t="shared" si="1"/>
        <v>3.594723252252007</v>
      </c>
      <c r="T103" s="51">
        <f t="shared" si="2"/>
        <v>1.432680642307463E-2</v>
      </c>
      <c r="U103" s="51">
        <f t="shared" si="3"/>
        <v>6.5827710602614414E-2</v>
      </c>
      <c r="V103" s="51">
        <f t="shared" si="4"/>
        <v>0.19302613423370038</v>
      </c>
      <c r="W103" s="58">
        <f t="shared" si="14"/>
        <v>0.54413172020041023</v>
      </c>
      <c r="X103" s="51">
        <f t="shared" si="5"/>
        <v>0</v>
      </c>
      <c r="Y103" s="58">
        <f t="shared" si="6"/>
        <v>0</v>
      </c>
      <c r="Z103" s="51">
        <f t="shared" si="7"/>
        <v>8.2111586748852901</v>
      </c>
      <c r="AA103" s="51">
        <f t="shared" si="8"/>
        <v>0.5405217769624957</v>
      </c>
      <c r="AB103" s="52">
        <v>1</v>
      </c>
      <c r="AC103">
        <v>2</v>
      </c>
    </row>
    <row r="104" spans="1:29">
      <c r="A104" s="49">
        <v>2018</v>
      </c>
      <c r="B104" s="59" t="s">
        <v>129</v>
      </c>
      <c r="C104" s="49" t="s">
        <v>130</v>
      </c>
      <c r="D104" s="50">
        <v>8031035649000</v>
      </c>
      <c r="E104" s="50">
        <v>89050545000</v>
      </c>
      <c r="F104" s="50">
        <v>8771057795000</v>
      </c>
      <c r="G104" s="50"/>
      <c r="H104" s="50"/>
      <c r="I104" s="50">
        <v>854502894000</v>
      </c>
      <c r="J104" s="50">
        <v>1668466115000</v>
      </c>
      <c r="K104" s="51">
        <v>23959037851</v>
      </c>
      <c r="L104" s="50">
        <v>1067058304000</v>
      </c>
      <c r="M104" s="50">
        <v>282674989000</v>
      </c>
      <c r="N104" s="50">
        <v>279508545000</v>
      </c>
      <c r="O104" s="50">
        <v>20788229000</v>
      </c>
      <c r="P104" s="50"/>
      <c r="Q104" s="52">
        <v>50</v>
      </c>
      <c r="R104" s="51">
        <f t="shared" si="0"/>
        <v>9.3984885310405986</v>
      </c>
      <c r="S104" s="51">
        <f t="shared" si="1"/>
        <v>0.51214878523319607</v>
      </c>
      <c r="T104" s="51">
        <f t="shared" si="2"/>
        <v>2.3700937202637599E-3</v>
      </c>
      <c r="U104" s="51">
        <f t="shared" si="3"/>
        <v>1.2459485279987241E-2</v>
      </c>
      <c r="V104" s="51">
        <f t="shared" si="4"/>
        <v>1.9481811745499521E-2</v>
      </c>
      <c r="W104" s="58">
        <f t="shared" si="14"/>
        <v>0.73508946236549788</v>
      </c>
      <c r="X104" s="51">
        <f t="shared" si="5"/>
        <v>0</v>
      </c>
      <c r="Y104" s="58">
        <f t="shared" si="6"/>
        <v>0</v>
      </c>
      <c r="Z104" s="51">
        <f t="shared" si="7"/>
        <v>57.626452573232676</v>
      </c>
      <c r="AA104" s="51">
        <f t="shared" si="8"/>
        <v>0.71799593757407543</v>
      </c>
      <c r="AB104" s="52">
        <v>1</v>
      </c>
      <c r="AC104">
        <v>2</v>
      </c>
    </row>
    <row r="105" spans="1:29">
      <c r="A105" s="49">
        <v>2019</v>
      </c>
      <c r="B105" s="59" t="s">
        <v>129</v>
      </c>
      <c r="C105" s="49" t="s">
        <v>130</v>
      </c>
      <c r="D105" s="50">
        <v>9987811964000</v>
      </c>
      <c r="E105" s="50">
        <v>98158654000</v>
      </c>
      <c r="F105" s="50">
        <v>11135824845000</v>
      </c>
      <c r="G105" s="50"/>
      <c r="H105" s="50"/>
      <c r="I105" s="50">
        <v>583700944000</v>
      </c>
      <c r="J105" s="50">
        <v>1694565519000</v>
      </c>
      <c r="K105" s="51">
        <v>23959037851</v>
      </c>
      <c r="L105" s="50">
        <v>1262147840000</v>
      </c>
      <c r="M105" s="50">
        <v>218653174000</v>
      </c>
      <c r="N105" s="50">
        <v>208607338000</v>
      </c>
      <c r="O105" s="50">
        <v>13237011000</v>
      </c>
      <c r="P105" s="50"/>
      <c r="Q105" s="52">
        <v>50</v>
      </c>
      <c r="R105" s="51">
        <f t="shared" si="0"/>
        <v>17.111180077173216</v>
      </c>
      <c r="S105" s="51">
        <f t="shared" si="1"/>
        <v>0.34445463303446339</v>
      </c>
      <c r="T105" s="51">
        <f t="shared" si="2"/>
        <v>1.1886870693681424E-3</v>
      </c>
      <c r="U105" s="51">
        <f t="shared" si="3"/>
        <v>7.8114483338545971E-3</v>
      </c>
      <c r="V105" s="51">
        <f t="shared" si="4"/>
        <v>1.0487686608884106E-2</v>
      </c>
      <c r="W105" s="58">
        <f t="shared" si="14"/>
        <v>0.82676104409448581</v>
      </c>
      <c r="X105" s="51">
        <f t="shared" si="5"/>
        <v>0</v>
      </c>
      <c r="Y105" s="58">
        <f t="shared" si="6"/>
        <v>0</v>
      </c>
      <c r="Z105" s="51">
        <f t="shared" si="7"/>
        <v>90.500181086953845</v>
      </c>
      <c r="AA105" s="51">
        <f t="shared" si="8"/>
        <v>0.70693748876522489</v>
      </c>
      <c r="AB105" s="52">
        <v>1</v>
      </c>
      <c r="AC105">
        <v>2</v>
      </c>
    </row>
    <row r="106" spans="1:29">
      <c r="A106" s="49">
        <v>2020</v>
      </c>
      <c r="B106" s="59" t="s">
        <v>129</v>
      </c>
      <c r="C106" s="49" t="s">
        <v>130</v>
      </c>
      <c r="D106" s="50">
        <v>9947516700000</v>
      </c>
      <c r="E106" s="50">
        <v>198947537000</v>
      </c>
      <c r="F106" s="50">
        <v>11302082193000</v>
      </c>
      <c r="G106" s="50"/>
      <c r="H106" s="50"/>
      <c r="I106" s="50">
        <v>600931510000</v>
      </c>
      <c r="J106" s="50">
        <v>3115653432000</v>
      </c>
      <c r="K106" s="51">
        <v>38813641319</v>
      </c>
      <c r="L106" s="50">
        <v>1399900947000</v>
      </c>
      <c r="M106" s="50">
        <v>218943558000</v>
      </c>
      <c r="N106" s="50">
        <v>215546807000</v>
      </c>
      <c r="O106" s="50">
        <v>128116000</v>
      </c>
      <c r="P106" s="50"/>
      <c r="Q106" s="52">
        <v>83</v>
      </c>
      <c r="R106" s="51">
        <f t="shared" si="0"/>
        <v>16.553494923240088</v>
      </c>
      <c r="S106" s="51">
        <f t="shared" si="1"/>
        <v>0.19287495323709675</v>
      </c>
      <c r="T106" s="51">
        <f t="shared" si="2"/>
        <v>1.1335610360305933E-5</v>
      </c>
      <c r="U106" s="51">
        <f t="shared" si="3"/>
        <v>4.1120106197998982E-5</v>
      </c>
      <c r="V106" s="51">
        <f t="shared" si="4"/>
        <v>9.1517903659222251E-5</v>
      </c>
      <c r="W106" s="58">
        <f t="shared" si="14"/>
        <v>0.84360067869859079</v>
      </c>
      <c r="X106" s="51">
        <f t="shared" si="5"/>
        <v>0</v>
      </c>
      <c r="Y106" s="58">
        <f t="shared" si="6"/>
        <v>0</v>
      </c>
      <c r="Z106" s="75">
        <f t="shared" si="7"/>
        <v>25145.432494590841</v>
      </c>
      <c r="AA106" s="51">
        <f t="shared" si="8"/>
        <v>1.0339828545721896</v>
      </c>
      <c r="AB106" s="52">
        <v>1</v>
      </c>
      <c r="AC106">
        <v>2</v>
      </c>
    </row>
    <row r="107" spans="1:29">
      <c r="A107" s="49">
        <v>2018</v>
      </c>
      <c r="B107" s="59" t="s">
        <v>131</v>
      </c>
      <c r="C107" s="49" t="s">
        <v>132</v>
      </c>
      <c r="D107" s="50">
        <v>26920081000000</v>
      </c>
      <c r="E107" s="50">
        <v>355058000000</v>
      </c>
      <c r="F107" s="50">
        <v>29631693000000</v>
      </c>
      <c r="G107" s="50"/>
      <c r="H107" s="50"/>
      <c r="I107" s="50">
        <v>23081225000000</v>
      </c>
      <c r="J107" s="50">
        <v>6550468000000</v>
      </c>
      <c r="K107" s="51">
        <v>6580926254</v>
      </c>
      <c r="L107" s="50">
        <v>2214687000000</v>
      </c>
      <c r="M107" s="50">
        <v>924860000000</v>
      </c>
      <c r="N107" s="50">
        <v>817755000000</v>
      </c>
      <c r="O107" s="50">
        <v>537971000000</v>
      </c>
      <c r="P107" s="50">
        <v>98714000000</v>
      </c>
      <c r="Q107" s="52">
        <v>860</v>
      </c>
      <c r="R107" s="51">
        <f t="shared" si="0"/>
        <v>1.166319421954424</v>
      </c>
      <c r="S107" s="51">
        <f t="shared" si="1"/>
        <v>3.5235993825174017</v>
      </c>
      <c r="T107" s="51">
        <f t="shared" si="2"/>
        <v>1.8155256940600727E-2</v>
      </c>
      <c r="U107" s="51">
        <f t="shared" si="3"/>
        <v>8.2127109085946226E-2</v>
      </c>
      <c r="V107" s="51">
        <f t="shared" si="4"/>
        <v>0.2429106234876531</v>
      </c>
      <c r="W107" s="58">
        <f t="shared" si="14"/>
        <v>0.58239697076832975</v>
      </c>
      <c r="X107" s="51">
        <f t="shared" si="5"/>
        <v>1.7441879227937714E-2</v>
      </c>
      <c r="Y107" s="58">
        <f t="shared" si="6"/>
        <v>0.18349316227082874</v>
      </c>
      <c r="Z107" s="51">
        <f t="shared" si="7"/>
        <v>10.520263319844377</v>
      </c>
      <c r="AA107" s="51">
        <f t="shared" si="8"/>
        <v>0.863998813281738</v>
      </c>
      <c r="AB107" s="52">
        <v>1</v>
      </c>
      <c r="AC107">
        <v>2</v>
      </c>
    </row>
    <row r="108" spans="1:29">
      <c r="A108" s="49">
        <v>2019</v>
      </c>
      <c r="B108" s="59" t="s">
        <v>131</v>
      </c>
      <c r="C108" s="49" t="s">
        <v>132</v>
      </c>
      <c r="D108" s="50">
        <v>34227611000000</v>
      </c>
      <c r="E108" s="50">
        <v>370993000000</v>
      </c>
      <c r="F108" s="50">
        <v>36936262000000</v>
      </c>
      <c r="G108" s="50"/>
      <c r="H108" s="50"/>
      <c r="I108" s="50">
        <v>30000672000000</v>
      </c>
      <c r="J108" s="50">
        <v>6935590000000</v>
      </c>
      <c r="K108" s="51">
        <v>6580926254</v>
      </c>
      <c r="L108" s="50">
        <v>2438993000000</v>
      </c>
      <c r="M108" s="50">
        <v>1325908000000</v>
      </c>
      <c r="N108" s="50">
        <v>772982000000</v>
      </c>
      <c r="O108" s="50">
        <v>499791000000</v>
      </c>
      <c r="P108" s="50">
        <v>98714000000</v>
      </c>
      <c r="Q108" s="52">
        <v>830</v>
      </c>
      <c r="R108" s="51">
        <f t="shared" si="0"/>
        <v>1.1408948106229087</v>
      </c>
      <c r="S108" s="51">
        <f t="shared" si="1"/>
        <v>4.325612096447454</v>
      </c>
      <c r="T108" s="51">
        <f t="shared" si="2"/>
        <v>1.3531174324028783E-2</v>
      </c>
      <c r="U108" s="51">
        <f t="shared" si="3"/>
        <v>7.2061785659186889E-2</v>
      </c>
      <c r="V108" s="51">
        <f t="shared" si="4"/>
        <v>0.20491694728111151</v>
      </c>
      <c r="W108" s="58">
        <f t="shared" si="14"/>
        <v>0.45637072349121133</v>
      </c>
      <c r="X108" s="51">
        <f t="shared" si="5"/>
        <v>1.8072308597622211E-2</v>
      </c>
      <c r="Y108" s="58">
        <f t="shared" si="6"/>
        <v>0.197510559413835</v>
      </c>
      <c r="Z108" s="51">
        <f t="shared" si="7"/>
        <v>10.928905864291274</v>
      </c>
      <c r="AA108" s="51">
        <f t="shared" si="8"/>
        <v>0.78755647188198852</v>
      </c>
      <c r="AB108" s="52">
        <v>1</v>
      </c>
      <c r="AC108">
        <v>2</v>
      </c>
    </row>
    <row r="109" spans="1:29">
      <c r="A109" s="49">
        <v>2020</v>
      </c>
      <c r="B109" s="59" t="s">
        <v>131</v>
      </c>
      <c r="C109" s="49" t="s">
        <v>132</v>
      </c>
      <c r="D109" s="50">
        <v>35164985000000</v>
      </c>
      <c r="E109" s="50">
        <v>448354000000</v>
      </c>
      <c r="F109" s="50">
        <v>38053939000000</v>
      </c>
      <c r="G109" s="50"/>
      <c r="H109" s="50"/>
      <c r="I109" s="50">
        <v>30782968000000</v>
      </c>
      <c r="J109" s="50">
        <v>7270971000000</v>
      </c>
      <c r="K109" s="51">
        <v>6580926254</v>
      </c>
      <c r="L109" s="50">
        <v>2425276000000</v>
      </c>
      <c r="M109" s="50">
        <v>1178215000000</v>
      </c>
      <c r="N109" s="50">
        <v>812041000000</v>
      </c>
      <c r="O109" s="50">
        <v>536001000000</v>
      </c>
      <c r="P109" s="50">
        <v>85552000000</v>
      </c>
      <c r="Q109" s="52">
        <v>740</v>
      </c>
      <c r="R109" s="51">
        <f t="shared" si="0"/>
        <v>1.142351998026961</v>
      </c>
      <c r="S109" s="51">
        <f t="shared" si="1"/>
        <v>4.2336804809151349</v>
      </c>
      <c r="T109" s="51">
        <f t="shared" si="2"/>
        <v>1.4085296137148904E-2</v>
      </c>
      <c r="U109" s="51">
        <f t="shared" si="3"/>
        <v>7.371793946090556E-2</v>
      </c>
      <c r="V109" s="51">
        <f t="shared" si="4"/>
        <v>0.22100618651238044</v>
      </c>
      <c r="W109" s="58">
        <f t="shared" si="14"/>
        <v>0.51419343612850665</v>
      </c>
      <c r="X109" s="51">
        <f t="shared" si="5"/>
        <v>1.7567559086464551E-2</v>
      </c>
      <c r="Y109" s="58">
        <f t="shared" si="6"/>
        <v>0.15961164251559232</v>
      </c>
      <c r="Z109" s="51">
        <f t="shared" si="7"/>
        <v>9.0855901909884498</v>
      </c>
      <c r="AA109" s="51">
        <f t="shared" si="8"/>
        <v>0.66977098766588394</v>
      </c>
      <c r="AB109" s="52">
        <v>1</v>
      </c>
      <c r="AC109">
        <v>2</v>
      </c>
    </row>
    <row r="110" spans="1:29">
      <c r="A110" s="49">
        <v>2018</v>
      </c>
      <c r="B110" s="59" t="s">
        <v>202</v>
      </c>
      <c r="C110" s="49" t="s">
        <v>203</v>
      </c>
      <c r="D110" s="50">
        <v>2520428991187</v>
      </c>
      <c r="E110" s="50">
        <v>182238112107</v>
      </c>
      <c r="F110" s="50">
        <v>2896589814278</v>
      </c>
      <c r="G110" s="50"/>
      <c r="H110" s="50"/>
      <c r="I110" s="50">
        <v>1167083160521</v>
      </c>
      <c r="J110" s="50">
        <v>1729506653757</v>
      </c>
      <c r="K110" s="51">
        <f>140023750+11765966447</f>
        <v>11905990197</v>
      </c>
      <c r="L110" s="50">
        <v>473564916412</v>
      </c>
      <c r="M110" s="50">
        <v>359305382036</v>
      </c>
      <c r="N110" s="50">
        <v>144391182125</v>
      </c>
      <c r="O110" s="50">
        <v>70399722671</v>
      </c>
      <c r="P110" s="50"/>
      <c r="Q110" s="52">
        <v>540</v>
      </c>
      <c r="R110" s="51">
        <f t="shared" si="0"/>
        <v>2.1595967420709337</v>
      </c>
      <c r="S110" s="51">
        <f t="shared" si="1"/>
        <v>0.67480697919591703</v>
      </c>
      <c r="T110" s="51">
        <f t="shared" si="2"/>
        <v>2.4304346554000343E-2</v>
      </c>
      <c r="U110" s="51">
        <f t="shared" si="3"/>
        <v>4.0705089233436006E-2</v>
      </c>
      <c r="V110" s="51">
        <f t="shared" si="4"/>
        <v>0.14865907551680299</v>
      </c>
      <c r="W110" s="58">
        <f t="shared" si="14"/>
        <v>0.24127533610744628</v>
      </c>
      <c r="X110" s="51">
        <f t="shared" si="5"/>
        <v>0</v>
      </c>
      <c r="Y110" s="58">
        <f t="shared" si="6"/>
        <v>0</v>
      </c>
      <c r="Z110" s="51">
        <f t="shared" si="7"/>
        <v>91.32471638312883</v>
      </c>
      <c r="AA110" s="51">
        <f t="shared" si="8"/>
        <v>3.7173807295934944</v>
      </c>
      <c r="AB110" s="52">
        <v>1</v>
      </c>
      <c r="AC110">
        <v>0</v>
      </c>
    </row>
    <row r="111" spans="1:29">
      <c r="A111" s="49">
        <v>2019</v>
      </c>
      <c r="B111" s="59" t="s">
        <v>202</v>
      </c>
      <c r="C111" s="49" t="s">
        <v>203</v>
      </c>
      <c r="D111" s="50">
        <v>3328927878165</v>
      </c>
      <c r="E111" s="50">
        <v>179433881039</v>
      </c>
      <c r="F111" s="50">
        <v>3652947899746</v>
      </c>
      <c r="G111" s="50"/>
      <c r="H111" s="50"/>
      <c r="I111" s="50">
        <v>1818115863373</v>
      </c>
      <c r="J111" s="50">
        <v>1834832036373</v>
      </c>
      <c r="K111" s="51">
        <f t="shared" ref="K111:K112" si="19">140023750+11766313488</f>
        <v>11906337238</v>
      </c>
      <c r="L111" s="50">
        <v>1193590630021</v>
      </c>
      <c r="M111" s="50">
        <v>1009410116496</v>
      </c>
      <c r="N111" s="50">
        <v>120227476034</v>
      </c>
      <c r="O111" s="50">
        <v>102897273401</v>
      </c>
      <c r="P111" s="50"/>
      <c r="Q111" s="52">
        <v>690</v>
      </c>
      <c r="R111" s="51">
        <f t="shared" si="0"/>
        <v>1.8309767519376434</v>
      </c>
      <c r="S111" s="51">
        <f t="shared" si="1"/>
        <v>0.9908895350262994</v>
      </c>
      <c r="T111" s="51">
        <f t="shared" si="2"/>
        <v>2.8168283869626158E-2</v>
      </c>
      <c r="U111" s="51">
        <f t="shared" si="3"/>
        <v>5.6079941575688831E-2</v>
      </c>
      <c r="V111" s="51">
        <f t="shared" si="4"/>
        <v>8.620817792377411E-2</v>
      </c>
      <c r="W111" s="58">
        <f t="shared" si="14"/>
        <v>0.15430794184582325</v>
      </c>
      <c r="X111" s="51">
        <f t="shared" si="5"/>
        <v>0</v>
      </c>
      <c r="Y111" s="58">
        <f t="shared" si="6"/>
        <v>0</v>
      </c>
      <c r="Z111" s="51">
        <f t="shared" si="7"/>
        <v>79.840528545435291</v>
      </c>
      <c r="AA111" s="51">
        <f t="shared" si="8"/>
        <v>4.4774521762001278</v>
      </c>
      <c r="AB111" s="52">
        <v>1</v>
      </c>
      <c r="AC111">
        <v>0</v>
      </c>
    </row>
    <row r="112" spans="1:29">
      <c r="A112" s="49">
        <v>2020</v>
      </c>
      <c r="B112" s="59" t="s">
        <v>202</v>
      </c>
      <c r="C112" s="49" t="s">
        <v>203</v>
      </c>
      <c r="D112" s="50">
        <v>4201191401871</v>
      </c>
      <c r="E112" s="50">
        <v>190479472617</v>
      </c>
      <c r="F112" s="50">
        <v>4881911874208</v>
      </c>
      <c r="G112" s="50"/>
      <c r="H112" s="50"/>
      <c r="I112" s="50">
        <v>2920986089935</v>
      </c>
      <c r="J112" s="50">
        <v>1960925784273</v>
      </c>
      <c r="K112" s="51">
        <f t="shared" si="19"/>
        <v>11906337238</v>
      </c>
      <c r="L112" s="50">
        <v>2275473702348</v>
      </c>
      <c r="M112" s="50">
        <v>2062436886511</v>
      </c>
      <c r="N112" s="50">
        <v>153728295937</v>
      </c>
      <c r="O112" s="50">
        <v>124726300324</v>
      </c>
      <c r="P112" s="50"/>
      <c r="Q112" s="52">
        <v>785</v>
      </c>
      <c r="R112" s="51">
        <f t="shared" si="0"/>
        <v>1.4382784691605595</v>
      </c>
      <c r="S112" s="51">
        <f t="shared" si="1"/>
        <v>1.4895954315873998</v>
      </c>
      <c r="T112" s="51">
        <f t="shared" si="2"/>
        <v>2.5548658709500884E-2</v>
      </c>
      <c r="U112" s="51">
        <f t="shared" si="3"/>
        <v>6.360582400635903E-2</v>
      </c>
      <c r="V112" s="51">
        <f t="shared" si="4"/>
        <v>5.4813334118209447E-2</v>
      </c>
      <c r="W112" s="58">
        <f t="shared" si="14"/>
        <v>9.3623062141818231E-2</v>
      </c>
      <c r="X112" s="51">
        <f t="shared" si="5"/>
        <v>0</v>
      </c>
      <c r="Y112" s="58">
        <f t="shared" si="6"/>
        <v>0</v>
      </c>
      <c r="Z112" s="51">
        <f t="shared" si="7"/>
        <v>74.935877257248677</v>
      </c>
      <c r="AA112" s="51">
        <f t="shared" si="8"/>
        <v>4.7663582205866826</v>
      </c>
      <c r="AB112" s="52">
        <v>1</v>
      </c>
      <c r="AC112">
        <v>0</v>
      </c>
    </row>
    <row r="113" spans="1:29">
      <c r="A113" s="49">
        <v>2018</v>
      </c>
      <c r="B113" s="59" t="s">
        <v>206</v>
      </c>
      <c r="C113" s="49" t="s">
        <v>207</v>
      </c>
      <c r="D113" s="50">
        <v>73149118953</v>
      </c>
      <c r="E113" s="50">
        <v>265730271470</v>
      </c>
      <c r="F113" s="50">
        <v>431672804838</v>
      </c>
      <c r="G113" s="50"/>
      <c r="H113" s="50">
        <v>54497512512</v>
      </c>
      <c r="I113" s="50">
        <v>63912279502</v>
      </c>
      <c r="J113" s="50">
        <v>367760525336</v>
      </c>
      <c r="K113" s="51">
        <v>446674175</v>
      </c>
      <c r="L113" s="50">
        <v>87440977373</v>
      </c>
      <c r="M113" s="50">
        <v>27307815715</v>
      </c>
      <c r="N113" s="50">
        <v>56739467276</v>
      </c>
      <c r="O113" s="50">
        <v>7498492703</v>
      </c>
      <c r="P113" s="50"/>
      <c r="Q113" s="52">
        <v>1310</v>
      </c>
      <c r="R113" s="51">
        <f t="shared" si="0"/>
        <v>1.1445237053500956</v>
      </c>
      <c r="S113" s="51">
        <f t="shared" si="1"/>
        <v>0.17378776431648643</v>
      </c>
      <c r="T113" s="51">
        <f t="shared" si="2"/>
        <v>1.7370778559501952E-2</v>
      </c>
      <c r="U113" s="51">
        <f t="shared" si="3"/>
        <v>2.038960732979455E-2</v>
      </c>
      <c r="V113" s="51">
        <f t="shared" si="4"/>
        <v>8.5754904945920502E-2</v>
      </c>
      <c r="W113" s="58">
        <f t="shared" si="14"/>
        <v>0.68770001736700515</v>
      </c>
      <c r="X113" s="51">
        <f t="shared" si="5"/>
        <v>0</v>
      </c>
      <c r="Y113" s="58">
        <f t="shared" si="6"/>
        <v>0</v>
      </c>
      <c r="Z113" s="51">
        <f t="shared" si="7"/>
        <v>78.034772110386356</v>
      </c>
      <c r="AA113" s="51">
        <f t="shared" si="8"/>
        <v>1.591098361400781</v>
      </c>
      <c r="AB113" s="52">
        <v>1</v>
      </c>
      <c r="AC113">
        <v>2</v>
      </c>
    </row>
    <row r="114" spans="1:29">
      <c r="A114" s="49">
        <v>2019</v>
      </c>
      <c r="B114" s="59" t="s">
        <v>206</v>
      </c>
      <c r="C114" s="49" t="s">
        <v>207</v>
      </c>
      <c r="D114" s="50">
        <v>85188330002</v>
      </c>
      <c r="E114" s="50">
        <v>259633756608</v>
      </c>
      <c r="F114" s="50">
        <v>439070378556</v>
      </c>
      <c r="G114" s="50"/>
      <c r="H114" s="50">
        <v>54263912675</v>
      </c>
      <c r="I114" s="50">
        <v>66308261273</v>
      </c>
      <c r="J114" s="50">
        <v>372762117283</v>
      </c>
      <c r="K114" s="51">
        <v>446674175</v>
      </c>
      <c r="L114" s="50">
        <v>85726802073</v>
      </c>
      <c r="M114" s="50">
        <v>26800834114</v>
      </c>
      <c r="N114" s="50">
        <v>62778284141</v>
      </c>
      <c r="O114" s="50">
        <v>628762882</v>
      </c>
      <c r="P114" s="50"/>
      <c r="Q114" s="52">
        <v>450</v>
      </c>
      <c r="R114" s="51">
        <f t="shared" si="0"/>
        <v>1.2847317719773743</v>
      </c>
      <c r="S114" s="51">
        <f t="shared" si="1"/>
        <v>0.17788358365466345</v>
      </c>
      <c r="T114" s="51">
        <f t="shared" si="2"/>
        <v>1.4320321130927903E-3</v>
      </c>
      <c r="U114" s="51">
        <f t="shared" si="3"/>
        <v>1.6867671172782961E-3</v>
      </c>
      <c r="V114" s="51">
        <f t="shared" si="4"/>
        <v>7.334495942874223E-3</v>
      </c>
      <c r="W114" s="58">
        <f t="shared" si="14"/>
        <v>0.6873692536532745</v>
      </c>
      <c r="X114" s="51">
        <f t="shared" si="5"/>
        <v>0</v>
      </c>
      <c r="Y114" s="58">
        <f t="shared" si="6"/>
        <v>0</v>
      </c>
      <c r="Z114" s="51">
        <f t="shared" si="7"/>
        <v>319.68073260087897</v>
      </c>
      <c r="AA114" s="51">
        <f t="shared" si="8"/>
        <v>0.53922694777859836</v>
      </c>
      <c r="AB114" s="52">
        <v>1</v>
      </c>
      <c r="AC114">
        <v>2</v>
      </c>
    </row>
    <row r="115" spans="1:29">
      <c r="A115" s="49">
        <v>2020</v>
      </c>
      <c r="B115" s="59" t="s">
        <v>206</v>
      </c>
      <c r="C115" s="49" t="s">
        <v>207</v>
      </c>
      <c r="D115" s="50">
        <v>93732057163</v>
      </c>
      <c r="E115" s="50">
        <v>241844455384</v>
      </c>
      <c r="F115" s="50">
        <v>394280340197</v>
      </c>
      <c r="G115" s="50"/>
      <c r="H115" s="50">
        <v>41284563811</v>
      </c>
      <c r="I115" s="50">
        <v>51589144973</v>
      </c>
      <c r="J115" s="50">
        <v>342691195224</v>
      </c>
      <c r="K115" s="51">
        <v>446674175</v>
      </c>
      <c r="L115" s="50">
        <v>32934176030</v>
      </c>
      <c r="M115" s="50">
        <v>12471168816</v>
      </c>
      <c r="N115" s="50">
        <v>41357026843</v>
      </c>
      <c r="O115" s="50">
        <v>-11209268817</v>
      </c>
      <c r="P115" s="50"/>
      <c r="Q115" s="52">
        <v>256</v>
      </c>
      <c r="R115" s="51">
        <f t="shared" si="0"/>
        <v>1.816894953619723</v>
      </c>
      <c r="S115" s="51">
        <f t="shared" si="1"/>
        <v>0.15054120354413766</v>
      </c>
      <c r="T115" s="51">
        <f t="shared" si="2"/>
        <v>-2.842969246551667E-2</v>
      </c>
      <c r="U115" s="51">
        <f t="shared" si="3"/>
        <v>-3.2709532585665252E-2</v>
      </c>
      <c r="V115" s="51">
        <f t="shared" si="4"/>
        <v>-0.34035370451622621</v>
      </c>
      <c r="W115" s="58">
        <f t="shared" si="14"/>
        <v>0.62133047431823063</v>
      </c>
      <c r="X115" s="51">
        <f t="shared" si="5"/>
        <v>0</v>
      </c>
      <c r="Y115" s="58">
        <f t="shared" si="6"/>
        <v>0</v>
      </c>
      <c r="Z115" s="51">
        <f t="shared" si="7"/>
        <v>-10.201253147446932</v>
      </c>
      <c r="AA115" s="51">
        <f t="shared" si="8"/>
        <v>0.3336782222410356</v>
      </c>
      <c r="AB115" s="52">
        <v>1</v>
      </c>
      <c r="AC115">
        <v>2</v>
      </c>
    </row>
    <row r="116" spans="1:29">
      <c r="A116" s="49">
        <v>2018</v>
      </c>
      <c r="B116" s="59" t="s">
        <v>208</v>
      </c>
      <c r="C116" s="49" t="s">
        <v>209</v>
      </c>
      <c r="D116" s="50">
        <v>397576606710</v>
      </c>
      <c r="E116" s="50">
        <v>668004938529</v>
      </c>
      <c r="F116" s="50">
        <v>1229926003723</v>
      </c>
      <c r="G116" s="50"/>
      <c r="H116" s="50">
        <v>140926455842</v>
      </c>
      <c r="I116" s="50">
        <v>416632326814</v>
      </c>
      <c r="J116" s="50">
        <v>813293676909</v>
      </c>
      <c r="K116" s="51">
        <v>4272964279</v>
      </c>
      <c r="L116" s="50">
        <v>1035508850963</v>
      </c>
      <c r="M116" s="50">
        <v>694804974807</v>
      </c>
      <c r="N116" s="50">
        <v>239999883906</v>
      </c>
      <c r="O116" s="50">
        <v>80315046464</v>
      </c>
      <c r="P116" s="50">
        <v>3457187223</v>
      </c>
      <c r="Q116" s="52">
        <v>77</v>
      </c>
      <c r="R116" s="51">
        <f t="shared" si="0"/>
        <v>0.95426250226495946</v>
      </c>
      <c r="S116" s="51">
        <f t="shared" si="1"/>
        <v>0.51227783842787367</v>
      </c>
      <c r="T116" s="51">
        <f t="shared" si="2"/>
        <v>6.5300714206290009E-2</v>
      </c>
      <c r="U116" s="51">
        <f t="shared" si="3"/>
        <v>9.8752822927684586E-2</v>
      </c>
      <c r="V116" s="51">
        <f t="shared" si="4"/>
        <v>7.7560946378496726E-2</v>
      </c>
      <c r="W116" s="58">
        <f t="shared" si="14"/>
        <v>0.32902072815616501</v>
      </c>
      <c r="X116" s="51">
        <f t="shared" si="5"/>
        <v>1.0507585000018757E-2</v>
      </c>
      <c r="Y116" s="58">
        <f t="shared" si="6"/>
        <v>4.3045324322256745E-2</v>
      </c>
      <c r="Z116" s="51">
        <f t="shared" si="7"/>
        <v>4.0965953948676033</v>
      </c>
      <c r="AA116" s="51">
        <f t="shared" si="8"/>
        <v>0.40455035963572855</v>
      </c>
      <c r="AB116" s="52">
        <v>1</v>
      </c>
      <c r="AC116">
        <v>2</v>
      </c>
    </row>
    <row r="117" spans="1:29">
      <c r="A117" s="49">
        <v>2019</v>
      </c>
      <c r="B117" s="59" t="s">
        <v>208</v>
      </c>
      <c r="C117" s="49" t="s">
        <v>209</v>
      </c>
      <c r="D117" s="50">
        <v>415197995568</v>
      </c>
      <c r="E117" s="50">
        <v>623057370408</v>
      </c>
      <c r="F117" s="50">
        <v>1215041391937</v>
      </c>
      <c r="G117" s="50"/>
      <c r="H117" s="50">
        <v>108411097142</v>
      </c>
      <c r="I117" s="50">
        <v>390067438922</v>
      </c>
      <c r="J117" s="50">
        <v>824973953015</v>
      </c>
      <c r="K117" s="51">
        <v>4272964279</v>
      </c>
      <c r="L117" s="50">
        <v>980145831991</v>
      </c>
      <c r="M117" s="50">
        <v>682255151407</v>
      </c>
      <c r="N117" s="50">
        <v>254608244796</v>
      </c>
      <c r="O117" s="50">
        <v>20100336037</v>
      </c>
      <c r="P117" s="50">
        <v>12151609257</v>
      </c>
      <c r="Q117" s="52">
        <v>128</v>
      </c>
      <c r="R117" s="51">
        <f t="shared" si="0"/>
        <v>1.0644261841374185</v>
      </c>
      <c r="S117" s="51">
        <f t="shared" si="1"/>
        <v>0.4728239449214558</v>
      </c>
      <c r="T117" s="51">
        <f t="shared" si="2"/>
        <v>1.6542922875208685E-2</v>
      </c>
      <c r="U117" s="51">
        <f t="shared" si="3"/>
        <v>2.4364812929596247E-2</v>
      </c>
      <c r="V117" s="51">
        <f t="shared" si="4"/>
        <v>2.0507495294011073E-2</v>
      </c>
      <c r="W117" s="58">
        <f t="shared" si="14"/>
        <v>0.30392485573181044</v>
      </c>
      <c r="X117" s="51">
        <f t="shared" si="5"/>
        <v>2.2217468043643458E-2</v>
      </c>
      <c r="Y117" s="58">
        <f t="shared" si="6"/>
        <v>0.60454756749497818</v>
      </c>
      <c r="Z117" s="51">
        <f t="shared" si="7"/>
        <v>27.210461890050638</v>
      </c>
      <c r="AA117" s="51">
        <f t="shared" si="8"/>
        <v>0.66297781367899178</v>
      </c>
      <c r="AB117" s="52">
        <v>1</v>
      </c>
      <c r="AC117">
        <v>0</v>
      </c>
    </row>
    <row r="118" spans="1:29">
      <c r="A118" s="49">
        <v>2020</v>
      </c>
      <c r="B118" s="59" t="s">
        <v>208</v>
      </c>
      <c r="C118" s="49" t="s">
        <v>209</v>
      </c>
      <c r="D118" s="50">
        <v>264413829825</v>
      </c>
      <c r="E118" s="50">
        <v>580933225999</v>
      </c>
      <c r="F118" s="50">
        <v>1043313799003</v>
      </c>
      <c r="G118" s="50"/>
      <c r="H118" s="50">
        <v>163009184592</v>
      </c>
      <c r="I118" s="50">
        <v>466243114050</v>
      </c>
      <c r="J118" s="50">
        <v>577070684953</v>
      </c>
      <c r="K118" s="51">
        <v>4272964279</v>
      </c>
      <c r="L118" s="50">
        <v>284181538459</v>
      </c>
      <c r="M118" s="50">
        <v>237921357900</v>
      </c>
      <c r="N118" s="50">
        <v>235610486134</v>
      </c>
      <c r="O118" s="50">
        <v>-256092630622</v>
      </c>
      <c r="P118" s="50">
        <v>28040000</v>
      </c>
      <c r="Q118" s="52">
        <v>55</v>
      </c>
      <c r="R118" s="51">
        <f t="shared" si="0"/>
        <v>0.56711578542829522</v>
      </c>
      <c r="S118" s="51">
        <f t="shared" si="1"/>
        <v>0.80794801435455621</v>
      </c>
      <c r="T118" s="51">
        <f t="shared" si="2"/>
        <v>-0.24546079124681799</v>
      </c>
      <c r="U118" s="51">
        <f t="shared" si="3"/>
        <v>-0.44378035013658279</v>
      </c>
      <c r="V118" s="51">
        <f t="shared" si="4"/>
        <v>-0.90115857634765917</v>
      </c>
      <c r="W118" s="58">
        <f t="shared" si="14"/>
        <v>0.16278390499907205</v>
      </c>
      <c r="X118" s="51">
        <f t="shared" si="5"/>
        <v>1.1931253072340084E-4</v>
      </c>
      <c r="Y118" s="58">
        <f t="shared" si="6"/>
        <v>-1.094916317267553E-4</v>
      </c>
      <c r="Z118" s="51">
        <f t="shared" si="7"/>
        <v>-0.91768761472830485</v>
      </c>
      <c r="AA118" s="51">
        <f t="shared" si="8"/>
        <v>0.40725173098013256</v>
      </c>
      <c r="AB118" s="52">
        <v>1</v>
      </c>
      <c r="AC118">
        <v>0</v>
      </c>
    </row>
    <row r="119" spans="1:29">
      <c r="A119" s="49">
        <v>2018</v>
      </c>
      <c r="B119" s="59" t="s">
        <v>211</v>
      </c>
      <c r="C119" s="49" t="s">
        <v>212</v>
      </c>
      <c r="D119" s="50">
        <v>587179039123</v>
      </c>
      <c r="E119" s="50">
        <v>313507248253</v>
      </c>
      <c r="F119" s="50">
        <v>986798686383</v>
      </c>
      <c r="G119" s="50"/>
      <c r="H119" s="50">
        <v>106701019905</v>
      </c>
      <c r="I119" s="50">
        <v>560755293708</v>
      </c>
      <c r="J119" s="50">
        <v>426043392675</v>
      </c>
      <c r="K119" s="51">
        <v>1600000000</v>
      </c>
      <c r="L119" s="50">
        <v>1176679314139</v>
      </c>
      <c r="M119" s="50">
        <v>947170542507</v>
      </c>
      <c r="N119" s="50">
        <v>159317990074</v>
      </c>
      <c r="O119" s="50">
        <v>21618512703</v>
      </c>
      <c r="P119" s="50">
        <v>8000000000</v>
      </c>
      <c r="Q119" s="52">
        <v>316</v>
      </c>
      <c r="R119" s="51">
        <f t="shared" si="0"/>
        <v>1.0471217047997403</v>
      </c>
      <c r="S119" s="51">
        <f t="shared" si="1"/>
        <v>1.3161929121519382</v>
      </c>
      <c r="T119" s="51">
        <f t="shared" si="2"/>
        <v>2.1907723430642411E-2</v>
      </c>
      <c r="U119" s="51">
        <f t="shared" si="3"/>
        <v>5.0742513731438892E-2</v>
      </c>
      <c r="V119" s="51">
        <f t="shared" si="4"/>
        <v>1.8372476207605216E-2</v>
      </c>
      <c r="W119" s="58">
        <f t="shared" si="14"/>
        <v>0.195047851079065</v>
      </c>
      <c r="X119" s="51">
        <f t="shared" si="5"/>
        <v>1.5822784810126583E-2</v>
      </c>
      <c r="Y119" s="58">
        <f t="shared" si="6"/>
        <v>0.37005320902070382</v>
      </c>
      <c r="Z119" s="51">
        <f t="shared" si="7"/>
        <v>23.387362810108485</v>
      </c>
      <c r="AA119" s="51">
        <f t="shared" si="8"/>
        <v>1.1867335785340729</v>
      </c>
      <c r="AB119" s="52">
        <v>1</v>
      </c>
      <c r="AC119">
        <v>0</v>
      </c>
    </row>
    <row r="120" spans="1:29">
      <c r="A120" s="49">
        <v>2019</v>
      </c>
      <c r="B120" s="59" t="s">
        <v>211</v>
      </c>
      <c r="C120" s="49" t="s">
        <v>212</v>
      </c>
      <c r="D120" s="50">
        <v>553095462520</v>
      </c>
      <c r="E120" s="50">
        <v>297319143583</v>
      </c>
      <c r="F120" s="50">
        <v>962025149261</v>
      </c>
      <c r="G120" s="50"/>
      <c r="H120" s="50">
        <v>106816001403</v>
      </c>
      <c r="I120" s="50">
        <v>553754286838</v>
      </c>
      <c r="J120" s="50">
        <v>408270862423</v>
      </c>
      <c r="K120" s="51">
        <v>1600000000</v>
      </c>
      <c r="L120" s="50">
        <v>1187269670295</v>
      </c>
      <c r="M120" s="50">
        <v>891846999972</v>
      </c>
      <c r="N120" s="50">
        <v>211484755362</v>
      </c>
      <c r="O120" s="50">
        <v>32133014664</v>
      </c>
      <c r="P120" s="50">
        <v>8000000000</v>
      </c>
      <c r="Q120" s="52">
        <v>338</v>
      </c>
      <c r="R120" s="51">
        <f t="shared" si="0"/>
        <v>0.99881025874894447</v>
      </c>
      <c r="S120" s="51">
        <f t="shared" si="1"/>
        <v>1.3563404538633668</v>
      </c>
      <c r="T120" s="51">
        <f t="shared" si="2"/>
        <v>3.3401428942563149E-2</v>
      </c>
      <c r="U120" s="51">
        <f t="shared" si="3"/>
        <v>7.8705138234204247E-2</v>
      </c>
      <c r="V120" s="51">
        <f t="shared" si="4"/>
        <v>2.7064630275627215E-2</v>
      </c>
      <c r="W120" s="58">
        <f t="shared" si="14"/>
        <v>0.24882524814231677</v>
      </c>
      <c r="X120" s="51">
        <f t="shared" si="5"/>
        <v>1.4792899408284023E-2</v>
      </c>
      <c r="Y120" s="58">
        <f t="shared" si="6"/>
        <v>0.24896512461256068</v>
      </c>
      <c r="Z120" s="51">
        <f t="shared" si="7"/>
        <v>16.830042423809104</v>
      </c>
      <c r="AA120" s="51">
        <f t="shared" si="8"/>
        <v>1.3246108154534173</v>
      </c>
      <c r="AB120" s="52">
        <v>1</v>
      </c>
      <c r="AC120">
        <v>0</v>
      </c>
    </row>
    <row r="121" spans="1:29">
      <c r="A121" s="49">
        <v>2020</v>
      </c>
      <c r="B121" s="59" t="s">
        <v>211</v>
      </c>
      <c r="C121" s="49" t="s">
        <v>212</v>
      </c>
      <c r="D121" s="50">
        <v>505972668218</v>
      </c>
      <c r="E121" s="50">
        <v>385727013711</v>
      </c>
      <c r="F121" s="50">
        <v>972015359252</v>
      </c>
      <c r="G121" s="50"/>
      <c r="H121" s="50">
        <v>151749817514</v>
      </c>
      <c r="I121" s="50">
        <v>601172001077</v>
      </c>
      <c r="J121" s="50">
        <v>370843358175</v>
      </c>
      <c r="K121" s="51">
        <v>1600000000</v>
      </c>
      <c r="L121" s="50">
        <v>984347363283</v>
      </c>
      <c r="M121" s="50">
        <v>745766889459</v>
      </c>
      <c r="N121" s="50">
        <v>189978072198</v>
      </c>
      <c r="O121" s="50">
        <v>1599783419</v>
      </c>
      <c r="P121" s="50">
        <v>8000000000</v>
      </c>
      <c r="Q121" s="52">
        <v>346</v>
      </c>
      <c r="R121" s="51">
        <f t="shared" si="0"/>
        <v>0.84164376802570584</v>
      </c>
      <c r="S121" s="51">
        <f t="shared" si="1"/>
        <v>1.6210941569386514</v>
      </c>
      <c r="T121" s="51">
        <f t="shared" si="2"/>
        <v>1.6458417079243373E-3</v>
      </c>
      <c r="U121" s="51">
        <f t="shared" si="3"/>
        <v>4.313906083886411E-3</v>
      </c>
      <c r="V121" s="51">
        <f t="shared" si="4"/>
        <v>1.6252224353650877E-3</v>
      </c>
      <c r="W121" s="58">
        <f t="shared" si="14"/>
        <v>0.24237427022538596</v>
      </c>
      <c r="X121" s="51">
        <f>(P121/K120)/Q121</f>
        <v>1.4450867052023121E-2</v>
      </c>
      <c r="Y121" s="58">
        <f t="shared" si="6"/>
        <v>5.0006769072532808</v>
      </c>
      <c r="Z121" s="51">
        <f>Q121/(O121/K120)</f>
        <v>346.04684198192706</v>
      </c>
      <c r="AA121" s="51">
        <f>Q121/(J121/K120)</f>
        <v>1.4928135769355146</v>
      </c>
      <c r="AB121" s="52">
        <v>1</v>
      </c>
      <c r="AC121">
        <v>0</v>
      </c>
    </row>
    <row r="122" spans="1:29">
      <c r="A122" s="49">
        <v>2018</v>
      </c>
      <c r="B122" s="59" t="s">
        <v>213</v>
      </c>
      <c r="C122" s="49" t="s">
        <v>214</v>
      </c>
      <c r="D122" s="50">
        <v>179359221655</v>
      </c>
      <c r="E122" s="50">
        <v>604523211</v>
      </c>
      <c r="F122" s="50">
        <v>1262027127785</v>
      </c>
      <c r="G122" s="50"/>
      <c r="H122" s="50"/>
      <c r="I122" s="50">
        <v>12074906518</v>
      </c>
      <c r="J122" s="50">
        <v>1249952221267</v>
      </c>
      <c r="K122" s="51">
        <f t="shared" ref="K122:K124" si="20">1109250000+1479000000</f>
        <v>2588250000</v>
      </c>
      <c r="L122" s="50">
        <v>3309695977</v>
      </c>
      <c r="M122" s="50">
        <v>4326032844</v>
      </c>
      <c r="N122" s="50">
        <v>38942653627</v>
      </c>
      <c r="O122" s="50">
        <v>36602219324</v>
      </c>
      <c r="Q122" s="52">
        <v>102</v>
      </c>
      <c r="R122" s="51">
        <f t="shared" si="0"/>
        <v>14.853880764015038</v>
      </c>
      <c r="S122" s="51">
        <f t="shared" si="1"/>
        <v>9.6602944597037541E-3</v>
      </c>
      <c r="T122" s="51">
        <f t="shared" si="2"/>
        <v>2.9002719924286432E-2</v>
      </c>
      <c r="U122" s="51">
        <f t="shared" si="3"/>
        <v>2.9282894738887358E-2</v>
      </c>
      <c r="V122" s="51">
        <f t="shared" si="4"/>
        <v>11.059088078892753</v>
      </c>
      <c r="W122" s="58">
        <f t="shared" si="14"/>
        <v>-0.30707861811562398</v>
      </c>
      <c r="X122" s="51">
        <f t="shared" ref="X122:X124" si="21">(P122/K122)/Q122</f>
        <v>0</v>
      </c>
      <c r="Y122" s="58">
        <f t="shared" si="6"/>
        <v>0</v>
      </c>
      <c r="Z122" s="51">
        <f t="shared" ref="Z122:Z124" si="22">Q122/(O122/K122)</f>
        <v>7.2127183781693462</v>
      </c>
      <c r="AA122" s="51">
        <f t="shared" ref="AA122:AA124" si="23">Q122/(J122/K122)</f>
        <v>0.21120927304917131</v>
      </c>
      <c r="AB122" s="52">
        <v>1</v>
      </c>
      <c r="AC122">
        <v>0</v>
      </c>
    </row>
    <row r="123" spans="1:29">
      <c r="A123" s="49">
        <v>2019</v>
      </c>
      <c r="B123" s="59" t="s">
        <v>213</v>
      </c>
      <c r="C123" s="49" t="s">
        <v>214</v>
      </c>
      <c r="D123" s="50">
        <v>167434324974</v>
      </c>
      <c r="E123" s="50">
        <v>544048165</v>
      </c>
      <c r="F123" s="50">
        <v>1093765589044</v>
      </c>
      <c r="G123" s="50"/>
      <c r="H123" s="50"/>
      <c r="I123" s="50">
        <v>12322265710</v>
      </c>
      <c r="J123" s="50">
        <v>1081443323334</v>
      </c>
      <c r="K123" s="51">
        <f t="shared" si="20"/>
        <v>2588250000</v>
      </c>
      <c r="L123" s="50">
        <v>2864926016</v>
      </c>
      <c r="M123" s="50">
        <v>6271926871</v>
      </c>
      <c r="N123" s="50">
        <v>38109266181</v>
      </c>
      <c r="O123" s="50">
        <v>-40516442135</v>
      </c>
      <c r="Q123" s="52">
        <v>80</v>
      </c>
      <c r="R123" s="51">
        <f t="shared" si="0"/>
        <v>13.587949563376199</v>
      </c>
      <c r="S123" s="51">
        <f t="shared" si="1"/>
        <v>1.1394277854535619E-2</v>
      </c>
      <c r="T123" s="51">
        <f t="shared" si="2"/>
        <v>-3.7043076268666653E-2</v>
      </c>
      <c r="U123" s="51">
        <f t="shared" si="3"/>
        <v>-3.7465155372258599E-2</v>
      </c>
      <c r="V123" s="51">
        <f t="shared" si="4"/>
        <v>-14.142229819801392</v>
      </c>
      <c r="W123" s="58">
        <f t="shared" si="14"/>
        <v>-1.1892107635494347</v>
      </c>
      <c r="X123" s="51">
        <f t="shared" si="21"/>
        <v>0</v>
      </c>
      <c r="Y123" s="58">
        <f t="shared" si="6"/>
        <v>0</v>
      </c>
      <c r="Z123" s="51">
        <f t="shared" si="22"/>
        <v>-5.110517831503568</v>
      </c>
      <c r="AA123" s="51">
        <f t="shared" si="23"/>
        <v>0.19146634458997924</v>
      </c>
      <c r="AB123" s="52">
        <v>1</v>
      </c>
      <c r="AC123">
        <v>0</v>
      </c>
    </row>
    <row r="124" spans="1:29">
      <c r="A124" s="49">
        <v>2020</v>
      </c>
      <c r="B124" s="59" t="s">
        <v>213</v>
      </c>
      <c r="C124" s="49" t="s">
        <v>214</v>
      </c>
      <c r="D124" s="50">
        <v>80574942090</v>
      </c>
      <c r="E124" s="50">
        <v>488353479</v>
      </c>
      <c r="F124" s="50">
        <v>1098807182384</v>
      </c>
      <c r="G124" s="50"/>
      <c r="H124" s="50"/>
      <c r="I124" s="50">
        <v>4057590748</v>
      </c>
      <c r="J124" s="50">
        <v>1094749591636</v>
      </c>
      <c r="K124" s="51">
        <f t="shared" si="20"/>
        <v>2588250000</v>
      </c>
      <c r="L124" s="50">
        <v>60000000</v>
      </c>
      <c r="M124" s="50">
        <v>0</v>
      </c>
      <c r="N124" s="50">
        <v>10339109764</v>
      </c>
      <c r="O124" s="50">
        <v>15645276591</v>
      </c>
      <c r="Q124" s="52">
        <v>88</v>
      </c>
      <c r="R124" s="51">
        <f t="shared" si="0"/>
        <v>19.857828720088555</v>
      </c>
      <c r="S124" s="51">
        <f t="shared" si="1"/>
        <v>3.7064099215020608E-3</v>
      </c>
      <c r="T124" s="51">
        <f t="shared" si="2"/>
        <v>1.4238418570449831E-2</v>
      </c>
      <c r="U124" s="51">
        <f t="shared" si="3"/>
        <v>1.4291191986305846E-2</v>
      </c>
      <c r="V124" s="51">
        <f t="shared" si="4"/>
        <v>260.75460985000001</v>
      </c>
      <c r="W124" s="58">
        <f t="shared" si="14"/>
        <v>1</v>
      </c>
      <c r="X124" s="51">
        <f t="shared" si="21"/>
        <v>0</v>
      </c>
      <c r="Y124" s="58">
        <f t="shared" si="6"/>
        <v>0</v>
      </c>
      <c r="Z124" s="51">
        <f t="shared" si="22"/>
        <v>14.558131885697899</v>
      </c>
      <c r="AA124" s="51">
        <f t="shared" si="23"/>
        <v>0.20805305774046939</v>
      </c>
      <c r="AB124" s="52">
        <v>1</v>
      </c>
      <c r="AC124">
        <v>3</v>
      </c>
    </row>
    <row r="125" spans="1:29">
      <c r="A125" s="49">
        <v>2018</v>
      </c>
      <c r="B125" s="59" t="s">
        <v>215</v>
      </c>
      <c r="C125" s="49" t="s">
        <v>216</v>
      </c>
      <c r="D125" s="50">
        <v>92949676000000</v>
      </c>
      <c r="E125" s="50">
        <v>2642568000000</v>
      </c>
      <c r="F125" s="50">
        <v>100663451000000</v>
      </c>
      <c r="G125" s="50"/>
      <c r="H125" s="50"/>
      <c r="I125" s="50">
        <v>75550211000000</v>
      </c>
      <c r="J125" s="50">
        <v>25113240000000</v>
      </c>
      <c r="K125" s="51">
        <f t="shared" ref="K125:K127" si="24">142474368+6255190349</f>
        <v>6397664717</v>
      </c>
      <c r="L125" s="50">
        <v>37377268000000</v>
      </c>
      <c r="M125" s="50">
        <v>35730089000000</v>
      </c>
      <c r="N125" s="50">
        <v>4099487000000</v>
      </c>
      <c r="O125" s="50">
        <v>1537695000000</v>
      </c>
      <c r="P125" s="50">
        <v>556368000000</v>
      </c>
      <c r="Q125" s="52">
        <v>8650</v>
      </c>
      <c r="R125" s="51">
        <f t="shared" si="0"/>
        <v>1.2303033276770068</v>
      </c>
      <c r="S125" s="51">
        <f t="shared" si="1"/>
        <v>3.0083816743677838</v>
      </c>
      <c r="T125" s="51">
        <f t="shared" si="2"/>
        <v>1.5275603853478061E-2</v>
      </c>
      <c r="U125" s="51">
        <f t="shared" si="3"/>
        <v>6.1230450551183362E-2</v>
      </c>
      <c r="V125" s="51">
        <f t="shared" si="4"/>
        <v>4.1139844677786509E-2</v>
      </c>
      <c r="W125" s="58">
        <f t="shared" si="14"/>
        <v>4.4069004722335513E-2</v>
      </c>
      <c r="X125" s="51" t="e">
        <f>(P125/#REF!)/Q125</f>
        <v>#REF!</v>
      </c>
      <c r="Y125" s="58">
        <f t="shared" si="6"/>
        <v>0.36181947655419311</v>
      </c>
      <c r="Z125" s="51" t="e">
        <f>Q125/(O125/#REF!)</f>
        <v>#REF!</v>
      </c>
      <c r="AA125" s="51" t="e">
        <f>Q125/(J125/#REF!)</f>
        <v>#REF!</v>
      </c>
      <c r="AB125" s="52">
        <v>1</v>
      </c>
      <c r="AC125">
        <v>0</v>
      </c>
    </row>
    <row r="126" spans="1:29">
      <c r="A126" s="49">
        <v>2019</v>
      </c>
      <c r="B126" s="59" t="s">
        <v>215</v>
      </c>
      <c r="C126" s="49" t="s">
        <v>216</v>
      </c>
      <c r="D126" s="50">
        <v>89775505000000</v>
      </c>
      <c r="E126" s="50">
        <v>2558102000000</v>
      </c>
      <c r="F126" s="50">
        <v>99624857000000</v>
      </c>
      <c r="G126" s="50"/>
      <c r="H126" s="50"/>
      <c r="I126" s="50">
        <v>77460250000000</v>
      </c>
      <c r="J126" s="50">
        <v>22164607000000</v>
      </c>
      <c r="K126" s="51">
        <f t="shared" si="24"/>
        <v>6397664717</v>
      </c>
      <c r="L126" s="50">
        <v>41919335000000</v>
      </c>
      <c r="M126" s="50">
        <v>36737570000000</v>
      </c>
      <c r="N126" s="50">
        <v>4397470000000</v>
      </c>
      <c r="O126" s="50">
        <v>5070554000000</v>
      </c>
      <c r="P126" s="50">
        <v>190000000000</v>
      </c>
      <c r="Q126" s="52">
        <v>15225</v>
      </c>
      <c r="R126" s="51">
        <f t="shared" si="0"/>
        <v>1.1589880616187012</v>
      </c>
      <c r="S126" s="51">
        <f t="shared" si="1"/>
        <v>3.4947720931844177</v>
      </c>
      <c r="T126" s="51">
        <f t="shared" si="2"/>
        <v>5.0896474561564486E-2</v>
      </c>
      <c r="U126" s="51">
        <f t="shared" si="3"/>
        <v>0.22876805350079069</v>
      </c>
      <c r="V126" s="51">
        <f t="shared" si="4"/>
        <v>0.12095979098905076</v>
      </c>
      <c r="W126" s="58">
        <f t="shared" si="14"/>
        <v>0.12361276723497641</v>
      </c>
      <c r="X126" s="51">
        <f>(P126/K125)/Q126</f>
        <v>1.9506296594879943E-3</v>
      </c>
      <c r="Y126" s="58">
        <f t="shared" si="6"/>
        <v>3.7471250675961638E-2</v>
      </c>
      <c r="Z126" s="51">
        <f>Q126/(O126/K125)</f>
        <v>19.209823091584273</v>
      </c>
      <c r="AA126" s="51">
        <f>Q126/(J126/K125)</f>
        <v>4.3945938367562754</v>
      </c>
      <c r="AB126" s="52">
        <v>1</v>
      </c>
      <c r="AC126">
        <v>0</v>
      </c>
    </row>
    <row r="127" spans="1:29">
      <c r="A127" s="49">
        <v>2020</v>
      </c>
      <c r="B127" s="59" t="s">
        <v>215</v>
      </c>
      <c r="C127" s="49" t="s">
        <v>216</v>
      </c>
      <c r="D127" s="50">
        <v>95051283000000</v>
      </c>
      <c r="E127" s="50">
        <v>3234752000000</v>
      </c>
      <c r="F127" s="50">
        <v>108456227000000</v>
      </c>
      <c r="G127" s="50"/>
      <c r="H127" s="50"/>
      <c r="I127" s="50">
        <v>85533983000000</v>
      </c>
      <c r="J127" s="50">
        <v>22922244000000</v>
      </c>
      <c r="K127" s="51">
        <f t="shared" si="24"/>
        <v>6397664717</v>
      </c>
      <c r="L127" s="50">
        <v>38259352000000</v>
      </c>
      <c r="M127" s="50">
        <v>37609184000000</v>
      </c>
      <c r="N127" s="50">
        <v>4221478000000</v>
      </c>
      <c r="O127" s="50">
        <v>559820000000</v>
      </c>
      <c r="P127" s="50">
        <v>0</v>
      </c>
      <c r="Q127" s="52">
        <v>11400</v>
      </c>
      <c r="R127" s="51">
        <f t="shared" si="0"/>
        <v>1.11126922500499</v>
      </c>
      <c r="S127" s="51">
        <f t="shared" si="1"/>
        <v>3.7314838372717785</v>
      </c>
      <c r="T127" s="51">
        <f t="shared" si="2"/>
        <v>5.1617137667899883E-3</v>
      </c>
      <c r="U127" s="51">
        <f t="shared" si="3"/>
        <v>2.4422565260190057E-2</v>
      </c>
      <c r="V127" s="51">
        <f t="shared" si="4"/>
        <v>1.4632239458734167E-2</v>
      </c>
      <c r="W127" s="58">
        <f t="shared" si="14"/>
        <v>1.6993701304716294E-2</v>
      </c>
      <c r="X127" s="51">
        <f t="shared" ref="X127:X360" si="25">(P127/K127)/Q127</f>
        <v>0</v>
      </c>
      <c r="Y127" s="58">
        <f t="shared" si="6"/>
        <v>0</v>
      </c>
      <c r="Z127" s="51">
        <f t="shared" ref="Z127:Z360" si="26">Q127/(O127/K127)</f>
        <v>130.28005032653351</v>
      </c>
      <c r="AA127" s="51">
        <f t="shared" ref="AA127:AA360" si="27">Q127/(J127/K127)</f>
        <v>3.1817730312006103</v>
      </c>
      <c r="AB127" s="52">
        <v>1</v>
      </c>
      <c r="AC127">
        <v>0</v>
      </c>
    </row>
    <row r="128" spans="1:29">
      <c r="A128" s="49">
        <v>2018</v>
      </c>
      <c r="B128" s="59" t="s">
        <v>217</v>
      </c>
      <c r="C128" s="49" t="s">
        <v>218</v>
      </c>
      <c r="D128" s="50">
        <v>28940213807000</v>
      </c>
      <c r="E128" s="50">
        <v>544030482000</v>
      </c>
      <c r="F128" s="50">
        <v>30815122948000</v>
      </c>
      <c r="G128" s="50"/>
      <c r="H128" s="50"/>
      <c r="I128" s="50">
        <v>25993108259000</v>
      </c>
      <c r="J128" s="50">
        <v>3287794997000</v>
      </c>
      <c r="K128" s="51">
        <v>9150094680</v>
      </c>
      <c r="L128" s="50">
        <v>1112846234000</v>
      </c>
      <c r="M128" s="50">
        <v>662534518000</v>
      </c>
      <c r="N128" s="50">
        <v>48435751000</v>
      </c>
      <c r="O128" s="50">
        <v>80821884000</v>
      </c>
      <c r="P128" s="50">
        <v>403934000</v>
      </c>
      <c r="Q128" s="52">
        <v>104</v>
      </c>
      <c r="R128" s="51">
        <f t="shared" si="0"/>
        <v>1.1133802667474206</v>
      </c>
      <c r="S128" s="51">
        <f t="shared" si="1"/>
        <v>7.9059394769801097</v>
      </c>
      <c r="T128" s="51">
        <f t="shared" si="2"/>
        <v>2.622799335780213E-3</v>
      </c>
      <c r="U128" s="51">
        <f t="shared" si="3"/>
        <v>2.4582397647586664E-2</v>
      </c>
      <c r="V128" s="51">
        <f t="shared" si="4"/>
        <v>7.2626281628769926E-2</v>
      </c>
      <c r="W128" s="58">
        <f t="shared" si="14"/>
        <v>0.40464864079326163</v>
      </c>
      <c r="X128" s="51">
        <f t="shared" si="25"/>
        <v>4.2447438032747978E-4</v>
      </c>
      <c r="Y128" s="58">
        <f t="shared" si="6"/>
        <v>4.9978295482446316E-3</v>
      </c>
      <c r="Z128" s="76">
        <f t="shared" si="26"/>
        <v>11.77416065579466</v>
      </c>
      <c r="AA128" s="51">
        <f t="shared" si="27"/>
        <v>0.28943709920731409</v>
      </c>
      <c r="AB128" s="52">
        <v>1</v>
      </c>
      <c r="AC128">
        <v>2</v>
      </c>
    </row>
    <row r="129" spans="1:29">
      <c r="A129" s="49">
        <v>2019</v>
      </c>
      <c r="B129" s="59" t="s">
        <v>217</v>
      </c>
      <c r="C129" s="49" t="s">
        <v>218</v>
      </c>
      <c r="D129" s="50">
        <v>29212618048000</v>
      </c>
      <c r="E129" s="50">
        <v>529228073000</v>
      </c>
      <c r="F129" s="50">
        <v>31243747963000</v>
      </c>
      <c r="G129" s="50"/>
      <c r="H129" s="50"/>
      <c r="I129" s="50">
        <v>26052543404000</v>
      </c>
      <c r="J129" s="50">
        <v>3503719943000</v>
      </c>
      <c r="K129" s="51">
        <v>9150094680</v>
      </c>
      <c r="L129" s="50">
        <v>1081783774000</v>
      </c>
      <c r="M129" s="50">
        <v>835314940000</v>
      </c>
      <c r="N129" s="50">
        <v>52908931000</v>
      </c>
      <c r="O129" s="50">
        <v>47666013000</v>
      </c>
      <c r="P129" s="50">
        <v>3386773000</v>
      </c>
      <c r="Q129" s="52">
        <v>112</v>
      </c>
      <c r="R129" s="51">
        <f t="shared" si="0"/>
        <v>1.1212962049423096</v>
      </c>
      <c r="S129" s="51">
        <f t="shared" si="1"/>
        <v>7.4356808842698072</v>
      </c>
      <c r="T129" s="51">
        <f t="shared" si="2"/>
        <v>1.525617638973655E-3</v>
      </c>
      <c r="U129" s="51">
        <f t="shared" si="3"/>
        <v>1.3604401543345612E-2</v>
      </c>
      <c r="V129" s="51">
        <f t="shared" si="4"/>
        <v>4.4062421849562702E-2</v>
      </c>
      <c r="W129" s="58">
        <f t="shared" si="14"/>
        <v>0.22783558038466198</v>
      </c>
      <c r="X129" s="51">
        <f t="shared" si="25"/>
        <v>3.3047794258296288E-3</v>
      </c>
      <c r="Y129" s="58">
        <f t="shared" si="6"/>
        <v>7.1052156176771061E-2</v>
      </c>
      <c r="Z129" s="76">
        <f t="shared" si="26"/>
        <v>21.499817997364286</v>
      </c>
      <c r="AA129" s="51">
        <f t="shared" si="27"/>
        <v>0.29249215714499244</v>
      </c>
      <c r="AB129" s="52">
        <v>1</v>
      </c>
      <c r="AC129">
        <v>0</v>
      </c>
    </row>
    <row r="130" spans="1:29">
      <c r="A130" s="49">
        <v>2020</v>
      </c>
      <c r="B130" s="59" t="s">
        <v>217</v>
      </c>
      <c r="C130" s="49" t="s">
        <v>218</v>
      </c>
      <c r="D130" s="50">
        <v>24559677724000</v>
      </c>
      <c r="E130" s="50">
        <v>572564466000</v>
      </c>
      <c r="F130" s="50">
        <v>26961960681000</v>
      </c>
      <c r="G130" s="50"/>
      <c r="H130" s="50"/>
      <c r="I130" s="50">
        <v>22447783800000</v>
      </c>
      <c r="J130" s="50">
        <v>3134994520000</v>
      </c>
      <c r="K130" s="51">
        <v>9150094680</v>
      </c>
      <c r="L130" s="50">
        <v>864181616000</v>
      </c>
      <c r="M130" s="50">
        <v>596052897000</v>
      </c>
      <c r="N130" s="50">
        <v>99591995000</v>
      </c>
      <c r="O130" s="50">
        <v>-238080320000</v>
      </c>
      <c r="P130" s="50">
        <v>2649293000</v>
      </c>
      <c r="Q130" s="52">
        <v>80</v>
      </c>
      <c r="R130" s="51">
        <f t="shared" si="0"/>
        <v>1.0940802861795202</v>
      </c>
      <c r="S130" s="51">
        <f t="shared" si="1"/>
        <v>7.1603901240631194</v>
      </c>
      <c r="T130" s="51">
        <f t="shared" si="2"/>
        <v>-8.8302302201551074E-3</v>
      </c>
      <c r="U130" s="51">
        <f t="shared" si="3"/>
        <v>-7.5942818553953961E-2</v>
      </c>
      <c r="V130" s="51">
        <f t="shared" si="4"/>
        <v>-0.27549801522276307</v>
      </c>
      <c r="W130" s="58">
        <f t="shared" si="14"/>
        <v>0.31026894582770204</v>
      </c>
      <c r="X130" s="51">
        <f t="shared" si="25"/>
        <v>3.6192152822619754E-3</v>
      </c>
      <c r="Y130" s="58">
        <f t="shared" si="6"/>
        <v>-1.1127727818914222E-2</v>
      </c>
      <c r="Z130" s="51">
        <f t="shared" si="26"/>
        <v>-3.0746244561499245</v>
      </c>
      <c r="AA130" s="51">
        <f t="shared" si="27"/>
        <v>0.23349564719494309</v>
      </c>
      <c r="AB130" s="52">
        <v>1</v>
      </c>
      <c r="AC130">
        <v>0</v>
      </c>
    </row>
    <row r="131" spans="1:29">
      <c r="A131" s="49">
        <v>2018</v>
      </c>
      <c r="B131" s="59" t="s">
        <v>219</v>
      </c>
      <c r="C131" s="49" t="s">
        <v>220</v>
      </c>
      <c r="D131" s="50">
        <v>29757520000000</v>
      </c>
      <c r="E131" s="50">
        <v>245488000000</v>
      </c>
      <c r="F131" s="50">
        <v>31496441000000</v>
      </c>
      <c r="G131" s="50"/>
      <c r="H131" s="50"/>
      <c r="I131" s="50">
        <v>24468242000000</v>
      </c>
      <c r="J131" s="50">
        <v>7028199000000</v>
      </c>
      <c r="K131" s="51">
        <v>1000000000</v>
      </c>
      <c r="L131" s="50">
        <v>10138755000000</v>
      </c>
      <c r="M131" s="50"/>
      <c r="N131" s="50">
        <v>2166259000000</v>
      </c>
      <c r="O131" s="50">
        <v>1987284000000</v>
      </c>
      <c r="P131" s="50">
        <v>704500000000</v>
      </c>
      <c r="Q131" s="52">
        <v>9100</v>
      </c>
      <c r="R131" s="51">
        <f t="shared" si="0"/>
        <v>1.2161691060600104</v>
      </c>
      <c r="S131" s="51">
        <f t="shared" si="1"/>
        <v>3.4814384168689587</v>
      </c>
      <c r="T131" s="51">
        <f t="shared" si="2"/>
        <v>6.3095509743465936E-2</v>
      </c>
      <c r="U131" s="51">
        <f t="shared" si="3"/>
        <v>0.28275864129629796</v>
      </c>
      <c r="V131" s="51">
        <f t="shared" si="4"/>
        <v>0.19600868153930143</v>
      </c>
      <c r="W131" s="58">
        <f t="shared" ref="W131:W193" si="28">(L131-M131)/L131</f>
        <v>1</v>
      </c>
      <c r="X131" s="51">
        <f t="shared" si="25"/>
        <v>7.7417582417582412E-2</v>
      </c>
      <c r="Y131" s="58">
        <f t="shared" si="6"/>
        <v>0.35450393602524854</v>
      </c>
      <c r="Z131" s="51">
        <f t="shared" si="26"/>
        <v>4.5791140068555878</v>
      </c>
      <c r="AA131" s="51">
        <f t="shared" si="27"/>
        <v>1.2947840549193328</v>
      </c>
      <c r="AB131" s="52">
        <v>1</v>
      </c>
      <c r="AC131">
        <v>2</v>
      </c>
    </row>
    <row r="132" spans="1:29">
      <c r="A132" s="49">
        <v>2019</v>
      </c>
      <c r="B132" s="59" t="s">
        <v>219</v>
      </c>
      <c r="C132" s="49" t="s">
        <v>220</v>
      </c>
      <c r="D132" s="50">
        <v>33504454000000</v>
      </c>
      <c r="E132" s="50">
        <v>266149000000</v>
      </c>
      <c r="F132" s="50">
        <v>35116853000000</v>
      </c>
      <c r="G132" s="50"/>
      <c r="H132" s="50"/>
      <c r="I132" s="50">
        <v>27038058000000</v>
      </c>
      <c r="J132" s="50">
        <v>8078795000000</v>
      </c>
      <c r="K132" s="51">
        <v>1000000000</v>
      </c>
      <c r="L132" s="50">
        <v>11337726000000</v>
      </c>
      <c r="M132" s="50"/>
      <c r="N132" s="50">
        <v>2354551000000</v>
      </c>
      <c r="O132" s="50">
        <v>1958596000000</v>
      </c>
      <c r="P132" s="50">
        <v>908000000000</v>
      </c>
      <c r="Q132" s="52">
        <v>10400</v>
      </c>
      <c r="R132" s="51">
        <f t="shared" si="0"/>
        <v>1.2391590401943808</v>
      </c>
      <c r="S132" s="51">
        <f t="shared" si="1"/>
        <v>3.3467934264949166</v>
      </c>
      <c r="T132" s="51">
        <f t="shared" si="2"/>
        <v>5.5773676530752915E-2</v>
      </c>
      <c r="U132" s="51">
        <f t="shared" si="3"/>
        <v>0.24243665051533056</v>
      </c>
      <c r="V132" s="51">
        <f t="shared" si="4"/>
        <v>0.17275033811894908</v>
      </c>
      <c r="W132" s="58">
        <f t="shared" si="28"/>
        <v>1</v>
      </c>
      <c r="X132" s="51">
        <f t="shared" si="25"/>
        <v>8.7307692307692308E-2</v>
      </c>
      <c r="Y132" s="58">
        <f t="shared" si="6"/>
        <v>0.46359739323474569</v>
      </c>
      <c r="Z132" s="51">
        <f t="shared" si="26"/>
        <v>5.3099260899133869</v>
      </c>
      <c r="AA132" s="51">
        <f t="shared" si="27"/>
        <v>1.2873206957225676</v>
      </c>
      <c r="AB132" s="52">
        <v>1</v>
      </c>
      <c r="AC132">
        <v>2</v>
      </c>
    </row>
    <row r="133" spans="1:29">
      <c r="A133" s="49">
        <v>2020</v>
      </c>
      <c r="B133" s="59" t="s">
        <v>219</v>
      </c>
      <c r="C133" s="49" t="s">
        <v>220</v>
      </c>
      <c r="D133" s="50">
        <v>27479153000000</v>
      </c>
      <c r="E133" s="50">
        <v>244529000000</v>
      </c>
      <c r="F133" s="50">
        <v>29230513000000</v>
      </c>
      <c r="G133" s="50"/>
      <c r="H133" s="50"/>
      <c r="I133" s="50">
        <v>21305238000000</v>
      </c>
      <c r="J133" s="50">
        <v>7925275000000</v>
      </c>
      <c r="K133" s="51">
        <v>1000000000</v>
      </c>
      <c r="L133" s="50">
        <v>9434745000000</v>
      </c>
      <c r="M133" s="50"/>
      <c r="N133" s="50">
        <v>1976168000000</v>
      </c>
      <c r="O133" s="50">
        <v>1015111000000</v>
      </c>
      <c r="P133" s="50">
        <v>1054500000000</v>
      </c>
      <c r="Q133" s="52">
        <v>8975</v>
      </c>
      <c r="R133" s="51">
        <f t="shared" si="0"/>
        <v>1.2897839019681452</v>
      </c>
      <c r="S133" s="51">
        <f t="shared" si="1"/>
        <v>2.6882648236181077</v>
      </c>
      <c r="T133" s="51">
        <f t="shared" si="2"/>
        <v>3.4727785995408295E-2</v>
      </c>
      <c r="U133" s="51">
        <f t="shared" si="3"/>
        <v>0.12808527148900195</v>
      </c>
      <c r="V133" s="51">
        <f t="shared" si="4"/>
        <v>0.10759283902214634</v>
      </c>
      <c r="W133" s="58">
        <f t="shared" si="28"/>
        <v>1</v>
      </c>
      <c r="X133" s="51">
        <f t="shared" si="25"/>
        <v>0.11749303621169917</v>
      </c>
      <c r="Y133" s="58">
        <f t="shared" si="6"/>
        <v>1.0388026531088719</v>
      </c>
      <c r="Z133" s="51">
        <f t="shared" si="26"/>
        <v>8.8413976402580605</v>
      </c>
      <c r="AA133" s="51">
        <f t="shared" si="27"/>
        <v>1.132452817094675</v>
      </c>
      <c r="AB133" s="52">
        <v>1</v>
      </c>
      <c r="AC133">
        <v>2</v>
      </c>
    </row>
    <row r="134" spans="1:29">
      <c r="A134" s="49">
        <v>2018</v>
      </c>
      <c r="B134" s="59" t="s">
        <v>223</v>
      </c>
      <c r="C134" s="49" t="s">
        <v>224</v>
      </c>
      <c r="D134" s="50">
        <v>4863569000000</v>
      </c>
      <c r="E134" s="50">
        <v>102764000000</v>
      </c>
      <c r="F134" s="50">
        <v>5019046000000</v>
      </c>
      <c r="G134" s="50"/>
      <c r="H134" s="50"/>
      <c r="I134" s="50">
        <v>3841990000000</v>
      </c>
      <c r="J134" s="50">
        <v>1177056000000</v>
      </c>
      <c r="K134" s="51">
        <v>1645796054</v>
      </c>
      <c r="L134" s="50">
        <v>739882000000</v>
      </c>
      <c r="M134" s="50">
        <v>662970000000</v>
      </c>
      <c r="N134" s="50">
        <v>192894000000</v>
      </c>
      <c r="O134" s="50">
        <v>57571000000</v>
      </c>
      <c r="P134" s="50">
        <v>26315000000</v>
      </c>
      <c r="Q134" s="52">
        <v>472</v>
      </c>
      <c r="R134" s="51">
        <f t="shared" si="0"/>
        <v>1.2658984016095824</v>
      </c>
      <c r="S134" s="51">
        <f t="shared" si="1"/>
        <v>3.2640673001114644</v>
      </c>
      <c r="T134" s="51">
        <f t="shared" si="2"/>
        <v>1.1470506546463212E-2</v>
      </c>
      <c r="U134" s="51">
        <f t="shared" si="3"/>
        <v>4.891101188048827E-2</v>
      </c>
      <c r="V134" s="51">
        <f t="shared" si="4"/>
        <v>7.7811056357635411E-2</v>
      </c>
      <c r="W134" s="58">
        <f t="shared" si="28"/>
        <v>0.10395171121881597</v>
      </c>
      <c r="X134" s="51">
        <f t="shared" si="25"/>
        <v>3.3875472303245537E-2</v>
      </c>
      <c r="Y134" s="58">
        <f t="shared" si="6"/>
        <v>0.45708776988414307</v>
      </c>
      <c r="Z134" s="51">
        <f t="shared" si="26"/>
        <v>13.493177771586391</v>
      </c>
      <c r="AA134" s="51">
        <f t="shared" si="27"/>
        <v>0.65996497829160206</v>
      </c>
      <c r="AB134" s="52">
        <v>1</v>
      </c>
      <c r="AC134">
        <v>0</v>
      </c>
    </row>
    <row r="135" spans="1:29">
      <c r="A135" s="49">
        <v>2019</v>
      </c>
      <c r="B135" s="59" t="s">
        <v>223</v>
      </c>
      <c r="C135" s="49" t="s">
        <v>224</v>
      </c>
      <c r="D135" s="50">
        <v>4899380000000</v>
      </c>
      <c r="E135" s="50">
        <v>100426000000</v>
      </c>
      <c r="F135" s="50">
        <v>5051402000000</v>
      </c>
      <c r="G135" s="50"/>
      <c r="H135" s="50"/>
      <c r="I135" s="50">
        <v>3843919000000</v>
      </c>
      <c r="J135" s="50">
        <v>1207483000000</v>
      </c>
      <c r="K135" s="51">
        <v>1645796054</v>
      </c>
      <c r="L135" s="50">
        <v>839267000000</v>
      </c>
      <c r="M135" s="50">
        <v>760878000000</v>
      </c>
      <c r="N135" s="50">
        <v>218494000000</v>
      </c>
      <c r="O135" s="50">
        <v>59269000000</v>
      </c>
      <c r="P135" s="50">
        <v>23025000000</v>
      </c>
      <c r="Q135" s="52">
        <v>404</v>
      </c>
      <c r="R135" s="51">
        <f t="shared" si="0"/>
        <v>1.2745794071102956</v>
      </c>
      <c r="S135" s="51">
        <f t="shared" si="1"/>
        <v>3.1834145905159743</v>
      </c>
      <c r="T135" s="51">
        <f t="shared" si="2"/>
        <v>1.1733178234478269E-2</v>
      </c>
      <c r="U135" s="51">
        <f t="shared" si="3"/>
        <v>4.9084749019240849E-2</v>
      </c>
      <c r="V135" s="51">
        <f t="shared" si="4"/>
        <v>7.0619957653523843E-2</v>
      </c>
      <c r="W135" s="58">
        <f t="shared" si="28"/>
        <v>9.3401742234592799E-2</v>
      </c>
      <c r="X135" s="51">
        <f t="shared" si="25"/>
        <v>3.4629183925255505E-2</v>
      </c>
      <c r="Y135" s="58">
        <f t="shared" si="6"/>
        <v>0.38848301810389918</v>
      </c>
      <c r="Z135" s="51">
        <f t="shared" si="26"/>
        <v>11.218370578481162</v>
      </c>
      <c r="AA135" s="51">
        <f t="shared" si="27"/>
        <v>0.55065090424958363</v>
      </c>
      <c r="AB135" s="52">
        <v>1</v>
      </c>
      <c r="AC135">
        <v>0</v>
      </c>
    </row>
    <row r="136" spans="1:29">
      <c r="A136" s="49">
        <v>2020</v>
      </c>
      <c r="B136" s="59" t="s">
        <v>223</v>
      </c>
      <c r="C136" s="49" t="s">
        <v>224</v>
      </c>
      <c r="D136" s="50">
        <v>3978718000000</v>
      </c>
      <c r="E136" s="50">
        <v>88359000000</v>
      </c>
      <c r="F136" s="50">
        <v>4115895000000</v>
      </c>
      <c r="G136" s="50"/>
      <c r="H136" s="50"/>
      <c r="I136" s="50">
        <v>2907239000000</v>
      </c>
      <c r="J136" s="50">
        <v>1208656000000</v>
      </c>
      <c r="K136" s="51">
        <v>1645796054</v>
      </c>
      <c r="L136" s="50">
        <v>680194000000</v>
      </c>
      <c r="M136" s="50">
        <v>652982000000</v>
      </c>
      <c r="N136" s="50">
        <v>211172000000</v>
      </c>
      <c r="O136" s="50">
        <v>20053000000</v>
      </c>
      <c r="P136" s="50"/>
      <c r="Q136" s="52">
        <v>368</v>
      </c>
      <c r="R136" s="51">
        <f t="shared" si="0"/>
        <v>1.3685555263946307</v>
      </c>
      <c r="S136" s="51">
        <f t="shared" si="1"/>
        <v>2.4053485855363315</v>
      </c>
      <c r="T136" s="51">
        <f t="shared" si="2"/>
        <v>4.8720873588854914E-3</v>
      </c>
      <c r="U136" s="51">
        <f t="shared" si="3"/>
        <v>1.6591155796190148E-2</v>
      </c>
      <c r="V136" s="51">
        <f t="shared" si="4"/>
        <v>2.9481295042296757E-2</v>
      </c>
      <c r="W136" s="58">
        <f t="shared" si="28"/>
        <v>4.0006233515732278E-2</v>
      </c>
      <c r="X136" s="51">
        <f t="shared" si="25"/>
        <v>0</v>
      </c>
      <c r="Y136" s="58">
        <f t="shared" si="6"/>
        <v>0</v>
      </c>
      <c r="Z136" s="51">
        <f t="shared" si="26"/>
        <v>30.202610475839023</v>
      </c>
      <c r="AA136" s="51">
        <f t="shared" si="27"/>
        <v>0.50109621585628994</v>
      </c>
      <c r="AB136" s="52">
        <v>1</v>
      </c>
      <c r="AC136">
        <v>0</v>
      </c>
    </row>
    <row r="137" spans="1:29">
      <c r="A137" s="49">
        <v>2018</v>
      </c>
      <c r="B137" s="59" t="s">
        <v>225</v>
      </c>
      <c r="C137" s="49" t="s">
        <v>226</v>
      </c>
      <c r="D137" s="50">
        <v>18234081000000</v>
      </c>
      <c r="E137" s="50">
        <v>530145000000</v>
      </c>
      <c r="F137" s="50">
        <v>19117376000000</v>
      </c>
      <c r="G137" s="50"/>
      <c r="H137" s="50"/>
      <c r="I137" s="50">
        <v>12913580000000</v>
      </c>
      <c r="J137" s="50">
        <v>6203796000000</v>
      </c>
      <c r="K137" s="51">
        <v>15967115620</v>
      </c>
      <c r="L137" s="50">
        <v>5017721000000</v>
      </c>
      <c r="M137" s="50">
        <v>3177622000000</v>
      </c>
      <c r="N137" s="50">
        <v>1558181000000</v>
      </c>
      <c r="O137" s="50">
        <v>1467794000000</v>
      </c>
      <c r="P137" s="50">
        <v>239430000000</v>
      </c>
      <c r="Q137" s="52">
        <v>665</v>
      </c>
      <c r="R137" s="51">
        <f t="shared" si="0"/>
        <v>1.4120082115106734</v>
      </c>
      <c r="S137" s="51">
        <f t="shared" si="1"/>
        <v>2.0815610313427455</v>
      </c>
      <c r="T137" s="51">
        <f t="shared" si="2"/>
        <v>7.6778005517075143E-2</v>
      </c>
      <c r="U137" s="51">
        <f t="shared" si="3"/>
        <v>0.23659610986563712</v>
      </c>
      <c r="V137" s="51">
        <f t="shared" si="4"/>
        <v>0.29252204337387433</v>
      </c>
      <c r="W137" s="58">
        <f t="shared" si="28"/>
        <v>0.36672007072533525</v>
      </c>
      <c r="X137" s="51">
        <f t="shared" si="25"/>
        <v>2.2549164254248376E-2</v>
      </c>
      <c r="Y137" s="58">
        <f t="shared" si="6"/>
        <v>0.16312234550624952</v>
      </c>
      <c r="Z137" s="51">
        <f t="shared" si="26"/>
        <v>7.2340750045987381</v>
      </c>
      <c r="AA137" s="51">
        <f t="shared" si="27"/>
        <v>1.7115540045643023</v>
      </c>
      <c r="AB137" s="52">
        <v>1</v>
      </c>
      <c r="AC137">
        <v>2</v>
      </c>
    </row>
    <row r="138" spans="1:29">
      <c r="A138" s="49">
        <v>2019</v>
      </c>
      <c r="B138" s="59" t="s">
        <v>225</v>
      </c>
      <c r="C138" s="49" t="s">
        <v>226</v>
      </c>
      <c r="D138" s="50">
        <v>18211551000000</v>
      </c>
      <c r="E138" s="50">
        <v>541056000000</v>
      </c>
      <c r="F138" s="50">
        <v>19089633000000</v>
      </c>
      <c r="G138" s="50"/>
      <c r="H138" s="50"/>
      <c r="I138" s="50">
        <v>13009453000000</v>
      </c>
      <c r="J138" s="50">
        <v>6080180000000</v>
      </c>
      <c r="K138" s="51">
        <v>15967115620</v>
      </c>
      <c r="L138" s="50">
        <v>5240729000000</v>
      </c>
      <c r="M138" s="50">
        <v>4148476000000</v>
      </c>
      <c r="N138" s="50">
        <v>1536451000000</v>
      </c>
      <c r="O138" s="50">
        <v>711682000000</v>
      </c>
      <c r="P138" s="50">
        <v>733255000000</v>
      </c>
      <c r="Q138" s="52">
        <v>560</v>
      </c>
      <c r="R138" s="51">
        <f t="shared" si="0"/>
        <v>1.3998706171581541</v>
      </c>
      <c r="S138" s="51">
        <f t="shared" si="1"/>
        <v>2.1396493195925119</v>
      </c>
      <c r="T138" s="51">
        <f t="shared" si="2"/>
        <v>3.7281072925812668E-2</v>
      </c>
      <c r="U138" s="51">
        <f t="shared" si="3"/>
        <v>0.11704949524520655</v>
      </c>
      <c r="V138" s="51">
        <f t="shared" si="4"/>
        <v>0.13579828302512875</v>
      </c>
      <c r="W138" s="58">
        <f t="shared" si="28"/>
        <v>0.20841623369573203</v>
      </c>
      <c r="X138" s="51">
        <f t="shared" si="25"/>
        <v>8.2005038338378897E-2</v>
      </c>
      <c r="Y138" s="58">
        <f t="shared" si="6"/>
        <v>1.0303126958388718</v>
      </c>
      <c r="Z138" s="51">
        <f t="shared" si="26"/>
        <v>12.564017000851504</v>
      </c>
      <c r="AA138" s="51">
        <f t="shared" si="27"/>
        <v>1.4706118482018624</v>
      </c>
      <c r="AB138" s="52">
        <v>1</v>
      </c>
      <c r="AC138">
        <v>0</v>
      </c>
    </row>
    <row r="139" spans="1:29">
      <c r="A139" s="49">
        <v>2020</v>
      </c>
      <c r="B139" s="59" t="s">
        <v>225</v>
      </c>
      <c r="C139" s="49" t="s">
        <v>226</v>
      </c>
      <c r="D139" s="50">
        <v>14248625000000</v>
      </c>
      <c r="E139" s="50">
        <v>606304000000</v>
      </c>
      <c r="F139" s="50">
        <v>15200531000000</v>
      </c>
      <c r="G139" s="50"/>
      <c r="H139" s="50"/>
      <c r="I139" s="50">
        <v>8594377000000</v>
      </c>
      <c r="J139" s="50">
        <v>6606154000000</v>
      </c>
      <c r="K139" s="51">
        <v>15967115620</v>
      </c>
      <c r="L139" s="50">
        <v>4569778000000</v>
      </c>
      <c r="M139" s="50">
        <v>3699782000000</v>
      </c>
      <c r="N139" s="50">
        <v>1771154000000</v>
      </c>
      <c r="O139" s="50">
        <v>701592000000</v>
      </c>
      <c r="P139" s="50">
        <v>179573000000</v>
      </c>
      <c r="Q139" s="52">
        <v>560</v>
      </c>
      <c r="R139" s="51">
        <f t="shared" si="0"/>
        <v>1.6579008577352379</v>
      </c>
      <c r="S139" s="51">
        <f t="shared" si="1"/>
        <v>1.3009652817660624</v>
      </c>
      <c r="T139" s="51">
        <f t="shared" si="2"/>
        <v>4.6155756006155312E-2</v>
      </c>
      <c r="U139" s="51">
        <f t="shared" si="3"/>
        <v>0.10620279212382878</v>
      </c>
      <c r="V139" s="51">
        <f t="shared" si="4"/>
        <v>0.15352868345026827</v>
      </c>
      <c r="W139" s="58">
        <f t="shared" si="28"/>
        <v>0.19038036421025267</v>
      </c>
      <c r="X139" s="51">
        <f t="shared" si="25"/>
        <v>2.0082905332439213E-2</v>
      </c>
      <c r="Y139" s="58">
        <f t="shared" si="6"/>
        <v>0.25595075200401374</v>
      </c>
      <c r="Z139" s="51">
        <f t="shared" si="26"/>
        <v>12.744707390050058</v>
      </c>
      <c r="AA139" s="51">
        <f t="shared" si="27"/>
        <v>1.3535235096245108</v>
      </c>
      <c r="AB139" s="52">
        <v>1</v>
      </c>
      <c r="AC139">
        <v>0</v>
      </c>
    </row>
    <row r="140" spans="1:29">
      <c r="A140" s="49">
        <v>2018</v>
      </c>
      <c r="B140" s="59" t="s">
        <v>227</v>
      </c>
      <c r="C140" s="49" t="s">
        <v>228</v>
      </c>
      <c r="D140" s="50">
        <v>10822261402000</v>
      </c>
      <c r="E140" s="50">
        <v>174129915000</v>
      </c>
      <c r="F140" s="50">
        <v>11077046941000</v>
      </c>
      <c r="G140" s="50"/>
      <c r="H140" s="50"/>
      <c r="I140" s="50">
        <v>6729921689000</v>
      </c>
      <c r="J140" s="50">
        <v>4347125252000</v>
      </c>
      <c r="K140" s="51">
        <v>3984520457</v>
      </c>
      <c r="L140" s="50">
        <v>1933912294000</v>
      </c>
      <c r="M140" s="50">
        <v>1521606045000</v>
      </c>
      <c r="N140" s="50">
        <v>934534244000</v>
      </c>
      <c r="O140" s="50">
        <v>305137586000</v>
      </c>
      <c r="P140" s="50"/>
      <c r="Q140" s="52">
        <v>314</v>
      </c>
      <c r="R140" s="51">
        <f t="shared" si="0"/>
        <v>1.6080813272595571</v>
      </c>
      <c r="S140" s="51">
        <f t="shared" si="1"/>
        <v>1.5481315349503069</v>
      </c>
      <c r="T140" s="51">
        <f t="shared" si="2"/>
        <v>2.7546835147062503E-2</v>
      </c>
      <c r="U140" s="51">
        <f t="shared" si="3"/>
        <v>7.0192959326307439E-2</v>
      </c>
      <c r="V140" s="51">
        <f t="shared" si="4"/>
        <v>0.15778253592300706</v>
      </c>
      <c r="W140" s="58">
        <f t="shared" si="28"/>
        <v>0.21319800814090073</v>
      </c>
      <c r="X140" s="51">
        <f t="shared" si="25"/>
        <v>0</v>
      </c>
      <c r="Y140" s="58">
        <f t="shared" si="6"/>
        <v>0</v>
      </c>
      <c r="Z140" s="51">
        <f t="shared" si="26"/>
        <v>4.1002468424129175</v>
      </c>
      <c r="AA140" s="51">
        <f t="shared" si="27"/>
        <v>0.2878084598373104</v>
      </c>
      <c r="AB140" s="52">
        <v>1</v>
      </c>
      <c r="AC140">
        <v>0</v>
      </c>
    </row>
    <row r="141" spans="1:29">
      <c r="A141" s="49">
        <v>2019</v>
      </c>
      <c r="B141" s="59" t="s">
        <v>227</v>
      </c>
      <c r="C141" s="49" t="s">
        <v>228</v>
      </c>
      <c r="D141" s="50">
        <v>11824160110000</v>
      </c>
      <c r="E141" s="50">
        <v>191064922000</v>
      </c>
      <c r="F141" s="50">
        <v>12117478069000</v>
      </c>
      <c r="G141" s="50"/>
      <c r="H141" s="50"/>
      <c r="I141" s="50">
        <v>7411795923000</v>
      </c>
      <c r="J141" s="50">
        <v>4705682146000</v>
      </c>
      <c r="K141" s="51">
        <v>3984520457</v>
      </c>
      <c r="L141" s="50">
        <v>2164662845000</v>
      </c>
      <c r="M141" s="50">
        <v>1677996298000</v>
      </c>
      <c r="N141" s="50">
        <v>1030421065000</v>
      </c>
      <c r="O141" s="50">
        <v>361596020000</v>
      </c>
      <c r="P141" s="50"/>
      <c r="Q141" s="52">
        <v>290</v>
      </c>
      <c r="R141" s="51">
        <f t="shared" si="0"/>
        <v>1.5953164702373579</v>
      </c>
      <c r="S141" s="51">
        <f t="shared" si="1"/>
        <v>1.5750736435312136</v>
      </c>
      <c r="T141" s="51">
        <f t="shared" si="2"/>
        <v>2.9840864406024122E-2</v>
      </c>
      <c r="U141" s="51">
        <f t="shared" si="3"/>
        <v>7.6842423432141441E-2</v>
      </c>
      <c r="V141" s="51">
        <f t="shared" si="4"/>
        <v>0.16704496075923547</v>
      </c>
      <c r="W141" s="58">
        <f t="shared" si="28"/>
        <v>0.22482325509680007</v>
      </c>
      <c r="X141" s="51">
        <f t="shared" si="25"/>
        <v>0</v>
      </c>
      <c r="Y141" s="58">
        <f t="shared" si="6"/>
        <v>0</v>
      </c>
      <c r="Z141" s="51">
        <f t="shared" si="26"/>
        <v>3.1955853179191522</v>
      </c>
      <c r="AA141" s="51">
        <f t="shared" si="27"/>
        <v>0.24555652011307777</v>
      </c>
      <c r="AB141" s="52">
        <v>1</v>
      </c>
      <c r="AC141">
        <v>0</v>
      </c>
    </row>
    <row r="142" spans="1:29">
      <c r="A142" s="49">
        <v>2020</v>
      </c>
      <c r="B142" s="59" t="s">
        <v>227</v>
      </c>
      <c r="C142" s="49" t="s">
        <v>228</v>
      </c>
      <c r="D142" s="50">
        <v>10644136835000</v>
      </c>
      <c r="E142" s="50">
        <v>173369724000</v>
      </c>
      <c r="F142" s="50">
        <v>10917456216000</v>
      </c>
      <c r="G142" s="50"/>
      <c r="H142" s="50"/>
      <c r="I142" s="50">
        <v>6172266324000</v>
      </c>
      <c r="J142" s="50">
        <v>4745189892000</v>
      </c>
      <c r="K142" s="51">
        <v>3984520457</v>
      </c>
      <c r="L142" s="50">
        <v>1847954148000</v>
      </c>
      <c r="M142" s="50">
        <v>1787420988000</v>
      </c>
      <c r="N142" s="50">
        <v>1210135188000</v>
      </c>
      <c r="O142" s="50">
        <v>46566702000</v>
      </c>
      <c r="P142" s="50"/>
      <c r="Q142" s="52">
        <v>234</v>
      </c>
      <c r="R142" s="51">
        <f t="shared" si="0"/>
        <v>1.7245102975566289</v>
      </c>
      <c r="S142" s="51">
        <f t="shared" si="1"/>
        <v>1.3007416909502258</v>
      </c>
      <c r="T142" s="51">
        <f t="shared" si="2"/>
        <v>4.2653436000736605E-3</v>
      </c>
      <c r="U142" s="51">
        <f t="shared" si="3"/>
        <v>9.8134538469171976E-3</v>
      </c>
      <c r="V142" s="51">
        <f t="shared" si="4"/>
        <v>2.5199057049331074E-2</v>
      </c>
      <c r="W142" s="58">
        <f t="shared" si="28"/>
        <v>3.2756851713833759E-2</v>
      </c>
      <c r="X142" s="51">
        <f t="shared" si="25"/>
        <v>0</v>
      </c>
      <c r="Y142" s="58">
        <f t="shared" si="6"/>
        <v>0</v>
      </c>
      <c r="Z142" s="51">
        <f t="shared" si="26"/>
        <v>20.022414018884135</v>
      </c>
      <c r="AA142" s="51">
        <f t="shared" si="27"/>
        <v>0.19648903587818736</v>
      </c>
      <c r="AB142" s="52">
        <v>1</v>
      </c>
      <c r="AC142">
        <v>0</v>
      </c>
    </row>
    <row r="143" spans="1:29">
      <c r="A143" s="49">
        <v>2018</v>
      </c>
      <c r="B143" s="59" t="s">
        <v>229</v>
      </c>
      <c r="C143" s="49" t="s">
        <v>230</v>
      </c>
      <c r="D143" s="50">
        <v>3354231000000</v>
      </c>
      <c r="E143" s="50">
        <v>170262000000</v>
      </c>
      <c r="F143" s="50">
        <v>3621664000000</v>
      </c>
      <c r="G143" s="50"/>
      <c r="H143" s="50"/>
      <c r="I143" s="50">
        <v>1560997000000</v>
      </c>
      <c r="J143" s="50">
        <v>2060667000000</v>
      </c>
      <c r="K143" s="51">
        <v>2650000000</v>
      </c>
      <c r="L143" s="50">
        <v>1476141000000</v>
      </c>
      <c r="M143" s="50">
        <v>1030537000000</v>
      </c>
      <c r="N143" s="50">
        <v>265282000000</v>
      </c>
      <c r="O143" s="50">
        <v>333346000000</v>
      </c>
      <c r="P143" s="50">
        <v>198750000000</v>
      </c>
      <c r="Q143" s="52">
        <v>885</v>
      </c>
      <c r="R143" s="51">
        <f t="shared" si="0"/>
        <v>2.1487747894454632</v>
      </c>
      <c r="S143" s="51">
        <f t="shared" si="1"/>
        <v>0.75752025921703992</v>
      </c>
      <c r="T143" s="51">
        <f t="shared" si="2"/>
        <v>9.2042221476094963E-2</v>
      </c>
      <c r="U143" s="51">
        <f t="shared" si="3"/>
        <v>0.16176606894757861</v>
      </c>
      <c r="V143" s="51">
        <f t="shared" si="4"/>
        <v>0.22582260095749659</v>
      </c>
      <c r="W143" s="58">
        <f t="shared" si="28"/>
        <v>0.30187089173730691</v>
      </c>
      <c r="X143" s="51">
        <f t="shared" si="25"/>
        <v>8.4745762711864403E-2</v>
      </c>
      <c r="Y143" s="58">
        <f t="shared" si="6"/>
        <v>0.59622734336095229</v>
      </c>
      <c r="Z143" s="51">
        <f t="shared" si="26"/>
        <v>7.0354826516592368</v>
      </c>
      <c r="AA143" s="51">
        <f t="shared" si="27"/>
        <v>1.1381023717078014</v>
      </c>
      <c r="AB143" s="52">
        <v>1</v>
      </c>
      <c r="AC143">
        <v>2</v>
      </c>
    </row>
    <row r="144" spans="1:29">
      <c r="A144" s="49">
        <v>2019</v>
      </c>
      <c r="B144" s="59" t="s">
        <v>229</v>
      </c>
      <c r="C144" s="49" t="s">
        <v>230</v>
      </c>
      <c r="D144" s="50">
        <v>4466492000000</v>
      </c>
      <c r="E144" s="50">
        <v>167840000000</v>
      </c>
      <c r="F144" s="50">
        <v>4726154000000</v>
      </c>
      <c r="G144" s="50"/>
      <c r="H144" s="50"/>
      <c r="I144" s="50">
        <v>2448259000000</v>
      </c>
      <c r="J144" s="50">
        <v>2277895000000</v>
      </c>
      <c r="K144" s="51">
        <v>2650000000</v>
      </c>
      <c r="L144" s="50">
        <v>1745719000000</v>
      </c>
      <c r="M144" s="50">
        <v>1231859000000</v>
      </c>
      <c r="N144" s="50">
        <v>308465000000</v>
      </c>
      <c r="O144" s="50">
        <v>377084000000</v>
      </c>
      <c r="P144" s="50">
        <v>132500000000</v>
      </c>
      <c r="Q144" s="52">
        <v>1300</v>
      </c>
      <c r="R144" s="51">
        <f t="shared" si="0"/>
        <v>1.82435436773642</v>
      </c>
      <c r="S144" s="51">
        <f t="shared" si="1"/>
        <v>1.0747901022654687</v>
      </c>
      <c r="T144" s="51">
        <f t="shared" si="2"/>
        <v>7.9786651048611615E-2</v>
      </c>
      <c r="U144" s="51">
        <f t="shared" si="3"/>
        <v>0.16554055388856817</v>
      </c>
      <c r="V144" s="51">
        <f t="shared" si="4"/>
        <v>0.21600498132861015</v>
      </c>
      <c r="W144" s="58">
        <f t="shared" si="28"/>
        <v>0.29435436058151399</v>
      </c>
      <c r="X144" s="51">
        <f t="shared" si="25"/>
        <v>3.8461538461538464E-2</v>
      </c>
      <c r="Y144" s="58">
        <f t="shared" si="6"/>
        <v>0.35138059424425327</v>
      </c>
      <c r="Z144" s="51">
        <f t="shared" si="26"/>
        <v>9.1358954503505849</v>
      </c>
      <c r="AA144" s="51">
        <f t="shared" si="27"/>
        <v>1.5123611931190857</v>
      </c>
      <c r="AB144" s="52">
        <v>1</v>
      </c>
      <c r="AC144">
        <v>2</v>
      </c>
    </row>
    <row r="145" spans="1:29">
      <c r="A145" s="49">
        <v>2020</v>
      </c>
      <c r="B145" s="59" t="s">
        <v>229</v>
      </c>
      <c r="C145" s="49" t="s">
        <v>230</v>
      </c>
      <c r="D145" s="50">
        <v>3942336000000</v>
      </c>
      <c r="E145" s="50">
        <v>177857000000</v>
      </c>
      <c r="F145" s="50">
        <v>4210393000000</v>
      </c>
      <c r="G145" s="50"/>
      <c r="H145" s="50"/>
      <c r="I145" s="50">
        <v>1875421000000</v>
      </c>
      <c r="J145" s="50">
        <v>2334972000000</v>
      </c>
      <c r="K145" s="51">
        <v>2650000000</v>
      </c>
      <c r="L145" s="50">
        <v>1561215000000</v>
      </c>
      <c r="M145" s="50">
        <v>1327729000000</v>
      </c>
      <c r="N145" s="50">
        <v>282333000000</v>
      </c>
      <c r="O145" s="50">
        <v>174397000000</v>
      </c>
      <c r="P145" s="50">
        <v>79500000000</v>
      </c>
      <c r="Q145" s="52">
        <v>990</v>
      </c>
      <c r="R145" s="51">
        <f t="shared" si="0"/>
        <v>2.1021072068618194</v>
      </c>
      <c r="S145" s="51">
        <f t="shared" si="1"/>
        <v>0.80318778983216932</v>
      </c>
      <c r="T145" s="51">
        <f t="shared" si="2"/>
        <v>4.1420598979715194E-2</v>
      </c>
      <c r="U145" s="51">
        <f t="shared" si="3"/>
        <v>7.4689118327757251E-2</v>
      </c>
      <c r="V145" s="51">
        <f t="shared" si="4"/>
        <v>0.11170594697078878</v>
      </c>
      <c r="W145" s="58">
        <f t="shared" si="28"/>
        <v>0.14955403323693406</v>
      </c>
      <c r="X145" s="51">
        <f t="shared" si="25"/>
        <v>3.0303030303030304E-2</v>
      </c>
      <c r="Y145" s="58">
        <f t="shared" si="6"/>
        <v>0.45585646542085012</v>
      </c>
      <c r="Z145" s="51">
        <f t="shared" si="26"/>
        <v>15.043263358888053</v>
      </c>
      <c r="AA145" s="51">
        <f t="shared" si="27"/>
        <v>1.1235680770476049</v>
      </c>
      <c r="AB145" s="52">
        <v>1</v>
      </c>
      <c r="AC145">
        <v>0</v>
      </c>
    </row>
    <row r="146" spans="1:29">
      <c r="A146" s="49">
        <v>2018</v>
      </c>
      <c r="B146" s="59" t="s">
        <v>231</v>
      </c>
      <c r="C146" s="49" t="s">
        <v>232</v>
      </c>
      <c r="D146" s="50">
        <v>34715467684</v>
      </c>
      <c r="E146" s="50">
        <v>94780784029</v>
      </c>
      <c r="F146" s="50">
        <v>204476568540</v>
      </c>
      <c r="G146" s="50"/>
      <c r="H146" s="50">
        <v>69191522441</v>
      </c>
      <c r="I146" s="50">
        <v>187920313606</v>
      </c>
      <c r="J146" s="50">
        <v>16556254934</v>
      </c>
      <c r="K146" s="51">
        <v>4000000000</v>
      </c>
      <c r="L146" s="50">
        <v>257437549951</v>
      </c>
      <c r="M146" s="50">
        <v>246559849692</v>
      </c>
      <c r="N146" s="50">
        <v>24116093083</v>
      </c>
      <c r="O146" s="50">
        <v>-36887821525</v>
      </c>
      <c r="P146" s="50"/>
      <c r="Q146" s="52">
        <v>50</v>
      </c>
      <c r="R146" s="51">
        <f t="shared" si="0"/>
        <v>0.18473504549798489</v>
      </c>
      <c r="S146" s="51">
        <f t="shared" si="1"/>
        <v>11.350411935255115</v>
      </c>
      <c r="T146" s="51">
        <f t="shared" si="2"/>
        <v>-0.18040121559348229</v>
      </c>
      <c r="U146" s="51">
        <f t="shared" si="3"/>
        <v>-2.2280293262002751</v>
      </c>
      <c r="V146" s="51">
        <f t="shared" si="4"/>
        <v>-0.14328842677387635</v>
      </c>
      <c r="W146" s="58">
        <f t="shared" si="28"/>
        <v>4.225374371792473E-2</v>
      </c>
      <c r="X146" s="51">
        <f t="shared" si="25"/>
        <v>0</v>
      </c>
      <c r="Y146" s="58">
        <f t="shared" si="6"/>
        <v>0</v>
      </c>
      <c r="Z146" s="51">
        <f t="shared" si="26"/>
        <v>-5.4218436256652867</v>
      </c>
      <c r="AA146" s="51">
        <f t="shared" si="27"/>
        <v>12.080026600054286</v>
      </c>
      <c r="AB146" s="52">
        <v>1</v>
      </c>
      <c r="AC146">
        <v>0</v>
      </c>
    </row>
    <row r="147" spans="1:29">
      <c r="A147" s="49">
        <v>2019</v>
      </c>
      <c r="B147" s="59" t="s">
        <v>231</v>
      </c>
      <c r="C147" s="49" t="s">
        <v>232</v>
      </c>
      <c r="D147" s="50">
        <v>4047266662</v>
      </c>
      <c r="E147" s="50">
        <v>84360578661</v>
      </c>
      <c r="F147" s="50">
        <v>88838496383</v>
      </c>
      <c r="G147" s="50"/>
      <c r="H147" s="50">
        <v>19273152626</v>
      </c>
      <c r="I147" s="50">
        <v>193930594350</v>
      </c>
      <c r="J147" s="50">
        <v>-105092097967</v>
      </c>
      <c r="K147" s="51">
        <v>1003080977</v>
      </c>
      <c r="L147" s="50">
        <v>42286984239</v>
      </c>
      <c r="M147" s="50">
        <v>54315208841</v>
      </c>
      <c r="N147" s="50">
        <v>90466357206</v>
      </c>
      <c r="O147" s="50">
        <v>-121648352901</v>
      </c>
      <c r="P147" s="50"/>
      <c r="Q147" s="52">
        <v>50</v>
      </c>
      <c r="R147" s="51">
        <f t="shared" si="0"/>
        <v>2.0869665642831048E-2</v>
      </c>
      <c r="S147" s="51">
        <f t="shared" si="1"/>
        <v>-1.8453394508395502</v>
      </c>
      <c r="T147" s="51">
        <f t="shared" si="2"/>
        <v>-1.3693202592775811</v>
      </c>
      <c r="U147" s="51">
        <f t="shared" si="3"/>
        <v>1.157540436001181</v>
      </c>
      <c r="V147" s="51">
        <f t="shared" si="4"/>
        <v>-2.8767327604508486</v>
      </c>
      <c r="W147" s="58">
        <f t="shared" si="28"/>
        <v>-0.2844427149029638</v>
      </c>
      <c r="X147" s="51">
        <f t="shared" si="25"/>
        <v>0</v>
      </c>
      <c r="Y147" s="58">
        <f t="shared" si="6"/>
        <v>0</v>
      </c>
      <c r="Z147" s="51">
        <f t="shared" si="26"/>
        <v>-0.41228711818906766</v>
      </c>
      <c r="AA147" s="51">
        <f t="shared" si="27"/>
        <v>-0.47723901054624385</v>
      </c>
      <c r="AB147" s="52">
        <v>1</v>
      </c>
      <c r="AC147">
        <v>0</v>
      </c>
    </row>
    <row r="148" spans="1:29">
      <c r="A148" s="49">
        <v>2018</v>
      </c>
      <c r="B148" s="73" t="s">
        <v>233</v>
      </c>
      <c r="C148" s="49" t="s">
        <v>234</v>
      </c>
      <c r="D148" s="50">
        <v>1459281338000</v>
      </c>
      <c r="E148" s="50">
        <v>27406475000</v>
      </c>
      <c r="F148" s="50">
        <v>1565490561000</v>
      </c>
      <c r="G148" s="50"/>
      <c r="H148" s="50"/>
      <c r="I148" s="50">
        <v>1294360807000</v>
      </c>
      <c r="J148" s="50">
        <v>271129754000</v>
      </c>
      <c r="K148" s="51">
        <v>8272514905</v>
      </c>
      <c r="L148" s="50">
        <v>226985260000</v>
      </c>
      <c r="M148" s="50">
        <v>0</v>
      </c>
      <c r="N148" s="50">
        <v>420279335000</v>
      </c>
      <c r="O148" s="50">
        <v>-192758906000</v>
      </c>
      <c r="P148" s="50"/>
      <c r="Q148" s="52">
        <v>116</v>
      </c>
      <c r="R148" s="51">
        <f t="shared" si="0"/>
        <v>1.1274146513924845</v>
      </c>
      <c r="S148" s="51">
        <f t="shared" si="1"/>
        <v>4.773953385433308</v>
      </c>
      <c r="T148" s="51">
        <f t="shared" si="2"/>
        <v>-0.12313003399833339</v>
      </c>
      <c r="U148" s="51">
        <f t="shared" si="3"/>
        <v>-0.71094707665319534</v>
      </c>
      <c r="V148" s="51">
        <f t="shared" si="4"/>
        <v>-0.84921331896176866</v>
      </c>
      <c r="W148" s="58">
        <f t="shared" si="28"/>
        <v>1</v>
      </c>
      <c r="X148" s="51">
        <f t="shared" si="25"/>
        <v>0</v>
      </c>
      <c r="Y148" s="58">
        <f t="shared" si="6"/>
        <v>0</v>
      </c>
      <c r="Z148" s="74">
        <f t="shared" si="26"/>
        <v>-4.978300348830575</v>
      </c>
      <c r="AA148" s="51">
        <f t="shared" si="27"/>
        <v>3.5393080797026801</v>
      </c>
      <c r="AB148" s="52">
        <v>1</v>
      </c>
      <c r="AC148">
        <v>2</v>
      </c>
    </row>
    <row r="149" spans="1:29">
      <c r="A149" s="49">
        <v>2019</v>
      </c>
      <c r="B149" s="73" t="s">
        <v>233</v>
      </c>
      <c r="C149" s="49" t="s">
        <v>234</v>
      </c>
      <c r="D149" s="50">
        <v>2577118587000</v>
      </c>
      <c r="E149" s="50">
        <v>42435986000</v>
      </c>
      <c r="F149" s="50">
        <v>2652723126000</v>
      </c>
      <c r="G149" s="50"/>
      <c r="H149" s="50"/>
      <c r="I149" s="50">
        <v>1984129298000</v>
      </c>
      <c r="J149" s="50">
        <v>668593828000</v>
      </c>
      <c r="K149" s="51">
        <v>8272514905</v>
      </c>
      <c r="L149" s="50">
        <v>333007101000</v>
      </c>
      <c r="M149" s="50">
        <v>0</v>
      </c>
      <c r="N149" s="50">
        <v>329197351000</v>
      </c>
      <c r="O149" s="50">
        <v>1771684000</v>
      </c>
      <c r="P149" s="50"/>
      <c r="Q149" s="52">
        <v>140</v>
      </c>
      <c r="R149" s="51">
        <f t="shared" si="0"/>
        <v>1.2988662531205666</v>
      </c>
      <c r="S149" s="51">
        <f t="shared" si="1"/>
        <v>2.9676153367063387</v>
      </c>
      <c r="T149" s="51">
        <f t="shared" si="2"/>
        <v>6.6787369651784756E-4</v>
      </c>
      <c r="U149" s="51">
        <f t="shared" si="3"/>
        <v>2.6498659212869672E-3</v>
      </c>
      <c r="V149" s="51">
        <f t="shared" si="4"/>
        <v>5.3202589214456425E-3</v>
      </c>
      <c r="W149" s="58">
        <f t="shared" si="28"/>
        <v>1</v>
      </c>
      <c r="X149" s="51">
        <f t="shared" si="25"/>
        <v>0</v>
      </c>
      <c r="Y149" s="58">
        <f t="shared" si="6"/>
        <v>0</v>
      </c>
      <c r="Z149" s="74">
        <f t="shared" si="26"/>
        <v>653.7012733083327</v>
      </c>
      <c r="AA149" s="51">
        <f t="shared" si="27"/>
        <v>1.7322207268416483</v>
      </c>
      <c r="AB149" s="52">
        <v>1</v>
      </c>
      <c r="AC149">
        <v>2</v>
      </c>
    </row>
    <row r="150" spans="1:29">
      <c r="A150" s="49">
        <v>2020</v>
      </c>
      <c r="B150" s="73" t="s">
        <v>233</v>
      </c>
      <c r="C150" s="49" t="s">
        <v>234</v>
      </c>
      <c r="D150" s="50">
        <v>2555218949000</v>
      </c>
      <c r="E150" s="50">
        <v>39531943000</v>
      </c>
      <c r="F150" s="50">
        <v>2679921626000</v>
      </c>
      <c r="G150" s="50"/>
      <c r="H150" s="50"/>
      <c r="I150" s="50">
        <v>2048024392000</v>
      </c>
      <c r="J150" s="50">
        <v>631897234000</v>
      </c>
      <c r="K150" s="51">
        <v>8272514905</v>
      </c>
      <c r="L150" s="50">
        <v>309734085000</v>
      </c>
      <c r="M150" s="50">
        <v>0</v>
      </c>
      <c r="N150" s="50">
        <v>311304830000</v>
      </c>
      <c r="O150" s="50">
        <v>2995118000</v>
      </c>
      <c r="P150" s="50"/>
      <c r="Q150" s="52">
        <v>104</v>
      </c>
      <c r="R150" s="51">
        <f t="shared" si="0"/>
        <v>1.247650642727306</v>
      </c>
      <c r="S150" s="51">
        <f t="shared" si="1"/>
        <v>3.2410719367067209</v>
      </c>
      <c r="T150" s="51">
        <f t="shared" si="2"/>
        <v>1.117614026821544E-3</v>
      </c>
      <c r="U150" s="51">
        <f t="shared" si="3"/>
        <v>4.7398814852226429E-3</v>
      </c>
      <c r="V150" s="51">
        <f t="shared" si="4"/>
        <v>9.6699657707998137E-3</v>
      </c>
      <c r="W150" s="58">
        <f t="shared" si="28"/>
        <v>1</v>
      </c>
      <c r="X150" s="51">
        <f t="shared" si="25"/>
        <v>0</v>
      </c>
      <c r="Y150" s="58">
        <f t="shared" si="6"/>
        <v>0</v>
      </c>
      <c r="Z150" s="74">
        <f t="shared" si="26"/>
        <v>287.24796489487227</v>
      </c>
      <c r="AA150" s="51">
        <f t="shared" si="27"/>
        <v>1.3615213104730888</v>
      </c>
      <c r="AB150" s="52">
        <v>1</v>
      </c>
      <c r="AC150">
        <v>2</v>
      </c>
    </row>
    <row r="151" spans="1:29">
      <c r="A151" s="6">
        <v>2018</v>
      </c>
      <c r="B151" s="6" t="s">
        <v>133</v>
      </c>
      <c r="C151" s="7" t="s">
        <v>134</v>
      </c>
      <c r="D151" s="51">
        <v>35820328250826</v>
      </c>
      <c r="E151" s="51">
        <v>41436061933356</v>
      </c>
      <c r="F151" s="51">
        <v>114968614731327</v>
      </c>
      <c r="G151" s="51">
        <v>23235117344046</v>
      </c>
      <c r="H151" s="51">
        <v>45366918001290</v>
      </c>
      <c r="I151" s="51">
        <v>68602035345336</v>
      </c>
      <c r="J151" s="51">
        <v>46366579385991</v>
      </c>
      <c r="K151" s="8">
        <v>24241508196</v>
      </c>
      <c r="L151" s="50">
        <v>56045332632978</v>
      </c>
      <c r="M151" s="50">
        <v>37082460251259</v>
      </c>
      <c r="N151" s="50">
        <v>10515185697510</v>
      </c>
      <c r="O151" s="50">
        <v>5280332435460</v>
      </c>
      <c r="P151" s="50">
        <v>796583982267</v>
      </c>
      <c r="Q151" s="51">
        <v>2130</v>
      </c>
      <c r="R151" s="51">
        <f t="shared" ref="R151:R360" si="29">D151/G151</f>
        <v>1.5416461092246199</v>
      </c>
      <c r="S151" s="51">
        <f t="shared" ref="S151:S360" si="30">H151/J151</f>
        <v>0.97844004457652456</v>
      </c>
      <c r="T151" s="51">
        <f t="shared" si="2"/>
        <v>4.5928468806897771E-2</v>
      </c>
      <c r="U151" s="51">
        <f t="shared" si="3"/>
        <v>0.11388229421675598</v>
      </c>
      <c r="V151" s="51">
        <f t="shared" si="4"/>
        <v>9.4215382216376833E-2</v>
      </c>
      <c r="W151" s="58">
        <f t="shared" si="28"/>
        <v>0.3383488239047569</v>
      </c>
      <c r="X151" s="51">
        <f t="shared" si="25"/>
        <v>1.5427385426782427E-2</v>
      </c>
      <c r="Y151" s="58">
        <f t="shared" si="6"/>
        <v>0.1508586802068656</v>
      </c>
      <c r="Z151" s="51">
        <f t="shared" si="26"/>
        <v>9.7786291087905397</v>
      </c>
      <c r="AA151" s="51">
        <f t="shared" si="27"/>
        <v>1.1136127172038186</v>
      </c>
      <c r="AB151" s="59">
        <v>2</v>
      </c>
      <c r="AC151">
        <v>2</v>
      </c>
    </row>
    <row r="152" spans="1:29">
      <c r="A152" s="6">
        <v>2019</v>
      </c>
      <c r="B152" s="6" t="s">
        <v>133</v>
      </c>
      <c r="C152" s="7" t="s">
        <v>134</v>
      </c>
      <c r="D152" s="13">
        <v>30852713195881</v>
      </c>
      <c r="E152" s="13">
        <v>38195772167402</v>
      </c>
      <c r="F152" s="13">
        <v>102501986581556</v>
      </c>
      <c r="G152" s="13">
        <v>15615845389597</v>
      </c>
      <c r="H152" s="13">
        <v>41926124645178</v>
      </c>
      <c r="I152" s="13">
        <v>57541970034775</v>
      </c>
      <c r="J152" s="13">
        <v>44960016546781</v>
      </c>
      <c r="K152" s="8">
        <v>24241508196</v>
      </c>
      <c r="L152" s="9">
        <v>53501024525284</v>
      </c>
      <c r="M152" s="9">
        <v>36439368501116</v>
      </c>
      <c r="N152" s="9">
        <v>10330208510406</v>
      </c>
      <c r="O152" s="9">
        <v>1570551591695</v>
      </c>
      <c r="P152" s="9">
        <v>1353577596878</v>
      </c>
      <c r="Q152" s="51">
        <v>2170</v>
      </c>
      <c r="R152" s="51">
        <f t="shared" si="29"/>
        <v>1.9757312157069979</v>
      </c>
      <c r="S152" s="51">
        <f t="shared" si="30"/>
        <v>0.93252022275289359</v>
      </c>
      <c r="T152" s="51">
        <f t="shared" si="2"/>
        <v>1.5322157590042278E-2</v>
      </c>
      <c r="U152" s="51">
        <f t="shared" si="3"/>
        <v>3.4932184467966941E-2</v>
      </c>
      <c r="V152" s="51">
        <f t="shared" si="4"/>
        <v>2.9355542358871549E-2</v>
      </c>
      <c r="W152" s="58">
        <f t="shared" si="28"/>
        <v>0.31890335139479148</v>
      </c>
      <c r="X152" s="51">
        <f t="shared" si="25"/>
        <v>2.5731422021295226E-2</v>
      </c>
      <c r="Y152" s="58">
        <f t="shared" si="6"/>
        <v>0.8618485403699262</v>
      </c>
      <c r="Z152" s="51">
        <f t="shared" si="26"/>
        <v>33.494011316462171</v>
      </c>
      <c r="AA152" s="51">
        <f t="shared" si="27"/>
        <v>1.1700189818788287</v>
      </c>
      <c r="AB152" s="59">
        <v>2</v>
      </c>
      <c r="AC152">
        <v>0</v>
      </c>
    </row>
    <row r="153" spans="1:29">
      <c r="A153" s="6">
        <v>2020</v>
      </c>
      <c r="B153" s="6" t="s">
        <v>133</v>
      </c>
      <c r="C153" s="7" t="s">
        <v>134</v>
      </c>
      <c r="D153" s="13">
        <v>28291608511530</v>
      </c>
      <c r="E153" s="13">
        <v>38050883273585</v>
      </c>
      <c r="F153" s="13">
        <v>106266878101475</v>
      </c>
      <c r="G153" s="13">
        <v>16688406014280</v>
      </c>
      <c r="H153" s="13">
        <v>47892007037420</v>
      </c>
      <c r="I153" s="13">
        <v>64580413051700</v>
      </c>
      <c r="J153" s="13">
        <v>41686465049775</v>
      </c>
      <c r="K153" s="8">
        <v>24241508196</v>
      </c>
      <c r="L153" s="9">
        <v>40700486761025</v>
      </c>
      <c r="M153" s="9">
        <v>28648929334025</v>
      </c>
      <c r="N153" s="9">
        <v>8359448650280</v>
      </c>
      <c r="O153" s="9">
        <v>-2473389962225</v>
      </c>
      <c r="P153" s="9">
        <v>953146912445</v>
      </c>
      <c r="Q153" s="51">
        <v>1655</v>
      </c>
      <c r="R153" s="51">
        <f t="shared" si="29"/>
        <v>1.6952852469745359</v>
      </c>
      <c r="S153" s="51">
        <f t="shared" si="30"/>
        <v>1.1488622741274748</v>
      </c>
      <c r="T153" s="51">
        <f t="shared" si="2"/>
        <v>-2.3275267010885014E-2</v>
      </c>
      <c r="U153" s="51">
        <f t="shared" si="3"/>
        <v>-5.9333166275233259E-2</v>
      </c>
      <c r="V153" s="51">
        <f t="shared" si="4"/>
        <v>-6.0770525344024419E-2</v>
      </c>
      <c r="W153" s="58">
        <f t="shared" si="28"/>
        <v>0.29610352077018975</v>
      </c>
      <c r="X153" s="51">
        <f t="shared" si="25"/>
        <v>2.3757580588733444E-2</v>
      </c>
      <c r="Y153" s="58">
        <f t="shared" si="6"/>
        <v>-0.3853605484788063</v>
      </c>
      <c r="Z153" s="51">
        <f t="shared" si="26"/>
        <v>-16.220529992079907</v>
      </c>
      <c r="AA153" s="51">
        <f t="shared" si="27"/>
        <v>0.96241540309248508</v>
      </c>
      <c r="AB153" s="59">
        <v>2</v>
      </c>
      <c r="AC153">
        <v>0</v>
      </c>
    </row>
    <row r="154" spans="1:29">
      <c r="A154" s="6">
        <v>2018</v>
      </c>
      <c r="B154" s="6" t="s">
        <v>137</v>
      </c>
      <c r="C154" s="7" t="s">
        <v>138</v>
      </c>
      <c r="D154" s="13">
        <v>968326542522</v>
      </c>
      <c r="E154" s="13">
        <v>799069023234</v>
      </c>
      <c r="F154" s="13">
        <v>2767379051340</v>
      </c>
      <c r="G154" s="13">
        <v>258247232082</v>
      </c>
      <c r="H154" s="13">
        <v>601184420514</v>
      </c>
      <c r="I154" s="13">
        <v>859431652596</v>
      </c>
      <c r="J154" s="13">
        <v>1907947398744</v>
      </c>
      <c r="K154" s="8">
        <v>4227082500</v>
      </c>
      <c r="L154" s="9">
        <v>1710322585164</v>
      </c>
      <c r="M154" s="9">
        <v>1413357025509</v>
      </c>
      <c r="N154" s="9">
        <v>222397112736</v>
      </c>
      <c r="O154" s="9">
        <v>180054987318</v>
      </c>
      <c r="P154" s="9">
        <v>47384597871</v>
      </c>
      <c r="Q154" s="51">
        <v>472</v>
      </c>
      <c r="R154" s="51">
        <f t="shared" si="29"/>
        <v>3.7496105368305823</v>
      </c>
      <c r="S154" s="51">
        <f t="shared" si="30"/>
        <v>0.31509486105841239</v>
      </c>
      <c r="T154" s="51">
        <f t="shared" si="2"/>
        <v>6.5063362834525726E-2</v>
      </c>
      <c r="U154" s="51">
        <f t="shared" si="3"/>
        <v>9.4371043686282977E-2</v>
      </c>
      <c r="V154" s="51">
        <f t="shared" si="4"/>
        <v>0.10527545439665396</v>
      </c>
      <c r="W154" s="58">
        <f t="shared" si="28"/>
        <v>0.17363131506944607</v>
      </c>
      <c r="X154" s="51">
        <f t="shared" si="25"/>
        <v>2.3749500319504537E-2</v>
      </c>
      <c r="Y154" s="58">
        <f t="shared" ref="Y154:Y327" si="31">P154/O154</f>
        <v>0.26316737223897485</v>
      </c>
      <c r="Z154" s="51">
        <f t="shared" si="26"/>
        <v>11.080964597088629</v>
      </c>
      <c r="AA154" s="51">
        <f t="shared" si="27"/>
        <v>1.0457221940780062</v>
      </c>
      <c r="AB154" s="59">
        <v>2</v>
      </c>
      <c r="AC154">
        <v>0</v>
      </c>
    </row>
    <row r="155" spans="1:29">
      <c r="A155" s="6">
        <v>2019</v>
      </c>
      <c r="B155" s="6" t="s">
        <v>137</v>
      </c>
      <c r="C155" s="7" t="s">
        <v>138</v>
      </c>
      <c r="D155" s="13">
        <v>984042226112</v>
      </c>
      <c r="E155" s="13">
        <v>803461591434</v>
      </c>
      <c r="F155" s="13">
        <v>2508297621585</v>
      </c>
      <c r="G155" s="13">
        <v>326901962935</v>
      </c>
      <c r="H155" s="13">
        <v>475724956855</v>
      </c>
      <c r="I155" s="13">
        <v>802626919790</v>
      </c>
      <c r="J155" s="13">
        <v>1705670701795</v>
      </c>
      <c r="K155" s="8">
        <v>4227082500</v>
      </c>
      <c r="L155" s="9">
        <v>1697756320356</v>
      </c>
      <c r="M155" s="9">
        <v>1460057977986</v>
      </c>
      <c r="N155" s="9">
        <v>215576318772</v>
      </c>
      <c r="O155" s="9">
        <v>88096225202</v>
      </c>
      <c r="P155" s="9">
        <v>32799770926</v>
      </c>
      <c r="Q155" s="51">
        <v>189</v>
      </c>
      <c r="R155" s="51">
        <f t="shared" si="29"/>
        <v>3.0102059261958711</v>
      </c>
      <c r="S155" s="51">
        <f t="shared" si="30"/>
        <v>0.2789078550474956</v>
      </c>
      <c r="T155" s="51">
        <f t="shared" si="2"/>
        <v>3.5121918724434209E-2</v>
      </c>
      <c r="U155" s="51">
        <f t="shared" si="3"/>
        <v>5.1649022938184963E-2</v>
      </c>
      <c r="V155" s="51">
        <f t="shared" si="4"/>
        <v>5.1889793691669031E-2</v>
      </c>
      <c r="W155" s="58">
        <f t="shared" si="28"/>
        <v>0.14000733763733383</v>
      </c>
      <c r="X155" s="51">
        <f t="shared" si="25"/>
        <v>4.1055210423082002E-2</v>
      </c>
      <c r="Y155" s="58">
        <f t="shared" si="31"/>
        <v>0.37231755220830237</v>
      </c>
      <c r="Z155" s="51">
        <f t="shared" si="26"/>
        <v>9.068704029805156</v>
      </c>
      <c r="AA155" s="51">
        <f t="shared" si="27"/>
        <v>0.46838970245501693</v>
      </c>
      <c r="AB155" s="59">
        <v>2</v>
      </c>
      <c r="AC155">
        <v>0</v>
      </c>
    </row>
    <row r="156" spans="1:29">
      <c r="A156" s="6">
        <v>2020</v>
      </c>
      <c r="B156" s="6" t="s">
        <v>137</v>
      </c>
      <c r="C156" s="7" t="s">
        <v>138</v>
      </c>
      <c r="D156" s="13">
        <v>2350514170095</v>
      </c>
      <c r="E156" s="13">
        <v>745978102870</v>
      </c>
      <c r="F156" s="13">
        <v>2350514155990</v>
      </c>
      <c r="G156" s="13">
        <v>307596000530</v>
      </c>
      <c r="H156" s="13">
        <v>304525088140</v>
      </c>
      <c r="I156" s="13">
        <v>612121088670</v>
      </c>
      <c r="J156" s="13">
        <v>1738393081425</v>
      </c>
      <c r="K156" s="8">
        <v>4227082500</v>
      </c>
      <c r="L156" s="9">
        <v>1393076432020</v>
      </c>
      <c r="M156" s="9">
        <v>1166087107185</v>
      </c>
      <c r="N156" s="9">
        <v>44814815045</v>
      </c>
      <c r="O156" s="9">
        <v>85004671115</v>
      </c>
      <c r="P156" s="9">
        <v>27326152490</v>
      </c>
      <c r="Q156" s="51">
        <v>252</v>
      </c>
      <c r="R156" s="51">
        <f t="shared" si="29"/>
        <v>7.6415628488178378</v>
      </c>
      <c r="S156" s="51">
        <f t="shared" si="30"/>
        <v>0.17517619656560871</v>
      </c>
      <c r="T156" s="51">
        <f t="shared" si="2"/>
        <v>3.6164288097723603E-2</v>
      </c>
      <c r="U156" s="51">
        <f t="shared" si="3"/>
        <v>4.8898417753319497E-2</v>
      </c>
      <c r="V156" s="51">
        <f t="shared" si="4"/>
        <v>6.1019387853501215E-2</v>
      </c>
      <c r="W156" s="58">
        <f t="shared" si="28"/>
        <v>0.16294104158079761</v>
      </c>
      <c r="X156" s="51">
        <f t="shared" si="25"/>
        <v>2.5652944567690732E-2</v>
      </c>
      <c r="Y156" s="58">
        <f t="shared" si="31"/>
        <v>0.32146648097763186</v>
      </c>
      <c r="Z156" s="51">
        <f t="shared" si="26"/>
        <v>12.531367700474867</v>
      </c>
      <c r="AA156" s="51">
        <f t="shared" si="27"/>
        <v>0.61276405283827484</v>
      </c>
      <c r="AB156" s="59">
        <v>2</v>
      </c>
      <c r="AC156">
        <v>0</v>
      </c>
    </row>
    <row r="157" spans="1:29">
      <c r="A157" s="6">
        <v>2018</v>
      </c>
      <c r="B157" s="6" t="s">
        <v>235</v>
      </c>
      <c r="C157" s="7" t="s">
        <v>236</v>
      </c>
      <c r="D157" s="13">
        <v>2254015683477</v>
      </c>
      <c r="E157" s="13">
        <v>672401254464</v>
      </c>
      <c r="F157" s="13">
        <v>2254015683477</v>
      </c>
      <c r="G157" s="13">
        <v>714813569289</v>
      </c>
      <c r="H157" s="13">
        <v>109402434495</v>
      </c>
      <c r="I157" s="13">
        <v>824216003784</v>
      </c>
      <c r="J157" s="13">
        <v>1429799679693</v>
      </c>
      <c r="K157" s="8">
        <v>800371500</v>
      </c>
      <c r="L157" s="9">
        <v>1239476562819</v>
      </c>
      <c r="M157" s="9">
        <v>1055003147262</v>
      </c>
      <c r="N157" s="9">
        <v>289740496401</v>
      </c>
      <c r="O157" s="9">
        <v>83913832674</v>
      </c>
      <c r="P157" s="9">
        <v>0</v>
      </c>
      <c r="Q157" s="51">
        <v>4300</v>
      </c>
      <c r="R157" s="51">
        <f t="shared" si="29"/>
        <v>3.153291683758872</v>
      </c>
      <c r="S157" s="51">
        <f t="shared" si="30"/>
        <v>7.6515917613361323E-2</v>
      </c>
      <c r="T157" s="51">
        <f t="shared" si="2"/>
        <v>3.7228593079066861E-2</v>
      </c>
      <c r="U157" s="51">
        <f t="shared" si="3"/>
        <v>5.8689223298761396E-2</v>
      </c>
      <c r="V157" s="51">
        <f t="shared" si="4"/>
        <v>6.7701024118722197E-2</v>
      </c>
      <c r="W157" s="58">
        <f t="shared" si="28"/>
        <v>0.14883170936079937</v>
      </c>
      <c r="X157" s="51">
        <f t="shared" si="25"/>
        <v>0</v>
      </c>
      <c r="Y157" s="58">
        <f t="shared" si="31"/>
        <v>0</v>
      </c>
      <c r="Z157" s="51">
        <f t="shared" si="26"/>
        <v>41.013469893222386</v>
      </c>
      <c r="AA157" s="51">
        <f t="shared" si="27"/>
        <v>2.4070486928203567</v>
      </c>
      <c r="AB157" s="59">
        <v>2</v>
      </c>
      <c r="AC157">
        <v>0</v>
      </c>
    </row>
    <row r="158" spans="1:29">
      <c r="A158" s="6">
        <v>2019</v>
      </c>
      <c r="B158" s="6" t="s">
        <v>235</v>
      </c>
      <c r="C158" s="7" t="s">
        <v>236</v>
      </c>
      <c r="D158" s="13">
        <v>2395446398276</v>
      </c>
      <c r="E158" s="13">
        <v>617721642309</v>
      </c>
      <c r="F158" s="13">
        <v>2395446398276</v>
      </c>
      <c r="G158" s="13">
        <v>852416965550</v>
      </c>
      <c r="H158" s="13">
        <v>132771272903</v>
      </c>
      <c r="I158" s="13">
        <v>985188238453</v>
      </c>
      <c r="J158" s="13">
        <v>1410258159823</v>
      </c>
      <c r="K158" s="8">
        <v>800371500</v>
      </c>
      <c r="L158" s="9">
        <v>1995615229813</v>
      </c>
      <c r="M158" s="9">
        <v>1631562719269</v>
      </c>
      <c r="N158" s="9">
        <v>314445540954</v>
      </c>
      <c r="O158" s="9">
        <v>22867965159</v>
      </c>
      <c r="P158" s="9">
        <v>252928695</v>
      </c>
      <c r="Q158" s="51">
        <v>3150</v>
      </c>
      <c r="R158" s="51">
        <f t="shared" si="29"/>
        <v>2.8101815133752064</v>
      </c>
      <c r="S158" s="51">
        <f t="shared" si="30"/>
        <v>9.4146785805276939E-2</v>
      </c>
      <c r="T158" s="51">
        <f t="shared" si="2"/>
        <v>9.5464315859699663E-3</v>
      </c>
      <c r="U158" s="51">
        <f t="shared" si="3"/>
        <v>1.621544608674353E-2</v>
      </c>
      <c r="V158" s="51">
        <f t="shared" si="4"/>
        <v>1.1459105351256943E-2</v>
      </c>
      <c r="W158" s="58">
        <f t="shared" si="28"/>
        <v>0.18242620376179114</v>
      </c>
      <c r="X158" s="51">
        <f t="shared" si="25"/>
        <v>1.0032194275973572E-4</v>
      </c>
      <c r="Y158" s="58">
        <f t="shared" si="31"/>
        <v>1.1060393578588975E-2</v>
      </c>
      <c r="Z158" s="51">
        <f t="shared" si="26"/>
        <v>110.24899712197433</v>
      </c>
      <c r="AA158" s="51">
        <f t="shared" si="27"/>
        <v>1.7877366689489174</v>
      </c>
      <c r="AB158" s="59">
        <v>2</v>
      </c>
      <c r="AC158">
        <v>0</v>
      </c>
    </row>
    <row r="159" spans="1:29">
      <c r="A159" s="6">
        <v>2020</v>
      </c>
      <c r="B159" s="6" t="s">
        <v>235</v>
      </c>
      <c r="C159" s="7" t="s">
        <v>236</v>
      </c>
      <c r="D159" s="13">
        <v>1074198843445</v>
      </c>
      <c r="E159" s="13">
        <v>603761986100</v>
      </c>
      <c r="F159" s="13">
        <v>1839922465290</v>
      </c>
      <c r="G159" s="13">
        <v>321104528290</v>
      </c>
      <c r="H159" s="13">
        <v>117549095300</v>
      </c>
      <c r="I159" s="13">
        <v>438653623590</v>
      </c>
      <c r="J159" s="13">
        <v>1401268841700</v>
      </c>
      <c r="K159" s="8">
        <v>800371500</v>
      </c>
      <c r="L159" s="9">
        <v>1779978175885</v>
      </c>
      <c r="M159" s="9">
        <v>1493795681105</v>
      </c>
      <c r="N159" s="9">
        <v>281118009900</v>
      </c>
      <c r="O159" s="9">
        <v>-43122327885</v>
      </c>
      <c r="P159" s="9">
        <v>81061435</v>
      </c>
      <c r="Q159" s="51">
        <v>3220</v>
      </c>
      <c r="R159" s="51">
        <f t="shared" si="29"/>
        <v>3.3453244934461215</v>
      </c>
      <c r="S159" s="51">
        <f t="shared" si="30"/>
        <v>8.3887610858021405E-2</v>
      </c>
      <c r="T159" s="51">
        <f t="shared" si="2"/>
        <v>-2.3437035363445741E-2</v>
      </c>
      <c r="U159" s="51">
        <f t="shared" si="3"/>
        <v>-3.077377202841718E-2</v>
      </c>
      <c r="V159" s="51">
        <f t="shared" si="4"/>
        <v>-2.4226323934314366E-2</v>
      </c>
      <c r="W159" s="58">
        <f t="shared" si="28"/>
        <v>0.16077865372574632</v>
      </c>
      <c r="X159" s="51">
        <f t="shared" si="25"/>
        <v>3.1453342223770052E-5</v>
      </c>
      <c r="Y159" s="58">
        <f t="shared" si="31"/>
        <v>-1.8798019257257451E-3</v>
      </c>
      <c r="Z159" s="51">
        <f t="shared" si="26"/>
        <v>-59.764775150194794</v>
      </c>
      <c r="AA159" s="51">
        <f t="shared" si="27"/>
        <v>1.8391875658017065</v>
      </c>
      <c r="AB159" s="59">
        <v>2</v>
      </c>
      <c r="AC159">
        <v>0</v>
      </c>
    </row>
    <row r="160" spans="1:29">
      <c r="A160" s="6">
        <v>2018</v>
      </c>
      <c r="B160" s="6" t="s">
        <v>239</v>
      </c>
      <c r="C160" s="7" t="s">
        <v>240</v>
      </c>
      <c r="D160" s="13">
        <v>3640720000000</v>
      </c>
      <c r="E160" s="8">
        <v>2197050000000</v>
      </c>
      <c r="F160" s="8">
        <v>6494070000000</v>
      </c>
      <c r="G160" s="8">
        <f t="shared" ref="G160:G162" si="32">I160-H160</f>
        <v>2579383000000</v>
      </c>
      <c r="H160" s="8">
        <v>999271000000</v>
      </c>
      <c r="I160" s="8">
        <v>3578654000000</v>
      </c>
      <c r="J160" s="8">
        <v>2915416000000</v>
      </c>
      <c r="K160" s="8">
        <v>7185992035</v>
      </c>
      <c r="L160" s="8">
        <v>4467590000000</v>
      </c>
      <c r="M160" s="8">
        <v>3935894000000</v>
      </c>
      <c r="N160" s="18">
        <f>110556000000+149591000000+257413000000+67212000000</f>
        <v>584772000000</v>
      </c>
      <c r="O160" s="10">
        <v>48741000000</v>
      </c>
      <c r="Q160" s="51">
        <v>87</v>
      </c>
      <c r="R160" s="51">
        <f t="shared" si="29"/>
        <v>1.411469332006918</v>
      </c>
      <c r="S160" s="51">
        <f t="shared" si="30"/>
        <v>0.34275417298937783</v>
      </c>
      <c r="T160" s="51">
        <f t="shared" si="2"/>
        <v>7.5054626759489809E-3</v>
      </c>
      <c r="U160" s="51">
        <f t="shared" si="3"/>
        <v>1.6718368836557116E-2</v>
      </c>
      <c r="V160" s="51">
        <f t="shared" si="4"/>
        <v>1.0909908921812431E-2</v>
      </c>
      <c r="W160" s="58">
        <f t="shared" si="28"/>
        <v>0.11901181621411096</v>
      </c>
      <c r="X160" s="51">
        <f t="shared" si="25"/>
        <v>0</v>
      </c>
      <c r="Y160" s="58">
        <f t="shared" si="31"/>
        <v>0</v>
      </c>
      <c r="Z160" s="51">
        <f t="shared" si="26"/>
        <v>12.826599927063457</v>
      </c>
      <c r="AA160" s="51">
        <f t="shared" si="27"/>
        <v>0.21443982849960347</v>
      </c>
      <c r="AB160" s="59">
        <v>2</v>
      </c>
      <c r="AC160">
        <v>0</v>
      </c>
    </row>
    <row r="161" spans="1:29">
      <c r="A161" s="6">
        <v>2019</v>
      </c>
      <c r="B161" s="6" t="s">
        <v>239</v>
      </c>
      <c r="C161" s="7" t="s">
        <v>240</v>
      </c>
      <c r="D161" s="13">
        <v>3547289000000</v>
      </c>
      <c r="E161" s="8">
        <v>2128844000000</v>
      </c>
      <c r="F161" s="8">
        <v>6424507000000</v>
      </c>
      <c r="G161" s="8">
        <f t="shared" si="32"/>
        <v>2542901000000</v>
      </c>
      <c r="H161" s="8">
        <v>782940000000</v>
      </c>
      <c r="I161" s="8">
        <v>3325841000000</v>
      </c>
      <c r="J161" s="8">
        <v>3098666000000</v>
      </c>
      <c r="K161" s="8">
        <v>7185992035</v>
      </c>
      <c r="L161" s="8">
        <v>4885875000000</v>
      </c>
      <c r="M161" s="8">
        <v>4197484000000</v>
      </c>
      <c r="N161" s="10">
        <f>149742000000+147856000000+261675000000+19267000000</f>
        <v>578540000000</v>
      </c>
      <c r="O161" s="10">
        <v>185694000000</v>
      </c>
      <c r="Q161" s="51">
        <v>184</v>
      </c>
      <c r="R161" s="51">
        <f t="shared" si="29"/>
        <v>1.3949772326960428</v>
      </c>
      <c r="S161" s="51">
        <f t="shared" si="30"/>
        <v>0.25267001993761184</v>
      </c>
      <c r="T161" s="51">
        <f t="shared" si="2"/>
        <v>2.8904007731643845E-2</v>
      </c>
      <c r="U161" s="51">
        <f t="shared" si="3"/>
        <v>5.9927078297564176E-2</v>
      </c>
      <c r="V161" s="51">
        <f t="shared" si="4"/>
        <v>3.8006293652621079E-2</v>
      </c>
      <c r="W161" s="58">
        <f t="shared" si="28"/>
        <v>0.14089410801545271</v>
      </c>
      <c r="X161" s="51">
        <f t="shared" si="25"/>
        <v>0</v>
      </c>
      <c r="Y161" s="58">
        <f t="shared" si="31"/>
        <v>0</v>
      </c>
      <c r="Z161" s="51">
        <f t="shared" si="26"/>
        <v>7.1204375717039863</v>
      </c>
      <c r="AA161" s="51">
        <f t="shared" si="27"/>
        <v>0.42670701987242249</v>
      </c>
      <c r="AB161" s="59">
        <v>2</v>
      </c>
      <c r="AC161">
        <v>0</v>
      </c>
    </row>
    <row r="162" spans="1:29">
      <c r="A162" s="6">
        <v>2020</v>
      </c>
      <c r="B162" s="6" t="s">
        <v>239</v>
      </c>
      <c r="C162" s="7" t="s">
        <v>240</v>
      </c>
      <c r="D162" s="13">
        <v>3113612000000</v>
      </c>
      <c r="E162" s="13">
        <v>2197790000000</v>
      </c>
      <c r="F162" s="8">
        <v>6076604000000</v>
      </c>
      <c r="G162" s="8">
        <f t="shared" si="32"/>
        <v>2162323000000</v>
      </c>
      <c r="H162" s="8">
        <v>578941000000</v>
      </c>
      <c r="I162" s="8">
        <v>2741264000000</v>
      </c>
      <c r="J162" s="8">
        <v>3335340000000</v>
      </c>
      <c r="K162" s="8">
        <v>7185992035</v>
      </c>
      <c r="L162" s="8">
        <v>3775530000000</v>
      </c>
      <c r="M162" s="8">
        <v>3217408000000</v>
      </c>
      <c r="N162" s="10">
        <f>111101000000+130681000000+205664000000+27162000000</f>
        <v>474608000000</v>
      </c>
      <c r="O162" s="10">
        <v>175835000000</v>
      </c>
      <c r="Q162" s="51">
        <v>160</v>
      </c>
      <c r="R162" s="51">
        <f t="shared" si="29"/>
        <v>1.4399384365795489</v>
      </c>
      <c r="S162" s="51">
        <f t="shared" si="30"/>
        <v>0.17357780616069127</v>
      </c>
      <c r="T162" s="51">
        <f t="shared" si="2"/>
        <v>2.8936392761483222E-2</v>
      </c>
      <c r="U162" s="51">
        <f t="shared" si="3"/>
        <v>5.2718763304490698E-2</v>
      </c>
      <c r="V162" s="51">
        <f t="shared" si="4"/>
        <v>4.657226932377706E-2</v>
      </c>
      <c r="W162" s="58">
        <f t="shared" si="28"/>
        <v>0.14782613301973499</v>
      </c>
      <c r="X162" s="51">
        <f t="shared" si="25"/>
        <v>0</v>
      </c>
      <c r="Y162" s="58">
        <f t="shared" si="31"/>
        <v>0</v>
      </c>
      <c r="Z162" s="51">
        <f t="shared" si="26"/>
        <v>6.5388502038843237</v>
      </c>
      <c r="AA162" s="51">
        <f t="shared" si="27"/>
        <v>0.34472009618209837</v>
      </c>
      <c r="AB162" s="59">
        <v>2</v>
      </c>
      <c r="AC162">
        <v>0</v>
      </c>
    </row>
    <row r="163" spans="1:29">
      <c r="A163" s="6">
        <v>2018</v>
      </c>
      <c r="B163" s="6" t="s">
        <v>241</v>
      </c>
      <c r="C163" s="7" t="s">
        <v>242</v>
      </c>
      <c r="D163" s="13">
        <v>1633538255625</v>
      </c>
      <c r="E163" s="13">
        <v>438353322849</v>
      </c>
      <c r="F163" s="13">
        <v>2139961806972</v>
      </c>
      <c r="G163" s="13">
        <v>1485155286090</v>
      </c>
      <c r="H163" s="13">
        <v>31348266066</v>
      </c>
      <c r="I163" s="13">
        <v>1516503552156</v>
      </c>
      <c r="J163" s="13">
        <v>623458254816</v>
      </c>
      <c r="K163" s="8">
        <v>2523350000</v>
      </c>
      <c r="L163" s="9">
        <v>2362363017831</v>
      </c>
      <c r="M163" s="9">
        <v>2241184156263</v>
      </c>
      <c r="N163" s="9">
        <v>97572413241</v>
      </c>
      <c r="O163" s="9">
        <v>-22261091022</v>
      </c>
      <c r="P163" s="9">
        <v>0</v>
      </c>
      <c r="Q163" s="51">
        <v>3500</v>
      </c>
      <c r="R163" s="51">
        <f t="shared" si="29"/>
        <v>1.0999107439637852</v>
      </c>
      <c r="S163" s="51">
        <f t="shared" si="30"/>
        <v>5.0281259128170101E-2</v>
      </c>
      <c r="T163" s="51">
        <f t="shared" si="2"/>
        <v>-1.0402564638991836E-2</v>
      </c>
      <c r="U163" s="51">
        <f t="shared" si="3"/>
        <v>-3.5705824487911979E-2</v>
      </c>
      <c r="V163" s="51">
        <f t="shared" si="4"/>
        <v>-9.4232304070011163E-3</v>
      </c>
      <c r="W163" s="58">
        <f t="shared" si="28"/>
        <v>5.1295614032791703E-2</v>
      </c>
      <c r="X163" s="51">
        <f t="shared" si="25"/>
        <v>0</v>
      </c>
      <c r="Y163" s="58">
        <f t="shared" si="31"/>
        <v>0</v>
      </c>
      <c r="Z163" s="75">
        <f t="shared" si="26"/>
        <v>-396.73369967679747</v>
      </c>
      <c r="AA163" s="51">
        <f t="shared" si="27"/>
        <v>14.165703849099712</v>
      </c>
      <c r="AB163" s="59">
        <v>2</v>
      </c>
      <c r="AC163">
        <v>0</v>
      </c>
    </row>
    <row r="164" spans="1:29">
      <c r="A164" s="6">
        <v>2019</v>
      </c>
      <c r="B164" s="6" t="s">
        <v>241</v>
      </c>
      <c r="C164" s="7" t="s">
        <v>242</v>
      </c>
      <c r="D164" s="13">
        <v>1635991007928</v>
      </c>
      <c r="E164" s="13">
        <v>405386814321</v>
      </c>
      <c r="F164" s="13">
        <v>2108628483178</v>
      </c>
      <c r="G164" s="13">
        <v>1437911697143</v>
      </c>
      <c r="H164" s="13">
        <v>36286808974</v>
      </c>
      <c r="I164" s="13">
        <v>1474198506117</v>
      </c>
      <c r="J164" s="13">
        <v>634429977061</v>
      </c>
      <c r="K164" s="8">
        <v>2523350000</v>
      </c>
      <c r="L164" s="9">
        <v>2267048602389</v>
      </c>
      <c r="M164" s="9">
        <v>2120573320557</v>
      </c>
      <c r="N164" s="9">
        <v>101630628030</v>
      </c>
      <c r="O164" s="9">
        <v>37263938066</v>
      </c>
      <c r="P164" s="9">
        <v>0</v>
      </c>
      <c r="Q164" s="51">
        <v>675</v>
      </c>
      <c r="R164" s="51">
        <f t="shared" si="29"/>
        <v>1.1377548504394015</v>
      </c>
      <c r="S164" s="51">
        <f t="shared" si="30"/>
        <v>5.7195924351019514E-2</v>
      </c>
      <c r="T164" s="51">
        <f t="shared" si="2"/>
        <v>1.7672121174156768E-2</v>
      </c>
      <c r="U164" s="51">
        <f t="shared" si="3"/>
        <v>5.8736092891804037E-2</v>
      </c>
      <c r="V164" s="51">
        <f t="shared" si="4"/>
        <v>1.6437202990148302E-2</v>
      </c>
      <c r="W164" s="58">
        <f t="shared" si="28"/>
        <v>6.4610560919446267E-2</v>
      </c>
      <c r="X164" s="51">
        <f t="shared" si="25"/>
        <v>0</v>
      </c>
      <c r="Y164" s="58">
        <f t="shared" si="31"/>
        <v>0</v>
      </c>
      <c r="Z164" s="51">
        <f t="shared" si="26"/>
        <v>45.70803136757231</v>
      </c>
      <c r="AA164" s="51">
        <f t="shared" si="27"/>
        <v>2.6847111763072204</v>
      </c>
      <c r="AB164" s="59">
        <v>2</v>
      </c>
      <c r="AC164">
        <v>0</v>
      </c>
    </row>
    <row r="165" spans="1:29">
      <c r="A165" s="6">
        <v>2020</v>
      </c>
      <c r="B165" s="6" t="s">
        <v>241</v>
      </c>
      <c r="C165" s="7" t="s">
        <v>242</v>
      </c>
      <c r="D165" s="13">
        <v>1398292277655</v>
      </c>
      <c r="E165" s="13">
        <v>385936891340</v>
      </c>
      <c r="F165" s="13">
        <v>1860803648340</v>
      </c>
      <c r="G165" s="13">
        <v>1134888102530</v>
      </c>
      <c r="H165" s="13">
        <v>43444020620</v>
      </c>
      <c r="I165" s="13">
        <v>1178332123150</v>
      </c>
      <c r="J165" s="13">
        <v>682471525190</v>
      </c>
      <c r="K165" s="8">
        <v>2523350000</v>
      </c>
      <c r="L165" s="9">
        <v>2041413970050</v>
      </c>
      <c r="M165" s="9">
        <v>1903450256890</v>
      </c>
      <c r="N165" s="9">
        <v>100600541405</v>
      </c>
      <c r="O165" s="9">
        <v>38338476085</v>
      </c>
      <c r="P165" s="9">
        <v>0</v>
      </c>
      <c r="Q165" s="51">
        <v>1445</v>
      </c>
      <c r="R165" s="51">
        <f t="shared" si="29"/>
        <v>1.2320970451076141</v>
      </c>
      <c r="S165" s="51">
        <f t="shared" si="30"/>
        <v>6.3656898517348681E-2</v>
      </c>
      <c r="T165" s="51">
        <f t="shared" si="2"/>
        <v>2.0603181920457476E-2</v>
      </c>
      <c r="U165" s="51">
        <f t="shared" si="3"/>
        <v>5.6175935068245628E-2</v>
      </c>
      <c r="V165" s="51">
        <f t="shared" si="4"/>
        <v>1.8780353542922498E-2</v>
      </c>
      <c r="W165" s="58">
        <f t="shared" si="28"/>
        <v>6.7582428250268556E-2</v>
      </c>
      <c r="X165" s="51">
        <f t="shared" si="25"/>
        <v>0</v>
      </c>
      <c r="Y165" s="58">
        <f t="shared" si="31"/>
        <v>0</v>
      </c>
      <c r="Z165" s="51">
        <f t="shared" si="26"/>
        <v>95.106564536262269</v>
      </c>
      <c r="AA165" s="51">
        <f t="shared" si="27"/>
        <v>5.3427001939529815</v>
      </c>
      <c r="AB165" s="59">
        <v>2</v>
      </c>
      <c r="AC165">
        <v>0</v>
      </c>
    </row>
    <row r="166" spans="1:29">
      <c r="A166" s="6">
        <v>2018</v>
      </c>
      <c r="B166" s="6" t="s">
        <v>243</v>
      </c>
      <c r="C166" s="7" t="s">
        <v>244</v>
      </c>
      <c r="D166" s="13">
        <v>448247260</v>
      </c>
      <c r="E166" s="8">
        <v>224257888000</v>
      </c>
      <c r="F166" s="13">
        <v>686777211000</v>
      </c>
      <c r="G166" s="8">
        <f t="shared" ref="G166:G168" si="33">I166-H166</f>
        <v>182749220000</v>
      </c>
      <c r="H166" s="8">
        <v>26239975000</v>
      </c>
      <c r="I166" s="8">
        <v>208989195000</v>
      </c>
      <c r="J166" s="8">
        <v>477788016000</v>
      </c>
      <c r="K166" s="8">
        <v>6020000000</v>
      </c>
      <c r="L166" s="10">
        <v>600986872000</v>
      </c>
      <c r="M166" s="10">
        <v>458091261000</v>
      </c>
      <c r="N166" s="10">
        <f>83109088000+762203000</f>
        <v>83871291000</v>
      </c>
      <c r="O166" s="12">
        <v>38735092000</v>
      </c>
      <c r="Q166" s="51">
        <v>66</v>
      </c>
      <c r="R166" s="51">
        <f t="shared" si="29"/>
        <v>2.4527998532633956E-3</v>
      </c>
      <c r="S166" s="51">
        <f t="shared" si="30"/>
        <v>5.4919701041643537E-2</v>
      </c>
      <c r="T166" s="51">
        <f t="shared" si="2"/>
        <v>5.6401248293604198E-2</v>
      </c>
      <c r="U166" s="51">
        <f t="shared" si="3"/>
        <v>8.1071711099593588E-2</v>
      </c>
      <c r="V166" s="51">
        <f t="shared" si="4"/>
        <v>6.4452476093354666E-2</v>
      </c>
      <c r="W166" s="58">
        <f t="shared" si="28"/>
        <v>0.23776827358052507</v>
      </c>
      <c r="X166" s="51">
        <f t="shared" si="25"/>
        <v>0</v>
      </c>
      <c r="Y166" s="58">
        <f t="shared" si="31"/>
        <v>0</v>
      </c>
      <c r="Z166" s="51">
        <f t="shared" si="26"/>
        <v>10.257365595001041</v>
      </c>
      <c r="AA166" s="51">
        <f t="shared" si="27"/>
        <v>0.83158218016083518</v>
      </c>
      <c r="AB166" s="59">
        <v>2</v>
      </c>
      <c r="AC166">
        <v>0</v>
      </c>
    </row>
    <row r="167" spans="1:29">
      <c r="A167" s="6">
        <v>2019</v>
      </c>
      <c r="B167" s="6" t="s">
        <v>243</v>
      </c>
      <c r="C167" s="7" t="s">
        <v>244</v>
      </c>
      <c r="D167" s="13">
        <v>537425364</v>
      </c>
      <c r="E167" s="8">
        <v>228818788000</v>
      </c>
      <c r="F167" s="8">
        <v>779246858000</v>
      </c>
      <c r="G167" s="8">
        <f t="shared" si="33"/>
        <v>217673718000</v>
      </c>
      <c r="H167" s="8">
        <v>46972577000</v>
      </c>
      <c r="I167" s="8">
        <v>264646295000</v>
      </c>
      <c r="J167" s="8">
        <v>514600563000</v>
      </c>
      <c r="K167" s="8">
        <v>6020000000</v>
      </c>
      <c r="L167" s="10">
        <v>684464392000</v>
      </c>
      <c r="M167" s="10">
        <v>511519472000</v>
      </c>
      <c r="N167" s="10">
        <f>102044774000+1425442000</f>
        <v>103470216000</v>
      </c>
      <c r="O167" s="12">
        <v>42829128000</v>
      </c>
      <c r="P167" s="50">
        <v>6017384000</v>
      </c>
      <c r="Q167" s="51">
        <v>68</v>
      </c>
      <c r="R167" s="51">
        <f t="shared" si="29"/>
        <v>2.4689492555091102E-3</v>
      </c>
      <c r="S167" s="51">
        <f t="shared" si="30"/>
        <v>9.1279684433613811E-2</v>
      </c>
      <c r="T167" s="51">
        <f t="shared" si="2"/>
        <v>5.4962208137642563E-2</v>
      </c>
      <c r="U167" s="51">
        <f t="shared" si="3"/>
        <v>8.3227907389599967E-2</v>
      </c>
      <c r="V167" s="51">
        <f t="shared" si="4"/>
        <v>6.2573201032202125E-2</v>
      </c>
      <c r="W167" s="58">
        <f t="shared" si="28"/>
        <v>0.25267190232446746</v>
      </c>
      <c r="X167" s="51">
        <f t="shared" si="25"/>
        <v>1.4699491889779167E-2</v>
      </c>
      <c r="Y167" s="58">
        <f t="shared" si="31"/>
        <v>0.14049746705092853</v>
      </c>
      <c r="Z167" s="51">
        <f t="shared" si="26"/>
        <v>9.55798119448054</v>
      </c>
      <c r="AA167" s="51">
        <f t="shared" si="27"/>
        <v>0.79549077368576449</v>
      </c>
      <c r="AB167" s="59">
        <v>2</v>
      </c>
      <c r="AC167">
        <v>0</v>
      </c>
    </row>
    <row r="168" spans="1:29">
      <c r="A168" s="6">
        <v>2020</v>
      </c>
      <c r="B168" s="6" t="s">
        <v>243</v>
      </c>
      <c r="C168" s="7" t="s">
        <v>244</v>
      </c>
      <c r="D168" s="51">
        <v>579393962</v>
      </c>
      <c r="E168" s="8">
        <v>319819738000</v>
      </c>
      <c r="F168" s="8">
        <v>906846895000</v>
      </c>
      <c r="G168" s="8">
        <f t="shared" si="33"/>
        <v>266837335000</v>
      </c>
      <c r="H168" s="8">
        <v>52122162000</v>
      </c>
      <c r="I168" s="8">
        <v>318959497000</v>
      </c>
      <c r="J168" s="8">
        <v>587887398000</v>
      </c>
      <c r="K168" s="8">
        <v>6020000000</v>
      </c>
      <c r="L168" s="10">
        <v>890996866000</v>
      </c>
      <c r="M168" s="10">
        <v>699831445000</v>
      </c>
      <c r="N168" s="10">
        <f>111840300000+341413000</f>
        <v>112181713000</v>
      </c>
      <c r="O168" s="12">
        <v>44152245000</v>
      </c>
      <c r="P168" s="50">
        <v>12034736000</v>
      </c>
      <c r="Q168" s="51">
        <v>58</v>
      </c>
      <c r="R168" s="51">
        <f t="shared" si="29"/>
        <v>2.1713376878089419E-3</v>
      </c>
      <c r="S168" s="51">
        <f t="shared" si="30"/>
        <v>8.8660111064330041E-2</v>
      </c>
      <c r="T168" s="51">
        <f t="shared" si="2"/>
        <v>4.8687650852021716E-2</v>
      </c>
      <c r="U168" s="51">
        <f t="shared" si="3"/>
        <v>7.5103234310186728E-2</v>
      </c>
      <c r="V168" s="51">
        <f t="shared" si="4"/>
        <v>4.9553760158792745E-2</v>
      </c>
      <c r="W168" s="58">
        <f t="shared" si="28"/>
        <v>0.21455229338595677</v>
      </c>
      <c r="X168" s="51">
        <f t="shared" si="25"/>
        <v>3.4467682437850838E-2</v>
      </c>
      <c r="Y168" s="58">
        <f t="shared" si="31"/>
        <v>0.27257359167127287</v>
      </c>
      <c r="Z168" s="51">
        <f t="shared" si="26"/>
        <v>7.9080916496998057</v>
      </c>
      <c r="AA168" s="51">
        <f t="shared" si="27"/>
        <v>0.59392326011383556</v>
      </c>
      <c r="AB168" s="59">
        <v>2</v>
      </c>
      <c r="AC168">
        <v>0</v>
      </c>
    </row>
    <row r="169" spans="1:29">
      <c r="A169" s="6">
        <v>2018</v>
      </c>
      <c r="B169" s="6" t="s">
        <v>387</v>
      </c>
      <c r="C169" s="7" t="s">
        <v>388</v>
      </c>
      <c r="D169" s="8">
        <v>4089272082471</v>
      </c>
      <c r="E169" s="8">
        <v>1399191392727</v>
      </c>
      <c r="F169" s="8">
        <v>17634327314985</v>
      </c>
      <c r="G169" s="8">
        <v>6994044023535</v>
      </c>
      <c r="H169" s="8">
        <v>5328040524390</v>
      </c>
      <c r="I169" s="8">
        <v>12322084547925</v>
      </c>
      <c r="J169" s="8">
        <v>5312242767060</v>
      </c>
      <c r="K169" s="8">
        <f>36508170014+3650817000</f>
        <v>40158987014</v>
      </c>
      <c r="L169" s="10">
        <v>393305654277</v>
      </c>
      <c r="M169" s="10">
        <v>128270496888</v>
      </c>
      <c r="N169" s="10">
        <v>1426748344740</v>
      </c>
      <c r="O169" s="10">
        <v>316519688385</v>
      </c>
      <c r="P169" s="10">
        <v>0</v>
      </c>
      <c r="Q169" s="51">
        <v>50</v>
      </c>
      <c r="R169" s="51">
        <f t="shared" si="29"/>
        <v>0.58467920257730366</v>
      </c>
      <c r="S169" s="51">
        <f t="shared" si="30"/>
        <v>1.0029738394916661</v>
      </c>
      <c r="T169" s="51">
        <f t="shared" si="2"/>
        <v>1.7949065066748152E-2</v>
      </c>
      <c r="U169" s="51">
        <f t="shared" si="3"/>
        <v>5.9583061667976854E-2</v>
      </c>
      <c r="V169" s="51">
        <f t="shared" si="4"/>
        <v>0.80476770405665043</v>
      </c>
      <c r="W169" s="58">
        <f t="shared" si="28"/>
        <v>0.6738656170001035</v>
      </c>
      <c r="X169" s="51">
        <f t="shared" si="25"/>
        <v>0</v>
      </c>
      <c r="Y169" s="58">
        <f t="shared" si="31"/>
        <v>0</v>
      </c>
      <c r="Z169" s="51">
        <f t="shared" si="26"/>
        <v>6.3438371273057195</v>
      </c>
      <c r="AA169" s="51">
        <f t="shared" si="27"/>
        <v>0.37798523876785789</v>
      </c>
      <c r="AB169" s="59">
        <v>2</v>
      </c>
      <c r="AC169">
        <v>2</v>
      </c>
    </row>
    <row r="170" spans="1:29">
      <c r="A170" s="6">
        <v>2019</v>
      </c>
      <c r="B170" s="6" t="s">
        <v>387</v>
      </c>
      <c r="C170" s="7" t="s">
        <v>388</v>
      </c>
      <c r="D170" s="51">
        <v>4871941173051</v>
      </c>
      <c r="E170" s="51">
        <v>1270778472835</v>
      </c>
      <c r="F170" s="51">
        <v>17425618108707</v>
      </c>
      <c r="G170" s="51">
        <v>4174579395048</v>
      </c>
      <c r="H170" s="51">
        <v>8198421378258</v>
      </c>
      <c r="I170" s="51">
        <v>12373000773306</v>
      </c>
      <c r="J170" s="51">
        <v>5052617335401</v>
      </c>
      <c r="K170" s="8">
        <f t="shared" ref="K170:K171" si="34">41042249193+3650817000</f>
        <v>44693066193</v>
      </c>
      <c r="L170" s="87">
        <v>985413740475</v>
      </c>
      <c r="M170" s="50">
        <v>177307046485</v>
      </c>
      <c r="N170" s="50">
        <v>950520923781</v>
      </c>
      <c r="O170" s="50">
        <v>381395703966</v>
      </c>
      <c r="P170" s="50">
        <v>0</v>
      </c>
      <c r="Q170" s="51">
        <v>50</v>
      </c>
      <c r="R170" s="51">
        <f t="shared" si="29"/>
        <v>1.167049590392323</v>
      </c>
      <c r="S170" s="51">
        <f t="shared" si="30"/>
        <v>1.622608805304931</v>
      </c>
      <c r="T170" s="51">
        <f t="shared" si="2"/>
        <v>2.1887068888272566E-2</v>
      </c>
      <c r="U170" s="51">
        <f t="shared" si="3"/>
        <v>7.5484779204188557E-2</v>
      </c>
      <c r="V170" s="51">
        <f>O170/L170</f>
        <v>0.38704118716890984</v>
      </c>
      <c r="W170" s="58">
        <f t="shared" si="28"/>
        <v>0.82006842486331422</v>
      </c>
      <c r="X170" s="51">
        <f t="shared" si="25"/>
        <v>0</v>
      </c>
      <c r="Y170" s="58">
        <f t="shared" si="31"/>
        <v>0</v>
      </c>
      <c r="Z170" s="51">
        <f t="shared" si="26"/>
        <v>5.859146514794543</v>
      </c>
      <c r="AA170" s="51">
        <f t="shared" si="27"/>
        <v>0.44227638099425698</v>
      </c>
      <c r="AB170" s="59">
        <v>2</v>
      </c>
      <c r="AC170">
        <v>2</v>
      </c>
    </row>
    <row r="171" spans="1:29">
      <c r="A171" s="6">
        <v>2020</v>
      </c>
      <c r="B171" s="6" t="s">
        <v>387</v>
      </c>
      <c r="C171" s="7" t="s">
        <v>388</v>
      </c>
      <c r="D171" s="51">
        <v>2743346826675</v>
      </c>
      <c r="E171" s="51">
        <v>1759004633295</v>
      </c>
      <c r="F171" s="51">
        <v>18952683723610</v>
      </c>
      <c r="G171" s="51">
        <v>7215807323270</v>
      </c>
      <c r="H171" s="51">
        <v>6298449154270</v>
      </c>
      <c r="I171" s="51">
        <v>13514256477540</v>
      </c>
      <c r="J171" s="51">
        <v>5438427246070</v>
      </c>
      <c r="K171" s="8">
        <f t="shared" si="34"/>
        <v>44693066193</v>
      </c>
      <c r="L171" s="50">
        <v>1107410335395</v>
      </c>
      <c r="M171" s="50">
        <v>187898445735</v>
      </c>
      <c r="N171" s="50">
        <v>929563916645</v>
      </c>
      <c r="O171" s="50">
        <v>381477285280</v>
      </c>
      <c r="P171" s="50">
        <v>0</v>
      </c>
      <c r="Q171" s="51">
        <v>50</v>
      </c>
      <c r="R171" s="51">
        <f t="shared" si="29"/>
        <v>0.38018570948091679</v>
      </c>
      <c r="S171" s="51">
        <f t="shared" si="30"/>
        <v>1.1581379816787072</v>
      </c>
      <c r="T171" s="51">
        <f t="shared" si="2"/>
        <v>2.0127876919339968E-2</v>
      </c>
      <c r="U171" s="51">
        <f t="shared" si="3"/>
        <v>7.0144780470432697E-2</v>
      </c>
      <c r="V171" s="51">
        <f t="shared" si="4"/>
        <v>0.34447690534144387</v>
      </c>
      <c r="W171" s="58">
        <f t="shared" si="28"/>
        <v>0.83032626685032795</v>
      </c>
      <c r="X171" s="51">
        <f t="shared" si="25"/>
        <v>0</v>
      </c>
      <c r="Y171" s="58">
        <f t="shared" si="31"/>
        <v>0</v>
      </c>
      <c r="Z171" s="51">
        <f t="shared" si="26"/>
        <v>5.8578934995036205</v>
      </c>
      <c r="AA171" s="51">
        <f t="shared" si="27"/>
        <v>0.41090065354185612</v>
      </c>
      <c r="AB171" s="59">
        <v>2</v>
      </c>
      <c r="AC171">
        <v>2</v>
      </c>
    </row>
    <row r="172" spans="1:29">
      <c r="A172" s="6">
        <v>2018</v>
      </c>
      <c r="B172" s="6" t="s">
        <v>391</v>
      </c>
      <c r="C172" s="7" t="s">
        <v>392</v>
      </c>
      <c r="D172" s="51">
        <v>5657327000000</v>
      </c>
      <c r="E172" s="8">
        <v>1735854000000</v>
      </c>
      <c r="F172" s="8">
        <v>5657327000000</v>
      </c>
      <c r="G172" s="8">
        <f t="shared" ref="G172:G174" si="35">I172-H172</f>
        <v>2116898000000</v>
      </c>
      <c r="H172" s="8">
        <v>240229000000</v>
      </c>
      <c r="I172" s="8">
        <v>2357127000000</v>
      </c>
      <c r="J172" s="8">
        <v>3300200000000</v>
      </c>
      <c r="K172" s="8">
        <v>7298500000</v>
      </c>
      <c r="L172" s="8">
        <v>6624774000000</v>
      </c>
      <c r="M172" s="8">
        <v>5972680000000</v>
      </c>
      <c r="N172" s="9">
        <f>2579000000+268740000000+90092000000</f>
        <v>361411000000</v>
      </c>
      <c r="O172" s="12">
        <v>276316000000</v>
      </c>
      <c r="P172" s="50">
        <v>37071000000</v>
      </c>
      <c r="Q172" s="51">
        <v>360</v>
      </c>
      <c r="R172" s="51">
        <f t="shared" si="29"/>
        <v>2.672460836563689</v>
      </c>
      <c r="S172" s="51">
        <f t="shared" si="30"/>
        <v>7.2792255014847582E-2</v>
      </c>
      <c r="T172" s="51">
        <f t="shared" si="2"/>
        <v>4.8842147537167285E-2</v>
      </c>
      <c r="U172" s="51">
        <f t="shared" si="3"/>
        <v>8.372704684564572E-2</v>
      </c>
      <c r="V172" s="51">
        <f t="shared" si="4"/>
        <v>4.1709498316470868E-2</v>
      </c>
      <c r="W172" s="58">
        <f t="shared" si="28"/>
        <v>9.843264087197541E-2</v>
      </c>
      <c r="X172" s="51">
        <f t="shared" si="25"/>
        <v>1.4109063506199905E-2</v>
      </c>
      <c r="Y172" s="58">
        <f t="shared" si="31"/>
        <v>0.1341616120673432</v>
      </c>
      <c r="Z172" s="51">
        <f t="shared" si="26"/>
        <v>9.5088956122700097</v>
      </c>
      <c r="AA172" s="51">
        <f t="shared" si="27"/>
        <v>0.79615174837888614</v>
      </c>
      <c r="AB172" s="59">
        <v>2</v>
      </c>
      <c r="AC172">
        <v>0</v>
      </c>
    </row>
    <row r="173" spans="1:29">
      <c r="A173" s="6">
        <v>2019</v>
      </c>
      <c r="B173" s="6" t="s">
        <v>391</v>
      </c>
      <c r="C173" s="7" t="s">
        <v>392</v>
      </c>
      <c r="D173" s="13">
        <v>6805037000000</v>
      </c>
      <c r="E173" s="8">
        <v>1819321000000</v>
      </c>
      <c r="F173" s="8">
        <v>6805037000000</v>
      </c>
      <c r="G173" s="8">
        <f t="shared" si="35"/>
        <v>2504335000000</v>
      </c>
      <c r="H173" s="8">
        <v>724004000000</v>
      </c>
      <c r="I173" s="8">
        <v>3228339000000</v>
      </c>
      <c r="J173" s="8">
        <v>3576698000000</v>
      </c>
      <c r="K173" s="8">
        <v>7298500000</v>
      </c>
      <c r="L173" s="8">
        <v>8385122000000</v>
      </c>
      <c r="M173" s="8">
        <v>7514040000000</v>
      </c>
      <c r="N173" s="9">
        <f>4180000000+333221000000+40490000000+15705000000</f>
        <v>393596000000</v>
      </c>
      <c r="O173" s="12">
        <v>356477000000</v>
      </c>
      <c r="P173" s="50">
        <v>69079000000</v>
      </c>
      <c r="Q173" s="51">
        <v>306</v>
      </c>
      <c r="R173" s="51">
        <f t="shared" si="29"/>
        <v>2.7173029966038889</v>
      </c>
      <c r="S173" s="51">
        <f t="shared" si="30"/>
        <v>0.20242245780885051</v>
      </c>
      <c r="T173" s="51">
        <f t="shared" si="2"/>
        <v>5.2384285346281E-2</v>
      </c>
      <c r="U173" s="51">
        <f t="shared" si="3"/>
        <v>9.9666508047366598E-2</v>
      </c>
      <c r="V173" s="51">
        <f t="shared" si="4"/>
        <v>4.2513036781098711E-2</v>
      </c>
      <c r="W173" s="58">
        <f t="shared" si="28"/>
        <v>0.10388423686620182</v>
      </c>
      <c r="X173" s="51">
        <f t="shared" si="25"/>
        <v>3.0930789342066438E-2</v>
      </c>
      <c r="Y173" s="58">
        <f t="shared" si="31"/>
        <v>0.19378248807075912</v>
      </c>
      <c r="Z173" s="51">
        <f t="shared" si="26"/>
        <v>6.2650353318727436</v>
      </c>
      <c r="AA173" s="51">
        <f t="shared" si="27"/>
        <v>0.62441419432113077</v>
      </c>
      <c r="AB173" s="59">
        <v>2</v>
      </c>
      <c r="AC173">
        <v>0</v>
      </c>
    </row>
    <row r="174" spans="1:29">
      <c r="A174" s="6">
        <v>2020</v>
      </c>
      <c r="B174" s="6" t="s">
        <v>391</v>
      </c>
      <c r="C174" s="7" t="s">
        <v>392</v>
      </c>
      <c r="D174" s="51">
        <v>4217325000000</v>
      </c>
      <c r="E174" s="8">
        <v>1811979000000</v>
      </c>
      <c r="F174" s="8">
        <v>7562822000000</v>
      </c>
      <c r="G174" s="8">
        <f t="shared" si="35"/>
        <v>2573467000000</v>
      </c>
      <c r="H174" s="8">
        <v>1248409000000</v>
      </c>
      <c r="I174" s="8">
        <v>3821876000000</v>
      </c>
      <c r="J174" s="8">
        <v>3740946000000</v>
      </c>
      <c r="K174" s="8">
        <v>7298500000</v>
      </c>
      <c r="L174" s="8">
        <v>7726945000000</v>
      </c>
      <c r="M174" s="8">
        <v>7726945000000</v>
      </c>
      <c r="N174" s="9">
        <f>2744000000+302482000000+132199000000</f>
        <v>437425000000</v>
      </c>
      <c r="O174" s="12">
        <v>249085000000</v>
      </c>
      <c r="P174" s="50">
        <v>69079000000</v>
      </c>
      <c r="Q174" s="51">
        <v>352</v>
      </c>
      <c r="R174" s="51">
        <f t="shared" si="29"/>
        <v>1.6387717425558594</v>
      </c>
      <c r="S174" s="51">
        <f t="shared" si="30"/>
        <v>0.33371478764996876</v>
      </c>
      <c r="T174" s="51">
        <f t="shared" si="2"/>
        <v>3.2935457161361197E-2</v>
      </c>
      <c r="U174" s="51">
        <f t="shared" si="3"/>
        <v>6.6583425689651768E-2</v>
      </c>
      <c r="V174" s="51">
        <f t="shared" si="4"/>
        <v>3.2235896593026094E-2</v>
      </c>
      <c r="W174" s="58">
        <f t="shared" si="28"/>
        <v>0</v>
      </c>
      <c r="X174" s="51">
        <f t="shared" si="25"/>
        <v>2.6888697553046393E-2</v>
      </c>
      <c r="Y174" s="58">
        <f t="shared" si="31"/>
        <v>0.2773310315755666</v>
      </c>
      <c r="Z174" s="51">
        <f t="shared" si="26"/>
        <v>10.314037376799085</v>
      </c>
      <c r="AA174" s="51">
        <f t="shared" si="27"/>
        <v>0.68674394123839266</v>
      </c>
      <c r="AB174" s="59">
        <v>2</v>
      </c>
      <c r="AC174">
        <v>0</v>
      </c>
    </row>
    <row r="175" spans="1:29">
      <c r="A175" s="6">
        <v>2018</v>
      </c>
      <c r="B175" s="82" t="s">
        <v>438</v>
      </c>
      <c r="C175" s="7" t="s">
        <v>439</v>
      </c>
      <c r="D175" s="51">
        <v>53144584947333</v>
      </c>
      <c r="E175" s="51">
        <v>9078886611954</v>
      </c>
      <c r="F175" s="51">
        <v>53144584947333</v>
      </c>
      <c r="G175" s="51">
        <v>9708395825025</v>
      </c>
      <c r="H175" s="51">
        <v>27113435866107</v>
      </c>
      <c r="I175" s="51">
        <v>36821831691132</v>
      </c>
      <c r="J175" s="51">
        <v>16322753256201</v>
      </c>
      <c r="K175" s="13">
        <v>5210192000</v>
      </c>
      <c r="L175" s="50">
        <v>42905188707381</v>
      </c>
      <c r="M175" s="50">
        <v>33619749716385</v>
      </c>
      <c r="N175" s="50">
        <v>3376167922827</v>
      </c>
      <c r="O175" s="50">
        <v>1417142358909</v>
      </c>
      <c r="P175" s="50">
        <v>0</v>
      </c>
      <c r="Q175" s="51">
        <v>2130</v>
      </c>
      <c r="R175" s="51">
        <f t="shared" si="29"/>
        <v>5.4740851017161889</v>
      </c>
      <c r="S175" s="51">
        <f t="shared" si="30"/>
        <v>1.6610822598697697</v>
      </c>
      <c r="T175" s="51">
        <f t="shared" si="2"/>
        <v>2.6665790321128806E-2</v>
      </c>
      <c r="U175" s="51">
        <f t="shared" si="3"/>
        <v>8.6820056436902202E-2</v>
      </c>
      <c r="V175" s="51">
        <f t="shared" si="4"/>
        <v>3.3029626523125126E-2</v>
      </c>
      <c r="W175" s="58">
        <f t="shared" si="28"/>
        <v>0.21641762385253469</v>
      </c>
      <c r="X175" s="51">
        <f t="shared" si="25"/>
        <v>0</v>
      </c>
      <c r="Y175" s="58">
        <f t="shared" si="31"/>
        <v>0</v>
      </c>
      <c r="Z175" s="74">
        <f t="shared" si="26"/>
        <v>7.8310473822430042</v>
      </c>
      <c r="AA175" s="51">
        <f t="shared" si="27"/>
        <v>0.67989197568639281</v>
      </c>
      <c r="AB175" s="59">
        <v>2</v>
      </c>
      <c r="AC175">
        <v>0</v>
      </c>
    </row>
    <row r="176" spans="1:29">
      <c r="A176" s="6">
        <v>2019</v>
      </c>
      <c r="B176" s="82" t="s">
        <v>438</v>
      </c>
      <c r="C176" s="7" t="s">
        <v>439</v>
      </c>
      <c r="D176" s="51">
        <v>50268282766565</v>
      </c>
      <c r="E176" s="51">
        <v>9490045651683</v>
      </c>
      <c r="F176" s="51">
        <v>50268282766565</v>
      </c>
      <c r="G176" s="51">
        <v>9889326201536</v>
      </c>
      <c r="H176" s="51">
        <v>25841649160611</v>
      </c>
      <c r="I176" s="51">
        <v>35730975362147</v>
      </c>
      <c r="J176" s="51">
        <v>14537307404418</v>
      </c>
      <c r="K176" s="13">
        <v>5210192000</v>
      </c>
      <c r="L176" s="50">
        <v>38681984914420</v>
      </c>
      <c r="M176" s="50">
        <v>32750407793851</v>
      </c>
      <c r="N176" s="50">
        <v>3428721170543</v>
      </c>
      <c r="O176" s="50">
        <v>69399825034</v>
      </c>
      <c r="P176" s="50">
        <v>0</v>
      </c>
      <c r="Q176" s="51">
        <v>1195</v>
      </c>
      <c r="R176" s="51">
        <f t="shared" si="29"/>
        <v>5.0830847058879884</v>
      </c>
      <c r="S176" s="51">
        <f t="shared" si="30"/>
        <v>1.777609046965432</v>
      </c>
      <c r="T176" s="51">
        <f t="shared" si="2"/>
        <v>1.380588737361046E-3</v>
      </c>
      <c r="U176" s="51">
        <f t="shared" si="3"/>
        <v>4.7739119152772997E-3</v>
      </c>
      <c r="V176" s="51">
        <f t="shared" si="4"/>
        <v>1.7941123028598488E-3</v>
      </c>
      <c r="W176" s="58">
        <f t="shared" si="28"/>
        <v>0.15334210831455566</v>
      </c>
      <c r="X176" s="51">
        <f t="shared" si="25"/>
        <v>0</v>
      </c>
      <c r="Y176" s="58">
        <f t="shared" si="31"/>
        <v>0</v>
      </c>
      <c r="Z176" s="74">
        <f>Q176/(O176/K176)</f>
        <v>89.714627334430631</v>
      </c>
      <c r="AA176" s="51">
        <f t="shared" si="27"/>
        <v>0.42828972840650092</v>
      </c>
      <c r="AB176" s="59">
        <v>2</v>
      </c>
      <c r="AC176">
        <v>0</v>
      </c>
    </row>
    <row r="177" spans="1:29">
      <c r="A177" s="6">
        <v>2020</v>
      </c>
      <c r="B177" s="82" t="s">
        <v>438</v>
      </c>
      <c r="C177" s="7" t="s">
        <v>439</v>
      </c>
      <c r="D177" s="51">
        <v>49278678797985</v>
      </c>
      <c r="E177" s="51">
        <v>8660333505915</v>
      </c>
      <c r="F177" s="51">
        <v>49278678797985</v>
      </c>
      <c r="G177" s="51">
        <v>9982303924775</v>
      </c>
      <c r="H177" s="51">
        <v>27063145130840</v>
      </c>
      <c r="I177" s="51">
        <v>37045449055615</v>
      </c>
      <c r="J177" s="51">
        <v>12233229742370</v>
      </c>
      <c r="K177" s="13">
        <v>5210192000</v>
      </c>
      <c r="L177" s="50">
        <v>29299080126225</v>
      </c>
      <c r="M177" s="50">
        <v>25718122628380</v>
      </c>
      <c r="N177" s="50">
        <v>3632451919005</v>
      </c>
      <c r="O177" s="50">
        <v>-1459130852270</v>
      </c>
      <c r="P177" s="50">
        <v>0</v>
      </c>
      <c r="Q177" s="51">
        <v>1730</v>
      </c>
      <c r="R177" s="51">
        <f t="shared" si="29"/>
        <v>4.9366037308962953</v>
      </c>
      <c r="S177" s="51">
        <f t="shared" si="30"/>
        <v>2.2122649292775347</v>
      </c>
      <c r="T177" s="51">
        <f t="shared" si="2"/>
        <v>-2.9609780291627131E-2</v>
      </c>
      <c r="U177" s="51">
        <f t="shared" si="3"/>
        <v>-0.11927601156841479</v>
      </c>
      <c r="V177" s="51">
        <f t="shared" si="4"/>
        <v>-4.9801251301537015E-2</v>
      </c>
      <c r="W177" s="58">
        <f t="shared" si="28"/>
        <v>0.12222081657231823</v>
      </c>
      <c r="X177" s="51">
        <f t="shared" si="25"/>
        <v>0</v>
      </c>
      <c r="Y177" s="58">
        <f t="shared" si="31"/>
        <v>0</v>
      </c>
      <c r="Z177" s="51">
        <f t="shared" si="26"/>
        <v>-6.1773981037939851</v>
      </c>
      <c r="AA177" s="51">
        <f t="shared" si="27"/>
        <v>0.73681540769083498</v>
      </c>
      <c r="AB177" s="59">
        <v>2</v>
      </c>
      <c r="AC177">
        <v>0</v>
      </c>
    </row>
    <row r="178" spans="1:29">
      <c r="A178" s="6">
        <v>2018</v>
      </c>
      <c r="B178" s="6" t="s">
        <v>194</v>
      </c>
      <c r="C178" s="7" t="s">
        <v>195</v>
      </c>
      <c r="D178" s="61">
        <v>364138000000</v>
      </c>
      <c r="E178" s="10">
        <v>447249000000</v>
      </c>
      <c r="F178" s="10">
        <v>881275000000</v>
      </c>
      <c r="G178" s="10">
        <f t="shared" ref="G178:G195" si="36">I178-H178</f>
        <v>262397000000</v>
      </c>
      <c r="H178" s="10">
        <v>136964000000</v>
      </c>
      <c r="I178" s="10">
        <v>399361000000</v>
      </c>
      <c r="J178" s="10">
        <v>481914000000</v>
      </c>
      <c r="K178" s="8">
        <v>589896800</v>
      </c>
      <c r="L178" s="10">
        <v>804302000000</v>
      </c>
      <c r="M178" s="10">
        <v>415212000000</v>
      </c>
      <c r="N178" s="10">
        <v>201877000000</v>
      </c>
      <c r="O178" s="10">
        <v>58903000000</v>
      </c>
      <c r="P178" s="61">
        <v>0</v>
      </c>
      <c r="Q178" s="51">
        <v>895</v>
      </c>
      <c r="R178" s="51">
        <f t="shared" si="29"/>
        <v>1.3877369024798303</v>
      </c>
      <c r="S178" s="51">
        <f t="shared" si="30"/>
        <v>0.28420838572857399</v>
      </c>
      <c r="T178" s="51">
        <f t="shared" si="2"/>
        <v>6.6838387563473378E-2</v>
      </c>
      <c r="U178" s="51">
        <f t="shared" si="3"/>
        <v>0.12222720236390726</v>
      </c>
      <c r="V178" s="51">
        <f t="shared" si="4"/>
        <v>7.3234929168396939E-2</v>
      </c>
      <c r="W178" s="58">
        <f t="shared" si="28"/>
        <v>0.48376107482015462</v>
      </c>
      <c r="X178" s="51">
        <f t="shared" si="25"/>
        <v>0</v>
      </c>
      <c r="Y178" s="58">
        <f t="shared" si="31"/>
        <v>0</v>
      </c>
      <c r="Z178" s="51">
        <f t="shared" si="26"/>
        <v>8.963170568561873</v>
      </c>
      <c r="AA178" s="51">
        <f t="shared" si="27"/>
        <v>1.0955432629058297</v>
      </c>
      <c r="AB178" s="52">
        <v>3</v>
      </c>
      <c r="AC178">
        <v>2</v>
      </c>
    </row>
    <row r="179" spans="1:29">
      <c r="A179" s="6">
        <v>2019</v>
      </c>
      <c r="B179" s="6" t="s">
        <v>194</v>
      </c>
      <c r="C179" s="7" t="s">
        <v>195</v>
      </c>
      <c r="D179" s="61">
        <v>351120000000</v>
      </c>
      <c r="E179" s="10">
        <v>405448000000</v>
      </c>
      <c r="F179" s="10">
        <v>822375000000</v>
      </c>
      <c r="G179" s="10">
        <f t="shared" si="36"/>
        <v>175191000000</v>
      </c>
      <c r="H179" s="10">
        <v>79247000000</v>
      </c>
      <c r="I179" s="10">
        <v>254438000000</v>
      </c>
      <c r="J179" s="10">
        <v>567937000000</v>
      </c>
      <c r="K179" s="8">
        <v>589896800</v>
      </c>
      <c r="L179" s="10">
        <v>834330000000</v>
      </c>
      <c r="M179" s="10">
        <v>417281000000</v>
      </c>
      <c r="N179" s="10">
        <v>182396000000</v>
      </c>
      <c r="O179" s="10">
        <v>86023000000</v>
      </c>
      <c r="P179" s="61">
        <v>0</v>
      </c>
      <c r="Q179" s="51">
        <v>1045</v>
      </c>
      <c r="R179" s="51">
        <f t="shared" si="29"/>
        <v>2.0042125451649913</v>
      </c>
      <c r="S179" s="51">
        <f t="shared" si="30"/>
        <v>0.13953484277305406</v>
      </c>
      <c r="T179" s="51">
        <f t="shared" si="2"/>
        <v>0.1046031311749506</v>
      </c>
      <c r="U179" s="51">
        <f t="shared" si="3"/>
        <v>0.15146574355958495</v>
      </c>
      <c r="V179" s="51">
        <f t="shared" si="4"/>
        <v>0.10310428727242218</v>
      </c>
      <c r="W179" s="58">
        <f t="shared" si="28"/>
        <v>0.49986096628432397</v>
      </c>
      <c r="X179" s="51">
        <f t="shared" si="25"/>
        <v>0</v>
      </c>
      <c r="Y179" s="58">
        <f t="shared" si="31"/>
        <v>0</v>
      </c>
      <c r="Z179" s="51">
        <f t="shared" si="26"/>
        <v>7.1660155539797499</v>
      </c>
      <c r="AA179" s="51">
        <f t="shared" si="27"/>
        <v>1.0854058742430939</v>
      </c>
      <c r="AB179" s="52">
        <v>3</v>
      </c>
      <c r="AC179">
        <v>2</v>
      </c>
    </row>
    <row r="180" spans="1:29">
      <c r="A180" s="6">
        <v>2020</v>
      </c>
      <c r="B180" s="6" t="s">
        <v>194</v>
      </c>
      <c r="C180" s="7" t="s">
        <v>195</v>
      </c>
      <c r="D180" s="61">
        <v>545239000000</v>
      </c>
      <c r="E180" s="10">
        <v>351626000000</v>
      </c>
      <c r="F180" s="10">
        <v>958791000000</v>
      </c>
      <c r="G180" s="10">
        <f t="shared" si="36"/>
        <v>183559000000</v>
      </c>
      <c r="H180" s="10">
        <v>74724000000</v>
      </c>
      <c r="I180" s="10">
        <v>258283000000</v>
      </c>
      <c r="J180" s="10">
        <v>700508000000</v>
      </c>
      <c r="K180" s="8">
        <v>589896800</v>
      </c>
      <c r="L180" s="10">
        <v>673364000000</v>
      </c>
      <c r="M180" s="10">
        <v>330799000000</v>
      </c>
      <c r="N180" s="10">
        <v>96707000000</v>
      </c>
      <c r="O180" s="10">
        <v>135765000000</v>
      </c>
      <c r="P180" s="61">
        <v>0</v>
      </c>
      <c r="Q180" s="51">
        <v>1460</v>
      </c>
      <c r="R180" s="51">
        <f t="shared" si="29"/>
        <v>2.9703746479333621</v>
      </c>
      <c r="S180" s="51">
        <f t="shared" si="30"/>
        <v>0.10667115864486915</v>
      </c>
      <c r="T180" s="51">
        <f t="shared" si="2"/>
        <v>0.14160020275534502</v>
      </c>
      <c r="U180" s="51">
        <f t="shared" si="3"/>
        <v>0.19380934978615519</v>
      </c>
      <c r="V180" s="51">
        <f t="shared" si="4"/>
        <v>0.20162200533441052</v>
      </c>
      <c r="W180" s="58">
        <f t="shared" si="28"/>
        <v>0.50873673080235948</v>
      </c>
      <c r="X180" s="51">
        <f t="shared" si="25"/>
        <v>0</v>
      </c>
      <c r="Y180" s="58">
        <f t="shared" si="31"/>
        <v>0</v>
      </c>
      <c r="Z180" s="51">
        <f t="shared" si="26"/>
        <v>6.3436771480131107</v>
      </c>
      <c r="AA180" s="51">
        <f t="shared" si="27"/>
        <v>1.2294639433097125</v>
      </c>
      <c r="AB180" s="52">
        <v>3</v>
      </c>
      <c r="AC180">
        <v>2</v>
      </c>
    </row>
    <row r="181" spans="1:29">
      <c r="A181" s="6">
        <v>2018</v>
      </c>
      <c r="B181" s="6" t="s">
        <v>198</v>
      </c>
      <c r="C181" s="7" t="s">
        <v>199</v>
      </c>
      <c r="D181" s="61">
        <v>1333428311186</v>
      </c>
      <c r="E181" s="10">
        <v>998708967039</v>
      </c>
      <c r="F181" s="10">
        <v>2445143511801</v>
      </c>
      <c r="G181" s="10">
        <f t="shared" si="36"/>
        <v>231533842787</v>
      </c>
      <c r="H181" s="10">
        <v>241146503875</v>
      </c>
      <c r="I181" s="10">
        <v>472680346662</v>
      </c>
      <c r="J181" s="10">
        <v>1972463165139</v>
      </c>
      <c r="K181" s="8">
        <v>201066667</v>
      </c>
      <c r="L181" s="10">
        <v>2648754344347</v>
      </c>
      <c r="M181" s="10">
        <v>1685791739001</v>
      </c>
      <c r="N181" s="10">
        <v>722004701096</v>
      </c>
      <c r="O181" s="10">
        <v>173049442756</v>
      </c>
      <c r="P181" s="61">
        <v>82362154537</v>
      </c>
      <c r="Q181" s="51">
        <v>17200</v>
      </c>
      <c r="R181" s="51">
        <f t="shared" si="29"/>
        <v>5.75910758935008</v>
      </c>
      <c r="S181" s="51">
        <f t="shared" si="30"/>
        <v>0.12225653088837597</v>
      </c>
      <c r="T181" s="51">
        <f t="shared" si="2"/>
        <v>7.077271412529007E-2</v>
      </c>
      <c r="U181" s="51">
        <f t="shared" si="3"/>
        <v>8.7732661280802759E-2</v>
      </c>
      <c r="V181" s="51">
        <f t="shared" si="4"/>
        <v>6.5332386570813555E-2</v>
      </c>
      <c r="W181" s="58">
        <f t="shared" si="28"/>
        <v>0.36355300649196298</v>
      </c>
      <c r="X181" s="51">
        <f t="shared" si="25"/>
        <v>2.381547089952173E-2</v>
      </c>
      <c r="Y181" s="58">
        <f t="shared" si="31"/>
        <v>0.47594579459658115</v>
      </c>
      <c r="Z181" s="51">
        <f t="shared" si="26"/>
        <v>19.984731631157427</v>
      </c>
      <c r="AA181" s="51">
        <f t="shared" si="27"/>
        <v>1.7533136909840796</v>
      </c>
      <c r="AB181" s="52">
        <v>3</v>
      </c>
      <c r="AC181">
        <v>2</v>
      </c>
    </row>
    <row r="182" spans="1:29">
      <c r="A182" s="6">
        <v>2019</v>
      </c>
      <c r="B182" s="6" t="s">
        <v>198</v>
      </c>
      <c r="C182" s="7" t="s">
        <v>199</v>
      </c>
      <c r="D182" s="61">
        <v>1428191709308</v>
      </c>
      <c r="E182" s="10">
        <v>938300134590</v>
      </c>
      <c r="F182" s="10">
        <v>2551192620939</v>
      </c>
      <c r="G182" s="10">
        <f t="shared" si="36"/>
        <v>260244280265</v>
      </c>
      <c r="H182" s="10">
        <v>271804523512</v>
      </c>
      <c r="I182" s="10">
        <v>532048803777</v>
      </c>
      <c r="J182" s="10">
        <v>2019143817162</v>
      </c>
      <c r="K182" s="8">
        <v>201066667</v>
      </c>
      <c r="L182" s="10">
        <v>2804151670769</v>
      </c>
      <c r="M182" s="10">
        <v>1873937759675</v>
      </c>
      <c r="N182" s="10">
        <f>739420214230+1218605208</f>
        <v>740638819438</v>
      </c>
      <c r="O182" s="10">
        <v>145149344561</v>
      </c>
      <c r="P182" s="61">
        <v>84653428243</v>
      </c>
      <c r="Q182" s="51">
        <v>11000</v>
      </c>
      <c r="R182" s="51">
        <f t="shared" si="29"/>
        <v>5.487888947467777</v>
      </c>
      <c r="S182" s="51">
        <f t="shared" si="30"/>
        <v>0.13461375123542899</v>
      </c>
      <c r="T182" s="51">
        <f t="shared" si="2"/>
        <v>5.6894702254028894E-2</v>
      </c>
      <c r="U182" s="51">
        <f t="shared" si="3"/>
        <v>7.1886580503717712E-2</v>
      </c>
      <c r="V182" s="51">
        <f t="shared" si="4"/>
        <v>5.1762301616586522E-2</v>
      </c>
      <c r="W182" s="58">
        <f t="shared" si="28"/>
        <v>0.33172738863975271</v>
      </c>
      <c r="X182" s="51">
        <f t="shared" si="25"/>
        <v>3.8274699226546041E-2</v>
      </c>
      <c r="Y182" s="58">
        <f t="shared" si="31"/>
        <v>0.58321605584256575</v>
      </c>
      <c r="Z182" s="51">
        <f t="shared" si="26"/>
        <v>15.23763916185308</v>
      </c>
      <c r="AA182" s="51">
        <f t="shared" si="27"/>
        <v>1.0953817742951533</v>
      </c>
      <c r="AB182" s="52">
        <v>3</v>
      </c>
      <c r="AC182">
        <v>2</v>
      </c>
    </row>
    <row r="183" spans="1:29">
      <c r="A183" s="6">
        <v>2020</v>
      </c>
      <c r="B183" s="6" t="s">
        <v>198</v>
      </c>
      <c r="C183" s="7" t="s">
        <v>199</v>
      </c>
      <c r="D183" s="61">
        <v>1343961709769</v>
      </c>
      <c r="E183" s="10">
        <v>822015923646</v>
      </c>
      <c r="F183" s="10">
        <v>2314790056002</v>
      </c>
      <c r="G183" s="10">
        <f t="shared" si="36"/>
        <v>131087175475</v>
      </c>
      <c r="H183" s="10">
        <v>317715961088</v>
      </c>
      <c r="I183" s="10">
        <v>448803136563</v>
      </c>
      <c r="J183" s="10">
        <v>1865986919439</v>
      </c>
      <c r="K183" s="8">
        <v>201066667</v>
      </c>
      <c r="L183" s="10">
        <v>1989005993587</v>
      </c>
      <c r="M183" s="10">
        <v>1534276464935</v>
      </c>
      <c r="N183" s="10">
        <v>523339628164</v>
      </c>
      <c r="O183" s="10">
        <v>-54776587213</v>
      </c>
      <c r="P183" s="61">
        <v>84393872136</v>
      </c>
      <c r="Q183" s="51">
        <v>6475</v>
      </c>
      <c r="R183" s="51">
        <f t="shared" si="29"/>
        <v>10.252427095931369</v>
      </c>
      <c r="S183" s="51">
        <f t="shared" si="30"/>
        <v>0.17026698192692571</v>
      </c>
      <c r="T183" s="51">
        <f t="shared" si="2"/>
        <v>-2.3663738778802096E-2</v>
      </c>
      <c r="U183" s="51">
        <f t="shared" si="3"/>
        <v>-2.9355290030365442E-2</v>
      </c>
      <c r="V183" s="51">
        <f t="shared" si="4"/>
        <v>-2.7539679311983957E-2</v>
      </c>
      <c r="W183" s="58">
        <f t="shared" si="28"/>
        <v>0.22862149743045002</v>
      </c>
      <c r="X183" s="51">
        <f t="shared" si="25"/>
        <v>6.4823288916837155E-2</v>
      </c>
      <c r="Y183" s="58">
        <f t="shared" si="31"/>
        <v>-1.5406924094747363</v>
      </c>
      <c r="Z183" s="51">
        <f t="shared" si="26"/>
        <v>-23.76757543807004</v>
      </c>
      <c r="AA183" s="51">
        <f t="shared" si="27"/>
        <v>0.69770407030313586</v>
      </c>
      <c r="AB183" s="52">
        <v>3</v>
      </c>
      <c r="AC183">
        <v>0</v>
      </c>
    </row>
    <row r="184" spans="1:29">
      <c r="A184" s="6">
        <v>2018</v>
      </c>
      <c r="B184" s="6" t="s">
        <v>200</v>
      </c>
      <c r="C184" s="7" t="s">
        <v>201</v>
      </c>
      <c r="D184" s="61">
        <v>8257910000000</v>
      </c>
      <c r="E184" s="10">
        <v>10627387000000</v>
      </c>
      <c r="F184" s="10">
        <v>19522970000000</v>
      </c>
      <c r="G184" s="10">
        <f t="shared" si="36"/>
        <v>11134786000000</v>
      </c>
      <c r="H184" s="10">
        <v>810051000000</v>
      </c>
      <c r="I184" s="10">
        <v>11944837000000</v>
      </c>
      <c r="J184" s="10">
        <v>7578133000000</v>
      </c>
      <c r="K184" s="8">
        <v>7630000000</v>
      </c>
      <c r="L184" s="10">
        <v>41802073000000</v>
      </c>
      <c r="M184" s="10">
        <v>20709800000000</v>
      </c>
      <c r="N184" s="10">
        <f>7678122000000+3925110000000</f>
        <v>11603232000000</v>
      </c>
      <c r="O184" s="10">
        <v>9081187000000</v>
      </c>
      <c r="P184" s="61">
        <v>6926201000000</v>
      </c>
      <c r="Q184" s="51">
        <v>44500</v>
      </c>
      <c r="R184" s="51">
        <f t="shared" si="29"/>
        <v>0.74163167572326938</v>
      </c>
      <c r="S184" s="51">
        <f t="shared" si="30"/>
        <v>0.10689321499108026</v>
      </c>
      <c r="T184" s="51">
        <f t="shared" si="2"/>
        <v>0.4651539699133892</v>
      </c>
      <c r="U184" s="51">
        <f t="shared" si="3"/>
        <v>1.1983409370091551</v>
      </c>
      <c r="V184" s="51">
        <f t="shared" si="4"/>
        <v>0.21724250373898921</v>
      </c>
      <c r="W184" s="58">
        <f t="shared" si="28"/>
        <v>0.50457480900528551</v>
      </c>
      <c r="X184" s="51">
        <f t="shared" si="25"/>
        <v>2.0399078151000633E-2</v>
      </c>
      <c r="Y184" s="58">
        <f t="shared" si="31"/>
        <v>0.76269776186747396</v>
      </c>
      <c r="Z184" s="51">
        <f t="shared" si="26"/>
        <v>37.388834741537643</v>
      </c>
      <c r="AA184" s="51">
        <f t="shared" si="27"/>
        <v>44.804571257854668</v>
      </c>
      <c r="AB184" s="52">
        <v>3</v>
      </c>
      <c r="AC184">
        <v>2</v>
      </c>
    </row>
    <row r="185" spans="1:29">
      <c r="A185" s="6">
        <v>2019</v>
      </c>
      <c r="B185" s="6" t="s">
        <v>200</v>
      </c>
      <c r="C185" s="7" t="s">
        <v>201</v>
      </c>
      <c r="D185" s="61">
        <v>8530334000000</v>
      </c>
      <c r="E185" s="10">
        <v>10715376000000</v>
      </c>
      <c r="F185" s="10">
        <v>20649371000000</v>
      </c>
      <c r="G185" s="10">
        <f t="shared" si="36"/>
        <v>13065308000000</v>
      </c>
      <c r="H185" s="10">
        <v>2302201000000</v>
      </c>
      <c r="I185" s="10">
        <v>15367509000000</v>
      </c>
      <c r="J185" s="10">
        <v>5281862000000</v>
      </c>
      <c r="K185" s="8">
        <v>7630000000</v>
      </c>
      <c r="L185" s="10">
        <v>42922563000000</v>
      </c>
      <c r="M185" s="10">
        <v>20893870000000</v>
      </c>
      <c r="N185" s="10">
        <f>8049388000000+3861481000000</f>
        <v>11910869000000</v>
      </c>
      <c r="O185" s="10">
        <v>7392837000000</v>
      </c>
      <c r="P185" s="61">
        <v>9176417000000</v>
      </c>
      <c r="Q185" s="51">
        <v>42000</v>
      </c>
      <c r="R185" s="51">
        <f t="shared" si="29"/>
        <v>0.65289957190446635</v>
      </c>
      <c r="S185" s="51">
        <f t="shared" si="30"/>
        <v>0.43586920673050528</v>
      </c>
      <c r="T185" s="51">
        <f t="shared" si="2"/>
        <v>0.35801753961416066</v>
      </c>
      <c r="U185" s="51">
        <f t="shared" si="3"/>
        <v>1.3996649287694378</v>
      </c>
      <c r="V185" s="51">
        <f t="shared" si="4"/>
        <v>0.17223661597281598</v>
      </c>
      <c r="W185" s="58">
        <f t="shared" si="28"/>
        <v>0.51321942261462816</v>
      </c>
      <c r="X185" s="51">
        <f t="shared" si="25"/>
        <v>2.8635140111090307E-2</v>
      </c>
      <c r="Y185" s="58">
        <f t="shared" si="31"/>
        <v>1.2412578554078766</v>
      </c>
      <c r="Z185" s="51">
        <f t="shared" si="26"/>
        <v>43.347364482674244</v>
      </c>
      <c r="AA185" s="51">
        <f t="shared" si="27"/>
        <v>60.6717858209851</v>
      </c>
      <c r="AB185" s="52">
        <v>3</v>
      </c>
      <c r="AC185">
        <v>2</v>
      </c>
    </row>
    <row r="186" spans="1:29">
      <c r="A186" s="6">
        <v>2020</v>
      </c>
      <c r="B186" s="6" t="s">
        <v>200</v>
      </c>
      <c r="C186" s="7" t="s">
        <v>201</v>
      </c>
      <c r="D186" s="61">
        <v>8828360000000</v>
      </c>
      <c r="E186" s="10">
        <v>10419902000000</v>
      </c>
      <c r="F186" s="10">
        <v>20534632000000</v>
      </c>
      <c r="G186" s="10">
        <f t="shared" si="36"/>
        <v>13357536000000</v>
      </c>
      <c r="H186" s="10">
        <v>2239728000000</v>
      </c>
      <c r="I186" s="10">
        <v>15597264000000</v>
      </c>
      <c r="J186" s="10">
        <v>4937368000000</v>
      </c>
      <c r="K186" s="8">
        <v>7630000000</v>
      </c>
      <c r="L186" s="10">
        <v>42972474000000</v>
      </c>
      <c r="M186" s="10">
        <v>20515484000000</v>
      </c>
      <c r="N186" s="10">
        <f>8628647000000+4357209000000+20122000000</f>
        <v>13005978000000</v>
      </c>
      <c r="O186" s="10">
        <v>7163536000000</v>
      </c>
      <c r="P186" s="61">
        <v>7371069000000</v>
      </c>
      <c r="Q186" s="51">
        <v>7350</v>
      </c>
      <c r="R186" s="51">
        <f t="shared" si="29"/>
        <v>0.6609272847926444</v>
      </c>
      <c r="S186" s="51">
        <f t="shared" si="30"/>
        <v>0.45362792483768682</v>
      </c>
      <c r="T186" s="51">
        <f t="shared" si="2"/>
        <v>0.34885144277238567</v>
      </c>
      <c r="U186" s="51">
        <f t="shared" si="3"/>
        <v>1.4508815223009506</v>
      </c>
      <c r="V186" s="51">
        <f t="shared" si="4"/>
        <v>0.16670057209179998</v>
      </c>
      <c r="W186" s="58">
        <f t="shared" si="28"/>
        <v>0.52259011198657079</v>
      </c>
      <c r="X186" s="51">
        <f t="shared" si="25"/>
        <v>0.13143729103699148</v>
      </c>
      <c r="Y186" s="58">
        <f t="shared" si="31"/>
        <v>1.0289707485241926</v>
      </c>
      <c r="Z186" s="51">
        <f t="shared" si="26"/>
        <v>7.8286058728538528</v>
      </c>
      <c r="AA186" s="51">
        <f t="shared" si="27"/>
        <v>11.35837960630036</v>
      </c>
      <c r="AB186" s="52">
        <v>3</v>
      </c>
      <c r="AC186">
        <v>2</v>
      </c>
    </row>
    <row r="187" spans="1:29">
      <c r="A187" s="6">
        <v>2018</v>
      </c>
      <c r="B187" s="82" t="s">
        <v>261</v>
      </c>
      <c r="C187" s="7" t="s">
        <v>262</v>
      </c>
      <c r="D187" s="61">
        <v>13334804000000</v>
      </c>
      <c r="E187" s="10">
        <v>8647396000000</v>
      </c>
      <c r="F187" s="10">
        <v>24827355000000</v>
      </c>
      <c r="G187" s="10">
        <f t="shared" si="36"/>
        <v>7689521000000</v>
      </c>
      <c r="H187" s="10">
        <v>6372157000000</v>
      </c>
      <c r="I187" s="10">
        <v>14061678000000</v>
      </c>
      <c r="J187" s="10">
        <v>10765677000000</v>
      </c>
      <c r="K187" s="8">
        <v>11726575201</v>
      </c>
      <c r="L187" s="10">
        <v>36228261000000</v>
      </c>
      <c r="M187" s="10">
        <v>28342636000000</v>
      </c>
      <c r="N187" s="10">
        <f>836629000000+2647489000000+164095000000</f>
        <v>3648213000000</v>
      </c>
      <c r="O187" s="10">
        <v>2253201000000</v>
      </c>
      <c r="P187" s="61">
        <v>1205915000000</v>
      </c>
      <c r="Q187" s="51">
        <v>2000</v>
      </c>
      <c r="R187" s="51">
        <f t="shared" si="29"/>
        <v>1.7341527515172921</v>
      </c>
      <c r="S187" s="51">
        <f t="shared" si="30"/>
        <v>0.5918956141819971</v>
      </c>
      <c r="T187" s="51">
        <f t="shared" si="2"/>
        <v>9.0754774320502524E-2</v>
      </c>
      <c r="U187" s="51">
        <f t="shared" si="3"/>
        <v>0.20929487295596924</v>
      </c>
      <c r="V187" s="51">
        <f t="shared" si="4"/>
        <v>6.2194566832782835E-2</v>
      </c>
      <c r="W187" s="58">
        <f t="shared" si="28"/>
        <v>0.21766501571797775</v>
      </c>
      <c r="X187" s="51">
        <f t="shared" si="25"/>
        <v>5.1418038912894364E-2</v>
      </c>
      <c r="Y187" s="58">
        <f t="shared" si="31"/>
        <v>0.53520080987004715</v>
      </c>
      <c r="Z187" s="74">
        <f t="shared" si="26"/>
        <v>10.408814127989469</v>
      </c>
      <c r="AA187" s="51">
        <f t="shared" si="27"/>
        <v>2.1785114305398539</v>
      </c>
      <c r="AB187" s="52">
        <v>3</v>
      </c>
      <c r="AC187">
        <v>0</v>
      </c>
    </row>
    <row r="188" spans="1:29">
      <c r="A188" s="6">
        <v>2019</v>
      </c>
      <c r="B188" s="82" t="s">
        <v>261</v>
      </c>
      <c r="C188" s="7" t="s">
        <v>262</v>
      </c>
      <c r="D188" s="61">
        <v>12873148000000</v>
      </c>
      <c r="E188" s="10">
        <v>10707724000000</v>
      </c>
      <c r="F188" s="10">
        <v>26650895000000</v>
      </c>
      <c r="G188" s="10">
        <f t="shared" si="36"/>
        <v>7741958000000</v>
      </c>
      <c r="H188" s="10">
        <v>7012123000000</v>
      </c>
      <c r="I188" s="10">
        <v>14754081000000</v>
      </c>
      <c r="J188" s="10">
        <v>11896814000000</v>
      </c>
      <c r="K188" s="8">
        <v>11726575201</v>
      </c>
      <c r="L188" s="10">
        <v>38872084000000</v>
      </c>
      <c r="M188" s="10">
        <v>31000234000000</v>
      </c>
      <c r="N188" s="10">
        <f>1048302000000+2895713000000+160828000000</f>
        <v>4104843000000</v>
      </c>
      <c r="O188" s="10">
        <v>1883857000000</v>
      </c>
      <c r="P188" s="61">
        <v>638281000000</v>
      </c>
      <c r="Q188" s="51">
        <v>1535</v>
      </c>
      <c r="R188" s="51">
        <f t="shared" si="29"/>
        <v>1.6627767807575293</v>
      </c>
      <c r="S188" s="51">
        <f t="shared" si="30"/>
        <v>0.58941183748859149</v>
      </c>
      <c r="T188" s="51">
        <f t="shared" si="2"/>
        <v>7.0686444113790547E-2</v>
      </c>
      <c r="U188" s="51">
        <f t="shared" si="3"/>
        <v>0.15834970606416138</v>
      </c>
      <c r="V188" s="51">
        <f t="shared" si="4"/>
        <v>4.8462979242378669E-2</v>
      </c>
      <c r="W188" s="58">
        <f t="shared" si="28"/>
        <v>0.20250650826953348</v>
      </c>
      <c r="X188" s="51">
        <f t="shared" si="25"/>
        <v>3.5459478484978782E-2</v>
      </c>
      <c r="Y188" s="58">
        <f t="shared" si="31"/>
        <v>0.33881605663274866</v>
      </c>
      <c r="Z188" s="74">
        <f t="shared" si="26"/>
        <v>9.5550208606783862</v>
      </c>
      <c r="AA188" s="51">
        <f t="shared" si="27"/>
        <v>1.5130347447253525</v>
      </c>
      <c r="AB188" s="52">
        <v>3</v>
      </c>
      <c r="AC188">
        <v>0</v>
      </c>
    </row>
    <row r="189" spans="1:29">
      <c r="A189" s="6">
        <v>2020</v>
      </c>
      <c r="B189" s="82" t="s">
        <v>261</v>
      </c>
      <c r="C189" s="7" t="s">
        <v>262</v>
      </c>
      <c r="D189" s="61">
        <v>11745138000000</v>
      </c>
      <c r="E189" s="10">
        <v>11143803000000</v>
      </c>
      <c r="F189" s="10">
        <v>25951760000000</v>
      </c>
      <c r="G189" s="10">
        <f t="shared" si="36"/>
        <v>6007679000000</v>
      </c>
      <c r="H189" s="10">
        <v>8532111000000</v>
      </c>
      <c r="I189" s="10">
        <v>14539790000000</v>
      </c>
      <c r="J189" s="10">
        <v>11411970000000</v>
      </c>
      <c r="K189" s="8">
        <v>11726575201</v>
      </c>
      <c r="L189" s="10">
        <v>36964948000000</v>
      </c>
      <c r="M189" s="10">
        <v>29535739000000</v>
      </c>
      <c r="N189" s="10">
        <f>1549972000000+3244208000000+236681000000</f>
        <v>5030861000000</v>
      </c>
      <c r="O189" s="10">
        <v>1002376000000</v>
      </c>
      <c r="P189" s="61">
        <v>258375000000</v>
      </c>
      <c r="Q189" s="51">
        <v>1465</v>
      </c>
      <c r="R189" s="51">
        <f t="shared" si="29"/>
        <v>1.9550208990859865</v>
      </c>
      <c r="S189" s="51">
        <f t="shared" si="30"/>
        <v>0.74764576142418881</v>
      </c>
      <c r="T189" s="51">
        <f t="shared" si="2"/>
        <v>3.8624586540566032E-2</v>
      </c>
      <c r="U189" s="51">
        <f t="shared" si="3"/>
        <v>8.7835492031612422E-2</v>
      </c>
      <c r="V189" s="51">
        <f t="shared" si="4"/>
        <v>2.7116932505897209E-2</v>
      </c>
      <c r="W189" s="58">
        <f t="shared" si="28"/>
        <v>0.20097983094687433</v>
      </c>
      <c r="X189" s="51">
        <f t="shared" si="25"/>
        <v>1.5039786526783266E-2</v>
      </c>
      <c r="Y189" s="58">
        <f t="shared" si="31"/>
        <v>0.25776255616654831</v>
      </c>
      <c r="Z189" s="74">
        <f t="shared" si="26"/>
        <v>17.138711091910618</v>
      </c>
      <c r="AA189" s="51">
        <f t="shared" si="27"/>
        <v>1.5053871215456227</v>
      </c>
      <c r="AB189" s="52">
        <v>3</v>
      </c>
      <c r="AC189">
        <v>0</v>
      </c>
    </row>
    <row r="190" spans="1:29">
      <c r="A190" s="6">
        <v>2018</v>
      </c>
      <c r="B190" s="6" t="s">
        <v>265</v>
      </c>
      <c r="C190" s="7" t="s">
        <v>266</v>
      </c>
      <c r="D190" s="61">
        <v>219577845340</v>
      </c>
      <c r="E190" s="10">
        <v>256898006885</v>
      </c>
      <c r="F190" s="10">
        <v>491382035136</v>
      </c>
      <c r="G190" s="10">
        <f t="shared" si="36"/>
        <v>81075913501</v>
      </c>
      <c r="H190" s="10">
        <v>21627543807</v>
      </c>
      <c r="I190" s="10">
        <v>102703457308</v>
      </c>
      <c r="J190" s="10">
        <v>388678577828</v>
      </c>
      <c r="K190" s="8">
        <v>2000000000</v>
      </c>
      <c r="L190" s="10">
        <v>370390736433</v>
      </c>
      <c r="M190" s="10">
        <v>256947701878</v>
      </c>
      <c r="N190" s="10">
        <f>58584770961+3331144467+33706922995</f>
        <v>95622838423</v>
      </c>
      <c r="O190" s="10">
        <v>13554152161</v>
      </c>
      <c r="P190" s="61">
        <v>8000000000</v>
      </c>
      <c r="Q190" s="51">
        <v>284</v>
      </c>
      <c r="R190" s="51">
        <f t="shared" si="29"/>
        <v>2.708299368557737</v>
      </c>
      <c r="S190" s="51">
        <f t="shared" si="30"/>
        <v>5.5643776222137793E-2</v>
      </c>
      <c r="T190" s="51">
        <f t="shared" si="2"/>
        <v>2.7583735651321911E-2</v>
      </c>
      <c r="U190" s="51">
        <f t="shared" si="3"/>
        <v>3.4872393113978231E-2</v>
      </c>
      <c r="V190" s="51">
        <f t="shared" si="4"/>
        <v>3.6594198579401598E-2</v>
      </c>
      <c r="W190" s="58">
        <f t="shared" si="28"/>
        <v>0.30627935149647223</v>
      </c>
      <c r="X190" s="51">
        <f t="shared" si="25"/>
        <v>1.4084507042253521E-2</v>
      </c>
      <c r="Y190" s="58">
        <f t="shared" si="31"/>
        <v>0.59022503989727781</v>
      </c>
      <c r="Z190" s="51">
        <f t="shared" si="26"/>
        <v>41.905977832706732</v>
      </c>
      <c r="AA190" s="51">
        <f t="shared" si="27"/>
        <v>1.4613617328078066</v>
      </c>
      <c r="AB190" s="52">
        <v>3</v>
      </c>
      <c r="AC190">
        <v>0</v>
      </c>
    </row>
    <row r="191" spans="1:29">
      <c r="A191" s="6">
        <v>2019</v>
      </c>
      <c r="B191" s="6" t="s">
        <v>265</v>
      </c>
      <c r="C191" s="7" t="s">
        <v>266</v>
      </c>
      <c r="D191" s="61">
        <v>250724734274</v>
      </c>
      <c r="E191" s="10">
        <v>249614390323</v>
      </c>
      <c r="F191" s="10">
        <v>521493784876</v>
      </c>
      <c r="G191" s="10">
        <f t="shared" si="36"/>
        <v>105476752401</v>
      </c>
      <c r="H191" s="10">
        <v>26345627806</v>
      </c>
      <c r="I191" s="10">
        <v>131822380207</v>
      </c>
      <c r="J191" s="10">
        <v>389671404669</v>
      </c>
      <c r="K191" s="8">
        <v>2000000000</v>
      </c>
      <c r="L191" s="10">
        <v>407452029013</v>
      </c>
      <c r="M191" s="10">
        <v>292192033789</v>
      </c>
      <c r="N191" s="10">
        <f>60822934424+4618458062+38111785637</f>
        <v>103553178123</v>
      </c>
      <c r="O191" s="10">
        <v>7221065916</v>
      </c>
      <c r="P191" s="61">
        <v>3300000000</v>
      </c>
      <c r="Q191" s="51">
        <v>302</v>
      </c>
      <c r="R191" s="51">
        <f t="shared" si="29"/>
        <v>2.3770615663326295</v>
      </c>
      <c r="S191" s="51">
        <f t="shared" si="30"/>
        <v>6.7609856639028632E-2</v>
      </c>
      <c r="T191" s="51">
        <f t="shared" si="2"/>
        <v>1.3846887777803553E-2</v>
      </c>
      <c r="U191" s="51">
        <f t="shared" si="3"/>
        <v>1.8531167105099274E-2</v>
      </c>
      <c r="V191" s="51">
        <f t="shared" si="4"/>
        <v>1.7722493451541033E-2</v>
      </c>
      <c r="W191" s="58">
        <f t="shared" si="28"/>
        <v>0.28287991473058183</v>
      </c>
      <c r="X191" s="51">
        <f t="shared" si="25"/>
        <v>5.4635761589403968E-3</v>
      </c>
      <c r="Y191" s="58">
        <f t="shared" si="31"/>
        <v>0.45699624382157489</v>
      </c>
      <c r="Z191" s="51">
        <f t="shared" si="26"/>
        <v>83.644160990373109</v>
      </c>
      <c r="AA191" s="51">
        <f t="shared" si="27"/>
        <v>1.5500239246784298</v>
      </c>
      <c r="AB191" s="52">
        <v>3</v>
      </c>
      <c r="AC191">
        <v>0</v>
      </c>
    </row>
    <row r="192" spans="1:29">
      <c r="A192" s="6">
        <v>2020</v>
      </c>
      <c r="B192" s="6" t="s">
        <v>265</v>
      </c>
      <c r="C192" s="7" t="s">
        <v>266</v>
      </c>
      <c r="D192" s="61">
        <v>235891593162</v>
      </c>
      <c r="E192" s="10">
        <v>239840874085</v>
      </c>
      <c r="F192" s="10">
        <v>498020612974</v>
      </c>
      <c r="G192" s="10">
        <f t="shared" si="36"/>
        <v>94587795350</v>
      </c>
      <c r="H192" s="10">
        <v>18075450551</v>
      </c>
      <c r="I192" s="10">
        <v>112663245901</v>
      </c>
      <c r="J192" s="10">
        <v>385357367073</v>
      </c>
      <c r="K192" s="8">
        <v>2000000000</v>
      </c>
      <c r="L192" s="10">
        <v>330675687019</v>
      </c>
      <c r="M192" s="10">
        <v>233761111651</v>
      </c>
      <c r="N192" s="10">
        <f>30572099655+56246224164+6860466956</f>
        <v>93678790775</v>
      </c>
      <c r="O192" s="10">
        <v>249076655</v>
      </c>
      <c r="P192" s="61">
        <v>2000000000</v>
      </c>
      <c r="Q192" s="51">
        <v>240</v>
      </c>
      <c r="R192" s="51">
        <f t="shared" si="29"/>
        <v>2.4938903828885994</v>
      </c>
      <c r="S192" s="51">
        <f t="shared" si="30"/>
        <v>4.6905683128086885E-2</v>
      </c>
      <c r="T192" s="51">
        <f t="shared" si="2"/>
        <v>5.0013322443142217E-4</v>
      </c>
      <c r="U192" s="51">
        <f t="shared" si="3"/>
        <v>6.4635238945053377E-4</v>
      </c>
      <c r="V192" s="51">
        <f t="shared" si="4"/>
        <v>7.5323546537513816E-4</v>
      </c>
      <c r="W192" s="58">
        <f t="shared" si="28"/>
        <v>0.29308043854591426</v>
      </c>
      <c r="X192" s="51">
        <f t="shared" si="25"/>
        <v>4.1666666666666666E-3</v>
      </c>
      <c r="Y192" s="58">
        <f t="shared" si="31"/>
        <v>8.0296565729935629</v>
      </c>
      <c r="Z192" s="51">
        <f t="shared" si="26"/>
        <v>1927.1175775184552</v>
      </c>
      <c r="AA192" s="51">
        <f t="shared" si="27"/>
        <v>1.2455970509811778</v>
      </c>
      <c r="AB192" s="52">
        <v>3</v>
      </c>
      <c r="AC192">
        <v>0</v>
      </c>
    </row>
    <row r="193" spans="1:29">
      <c r="A193" s="6">
        <v>2018</v>
      </c>
      <c r="B193" s="6" t="s">
        <v>268</v>
      </c>
      <c r="C193" s="7" t="s">
        <v>269</v>
      </c>
      <c r="D193" s="62">
        <v>6960395955329</v>
      </c>
      <c r="E193" s="10">
        <v>1215546692942</v>
      </c>
      <c r="F193" s="10">
        <v>8322960974230</v>
      </c>
      <c r="G193" s="10">
        <f t="shared" si="36"/>
        <v>2442855705213</v>
      </c>
      <c r="H193" s="10">
        <v>92250390844</v>
      </c>
      <c r="I193" s="10">
        <v>2535106096057</v>
      </c>
      <c r="J193" s="10">
        <v>5787854878173</v>
      </c>
      <c r="K193" s="8">
        <v>9120000000</v>
      </c>
      <c r="L193" s="10">
        <v>20604487293751</v>
      </c>
      <c r="M193" s="10">
        <v>18207487072775</v>
      </c>
      <c r="N193" s="10">
        <f>1362204479737+206695250349+22161406875+5391026594</f>
        <v>1596452163555</v>
      </c>
      <c r="O193" s="10">
        <v>653250886056</v>
      </c>
      <c r="P193" s="61">
        <v>13543200000</v>
      </c>
      <c r="Q193" s="51">
        <v>2100</v>
      </c>
      <c r="R193" s="51">
        <f t="shared" si="29"/>
        <v>2.8492865708259676</v>
      </c>
      <c r="S193" s="51">
        <f t="shared" si="30"/>
        <v>1.5938615045773201E-2</v>
      </c>
      <c r="T193" s="51">
        <f t="shared" si="2"/>
        <v>7.8487798762799751E-2</v>
      </c>
      <c r="U193" s="51">
        <f t="shared" si="3"/>
        <v>0.11286580258249423</v>
      </c>
      <c r="V193" s="51">
        <f t="shared" si="4"/>
        <v>3.170430191942316E-2</v>
      </c>
      <c r="W193" s="58">
        <f t="shared" si="28"/>
        <v>0.11633389304003554</v>
      </c>
      <c r="X193" s="51">
        <f t="shared" si="25"/>
        <v>7.0714285714285714E-4</v>
      </c>
      <c r="Y193" s="58">
        <f t="shared" si="31"/>
        <v>2.0732004026457619E-2</v>
      </c>
      <c r="Z193" s="51">
        <f t="shared" si="26"/>
        <v>29.317985491960272</v>
      </c>
      <c r="AA193" s="51">
        <f t="shared" si="27"/>
        <v>3.3089979626520178</v>
      </c>
      <c r="AB193" s="52">
        <v>3</v>
      </c>
      <c r="AC193">
        <v>0</v>
      </c>
    </row>
    <row r="194" spans="1:29">
      <c r="A194" s="6">
        <v>2019</v>
      </c>
      <c r="B194" s="6" t="s">
        <v>268</v>
      </c>
      <c r="C194" s="7" t="s">
        <v>269</v>
      </c>
      <c r="D194" s="61">
        <v>7120602478197</v>
      </c>
      <c r="E194" s="10">
        <v>1433166129304</v>
      </c>
      <c r="F194" s="10">
        <v>8704958834283</v>
      </c>
      <c r="G194" s="10">
        <f t="shared" si="36"/>
        <v>2463953517223</v>
      </c>
      <c r="H194" s="10">
        <v>111696870012</v>
      </c>
      <c r="I194" s="10">
        <v>2575650387235</v>
      </c>
      <c r="J194" s="10">
        <v>6129308447048</v>
      </c>
      <c r="K194" s="8">
        <v>9120000000</v>
      </c>
      <c r="L194" s="10">
        <v>22226912485948</v>
      </c>
      <c r="M194" s="10">
        <v>19771990916170</v>
      </c>
      <c r="N194" s="10">
        <f>1504815891702+222490672344+6161028189+2683149488</f>
        <v>1736150741723</v>
      </c>
      <c r="O194" s="10">
        <v>580814677453</v>
      </c>
      <c r="P194" s="61">
        <v>243777600000</v>
      </c>
      <c r="Q194" s="51">
        <v>2050</v>
      </c>
      <c r="R194" s="51">
        <f t="shared" si="29"/>
        <v>2.8899094193230881</v>
      </c>
      <c r="S194" s="51">
        <f t="shared" si="30"/>
        <v>1.8223404969249915E-2</v>
      </c>
      <c r="T194" s="51">
        <f t="shared" si="2"/>
        <v>6.6722277326063867E-2</v>
      </c>
      <c r="U194" s="51">
        <f t="shared" si="3"/>
        <v>9.4760229880865632E-2</v>
      </c>
      <c r="V194" s="51">
        <f t="shared" si="4"/>
        <v>2.6131145197075611E-2</v>
      </c>
      <c r="W194" s="58">
        <f t="shared" ref="W194:W257" si="37">(L194-M194)/L194</f>
        <v>0.1104481592452401</v>
      </c>
      <c r="X194" s="51">
        <f t="shared" si="25"/>
        <v>1.3039024390243903E-2</v>
      </c>
      <c r="Y194" s="58">
        <f t="shared" si="31"/>
        <v>0.41971666602679247</v>
      </c>
      <c r="Z194" s="51">
        <f t="shared" si="26"/>
        <v>32.189269186491757</v>
      </c>
      <c r="AA194" s="51">
        <f t="shared" si="27"/>
        <v>3.0502625478090231</v>
      </c>
      <c r="AB194" s="52">
        <v>3</v>
      </c>
      <c r="AC194">
        <v>0</v>
      </c>
    </row>
    <row r="195" spans="1:29">
      <c r="A195" s="6">
        <v>2020</v>
      </c>
      <c r="B195" s="6" t="s">
        <v>268</v>
      </c>
      <c r="C195" s="7" t="s">
        <v>269</v>
      </c>
      <c r="D195" s="61">
        <v>7540695065075</v>
      </c>
      <c r="E195" s="10">
        <v>1531423663540</v>
      </c>
      <c r="F195" s="10">
        <v>9211731059218</v>
      </c>
      <c r="G195" s="10">
        <f t="shared" si="36"/>
        <v>2533986369290</v>
      </c>
      <c r="H195" s="10">
        <v>118288329421</v>
      </c>
      <c r="I195" s="10">
        <v>2652274698711</v>
      </c>
      <c r="J195" s="10">
        <v>6559456360507</v>
      </c>
      <c r="K195" s="8">
        <v>9120000000</v>
      </c>
      <c r="L195" s="10">
        <v>22545419368639</v>
      </c>
      <c r="M195" s="10">
        <v>20086788571564</v>
      </c>
      <c r="N195" s="10">
        <f>1478722246303+231348697736+10852235264+12082117088</f>
        <v>1733005296391</v>
      </c>
      <c r="O195" s="10">
        <v>679870547997</v>
      </c>
      <c r="P195" s="61">
        <v>243777600000</v>
      </c>
      <c r="Q195" s="51">
        <v>2110</v>
      </c>
      <c r="R195" s="51">
        <f t="shared" si="29"/>
        <v>2.9758230574807056</v>
      </c>
      <c r="S195" s="51">
        <f t="shared" si="30"/>
        <v>1.8033251983073966E-2</v>
      </c>
      <c r="T195" s="51">
        <f t="shared" si="2"/>
        <v>7.3804862910827898E-2</v>
      </c>
      <c r="U195" s="51">
        <f t="shared" si="3"/>
        <v>0.10364739250196807</v>
      </c>
      <c r="V195" s="51">
        <f t="shared" si="4"/>
        <v>3.0155595550496152E-2</v>
      </c>
      <c r="W195" s="58">
        <f t="shared" si="37"/>
        <v>0.10905234260113122</v>
      </c>
      <c r="X195" s="51">
        <f t="shared" si="25"/>
        <v>1.2668246445497631E-2</v>
      </c>
      <c r="Y195" s="58">
        <f t="shared" si="31"/>
        <v>0.35856473076853401</v>
      </c>
      <c r="Z195" s="51">
        <f t="shared" si="26"/>
        <v>28.304211818990154</v>
      </c>
      <c r="AA195" s="51">
        <f t="shared" si="27"/>
        <v>2.9336577518617162</v>
      </c>
      <c r="AB195" s="52">
        <v>3</v>
      </c>
      <c r="AC195">
        <v>0</v>
      </c>
    </row>
    <row r="196" spans="1:29">
      <c r="A196" s="6">
        <v>2018</v>
      </c>
      <c r="B196" s="82" t="s">
        <v>272</v>
      </c>
      <c r="C196" s="7" t="s">
        <v>273</v>
      </c>
      <c r="D196" s="63">
        <f>303730658*14481</f>
        <v>4398323658498</v>
      </c>
      <c r="E196" s="10">
        <f>33931351*14481</f>
        <v>491359893831</v>
      </c>
      <c r="F196" s="10">
        <f>283350512*14481</f>
        <v>4103198764272</v>
      </c>
      <c r="G196" s="10">
        <f>(I196-H196)*14481</f>
        <v>2.5826130835108288E+16</v>
      </c>
      <c r="H196" s="10">
        <f>9889254*14481</f>
        <v>143206287174</v>
      </c>
      <c r="I196" s="10">
        <f>133047144*14481</f>
        <v>1926655692264</v>
      </c>
      <c r="J196" s="10">
        <f>150303368*14481</f>
        <v>2176543072008</v>
      </c>
      <c r="K196" s="8">
        <v>840000000</v>
      </c>
      <c r="L196" s="10">
        <f>343228140*14481</f>
        <v>4970286695340</v>
      </c>
      <c r="M196" s="10">
        <f>272719324*14481</f>
        <v>3949248530844</v>
      </c>
      <c r="N196" s="10">
        <f>(24818529+14936978+1642242)*14481</f>
        <v>599480803269</v>
      </c>
      <c r="O196" s="10">
        <f>22549481*14481</f>
        <v>326539034361</v>
      </c>
      <c r="P196" s="10">
        <f>17932883*14481</f>
        <v>259686078723</v>
      </c>
      <c r="Q196" s="51">
        <v>2850</v>
      </c>
      <c r="R196" s="51">
        <f t="shared" si="29"/>
        <v>1.7030517217541844E-4</v>
      </c>
      <c r="S196" s="51">
        <f t="shared" si="30"/>
        <v>6.579529209219051E-2</v>
      </c>
      <c r="T196" s="51">
        <f t="shared" si="2"/>
        <v>7.9581578451497562E-2</v>
      </c>
      <c r="U196" s="51">
        <f t="shared" si="3"/>
        <v>0.15002645183572999</v>
      </c>
      <c r="V196" s="51">
        <f t="shared" si="4"/>
        <v>6.5698229172002034E-2</v>
      </c>
      <c r="W196" s="58">
        <f t="shared" si="37"/>
        <v>0.20542842437103204</v>
      </c>
      <c r="X196" s="51">
        <f t="shared" si="25"/>
        <v>0.10847371709398497</v>
      </c>
      <c r="Y196" s="58">
        <f t="shared" si="31"/>
        <v>0.79526810395325731</v>
      </c>
      <c r="Z196" s="74">
        <f t="shared" si="26"/>
        <v>7.3314359022491375</v>
      </c>
      <c r="AA196" s="74">
        <f t="shared" si="27"/>
        <v>1.0999093152755217</v>
      </c>
      <c r="AB196" s="52">
        <v>3</v>
      </c>
      <c r="AC196">
        <v>0</v>
      </c>
    </row>
    <row r="197" spans="1:29">
      <c r="A197" s="6">
        <v>2019</v>
      </c>
      <c r="B197" s="82" t="s">
        <v>272</v>
      </c>
      <c r="C197" s="7" t="s">
        <v>273</v>
      </c>
      <c r="D197" s="10">
        <f>224442718*13901</f>
        <v>3119978222918</v>
      </c>
      <c r="E197" s="10">
        <f>32395945*13901</f>
        <v>450336031445</v>
      </c>
      <c r="F197" s="10">
        <f>346312450*13901</f>
        <v>4814089367450</v>
      </c>
      <c r="G197" s="10">
        <f>(I197-H197)*13901</f>
        <v>3.205303792044774E+16</v>
      </c>
      <c r="H197" s="10">
        <f>11149711*13901</f>
        <v>154992132611</v>
      </c>
      <c r="I197" s="10">
        <f>177023250*13901</f>
        <v>2460800198250</v>
      </c>
      <c r="J197" s="10">
        <f>169289200*13901</f>
        <v>2353289169200</v>
      </c>
      <c r="K197" s="8">
        <v>840000000</v>
      </c>
      <c r="L197" s="10">
        <f>461333111*13901</f>
        <v>6412991576011</v>
      </c>
      <c r="M197" s="10">
        <f>364810934*13901</f>
        <v>5071236793534</v>
      </c>
      <c r="N197" s="10">
        <f>(28314962+15621674+3812225)*13901</f>
        <v>663756916761</v>
      </c>
      <c r="O197" s="10">
        <f>37600177*13901</f>
        <v>522680060477</v>
      </c>
      <c r="P197" s="61">
        <f>30165579*13901</f>
        <v>419331713679</v>
      </c>
      <c r="Q197" s="51">
        <v>3470</v>
      </c>
      <c r="R197" s="51">
        <f t="shared" si="29"/>
        <v>9.733798807655789E-5</v>
      </c>
      <c r="S197" s="51">
        <f t="shared" si="30"/>
        <v>6.5861915585873163E-2</v>
      </c>
      <c r="T197" s="51">
        <f t="shared" si="2"/>
        <v>0.10857298661945304</v>
      </c>
      <c r="U197" s="51">
        <f t="shared" si="3"/>
        <v>0.22210617688547171</v>
      </c>
      <c r="V197" s="51">
        <f t="shared" si="4"/>
        <v>8.1503313123345272E-2</v>
      </c>
      <c r="W197" s="58">
        <f t="shared" si="37"/>
        <v>0.20922447294271926</v>
      </c>
      <c r="X197" s="51">
        <f t="shared" si="25"/>
        <v>0.14386294554652121</v>
      </c>
      <c r="Y197" s="58">
        <f t="shared" si="31"/>
        <v>0.80227226058004997</v>
      </c>
      <c r="Z197" s="74">
        <f t="shared" si="26"/>
        <v>5.5766428077243688</v>
      </c>
      <c r="AA197" s="74">
        <f t="shared" si="27"/>
        <v>1.2386068138795223</v>
      </c>
      <c r="AB197" s="52">
        <v>3</v>
      </c>
      <c r="AC197">
        <v>0</v>
      </c>
    </row>
    <row r="198" spans="1:29">
      <c r="A198" s="6">
        <v>2020</v>
      </c>
      <c r="B198" s="82" t="s">
        <v>272</v>
      </c>
      <c r="C198" s="7" t="s">
        <v>273</v>
      </c>
      <c r="D198" s="9">
        <f>214359738*14105</f>
        <v>3023544104490</v>
      </c>
      <c r="E198" s="10">
        <f>32253909*14105</f>
        <v>454941386445</v>
      </c>
      <c r="F198" s="10">
        <f>266022591*14105</f>
        <v>3752248646055</v>
      </c>
      <c r="G198" s="10">
        <f>(I198-H198)*14105</f>
        <v>1.5449805854385176E+16</v>
      </c>
      <c r="H198" s="10">
        <f>10039504*14105</f>
        <v>141607203920</v>
      </c>
      <c r="I198" s="10">
        <f>87695831*14105</f>
        <v>1236949696255</v>
      </c>
      <c r="J198" s="10">
        <f>178326760*14105</f>
        <v>2515298949800</v>
      </c>
      <c r="K198" s="8">
        <v>840000000</v>
      </c>
      <c r="L198" s="10">
        <f>424431271*14105</f>
        <v>5986603077455</v>
      </c>
      <c r="M198" s="10">
        <f>316530893*14105</f>
        <v>4464668245765</v>
      </c>
      <c r="N198" s="10">
        <f>(28766111+19868641+9990238)*14105</f>
        <v>826905483950</v>
      </c>
      <c r="O198" s="9">
        <f>38436806*14105</f>
        <v>542151148630</v>
      </c>
      <c r="P198" s="64">
        <f>30851443*14105</f>
        <v>435159603515</v>
      </c>
      <c r="Q198" s="51">
        <v>3290</v>
      </c>
      <c r="R198" s="51">
        <f t="shared" si="29"/>
        <v>1.9570110673150084E-4</v>
      </c>
      <c r="S198" s="51">
        <f t="shared" si="30"/>
        <v>5.6298359259148764E-2</v>
      </c>
      <c r="T198" s="51">
        <f t="shared" si="2"/>
        <v>0.14448699960222552</v>
      </c>
      <c r="U198" s="51">
        <f t="shared" si="3"/>
        <v>0.21554143640584283</v>
      </c>
      <c r="V198" s="51">
        <f t="shared" si="4"/>
        <v>9.056073062062385E-2</v>
      </c>
      <c r="W198" s="58">
        <f t="shared" si="37"/>
        <v>0.25422344057207791</v>
      </c>
      <c r="X198" s="51">
        <f t="shared" si="25"/>
        <v>0.15746113891843971</v>
      </c>
      <c r="Y198" s="58">
        <f t="shared" si="31"/>
        <v>0.80265365961989665</v>
      </c>
      <c r="Z198" s="74">
        <f t="shared" si="26"/>
        <v>5.0974714468161437</v>
      </c>
      <c r="AA198" s="74">
        <f t="shared" si="27"/>
        <v>1.0987163176845214</v>
      </c>
      <c r="AB198" s="52">
        <v>3</v>
      </c>
      <c r="AC198">
        <v>2</v>
      </c>
    </row>
    <row r="199" spans="1:29">
      <c r="A199" s="6">
        <v>2018</v>
      </c>
      <c r="B199" s="6" t="s">
        <v>274</v>
      </c>
      <c r="C199" s="7" t="s">
        <v>275</v>
      </c>
      <c r="D199" s="9">
        <v>2842640000000</v>
      </c>
      <c r="E199" s="10">
        <v>1901953000000</v>
      </c>
      <c r="F199" s="10">
        <v>6318441000000</v>
      </c>
      <c r="G199" s="10">
        <f t="shared" ref="G199:G360" si="38">I199-H199</f>
        <v>2987480000000</v>
      </c>
      <c r="H199" s="10">
        <v>1205919000000</v>
      </c>
      <c r="I199" s="10">
        <v>4193399000000</v>
      </c>
      <c r="J199" s="10">
        <v>2125042000000</v>
      </c>
      <c r="K199" s="8">
        <v>4800000000</v>
      </c>
      <c r="L199" s="10">
        <v>7076493000000</v>
      </c>
      <c r="M199" s="10">
        <v>5787390000000</v>
      </c>
      <c r="N199" s="10">
        <f>838800000000+57067000000</f>
        <v>895867000000</v>
      </c>
      <c r="O199" s="9">
        <v>233141000000</v>
      </c>
      <c r="P199" s="64">
        <v>45380000000</v>
      </c>
      <c r="Q199" s="51">
        <v>615</v>
      </c>
      <c r="R199" s="51">
        <f t="shared" si="29"/>
        <v>0.95151766706387997</v>
      </c>
      <c r="S199" s="51">
        <f t="shared" si="30"/>
        <v>0.56748007804081047</v>
      </c>
      <c r="T199" s="51">
        <f t="shared" si="2"/>
        <v>3.689850075358779E-2</v>
      </c>
      <c r="U199" s="51">
        <f t="shared" si="3"/>
        <v>0.10971124335424901</v>
      </c>
      <c r="V199" s="51">
        <f t="shared" si="4"/>
        <v>3.2945839132462927E-2</v>
      </c>
      <c r="W199" s="58">
        <f t="shared" si="37"/>
        <v>0.1821669292967576</v>
      </c>
      <c r="X199" s="51">
        <f t="shared" si="25"/>
        <v>1.5372628726287264E-2</v>
      </c>
      <c r="Y199" s="58">
        <f t="shared" si="31"/>
        <v>0.19464615833336907</v>
      </c>
      <c r="Z199" s="51">
        <f t="shared" si="26"/>
        <v>12.661865566331105</v>
      </c>
      <c r="AA199" s="51">
        <f t="shared" si="27"/>
        <v>1.3891490144665375</v>
      </c>
      <c r="AB199" s="52">
        <v>3</v>
      </c>
      <c r="AC199">
        <v>0</v>
      </c>
    </row>
    <row r="200" spans="1:29">
      <c r="A200" s="6">
        <v>2019</v>
      </c>
      <c r="B200" s="6" t="s">
        <v>274</v>
      </c>
      <c r="C200" s="7" t="s">
        <v>275</v>
      </c>
      <c r="D200" s="9">
        <v>2508089000000</v>
      </c>
      <c r="E200" s="10">
        <v>1880861000000</v>
      </c>
      <c r="F200" s="10">
        <v>5863204000000</v>
      </c>
      <c r="G200" s="10">
        <f t="shared" si="38"/>
        <v>2971594000000</v>
      </c>
      <c r="H200" s="10">
        <v>731430000000</v>
      </c>
      <c r="I200" s="10">
        <v>3703024000000</v>
      </c>
      <c r="J200" s="10">
        <v>2160180000000</v>
      </c>
      <c r="K200" s="8">
        <v>4800000000</v>
      </c>
      <c r="L200" s="10">
        <v>6534734000000</v>
      </c>
      <c r="M200" s="10">
        <v>5253452000000</v>
      </c>
      <c r="N200" s="10">
        <f>873976000000+5811000000</f>
        <v>879787000000</v>
      </c>
      <c r="O200" s="10">
        <v>225747000000</v>
      </c>
      <c r="P200" s="64">
        <v>61647000000</v>
      </c>
      <c r="Q200" s="51">
        <v>610</v>
      </c>
      <c r="R200" s="51">
        <f t="shared" si="29"/>
        <v>0.84402142419186466</v>
      </c>
      <c r="S200" s="51">
        <f t="shared" si="30"/>
        <v>0.33859678360136658</v>
      </c>
      <c r="T200" s="51">
        <f t="shared" si="2"/>
        <v>3.8502327396420115E-2</v>
      </c>
      <c r="U200" s="51">
        <f t="shared" si="3"/>
        <v>0.10450379135072077</v>
      </c>
      <c r="V200" s="51">
        <f t="shared" si="4"/>
        <v>3.4545706068525514E-2</v>
      </c>
      <c r="W200" s="58">
        <f t="shared" si="37"/>
        <v>0.19607255628155637</v>
      </c>
      <c r="X200" s="51">
        <f t="shared" si="25"/>
        <v>2.1054303278688527E-2</v>
      </c>
      <c r="Y200" s="58">
        <f t="shared" si="31"/>
        <v>0.27308004093077648</v>
      </c>
      <c r="Z200" s="51">
        <f t="shared" si="26"/>
        <v>12.970272030193092</v>
      </c>
      <c r="AA200" s="51">
        <f t="shared" si="27"/>
        <v>1.3554426020053885</v>
      </c>
      <c r="AB200" s="52">
        <v>3</v>
      </c>
      <c r="AC200">
        <v>0</v>
      </c>
    </row>
    <row r="201" spans="1:29">
      <c r="A201" s="6">
        <v>2020</v>
      </c>
      <c r="B201" s="6" t="s">
        <v>274</v>
      </c>
      <c r="C201" s="7" t="s">
        <v>275</v>
      </c>
      <c r="D201" s="9">
        <v>2138024000000</v>
      </c>
      <c r="E201" s="10">
        <v>1828809000000</v>
      </c>
      <c r="F201" s="10">
        <v>5524302000000</v>
      </c>
      <c r="G201" s="10">
        <f t="shared" si="38"/>
        <v>2189930000000</v>
      </c>
      <c r="H201" s="9">
        <v>1091250000000</v>
      </c>
      <c r="I201" s="10">
        <v>3281180000000</v>
      </c>
      <c r="J201" s="10">
        <v>2243122000000</v>
      </c>
      <c r="K201" s="8">
        <v>4800000000</v>
      </c>
      <c r="L201" s="10">
        <v>5592338000000</v>
      </c>
      <c r="M201" s="10">
        <v>4417520000000</v>
      </c>
      <c r="N201" s="10">
        <f>775644000000+87519000000</f>
        <v>863163000000</v>
      </c>
      <c r="O201" s="10">
        <v>118196000000</v>
      </c>
      <c r="P201" s="64">
        <v>53603000000</v>
      </c>
      <c r="Q201" s="51">
        <v>490</v>
      </c>
      <c r="R201" s="51">
        <f t="shared" si="29"/>
        <v>0.97629787253473854</v>
      </c>
      <c r="S201" s="51">
        <f t="shared" si="30"/>
        <v>0.48648713712406189</v>
      </c>
      <c r="T201" s="51">
        <f t="shared" si="2"/>
        <v>2.1395644191791109E-2</v>
      </c>
      <c r="U201" s="51">
        <f t="shared" si="3"/>
        <v>5.2692631074012022E-2</v>
      </c>
      <c r="V201" s="51">
        <f t="shared" si="4"/>
        <v>2.1135346254106957E-2</v>
      </c>
      <c r="W201" s="58">
        <f t="shared" si="37"/>
        <v>0.21007635804559738</v>
      </c>
      <c r="X201" s="51">
        <f t="shared" si="25"/>
        <v>2.2790391156462586E-2</v>
      </c>
      <c r="Y201" s="58">
        <f t="shared" si="31"/>
        <v>0.45350942502284342</v>
      </c>
      <c r="Z201" s="51">
        <f t="shared" si="26"/>
        <v>19.899150563470844</v>
      </c>
      <c r="AA201" s="51">
        <f t="shared" si="27"/>
        <v>1.0485385993271876</v>
      </c>
      <c r="AB201" s="52">
        <v>3</v>
      </c>
      <c r="AC201">
        <v>0</v>
      </c>
    </row>
    <row r="202" spans="1:29">
      <c r="A202" s="6">
        <v>2018</v>
      </c>
      <c r="B202" s="6" t="s">
        <v>276</v>
      </c>
      <c r="C202" s="7" t="s">
        <v>277</v>
      </c>
      <c r="D202" s="9">
        <v>426630096664</v>
      </c>
      <c r="E202" s="10">
        <v>396613573360</v>
      </c>
      <c r="F202" s="10">
        <v>928832007829</v>
      </c>
      <c r="G202" s="10">
        <f t="shared" si="38"/>
        <v>218195329431</v>
      </c>
      <c r="H202" s="10">
        <v>72924681977</v>
      </c>
      <c r="I202" s="10">
        <v>291120011408</v>
      </c>
      <c r="J202" s="10">
        <v>637711996421</v>
      </c>
      <c r="K202" s="8">
        <v>2000000000</v>
      </c>
      <c r="L202" s="10">
        <v>28935125276</v>
      </c>
      <c r="M202" s="10">
        <v>23917401115</v>
      </c>
      <c r="N202" s="10">
        <f>314144918983+1364477909</f>
        <v>315509396892</v>
      </c>
      <c r="O202" s="10">
        <v>32997196204</v>
      </c>
      <c r="P202" s="64">
        <v>5954230000</v>
      </c>
      <c r="Q202" s="51">
        <v>370</v>
      </c>
      <c r="R202" s="51">
        <f t="shared" si="29"/>
        <v>1.9552668600952496</v>
      </c>
      <c r="S202" s="51">
        <f t="shared" si="30"/>
        <v>0.11435363045743477</v>
      </c>
      <c r="T202" s="51">
        <f t="shared" si="2"/>
        <v>3.5525472772117102E-2</v>
      </c>
      <c r="U202" s="51">
        <f t="shared" si="3"/>
        <v>5.1743100943981858E-2</v>
      </c>
      <c r="V202" s="51">
        <f t="shared" si="4"/>
        <v>1.1403854619343656</v>
      </c>
      <c r="W202" s="58">
        <f t="shared" si="37"/>
        <v>0.17341290604889517</v>
      </c>
      <c r="X202" s="51">
        <f t="shared" si="25"/>
        <v>8.0462567567567561E-3</v>
      </c>
      <c r="Y202" s="58">
        <f t="shared" si="31"/>
        <v>0.18044654349384429</v>
      </c>
      <c r="Z202" s="51">
        <f t="shared" si="26"/>
        <v>22.426147828593251</v>
      </c>
      <c r="AA202" s="51">
        <f t="shared" si="27"/>
        <v>1.1603984308795601</v>
      </c>
      <c r="AB202" s="52">
        <v>3</v>
      </c>
      <c r="AC202">
        <v>0</v>
      </c>
    </row>
    <row r="203" spans="1:29">
      <c r="A203" s="6">
        <v>2019</v>
      </c>
      <c r="B203" s="6" t="s">
        <v>276</v>
      </c>
      <c r="C203" s="7" t="s">
        <v>277</v>
      </c>
      <c r="D203" s="9">
        <v>471241593838</v>
      </c>
      <c r="E203" s="10">
        <v>441663263719</v>
      </c>
      <c r="F203" s="10">
        <v>1044252437786</v>
      </c>
      <c r="G203" s="10">
        <f t="shared" si="38"/>
        <v>303796823069</v>
      </c>
      <c r="H203" s="10">
        <v>61600581292</v>
      </c>
      <c r="I203" s="10">
        <v>365397404361</v>
      </c>
      <c r="J203" s="10">
        <v>678855033425</v>
      </c>
      <c r="K203" s="8">
        <v>2000000000</v>
      </c>
      <c r="L203" s="10">
        <v>704897521423</v>
      </c>
      <c r="M203" s="10">
        <v>325702387052</v>
      </c>
      <c r="N203" s="10">
        <f>359462091901+4452173918</f>
        <v>363914265819</v>
      </c>
      <c r="O203" s="10">
        <v>34333566183</v>
      </c>
      <c r="P203" s="64">
        <v>5954230000</v>
      </c>
      <c r="Q203" s="51">
        <v>346</v>
      </c>
      <c r="R203" s="51">
        <f t="shared" si="29"/>
        <v>1.5511735411761334</v>
      </c>
      <c r="S203" s="51">
        <f t="shared" si="30"/>
        <v>9.074187898586987E-2</v>
      </c>
      <c r="T203" s="51">
        <f t="shared" si="2"/>
        <v>3.287860764375445E-2</v>
      </c>
      <c r="U203" s="51">
        <f t="shared" si="3"/>
        <v>5.0575696566287853E-2</v>
      </c>
      <c r="V203" s="51">
        <f t="shared" si="4"/>
        <v>4.8707173935992415E-2</v>
      </c>
      <c r="W203" s="58">
        <f t="shared" si="37"/>
        <v>0.53794363414061408</v>
      </c>
      <c r="X203" s="51">
        <f t="shared" si="25"/>
        <v>8.6043786127167621E-3</v>
      </c>
      <c r="Y203" s="58">
        <f t="shared" si="31"/>
        <v>0.17342299859745391</v>
      </c>
      <c r="Z203" s="51">
        <f t="shared" si="26"/>
        <v>20.155203112650685</v>
      </c>
      <c r="AA203" s="51">
        <f t="shared" si="27"/>
        <v>1.0193634368573217</v>
      </c>
      <c r="AB203" s="52">
        <v>3</v>
      </c>
      <c r="AC203">
        <v>2</v>
      </c>
    </row>
    <row r="204" spans="1:29">
      <c r="A204" s="6">
        <v>2020</v>
      </c>
      <c r="B204" s="6" t="s">
        <v>276</v>
      </c>
      <c r="C204" s="7" t="s">
        <v>277</v>
      </c>
      <c r="D204" s="9">
        <v>451410867230</v>
      </c>
      <c r="E204" s="10">
        <v>425497809009</v>
      </c>
      <c r="F204" s="10">
        <v>1000283894657</v>
      </c>
      <c r="G204" s="10">
        <f t="shared" si="38"/>
        <v>265301685348</v>
      </c>
      <c r="H204" s="10">
        <v>54270499572</v>
      </c>
      <c r="I204" s="10">
        <v>319572184920</v>
      </c>
      <c r="J204" s="10">
        <v>680711709737</v>
      </c>
      <c r="K204" s="8">
        <v>2000000000</v>
      </c>
      <c r="L204" s="10">
        <v>654285313569</v>
      </c>
      <c r="M204" s="10">
        <v>282419815086</v>
      </c>
      <c r="N204" s="10">
        <f>339163629799+26439740478</f>
        <v>365603370277</v>
      </c>
      <c r="O204" s="10">
        <v>2701416962</v>
      </c>
      <c r="P204" s="64">
        <v>2959520000</v>
      </c>
      <c r="Q204" s="51">
        <v>298</v>
      </c>
      <c r="R204" s="51">
        <f t="shared" si="29"/>
        <v>1.7015001869960906</v>
      </c>
      <c r="S204" s="51">
        <f t="shared" si="30"/>
        <v>7.9726114294358136E-2</v>
      </c>
      <c r="T204" s="51">
        <f t="shared" si="2"/>
        <v>2.7006502618202436E-3</v>
      </c>
      <c r="U204" s="51">
        <f t="shared" si="3"/>
        <v>3.9685184246995254E-3</v>
      </c>
      <c r="V204" s="51">
        <f t="shared" si="4"/>
        <v>4.128805745714041E-3</v>
      </c>
      <c r="W204" s="58">
        <f t="shared" si="37"/>
        <v>0.56835373004866263</v>
      </c>
      <c r="X204" s="51">
        <f t="shared" si="25"/>
        <v>4.9656375838926176E-3</v>
      </c>
      <c r="Y204" s="58">
        <f t="shared" si="31"/>
        <v>1.0955435764380901</v>
      </c>
      <c r="Z204" s="51">
        <f t="shared" si="26"/>
        <v>220.62495660009111</v>
      </c>
      <c r="AA204" s="51">
        <f t="shared" si="27"/>
        <v>0.87555420521599481</v>
      </c>
      <c r="AB204" s="52">
        <v>3</v>
      </c>
      <c r="AC204">
        <v>2</v>
      </c>
    </row>
    <row r="205" spans="1:29">
      <c r="A205" s="6">
        <v>2018</v>
      </c>
      <c r="B205" s="6" t="s">
        <v>278</v>
      </c>
      <c r="C205" s="7" t="s">
        <v>279</v>
      </c>
      <c r="D205" s="9">
        <v>1093923908933</v>
      </c>
      <c r="E205" s="10">
        <v>19895955091</v>
      </c>
      <c r="F205" s="10">
        <v>1192891220453</v>
      </c>
      <c r="G205" s="10">
        <f t="shared" si="38"/>
        <v>935926818869</v>
      </c>
      <c r="H205" s="10">
        <v>24856461000</v>
      </c>
      <c r="I205" s="10">
        <v>960783279869</v>
      </c>
      <c r="J205" s="10">
        <v>232107940584</v>
      </c>
      <c r="K205" s="8">
        <v>2184000000</v>
      </c>
      <c r="L205" s="9">
        <v>2376182739151</v>
      </c>
      <c r="M205" s="10">
        <v>2166026999864</v>
      </c>
      <c r="N205" s="10">
        <f>42305260589+102159744732+2830832908</f>
        <v>147295838229</v>
      </c>
      <c r="O205" s="10">
        <v>19444262069</v>
      </c>
      <c r="P205" s="64">
        <v>2548000000</v>
      </c>
      <c r="Q205" s="51">
        <v>95</v>
      </c>
      <c r="R205" s="51">
        <f t="shared" si="29"/>
        <v>1.1688135085763736</v>
      </c>
      <c r="S205" s="51">
        <f t="shared" si="30"/>
        <v>0.10709009324480406</v>
      </c>
      <c r="T205" s="51">
        <f t="shared" si="2"/>
        <v>1.6300113317638511E-2</v>
      </c>
      <c r="U205" s="51">
        <f t="shared" si="3"/>
        <v>8.3772498347436372E-2</v>
      </c>
      <c r="V205" s="51">
        <f t="shared" si="4"/>
        <v>8.1829826252956261E-3</v>
      </c>
      <c r="W205" s="58">
        <f t="shared" si="37"/>
        <v>8.8442583065849456E-2</v>
      </c>
      <c r="X205" s="51">
        <f t="shared" si="25"/>
        <v>1.2280701754385965E-2</v>
      </c>
      <c r="Y205" s="58">
        <f t="shared" si="31"/>
        <v>0.13104122907612309</v>
      </c>
      <c r="Z205" s="51">
        <f t="shared" si="26"/>
        <v>10.670500081912879</v>
      </c>
      <c r="AA205" s="51">
        <f t="shared" si="27"/>
        <v>0.89389445047836646</v>
      </c>
      <c r="AB205" s="52">
        <v>3</v>
      </c>
      <c r="AC205">
        <v>0</v>
      </c>
    </row>
    <row r="206" spans="1:29">
      <c r="A206" s="6">
        <v>2019</v>
      </c>
      <c r="B206" s="6" t="s">
        <v>278</v>
      </c>
      <c r="C206" s="7" t="s">
        <v>279</v>
      </c>
      <c r="D206" s="9">
        <v>1110540241160</v>
      </c>
      <c r="E206" s="10">
        <v>24821572603</v>
      </c>
      <c r="F206" s="10">
        <v>1230844175984</v>
      </c>
      <c r="G206" s="10">
        <f t="shared" si="38"/>
        <v>966343568608</v>
      </c>
      <c r="H206" s="10">
        <v>29062791000</v>
      </c>
      <c r="I206" s="10">
        <v>995406359608</v>
      </c>
      <c r="J206" s="10">
        <v>235437816376</v>
      </c>
      <c r="K206" s="8">
        <v>2184000000</v>
      </c>
      <c r="L206" s="10">
        <v>2726755413484</v>
      </c>
      <c r="M206" s="10">
        <v>2497998546107</v>
      </c>
      <c r="N206" s="10">
        <f>50968036953+113057481128+1343858926</f>
        <v>165369377007</v>
      </c>
      <c r="O206" s="10">
        <v>7880007292</v>
      </c>
      <c r="P206" s="64">
        <v>3822000000</v>
      </c>
      <c r="Q206" s="51">
        <v>95</v>
      </c>
      <c r="R206" s="51">
        <f t="shared" si="29"/>
        <v>1.1492188464188908</v>
      </c>
      <c r="S206" s="51">
        <f t="shared" si="30"/>
        <v>0.12344147362285253</v>
      </c>
      <c r="T206" s="51">
        <f t="shared" si="2"/>
        <v>6.4021160807787207E-3</v>
      </c>
      <c r="U206" s="51">
        <f t="shared" si="3"/>
        <v>3.3469590456171386E-2</v>
      </c>
      <c r="V206" s="51">
        <f t="shared" si="4"/>
        <v>2.8898841652730575E-3</v>
      </c>
      <c r="W206" s="58">
        <f t="shared" si="37"/>
        <v>8.3893431088751483E-2</v>
      </c>
      <c r="X206" s="51">
        <f t="shared" si="25"/>
        <v>1.8421052631578946E-2</v>
      </c>
      <c r="Y206" s="58">
        <f t="shared" si="31"/>
        <v>0.48502493187794377</v>
      </c>
      <c r="Z206" s="51">
        <f t="shared" si="26"/>
        <v>26.32992487337409</v>
      </c>
      <c r="AA206" s="51">
        <f t="shared" si="27"/>
        <v>0.8812518022535909</v>
      </c>
      <c r="AB206" s="52">
        <v>3</v>
      </c>
      <c r="AC206">
        <v>0</v>
      </c>
    </row>
    <row r="207" spans="1:29">
      <c r="A207" s="6">
        <v>2020</v>
      </c>
      <c r="B207" s="6" t="s">
        <v>278</v>
      </c>
      <c r="C207" s="7" t="s">
        <v>279</v>
      </c>
      <c r="D207" s="9">
        <v>1028893089973</v>
      </c>
      <c r="E207" s="10">
        <v>21788531959</v>
      </c>
      <c r="F207" s="10">
        <v>1164826486522</v>
      </c>
      <c r="G207" s="10">
        <f t="shared" si="38"/>
        <v>903258283864</v>
      </c>
      <c r="H207" s="10">
        <v>32371714072</v>
      </c>
      <c r="I207" s="10">
        <v>935629997936</v>
      </c>
      <c r="J207" s="10">
        <v>229196488586</v>
      </c>
      <c r="K207" s="8">
        <v>2184000000</v>
      </c>
      <c r="L207" s="10">
        <v>2643626505412</v>
      </c>
      <c r="M207" s="10">
        <v>2421934897535</v>
      </c>
      <c r="N207" s="10">
        <f>50801392553+113456884154+4661838637</f>
        <v>168920115344</v>
      </c>
      <c r="O207" s="9">
        <v>2804331066</v>
      </c>
      <c r="P207" s="64">
        <v>1274000000</v>
      </c>
      <c r="Q207" s="51">
        <v>104</v>
      </c>
      <c r="R207" s="51">
        <f t="shared" si="29"/>
        <v>1.139090676889841</v>
      </c>
      <c r="S207" s="51">
        <f t="shared" si="30"/>
        <v>0.14124000883134541</v>
      </c>
      <c r="T207" s="51">
        <f t="shared" si="2"/>
        <v>2.4075097007566497E-3</v>
      </c>
      <c r="U207" s="51">
        <f t="shared" si="3"/>
        <v>1.2235488786503585E-2</v>
      </c>
      <c r="V207" s="51">
        <f t="shared" si="4"/>
        <v>1.060789434611511E-3</v>
      </c>
      <c r="W207" s="58">
        <f t="shared" si="37"/>
        <v>8.3858898911459562E-2</v>
      </c>
      <c r="X207" s="51">
        <f t="shared" si="25"/>
        <v>5.608974358974359E-3</v>
      </c>
      <c r="Y207" s="58">
        <f t="shared" si="31"/>
        <v>0.45429728873530939</v>
      </c>
      <c r="Z207" s="51">
        <f t="shared" si="26"/>
        <v>80.994716620238023</v>
      </c>
      <c r="AA207" s="51">
        <f t="shared" si="27"/>
        <v>0.99100994697295797</v>
      </c>
      <c r="AB207" s="52">
        <v>3</v>
      </c>
      <c r="AC207">
        <v>0</v>
      </c>
    </row>
    <row r="208" spans="1:29">
      <c r="A208" s="6">
        <v>2018</v>
      </c>
      <c r="B208" s="6" t="s">
        <v>280</v>
      </c>
      <c r="C208" s="7" t="s">
        <v>281</v>
      </c>
      <c r="D208" s="9">
        <v>3293438978537</v>
      </c>
      <c r="E208" s="10">
        <v>94064002067</v>
      </c>
      <c r="F208" s="10">
        <v>3485510411961</v>
      </c>
      <c r="G208" s="10">
        <f t="shared" si="38"/>
        <v>1928698918596</v>
      </c>
      <c r="H208" s="9">
        <v>308958990481</v>
      </c>
      <c r="I208" s="10">
        <v>2237657909077</v>
      </c>
      <c r="J208" s="10">
        <v>1247852502884</v>
      </c>
      <c r="K208" s="8">
        <v>2000000000</v>
      </c>
      <c r="L208" s="10">
        <v>12940108219350</v>
      </c>
      <c r="M208" s="10">
        <v>11524839503101</v>
      </c>
      <c r="N208" s="10">
        <f>791086675772+190832440112</f>
        <v>981919115884</v>
      </c>
      <c r="O208" s="10">
        <v>318607055495</v>
      </c>
      <c r="P208" s="64">
        <v>146958840000</v>
      </c>
      <c r="Q208" s="51">
        <v>3350</v>
      </c>
      <c r="R208" s="51">
        <f t="shared" si="29"/>
        <v>1.7075962177313113</v>
      </c>
      <c r="S208" s="51">
        <f t="shared" si="30"/>
        <v>0.24759255582446088</v>
      </c>
      <c r="T208" s="51">
        <f t="shared" si="2"/>
        <v>9.140900982583694E-2</v>
      </c>
      <c r="U208" s="51">
        <f t="shared" si="3"/>
        <v>0.25532429093874859</v>
      </c>
      <c r="V208" s="51">
        <f t="shared" si="4"/>
        <v>2.4621668543588431E-2</v>
      </c>
      <c r="W208" s="58">
        <f t="shared" si="37"/>
        <v>0.10937070171736871</v>
      </c>
      <c r="X208" s="51">
        <f t="shared" si="25"/>
        <v>2.1934155223880598E-2</v>
      </c>
      <c r="Y208" s="58">
        <f t="shared" si="31"/>
        <v>0.46125419216369573</v>
      </c>
      <c r="Z208" s="51">
        <f t="shared" si="26"/>
        <v>21.029038385828041</v>
      </c>
      <c r="AA208" s="51">
        <f t="shared" si="27"/>
        <v>5.3692243149852708</v>
      </c>
      <c r="AB208" s="52">
        <v>3</v>
      </c>
      <c r="AC208">
        <v>0</v>
      </c>
    </row>
    <row r="209" spans="1:29">
      <c r="A209" s="6">
        <v>2019</v>
      </c>
      <c r="B209" s="6" t="s">
        <v>280</v>
      </c>
      <c r="C209" s="7" t="s">
        <v>281</v>
      </c>
      <c r="D209" s="9">
        <v>2761095717618</v>
      </c>
      <c r="E209" s="10">
        <v>86888676915</v>
      </c>
      <c r="F209" s="10">
        <v>2995872438975</v>
      </c>
      <c r="G209" s="10">
        <f t="shared" si="38"/>
        <v>1281093781950</v>
      </c>
      <c r="H209" s="9">
        <v>322779610313</v>
      </c>
      <c r="I209" s="10">
        <v>1603873392263</v>
      </c>
      <c r="J209" s="10">
        <v>1391999046712</v>
      </c>
      <c r="K209" s="8">
        <v>2000000000</v>
      </c>
      <c r="L209" s="10">
        <v>13372043554341</v>
      </c>
      <c r="M209" s="10">
        <v>11691107341759</v>
      </c>
      <c r="N209" s="10">
        <f>927876755512+212932735867</f>
        <v>1140809491379</v>
      </c>
      <c r="O209" s="10">
        <v>428418484105</v>
      </c>
      <c r="P209" s="64">
        <v>219519767250</v>
      </c>
      <c r="Q209" s="51">
        <v>4850</v>
      </c>
      <c r="R209" s="51">
        <f t="shared" si="29"/>
        <v>2.1552643190690026</v>
      </c>
      <c r="S209" s="51">
        <f t="shared" si="30"/>
        <v>0.2318820627610545</v>
      </c>
      <c r="T209" s="51">
        <f t="shared" si="2"/>
        <v>0.14300291245096469</v>
      </c>
      <c r="U209" s="51">
        <f t="shared" si="3"/>
        <v>0.30777211027331858</v>
      </c>
      <c r="V209" s="51">
        <f t="shared" si="4"/>
        <v>3.2038370378020598E-2</v>
      </c>
      <c r="W209" s="58">
        <f t="shared" si="37"/>
        <v>0.125705260063733</v>
      </c>
      <c r="X209" s="51">
        <f t="shared" si="25"/>
        <v>2.2630903840206187E-2</v>
      </c>
      <c r="Y209" s="58">
        <f t="shared" si="31"/>
        <v>0.51239564910135493</v>
      </c>
      <c r="Z209" s="51">
        <f t="shared" si="26"/>
        <v>22.641413384074838</v>
      </c>
      <c r="AA209" s="51">
        <f t="shared" si="27"/>
        <v>6.9683955767872714</v>
      </c>
      <c r="AB209" s="52">
        <v>3</v>
      </c>
      <c r="AC209">
        <v>0</v>
      </c>
    </row>
    <row r="210" spans="1:29">
      <c r="A210" s="6">
        <v>2020</v>
      </c>
      <c r="B210" s="6" t="s">
        <v>280</v>
      </c>
      <c r="C210" s="7" t="s">
        <v>281</v>
      </c>
      <c r="D210" s="9">
        <v>3067116650845</v>
      </c>
      <c r="E210" s="10">
        <v>75635303975</v>
      </c>
      <c r="F210" s="10">
        <v>3361956197960</v>
      </c>
      <c r="G210" s="10">
        <f t="shared" si="38"/>
        <v>1406291340510</v>
      </c>
      <c r="H210" s="10">
        <v>356992629183</v>
      </c>
      <c r="I210" s="10">
        <v>1763283969693</v>
      </c>
      <c r="J210" s="10">
        <v>1598672228267</v>
      </c>
      <c r="K210" s="8">
        <v>2000000000</v>
      </c>
      <c r="L210" s="10">
        <v>12488883541697</v>
      </c>
      <c r="M210" s="10">
        <v>10806684751704</v>
      </c>
      <c r="N210" s="10">
        <f>782823289521+242980385483</f>
        <v>1025803675004</v>
      </c>
      <c r="O210" s="10">
        <v>478561152411</v>
      </c>
      <c r="P210" s="64">
        <v>261770433750</v>
      </c>
      <c r="Q210" s="51">
        <v>7275</v>
      </c>
      <c r="R210" s="51">
        <f t="shared" si="29"/>
        <v>2.1809966132143654</v>
      </c>
      <c r="S210" s="51">
        <f t="shared" si="30"/>
        <v>0.22330570511629441</v>
      </c>
      <c r="T210" s="51">
        <f t="shared" si="2"/>
        <v>0.1423460402908836</v>
      </c>
      <c r="U210" s="51">
        <f t="shared" si="3"/>
        <v>0.29934913733365598</v>
      </c>
      <c r="V210" s="51">
        <f t="shared" si="4"/>
        <v>3.8318969891360896E-2</v>
      </c>
      <c r="W210" s="58">
        <f t="shared" si="37"/>
        <v>0.13469569032144418</v>
      </c>
      <c r="X210" s="51">
        <f t="shared" si="25"/>
        <v>1.7991095103092783E-2</v>
      </c>
      <c r="Y210" s="58">
        <f t="shared" si="31"/>
        <v>0.54699474128059844</v>
      </c>
      <c r="Z210" s="51">
        <f t="shared" si="26"/>
        <v>30.403637918992857</v>
      </c>
      <c r="AA210" s="51">
        <f t="shared" si="27"/>
        <v>9.1013027828553437</v>
      </c>
      <c r="AB210" s="52">
        <v>3</v>
      </c>
      <c r="AC210">
        <v>0</v>
      </c>
    </row>
    <row r="211" spans="1:29">
      <c r="A211" s="6">
        <v>2018</v>
      </c>
      <c r="B211" s="6" t="s">
        <v>282</v>
      </c>
      <c r="C211" s="7" t="s">
        <v>283</v>
      </c>
      <c r="D211" s="10">
        <v>333578357832</v>
      </c>
      <c r="E211" s="10">
        <v>48379981073</v>
      </c>
      <c r="F211" s="10">
        <v>386108236920</v>
      </c>
      <c r="G211" s="10">
        <f t="shared" si="38"/>
        <v>82000239837</v>
      </c>
      <c r="H211" s="9">
        <v>26423708521</v>
      </c>
      <c r="I211" s="10">
        <v>108423948358</v>
      </c>
      <c r="J211" s="10">
        <v>277684288562</v>
      </c>
      <c r="K211" s="8">
        <v>1800000000</v>
      </c>
      <c r="L211" s="10">
        <v>972305391346</v>
      </c>
      <c r="M211" s="10">
        <v>872653118697</v>
      </c>
      <c r="N211" s="10">
        <f>35555045193+98161336450</f>
        <v>133716381643</v>
      </c>
      <c r="O211" s="10">
        <v>-21172048346</v>
      </c>
      <c r="P211" s="64">
        <v>0</v>
      </c>
      <c r="Q211" s="51">
        <v>600</v>
      </c>
      <c r="R211" s="51">
        <f t="shared" si="29"/>
        <v>4.068016855744407</v>
      </c>
      <c r="S211" s="51">
        <f t="shared" si="30"/>
        <v>9.5157376954368961E-2</v>
      </c>
      <c r="T211" s="51">
        <f t="shared" si="2"/>
        <v>-5.4834490232299186E-2</v>
      </c>
      <c r="U211" s="51">
        <f t="shared" si="3"/>
        <v>-7.624503516436007E-2</v>
      </c>
      <c r="V211" s="51">
        <f t="shared" si="4"/>
        <v>-2.1775101253620237E-2</v>
      </c>
      <c r="W211" s="58">
        <f t="shared" si="37"/>
        <v>0.10249071283153897</v>
      </c>
      <c r="X211" s="51">
        <f t="shared" si="25"/>
        <v>0</v>
      </c>
      <c r="Y211" s="58">
        <f t="shared" si="31"/>
        <v>0</v>
      </c>
      <c r="Z211" s="51">
        <f t="shared" si="26"/>
        <v>-51.010652457915938</v>
      </c>
      <c r="AA211" s="51">
        <f t="shared" si="27"/>
        <v>3.8893089904107518</v>
      </c>
      <c r="AB211" s="52">
        <v>3</v>
      </c>
      <c r="AC211">
        <v>0</v>
      </c>
    </row>
    <row r="212" spans="1:29">
      <c r="A212" s="6">
        <v>2019</v>
      </c>
      <c r="B212" s="6" t="s">
        <v>282</v>
      </c>
      <c r="C212" s="7" t="s">
        <v>283</v>
      </c>
      <c r="D212" s="10">
        <v>643568004520</v>
      </c>
      <c r="E212" s="10">
        <v>47881444521</v>
      </c>
      <c r="F212" s="10">
        <v>695853450844</v>
      </c>
      <c r="G212" s="10">
        <f t="shared" si="38"/>
        <v>421129759476</v>
      </c>
      <c r="H212" s="9">
        <v>27188829231</v>
      </c>
      <c r="I212" s="9">
        <v>448318588707</v>
      </c>
      <c r="J212" s="10">
        <v>247534862137</v>
      </c>
      <c r="K212" s="8">
        <v>1800000000</v>
      </c>
      <c r="L212" s="10">
        <v>1855354419901</v>
      </c>
      <c r="M212" s="10">
        <v>1693554680390</v>
      </c>
      <c r="N212" s="10">
        <f>49620223178+151316722585</f>
        <v>200936945763</v>
      </c>
      <c r="O212" s="10">
        <v>-27568919425</v>
      </c>
      <c r="P212" s="64">
        <v>0</v>
      </c>
      <c r="Q212" s="51">
        <v>535</v>
      </c>
      <c r="R212" s="51">
        <f t="shared" si="29"/>
        <v>1.5281940780456211</v>
      </c>
      <c r="S212" s="51">
        <f t="shared" si="30"/>
        <v>0.10983838396044651</v>
      </c>
      <c r="T212" s="51">
        <f t="shared" si="2"/>
        <v>-3.9618858527699592E-2</v>
      </c>
      <c r="U212" s="51">
        <f t="shared" si="3"/>
        <v>-0.11137388562966043</v>
      </c>
      <c r="V212" s="51">
        <f t="shared" si="4"/>
        <v>-1.4859112161692025E-2</v>
      </c>
      <c r="W212" s="58">
        <f t="shared" si="37"/>
        <v>8.7206917328298647E-2</v>
      </c>
      <c r="X212" s="51">
        <f t="shared" si="25"/>
        <v>0</v>
      </c>
      <c r="Y212" s="58">
        <f t="shared" si="31"/>
        <v>0</v>
      </c>
      <c r="Z212" s="51">
        <f t="shared" si="26"/>
        <v>-34.930640013650084</v>
      </c>
      <c r="AA212" s="51">
        <f t="shared" si="27"/>
        <v>3.8903611058511043</v>
      </c>
      <c r="AB212" s="52">
        <v>3</v>
      </c>
      <c r="AC212">
        <v>0</v>
      </c>
    </row>
    <row r="213" spans="1:29">
      <c r="A213" s="6">
        <v>2020</v>
      </c>
      <c r="B213" s="6" t="s">
        <v>282</v>
      </c>
      <c r="C213" s="7" t="s">
        <v>283</v>
      </c>
      <c r="D213" s="10">
        <v>594790929582</v>
      </c>
      <c r="E213" s="10">
        <v>61258028492</v>
      </c>
      <c r="F213" s="9">
        <v>677619067915</v>
      </c>
      <c r="G213" s="10">
        <f t="shared" si="38"/>
        <v>446454025409</v>
      </c>
      <c r="H213" s="9">
        <v>22494563659</v>
      </c>
      <c r="I213" s="10">
        <v>468948589068</v>
      </c>
      <c r="J213" s="9">
        <v>208670478847</v>
      </c>
      <c r="K213" s="8">
        <v>1800000000</v>
      </c>
      <c r="L213" s="10">
        <v>3097194461934</v>
      </c>
      <c r="M213" s="10">
        <v>2842951459588</v>
      </c>
      <c r="N213" s="10">
        <f>85221384316+226404617260</f>
        <v>311626001576</v>
      </c>
      <c r="O213" s="10">
        <v>-41008773290</v>
      </c>
      <c r="P213" s="64">
        <v>0</v>
      </c>
      <c r="Q213" s="51">
        <v>446</v>
      </c>
      <c r="R213" s="51">
        <f t="shared" si="29"/>
        <v>1.3322557211509234</v>
      </c>
      <c r="S213" s="51">
        <f t="shared" si="30"/>
        <v>0.10779945387240576</v>
      </c>
      <c r="T213" s="51">
        <f t="shared" si="2"/>
        <v>-6.0518918713698459E-2</v>
      </c>
      <c r="U213" s="51">
        <f t="shared" si="3"/>
        <v>-0.19652407717944703</v>
      </c>
      <c r="V213" s="51">
        <f t="shared" si="4"/>
        <v>-1.3240619468366426E-2</v>
      </c>
      <c r="W213" s="58">
        <f t="shared" si="37"/>
        <v>8.2088162519586033E-2</v>
      </c>
      <c r="X213" s="51">
        <f t="shared" si="25"/>
        <v>0</v>
      </c>
      <c r="Y213" s="58">
        <f t="shared" si="31"/>
        <v>0</v>
      </c>
      <c r="Z213" s="51">
        <f t="shared" si="26"/>
        <v>-19.57629881593564</v>
      </c>
      <c r="AA213" s="51">
        <f t="shared" si="27"/>
        <v>3.8472140593908533</v>
      </c>
      <c r="AB213" s="52">
        <v>3</v>
      </c>
      <c r="AC213">
        <v>0</v>
      </c>
    </row>
    <row r="214" spans="1:29">
      <c r="A214" s="6">
        <v>2018</v>
      </c>
      <c r="B214" s="6" t="s">
        <v>284</v>
      </c>
      <c r="C214" s="7" t="s">
        <v>285</v>
      </c>
      <c r="D214" s="10">
        <v>3906136917474</v>
      </c>
      <c r="E214" s="10">
        <v>413836506054</v>
      </c>
      <c r="F214" s="10">
        <v>5857570698119</v>
      </c>
      <c r="G214" s="10">
        <f t="shared" si="38"/>
        <v>778853385563</v>
      </c>
      <c r="H214" s="10">
        <v>896465230114</v>
      </c>
      <c r="I214" s="10">
        <v>1675318615677</v>
      </c>
      <c r="J214" s="10">
        <v>4182252082442</v>
      </c>
      <c r="K214" s="8">
        <v>48000000000</v>
      </c>
      <c r="L214" s="10">
        <v>7239754268263</v>
      </c>
      <c r="M214" s="10">
        <v>3796596070656</v>
      </c>
      <c r="N214" s="10">
        <f>2370738606721+1280358948</f>
        <v>2372018965669</v>
      </c>
      <c r="O214" s="10">
        <v>1044485235597</v>
      </c>
      <c r="P214" s="64">
        <v>389343686991</v>
      </c>
      <c r="Q214" s="51">
        <v>1490</v>
      </c>
      <c r="R214" s="51">
        <f t="shared" si="29"/>
        <v>5.0152403390407292</v>
      </c>
      <c r="S214" s="51">
        <f t="shared" si="30"/>
        <v>0.21434987954876158</v>
      </c>
      <c r="T214" s="51">
        <f t="shared" si="2"/>
        <v>0.17831372243315954</v>
      </c>
      <c r="U214" s="51">
        <f t="shared" si="3"/>
        <v>0.24974229554023661</v>
      </c>
      <c r="V214" s="51">
        <f t="shared" si="4"/>
        <v>0.14427081319261384</v>
      </c>
      <c r="W214" s="58">
        <f t="shared" si="37"/>
        <v>0.47559047863002962</v>
      </c>
      <c r="X214" s="51">
        <f t="shared" si="25"/>
        <v>5.4438434981963083E-3</v>
      </c>
      <c r="Y214" s="58">
        <f t="shared" si="31"/>
        <v>0.37276131219649217</v>
      </c>
      <c r="Z214" s="51">
        <f t="shared" si="26"/>
        <v>68.473921471107317</v>
      </c>
      <c r="AA214" s="51">
        <f t="shared" si="27"/>
        <v>17.100834332836236</v>
      </c>
      <c r="AB214" s="52">
        <v>3</v>
      </c>
      <c r="AC214">
        <v>2</v>
      </c>
    </row>
    <row r="215" spans="1:29">
      <c r="A215" s="6">
        <v>2019</v>
      </c>
      <c r="B215" s="6" t="s">
        <v>284</v>
      </c>
      <c r="C215" s="7" t="s">
        <v>285</v>
      </c>
      <c r="D215" s="10">
        <v>4369550647718</v>
      </c>
      <c r="E215" s="10">
        <v>471979028144</v>
      </c>
      <c r="F215" s="10">
        <v>6641808005145</v>
      </c>
      <c r="G215" s="10">
        <f t="shared" si="38"/>
        <v>783375432849</v>
      </c>
      <c r="H215" s="10">
        <v>1182131278030</v>
      </c>
      <c r="I215" s="10">
        <v>1965506710879</v>
      </c>
      <c r="J215" s="10">
        <v>4676301294266</v>
      </c>
      <c r="K215" s="8">
        <v>48000000000</v>
      </c>
      <c r="L215" s="10">
        <v>8142717045655</v>
      </c>
      <c r="M215" s="10">
        <v>4255626726811</v>
      </c>
      <c r="N215" s="10">
        <f>2724515688299+17528968515</f>
        <v>2742044656814</v>
      </c>
      <c r="O215" s="10">
        <v>990585488760</v>
      </c>
      <c r="P215" s="64">
        <v>483562258825</v>
      </c>
      <c r="Q215" s="51">
        <v>1495</v>
      </c>
      <c r="R215" s="51">
        <f t="shared" si="29"/>
        <v>5.5778499867256564</v>
      </c>
      <c r="S215" s="51">
        <f t="shared" si="30"/>
        <v>0.25279194039090447</v>
      </c>
      <c r="T215" s="51">
        <f t="shared" si="2"/>
        <v>0.14914395116399848</v>
      </c>
      <c r="U215" s="51">
        <f t="shared" si="3"/>
        <v>0.21183098060311872</v>
      </c>
      <c r="V215" s="51">
        <f t="shared" si="4"/>
        <v>0.12165294252593267</v>
      </c>
      <c r="W215" s="58">
        <f t="shared" si="37"/>
        <v>0.47737018209642607</v>
      </c>
      <c r="X215" s="51">
        <f t="shared" si="25"/>
        <v>6.7386044986761425E-3</v>
      </c>
      <c r="Y215" s="58">
        <f t="shared" si="31"/>
        <v>0.48815802806713426</v>
      </c>
      <c r="Z215" s="51">
        <f t="shared" si="26"/>
        <v>72.442006080492959</v>
      </c>
      <c r="AA215" s="51">
        <f t="shared" si="27"/>
        <v>15.34546118488791</v>
      </c>
      <c r="AB215" s="52">
        <v>3</v>
      </c>
      <c r="AC215">
        <v>2</v>
      </c>
    </row>
    <row r="216" spans="1:29">
      <c r="A216" s="6">
        <v>2020</v>
      </c>
      <c r="B216" s="6" t="s">
        <v>284</v>
      </c>
      <c r="C216" s="7" t="s">
        <v>285</v>
      </c>
      <c r="D216" s="10">
        <v>5034737166320</v>
      </c>
      <c r="E216" s="10">
        <v>511639035778</v>
      </c>
      <c r="F216" s="10">
        <v>7247063894294</v>
      </c>
      <c r="G216" s="10">
        <f t="shared" si="38"/>
        <v>844928054206</v>
      </c>
      <c r="H216" s="10">
        <v>1179893285690</v>
      </c>
      <c r="I216" s="10">
        <v>2024821339896</v>
      </c>
      <c r="J216" s="10">
        <v>5222242554398</v>
      </c>
      <c r="K216" s="8">
        <v>48000000000</v>
      </c>
      <c r="L216" s="10">
        <v>7412766872302</v>
      </c>
      <c r="M216" s="10">
        <v>3753585066580</v>
      </c>
      <c r="N216" s="9">
        <f>2806097154344+5423065820</f>
        <v>2811520220164</v>
      </c>
      <c r="O216" s="10">
        <v>833806976851</v>
      </c>
      <c r="P216" s="64">
        <v>309286244180</v>
      </c>
      <c r="Q216" s="51">
        <v>1715</v>
      </c>
      <c r="R216" s="51">
        <f t="shared" si="29"/>
        <v>5.9587761836731392</v>
      </c>
      <c r="S216" s="51">
        <f t="shared" si="30"/>
        <v>0.22593613249471395</v>
      </c>
      <c r="T216" s="51">
        <f t="shared" si="2"/>
        <v>0.11505445363983899</v>
      </c>
      <c r="U216" s="51">
        <f t="shared" si="3"/>
        <v>0.15966454414278314</v>
      </c>
      <c r="V216" s="51">
        <f t="shared" si="4"/>
        <v>0.11248255762184318</v>
      </c>
      <c r="W216" s="58">
        <f t="shared" si="37"/>
        <v>0.49363238703683371</v>
      </c>
      <c r="X216" s="51">
        <f t="shared" si="25"/>
        <v>3.757121527939747E-3</v>
      </c>
      <c r="Y216" s="58">
        <f t="shared" si="31"/>
        <v>0.37093266519316853</v>
      </c>
      <c r="Z216" s="51">
        <f t="shared" si="26"/>
        <v>98.727885812246512</v>
      </c>
      <c r="AA216" s="51">
        <f t="shared" si="27"/>
        <v>15.763342882393085</v>
      </c>
      <c r="AB216" s="52">
        <v>3</v>
      </c>
      <c r="AC216">
        <v>2</v>
      </c>
    </row>
    <row r="217" spans="1:29">
      <c r="A217" s="6">
        <v>2018</v>
      </c>
      <c r="B217" s="6" t="s">
        <v>288</v>
      </c>
      <c r="C217" s="7" t="s">
        <v>289</v>
      </c>
      <c r="D217" s="9">
        <v>940154000000</v>
      </c>
      <c r="E217" s="10">
        <v>2601811000000</v>
      </c>
      <c r="F217" s="10">
        <v>5207342000000</v>
      </c>
      <c r="G217" s="10">
        <f t="shared" si="38"/>
        <v>778970000000</v>
      </c>
      <c r="H217" s="10">
        <v>1389948000000</v>
      </c>
      <c r="I217" s="10">
        <v>2168918000000</v>
      </c>
      <c r="J217" s="10">
        <v>3038424000000</v>
      </c>
      <c r="K217" s="8">
        <v>35000000000</v>
      </c>
      <c r="L217" s="10">
        <v>801161000000</v>
      </c>
      <c r="M217" s="10">
        <v>398416000000</v>
      </c>
      <c r="N217" s="9">
        <f>216629000000+168708000000</f>
        <v>385337000000</v>
      </c>
      <c r="O217" s="10">
        <v>35637000000</v>
      </c>
      <c r="P217" s="64">
        <v>0</v>
      </c>
      <c r="Q217" s="51">
        <v>86</v>
      </c>
      <c r="R217" s="51">
        <f t="shared" si="29"/>
        <v>1.2069193935581601</v>
      </c>
      <c r="S217" s="51">
        <f t="shared" si="30"/>
        <v>0.4574568921256546</v>
      </c>
      <c r="T217" s="51">
        <f t="shared" si="2"/>
        <v>6.8436065847029062E-3</v>
      </c>
      <c r="U217" s="51">
        <f t="shared" si="3"/>
        <v>1.1728777813761344E-2</v>
      </c>
      <c r="V217" s="51">
        <f t="shared" si="4"/>
        <v>4.4481695938768863E-2</v>
      </c>
      <c r="W217" s="58">
        <f t="shared" si="37"/>
        <v>0.50270170415184967</v>
      </c>
      <c r="X217" s="51">
        <f t="shared" si="25"/>
        <v>0</v>
      </c>
      <c r="Y217" s="58">
        <f t="shared" si="31"/>
        <v>0</v>
      </c>
      <c r="Z217" s="51">
        <f t="shared" si="26"/>
        <v>84.462777450402669</v>
      </c>
      <c r="AA217" s="51">
        <f t="shared" si="27"/>
        <v>0.99064515024894484</v>
      </c>
      <c r="AB217" s="52">
        <v>3</v>
      </c>
      <c r="AC217">
        <v>2</v>
      </c>
    </row>
    <row r="218" spans="1:29">
      <c r="A218" s="6">
        <v>2019</v>
      </c>
      <c r="B218" s="6" t="s">
        <v>288</v>
      </c>
      <c r="C218" s="7" t="s">
        <v>289</v>
      </c>
      <c r="D218" s="9">
        <v>1285023000000</v>
      </c>
      <c r="E218" s="10">
        <v>2896487000000</v>
      </c>
      <c r="F218" s="10">
        <v>5729085000000</v>
      </c>
      <c r="G218" s="10">
        <f t="shared" si="38"/>
        <v>1255977000000</v>
      </c>
      <c r="H218" s="10">
        <v>1458216000000</v>
      </c>
      <c r="I218" s="10">
        <v>2714193000000</v>
      </c>
      <c r="J218" s="10">
        <v>3014892000000</v>
      </c>
      <c r="K218" s="8">
        <v>35000000000</v>
      </c>
      <c r="L218" s="10">
        <v>831777000000</v>
      </c>
      <c r="M218" s="10">
        <v>400255000000</v>
      </c>
      <c r="N218" s="9">
        <f>153353000000+230643000000</f>
        <v>383996000000</v>
      </c>
      <c r="O218" s="10">
        <v>8912000000</v>
      </c>
      <c r="P218" s="64">
        <v>0</v>
      </c>
      <c r="Q218" s="51">
        <v>73</v>
      </c>
      <c r="R218" s="51">
        <f t="shared" si="29"/>
        <v>1.0231262196680353</v>
      </c>
      <c r="S218" s="51">
        <f t="shared" si="30"/>
        <v>0.48367105687367906</v>
      </c>
      <c r="T218" s="51">
        <f t="shared" si="2"/>
        <v>1.5555712648703938E-3</v>
      </c>
      <c r="U218" s="51">
        <f t="shared" si="3"/>
        <v>2.9559931168346991E-3</v>
      </c>
      <c r="V218" s="51">
        <f t="shared" si="4"/>
        <v>1.0714410232550311E-2</v>
      </c>
      <c r="W218" s="58">
        <f t="shared" si="37"/>
        <v>0.51879530210621361</v>
      </c>
      <c r="X218" s="51">
        <f t="shared" si="25"/>
        <v>0</v>
      </c>
      <c r="Y218" s="58">
        <f t="shared" si="31"/>
        <v>0</v>
      </c>
      <c r="Z218" s="51">
        <f t="shared" si="26"/>
        <v>286.69210053859962</v>
      </c>
      <c r="AA218" s="51">
        <f t="shared" si="27"/>
        <v>0.84745987584298221</v>
      </c>
      <c r="AB218" s="52">
        <v>3</v>
      </c>
      <c r="AC218">
        <v>2</v>
      </c>
    </row>
    <row r="219" spans="1:29">
      <c r="A219" s="6">
        <v>2020</v>
      </c>
      <c r="B219" s="6" t="s">
        <v>288</v>
      </c>
      <c r="C219" s="7" t="s">
        <v>289</v>
      </c>
      <c r="D219" s="9">
        <v>1116644000000</v>
      </c>
      <c r="E219" s="10">
        <v>4540432000000</v>
      </c>
      <c r="F219" s="10">
        <v>7629153000000</v>
      </c>
      <c r="G219" s="10">
        <f t="shared" si="38"/>
        <v>4983388000000</v>
      </c>
      <c r="H219" s="10">
        <v>174026000000</v>
      </c>
      <c r="I219" s="9">
        <v>5157414000000</v>
      </c>
      <c r="J219" s="10">
        <v>2471739000000</v>
      </c>
      <c r="K219" s="8">
        <v>35000000000</v>
      </c>
      <c r="L219" s="10">
        <v>1096044000000</v>
      </c>
      <c r="M219" s="10">
        <v>518577000000</v>
      </c>
      <c r="N219" s="9">
        <f>512197000000+495354000000</f>
        <v>1007551000000</v>
      </c>
      <c r="O219" s="10">
        <v>-509181000000</v>
      </c>
      <c r="P219" s="64">
        <v>0</v>
      </c>
      <c r="Q219" s="51">
        <v>142</v>
      </c>
      <c r="R219" s="51">
        <f t="shared" si="29"/>
        <v>0.22407326100235422</v>
      </c>
      <c r="S219" s="51">
        <f t="shared" si="30"/>
        <v>7.0406300988898912E-2</v>
      </c>
      <c r="T219" s="51">
        <f t="shared" si="2"/>
        <v>-6.6741484932862138E-2</v>
      </c>
      <c r="U219" s="51">
        <f t="shared" si="3"/>
        <v>-0.20600111905019097</v>
      </c>
      <c r="V219" s="51">
        <f t="shared" si="4"/>
        <v>-0.46456255405804875</v>
      </c>
      <c r="W219" s="58">
        <f t="shared" si="37"/>
        <v>0.52686479739864456</v>
      </c>
      <c r="X219" s="51">
        <f t="shared" si="25"/>
        <v>0</v>
      </c>
      <c r="Y219" s="58">
        <f t="shared" si="31"/>
        <v>0</v>
      </c>
      <c r="Z219" s="51">
        <f t="shared" si="26"/>
        <v>-9.760772691832571</v>
      </c>
      <c r="AA219" s="51">
        <f t="shared" si="27"/>
        <v>2.0107300973120545</v>
      </c>
      <c r="AB219" s="52">
        <v>3</v>
      </c>
      <c r="AC219">
        <v>2</v>
      </c>
    </row>
    <row r="220" spans="1:29">
      <c r="A220" s="6">
        <v>2018</v>
      </c>
      <c r="B220" s="6" t="s">
        <v>290</v>
      </c>
      <c r="C220" s="7" t="s">
        <v>291</v>
      </c>
      <c r="D220" s="9">
        <v>752676010865</v>
      </c>
      <c r="E220" s="10">
        <v>595947250015</v>
      </c>
      <c r="F220" s="10">
        <v>1751622687179</v>
      </c>
      <c r="G220" s="10">
        <f t="shared" si="38"/>
        <v>353191107837</v>
      </c>
      <c r="H220" s="10">
        <v>51884263504</v>
      </c>
      <c r="I220" s="10">
        <v>405075371341</v>
      </c>
      <c r="J220" s="10">
        <v>1346547315838</v>
      </c>
      <c r="K220" s="8">
        <v>1334333000</v>
      </c>
      <c r="L220" s="10">
        <v>2003208506432</v>
      </c>
      <c r="M220" s="10">
        <v>1680758856692</v>
      </c>
      <c r="N220" s="9">
        <v>311685274501</v>
      </c>
      <c r="O220" s="10">
        <v>9325792298</v>
      </c>
      <c r="P220" s="64">
        <v>0</v>
      </c>
      <c r="Q220" s="51">
        <v>1130</v>
      </c>
      <c r="R220" s="51">
        <f t="shared" si="29"/>
        <v>2.1310729352007494</v>
      </c>
      <c r="S220" s="51">
        <f t="shared" si="30"/>
        <v>3.8531333354380304E-2</v>
      </c>
      <c r="T220" s="51">
        <f t="shared" si="2"/>
        <v>5.3240874112102593E-3</v>
      </c>
      <c r="U220" s="51">
        <f t="shared" si="3"/>
        <v>6.925707094218414E-3</v>
      </c>
      <c r="V220" s="51">
        <f t="shared" si="4"/>
        <v>4.6554276641978549E-3</v>
      </c>
      <c r="W220" s="58">
        <f t="shared" si="37"/>
        <v>0.1609665936943972</v>
      </c>
      <c r="X220" s="51">
        <f t="shared" si="25"/>
        <v>0</v>
      </c>
      <c r="Y220" s="58">
        <f t="shared" si="31"/>
        <v>0</v>
      </c>
      <c r="Z220" s="51">
        <f t="shared" si="26"/>
        <v>161.6802349676349</v>
      </c>
      <c r="AA220" s="51">
        <f t="shared" si="27"/>
        <v>1.1197499503102493</v>
      </c>
      <c r="AB220" s="52">
        <v>3</v>
      </c>
      <c r="AC220">
        <v>0</v>
      </c>
    </row>
    <row r="221" spans="1:29">
      <c r="A221" s="6">
        <v>2019</v>
      </c>
      <c r="B221" s="6" t="s">
        <v>290</v>
      </c>
      <c r="C221" s="7" t="s">
        <v>291</v>
      </c>
      <c r="D221" s="9">
        <v>831937034323</v>
      </c>
      <c r="E221" s="10">
        <v>635301490253</v>
      </c>
      <c r="F221" s="10">
        <v>1845324374750</v>
      </c>
      <c r="G221" s="10">
        <f t="shared" si="38"/>
        <v>399844207730</v>
      </c>
      <c r="H221" s="10">
        <v>65484325206</v>
      </c>
      <c r="I221" s="10">
        <v>465328532936</v>
      </c>
      <c r="J221" s="10">
        <v>1379995841814</v>
      </c>
      <c r="K221" s="8">
        <v>1334333000</v>
      </c>
      <c r="L221" s="10">
        <v>1978631967708</v>
      </c>
      <c r="M221" s="10">
        <v>1631941216390</v>
      </c>
      <c r="N221" s="9">
        <v>336739921456</v>
      </c>
      <c r="O221" s="10">
        <v>33269247689</v>
      </c>
      <c r="P221" s="64">
        <v>0</v>
      </c>
      <c r="Q221" s="51">
        <v>1010</v>
      </c>
      <c r="R221" s="51">
        <f t="shared" si="29"/>
        <v>2.0806529599267729</v>
      </c>
      <c r="S221" s="51">
        <f t="shared" si="30"/>
        <v>4.7452552552564989E-2</v>
      </c>
      <c r="T221" s="51">
        <f t="shared" si="2"/>
        <v>1.8028942848331061E-2</v>
      </c>
      <c r="U221" s="51">
        <f t="shared" si="3"/>
        <v>2.4108223141649242E-2</v>
      </c>
      <c r="V221" s="51">
        <f t="shared" si="4"/>
        <v>1.6814267752652507E-2</v>
      </c>
      <c r="W221" s="58">
        <f t="shared" si="37"/>
        <v>0.17521740120250776</v>
      </c>
      <c r="X221" s="51">
        <f t="shared" si="25"/>
        <v>0</v>
      </c>
      <c r="Y221" s="58">
        <f t="shared" si="31"/>
        <v>0</v>
      </c>
      <c r="Z221" s="51">
        <f t="shared" si="26"/>
        <v>40.508169664611621</v>
      </c>
      <c r="AA221" s="51">
        <f t="shared" si="27"/>
        <v>0.97657999333424361</v>
      </c>
      <c r="AB221" s="52">
        <v>3</v>
      </c>
      <c r="AC221">
        <v>0</v>
      </c>
    </row>
    <row r="222" spans="1:29">
      <c r="A222" s="6">
        <v>2020</v>
      </c>
      <c r="B222" s="6" t="s">
        <v>290</v>
      </c>
      <c r="C222" s="7" t="s">
        <v>291</v>
      </c>
      <c r="D222" s="9">
        <v>953327437749</v>
      </c>
      <c r="E222" s="10">
        <v>649791168201</v>
      </c>
      <c r="F222" s="10">
        <v>1730596456562</v>
      </c>
      <c r="G222" s="10">
        <f t="shared" si="38"/>
        <v>397514035472</v>
      </c>
      <c r="H222" s="10">
        <v>80268968169</v>
      </c>
      <c r="I222" s="10">
        <v>477783003641</v>
      </c>
      <c r="J222" s="10">
        <v>1252813452921</v>
      </c>
      <c r="K222" s="8">
        <v>1334333000</v>
      </c>
      <c r="L222" s="10">
        <v>1618490505399</v>
      </c>
      <c r="M222" s="10">
        <v>1340438220353</v>
      </c>
      <c r="N222" s="9">
        <f>307355207331+3439979352+725615310</f>
        <v>311520801993</v>
      </c>
      <c r="O222" s="10">
        <v>-20502166781</v>
      </c>
      <c r="P222" s="64">
        <v>0</v>
      </c>
      <c r="Q222" s="51">
        <v>655</v>
      </c>
      <c r="R222" s="51">
        <f t="shared" si="29"/>
        <v>2.3982233397546291</v>
      </c>
      <c r="S222" s="51">
        <f t="shared" si="30"/>
        <v>6.4070966018004286E-2</v>
      </c>
      <c r="T222" s="51">
        <f t="shared" si="2"/>
        <v>-1.1846878978204757E-2</v>
      </c>
      <c r="U222" s="51">
        <f t="shared" si="3"/>
        <v>-1.6364899924404649E-2</v>
      </c>
      <c r="V222" s="51">
        <f t="shared" si="4"/>
        <v>-1.2667461880442531E-2</v>
      </c>
      <c r="W222" s="58">
        <f t="shared" si="37"/>
        <v>0.17179729143820519</v>
      </c>
      <c r="X222" s="51">
        <f t="shared" si="25"/>
        <v>0</v>
      </c>
      <c r="Y222" s="58">
        <f t="shared" si="31"/>
        <v>0</v>
      </c>
      <c r="Z222" s="51">
        <f t="shared" si="26"/>
        <v>-42.629060837118551</v>
      </c>
      <c r="AA222" s="51">
        <f t="shared" si="27"/>
        <v>0.69762031447080264</v>
      </c>
      <c r="AB222" s="52">
        <v>3</v>
      </c>
      <c r="AC222">
        <v>0</v>
      </c>
    </row>
    <row r="223" spans="1:29">
      <c r="A223" s="6">
        <v>2018</v>
      </c>
      <c r="B223" s="6" t="s">
        <v>292</v>
      </c>
      <c r="C223" s="7" t="s">
        <v>293</v>
      </c>
      <c r="D223" s="9">
        <v>10053691913000</v>
      </c>
      <c r="E223" s="10">
        <v>553675716000</v>
      </c>
      <c r="F223" s="10">
        <v>12682902626000</v>
      </c>
      <c r="G223" s="10">
        <f t="shared" si="38"/>
        <v>7740591920000</v>
      </c>
      <c r="H223" s="10">
        <v>116692469000</v>
      </c>
      <c r="I223" s="10">
        <v>7857284389000</v>
      </c>
      <c r="J223" s="10">
        <v>4825618237000</v>
      </c>
      <c r="K223" s="8">
        <v>7800000000</v>
      </c>
      <c r="L223" s="10">
        <v>34744177481000</v>
      </c>
      <c r="M223" s="10">
        <v>31574695864000</v>
      </c>
      <c r="N223" s="9">
        <f>1080320007000+771635051000+6170369000</f>
        <v>1858125427000</v>
      </c>
      <c r="O223" s="10">
        <v>889340783000</v>
      </c>
      <c r="P223" s="64">
        <v>110200000</v>
      </c>
      <c r="Q223" s="51">
        <v>2200</v>
      </c>
      <c r="R223" s="51">
        <f t="shared" si="29"/>
        <v>1.2988272753435632</v>
      </c>
      <c r="S223" s="51">
        <f t="shared" si="30"/>
        <v>2.4181869196628701E-2</v>
      </c>
      <c r="T223" s="51">
        <f t="shared" si="2"/>
        <v>7.0121234012855069E-2</v>
      </c>
      <c r="U223" s="51">
        <f t="shared" si="3"/>
        <v>0.18429571908135178</v>
      </c>
      <c r="V223" s="51">
        <f t="shared" si="4"/>
        <v>2.5596829382026377E-2</v>
      </c>
      <c r="W223" s="58">
        <f t="shared" si="37"/>
        <v>9.1223388975987252E-2</v>
      </c>
      <c r="X223" s="51">
        <f t="shared" si="25"/>
        <v>6.421911421911422E-6</v>
      </c>
      <c r="Y223" s="58">
        <f t="shared" si="31"/>
        <v>1.2391200550621774E-4</v>
      </c>
      <c r="Z223" s="51">
        <f t="shared" si="26"/>
        <v>19.295190694071657</v>
      </c>
      <c r="AA223" s="51">
        <f t="shared" si="27"/>
        <v>3.5560210437757429</v>
      </c>
      <c r="AB223" s="52">
        <v>3</v>
      </c>
      <c r="AC223">
        <v>0</v>
      </c>
    </row>
    <row r="224" spans="1:29">
      <c r="A224" s="6">
        <v>2019</v>
      </c>
      <c r="B224" s="6" t="s">
        <v>292</v>
      </c>
      <c r="C224" s="7" t="s">
        <v>293</v>
      </c>
      <c r="D224" s="9">
        <v>6944525743000</v>
      </c>
      <c r="E224" s="10">
        <v>614540334000</v>
      </c>
      <c r="F224" s="10">
        <v>9747703198000</v>
      </c>
      <c r="G224" s="10">
        <f t="shared" si="38"/>
        <v>4615531135000</v>
      </c>
      <c r="H224" s="10">
        <v>153455511000</v>
      </c>
      <c r="I224" s="10">
        <v>4768986646000</v>
      </c>
      <c r="J224" s="10">
        <v>4978716552000</v>
      </c>
      <c r="K224" s="8">
        <v>7800000000</v>
      </c>
      <c r="L224" s="10">
        <v>32944902671000</v>
      </c>
      <c r="M224" s="10">
        <v>30095879138000</v>
      </c>
      <c r="N224" s="9">
        <f>1363502575000+972931223000+7228447000</f>
        <v>2343662245000</v>
      </c>
      <c r="O224" s="10">
        <v>325583191000</v>
      </c>
      <c r="P224" s="64">
        <v>159500000</v>
      </c>
      <c r="Q224" s="51">
        <v>1795</v>
      </c>
      <c r="R224" s="51">
        <f t="shared" si="29"/>
        <v>1.5045994794269761</v>
      </c>
      <c r="S224" s="51">
        <f t="shared" si="30"/>
        <v>3.0822303177383215E-2</v>
      </c>
      <c r="T224" s="51">
        <f t="shared" si="2"/>
        <v>3.3401016053381888E-2</v>
      </c>
      <c r="U224" s="51">
        <f t="shared" si="3"/>
        <v>6.5395004435271575E-2</v>
      </c>
      <c r="V224" s="51">
        <f t="shared" si="4"/>
        <v>9.8826575464919207E-3</v>
      </c>
      <c r="W224" s="58">
        <f t="shared" si="37"/>
        <v>8.6478432231274258E-2</v>
      </c>
      <c r="X224" s="51">
        <f t="shared" si="25"/>
        <v>1.1392043425469609E-5</v>
      </c>
      <c r="Y224" s="58">
        <f t="shared" si="31"/>
        <v>4.8989015529367428E-4</v>
      </c>
      <c r="Z224" s="51">
        <f t="shared" si="26"/>
        <v>43.002834258725599</v>
      </c>
      <c r="AA224" s="51">
        <f t="shared" si="27"/>
        <v>2.8121705370786088</v>
      </c>
      <c r="AB224" s="52">
        <v>3</v>
      </c>
      <c r="AC224">
        <v>0</v>
      </c>
    </row>
    <row r="225" spans="1:29">
      <c r="A225" s="6">
        <v>2020</v>
      </c>
      <c r="B225" s="6" t="s">
        <v>292</v>
      </c>
      <c r="C225" s="7" t="s">
        <v>293</v>
      </c>
      <c r="D225" s="9">
        <v>7546995255000</v>
      </c>
      <c r="E225" s="10">
        <v>716457366000</v>
      </c>
      <c r="F225" s="10">
        <v>11211369042000</v>
      </c>
      <c r="G225" s="10">
        <f t="shared" si="38"/>
        <v>5142950705000</v>
      </c>
      <c r="H225" s="10">
        <v>380422147000</v>
      </c>
      <c r="I225" s="10">
        <v>5523372852000</v>
      </c>
      <c r="J225" s="10">
        <v>5687996190000</v>
      </c>
      <c r="K225" s="8">
        <v>7800000000</v>
      </c>
      <c r="L225" s="10">
        <v>34113454845000</v>
      </c>
      <c r="M225" s="10">
        <v>30703442235000</v>
      </c>
      <c r="N225" s="9">
        <f>1473722276000+1078462146000+47152494000</f>
        <v>2599336916000</v>
      </c>
      <c r="O225" s="10">
        <v>671172137000</v>
      </c>
      <c r="P225" s="64">
        <v>0</v>
      </c>
      <c r="Q225" s="51">
        <v>2200</v>
      </c>
      <c r="R225" s="51">
        <f t="shared" si="29"/>
        <v>1.4674446028935835</v>
      </c>
      <c r="S225" s="51">
        <f t="shared" si="30"/>
        <v>6.6881575565893622E-2</v>
      </c>
      <c r="T225" s="51">
        <f t="shared" si="2"/>
        <v>5.9865314796583427E-2</v>
      </c>
      <c r="U225" s="51">
        <f t="shared" si="3"/>
        <v>0.11799799341989363</v>
      </c>
      <c r="V225" s="51">
        <f t="shared" si="4"/>
        <v>1.9674704308009234E-2</v>
      </c>
      <c r="W225" s="58">
        <f t="shared" si="37"/>
        <v>9.9960928187835085E-2</v>
      </c>
      <c r="X225" s="51">
        <f t="shared" si="25"/>
        <v>0</v>
      </c>
      <c r="Y225" s="58">
        <f t="shared" si="31"/>
        <v>0</v>
      </c>
      <c r="Z225" s="51">
        <f t="shared" si="26"/>
        <v>25.567211530415484</v>
      </c>
      <c r="AA225" s="51">
        <f t="shared" si="27"/>
        <v>3.0168796579309949</v>
      </c>
      <c r="AB225" s="52">
        <v>3</v>
      </c>
      <c r="AC225">
        <v>0</v>
      </c>
    </row>
    <row r="226" spans="1:29">
      <c r="A226" s="6">
        <v>2018</v>
      </c>
      <c r="B226" s="6" t="s">
        <v>294</v>
      </c>
      <c r="C226" s="7" t="s">
        <v>295</v>
      </c>
      <c r="D226" s="9">
        <v>22136300869</v>
      </c>
      <c r="E226" s="10">
        <v>2809271072</v>
      </c>
      <c r="F226" s="10">
        <v>37180128513</v>
      </c>
      <c r="G226" s="10">
        <f t="shared" si="38"/>
        <v>258420563998</v>
      </c>
      <c r="H226" s="10">
        <v>484071843890</v>
      </c>
      <c r="I226" s="10">
        <v>742492407888</v>
      </c>
      <c r="J226" s="10">
        <v>-705312279375</v>
      </c>
      <c r="K226" s="13">
        <v>4000000000</v>
      </c>
      <c r="L226" s="10">
        <v>514434171115</v>
      </c>
      <c r="M226" s="10">
        <v>479607062647</v>
      </c>
      <c r="N226" s="10">
        <f>24087854625+12622132656</f>
        <v>36709987281</v>
      </c>
      <c r="O226" s="9">
        <v>-21385174417</v>
      </c>
      <c r="P226" s="64">
        <v>0</v>
      </c>
      <c r="Q226" s="51">
        <v>324</v>
      </c>
      <c r="R226" s="51">
        <f t="shared" si="29"/>
        <v>8.5659982032897819E-2</v>
      </c>
      <c r="S226" s="51">
        <f t="shared" si="30"/>
        <v>-0.68632272263705896</v>
      </c>
      <c r="T226" s="51">
        <f t="shared" si="2"/>
        <v>-0.57517752821975032</v>
      </c>
      <c r="U226" s="51">
        <f t="shared" si="3"/>
        <v>3.0320150438824196E-2</v>
      </c>
      <c r="V226" s="51">
        <f t="shared" si="4"/>
        <v>-4.1570283658741283E-2</v>
      </c>
      <c r="W226" s="58">
        <f t="shared" si="37"/>
        <v>6.7699834932260977E-2</v>
      </c>
      <c r="X226" s="51">
        <f t="shared" si="25"/>
        <v>0</v>
      </c>
      <c r="Y226" s="58">
        <f t="shared" si="31"/>
        <v>0</v>
      </c>
      <c r="Z226" s="51">
        <f t="shared" si="26"/>
        <v>-60.602732282125018</v>
      </c>
      <c r="AA226" s="51">
        <f t="shared" si="27"/>
        <v>-1.8374839597978181</v>
      </c>
      <c r="AB226" s="52">
        <v>3</v>
      </c>
      <c r="AC226">
        <v>0</v>
      </c>
    </row>
    <row r="227" spans="1:29">
      <c r="A227" s="6">
        <v>2019</v>
      </c>
      <c r="B227" s="6" t="s">
        <v>294</v>
      </c>
      <c r="C227" s="7" t="s">
        <v>295</v>
      </c>
      <c r="D227" s="9">
        <v>6415449405</v>
      </c>
      <c r="E227" s="10">
        <v>1350165824</v>
      </c>
      <c r="F227" s="10">
        <v>8278414392</v>
      </c>
      <c r="G227" s="10">
        <f t="shared" si="38"/>
        <v>300809467631</v>
      </c>
      <c r="H227" s="10">
        <v>452441152549</v>
      </c>
      <c r="I227" s="10">
        <v>753250620180</v>
      </c>
      <c r="J227" s="10">
        <v>-744972205788</v>
      </c>
      <c r="K227" s="13">
        <v>4000000000</v>
      </c>
      <c r="L227" s="10">
        <v>238615469362</v>
      </c>
      <c r="M227" s="10">
        <v>227423967638</v>
      </c>
      <c r="N227" s="10">
        <f>13753763369+5491231060</f>
        <v>19244994429</v>
      </c>
      <c r="O227" s="10">
        <v>-39725601460</v>
      </c>
      <c r="P227" s="64">
        <v>0</v>
      </c>
      <c r="Q227" s="51">
        <v>382</v>
      </c>
      <c r="R227" s="51">
        <f t="shared" si="29"/>
        <v>2.1327285525699506E-2</v>
      </c>
      <c r="S227" s="51">
        <f t="shared" si="30"/>
        <v>-0.60732621839284184</v>
      </c>
      <c r="T227" s="51">
        <f t="shared" si="2"/>
        <v>-4.798696897607539</v>
      </c>
      <c r="U227" s="51">
        <f t="shared" si="3"/>
        <v>5.3324944409140665E-2</v>
      </c>
      <c r="V227" s="51">
        <f t="shared" si="4"/>
        <v>-0.16648376388260427</v>
      </c>
      <c r="W227" s="58">
        <f t="shared" si="37"/>
        <v>4.6901828091545639E-2</v>
      </c>
      <c r="X227" s="51">
        <f t="shared" si="25"/>
        <v>0</v>
      </c>
      <c r="Y227" s="58">
        <f t="shared" si="31"/>
        <v>0</v>
      </c>
      <c r="Z227" s="51">
        <f t="shared" si="26"/>
        <v>-38.46386068033619</v>
      </c>
      <c r="AA227" s="51">
        <f t="shared" si="27"/>
        <v>-2.0510832325398587</v>
      </c>
      <c r="AB227" s="52">
        <v>3</v>
      </c>
      <c r="AC227">
        <v>0</v>
      </c>
    </row>
    <row r="228" spans="1:29">
      <c r="A228" s="6">
        <v>2020</v>
      </c>
      <c r="B228" s="6" t="s">
        <v>294</v>
      </c>
      <c r="C228" s="7" t="s">
        <v>295</v>
      </c>
      <c r="D228" s="9">
        <v>8968497949</v>
      </c>
      <c r="E228" s="10">
        <v>777340368</v>
      </c>
      <c r="F228" s="10">
        <v>10616363611</v>
      </c>
      <c r="G228" s="10">
        <f t="shared" si="38"/>
        <v>408738803147</v>
      </c>
      <c r="H228" s="10">
        <v>397440428209</v>
      </c>
      <c r="I228" s="10">
        <v>806179231356</v>
      </c>
      <c r="J228" s="10">
        <v>-795562867745</v>
      </c>
      <c r="K228" s="13">
        <v>4000000000</v>
      </c>
      <c r="L228" s="10">
        <v>30671505593</v>
      </c>
      <c r="M228" s="10">
        <v>28603624638</v>
      </c>
      <c r="N228" s="10">
        <f>3843034228+4417158562</f>
        <v>8260192790</v>
      </c>
      <c r="O228" s="9">
        <v>-50608122770</v>
      </c>
      <c r="P228" s="64">
        <v>0</v>
      </c>
      <c r="Q228" s="51">
        <v>109</v>
      </c>
      <c r="R228" s="51">
        <f t="shared" si="29"/>
        <v>2.1941880437944483E-2</v>
      </c>
      <c r="S228" s="51">
        <f t="shared" si="30"/>
        <v>-0.49957136553586701</v>
      </c>
      <c r="T228" s="51">
        <f t="shared" si="2"/>
        <v>-4.7669922229833093</v>
      </c>
      <c r="U228" s="51">
        <f t="shared" si="3"/>
        <v>6.3612977455128422E-2</v>
      </c>
      <c r="V228" s="51">
        <f t="shared" si="4"/>
        <v>-1.6500045169465052</v>
      </c>
      <c r="W228" s="58">
        <f t="shared" si="37"/>
        <v>6.7420262390769037E-2</v>
      </c>
      <c r="X228" s="51">
        <f t="shared" si="25"/>
        <v>0</v>
      </c>
      <c r="Y228" s="58">
        <f t="shared" si="31"/>
        <v>0</v>
      </c>
      <c r="Z228" s="51">
        <f t="shared" si="26"/>
        <v>-8.6152177977732958</v>
      </c>
      <c r="AA228" s="51">
        <f t="shared" si="27"/>
        <v>-0.54803965554077383</v>
      </c>
      <c r="AB228" s="52">
        <v>3</v>
      </c>
      <c r="AC228">
        <v>0</v>
      </c>
    </row>
    <row r="229" spans="1:29">
      <c r="A229" s="6">
        <v>2018</v>
      </c>
      <c r="B229" s="82" t="s">
        <v>296</v>
      </c>
      <c r="C229" s="7" t="s">
        <v>297</v>
      </c>
      <c r="D229" s="9">
        <v>2845304000000</v>
      </c>
      <c r="E229" s="10">
        <v>2782800000000</v>
      </c>
      <c r="F229" s="10">
        <v>6271858000000</v>
      </c>
      <c r="G229" s="10">
        <f t="shared" si="38"/>
        <v>2167159000000</v>
      </c>
      <c r="H229" s="10">
        <v>163211000000</v>
      </c>
      <c r="I229" s="10">
        <v>2330370000000</v>
      </c>
      <c r="J229" s="10">
        <v>3941488000000</v>
      </c>
      <c r="K229" s="13">
        <v>9000000000</v>
      </c>
      <c r="L229" s="10">
        <v>12970389000000</v>
      </c>
      <c r="M229" s="10">
        <v>9275890000000</v>
      </c>
      <c r="N229" s="10">
        <f>3844363000000+1380487000000</f>
        <v>5224850000000</v>
      </c>
      <c r="O229" s="9">
        <v>-1250189000000</v>
      </c>
      <c r="P229" s="64">
        <v>0</v>
      </c>
      <c r="Q229" s="51">
        <v>790</v>
      </c>
      <c r="R229" s="51">
        <f t="shared" si="29"/>
        <v>1.3129188951987372</v>
      </c>
      <c r="S229" s="51">
        <f t="shared" si="30"/>
        <v>4.1408473145167511E-2</v>
      </c>
      <c r="T229" s="51">
        <f t="shared" si="2"/>
        <v>-0.19933311627909944</v>
      </c>
      <c r="U229" s="51">
        <f t="shared" si="3"/>
        <v>-0.31718706234802696</v>
      </c>
      <c r="V229" s="51">
        <f t="shared" si="4"/>
        <v>-9.6387934085862811E-2</v>
      </c>
      <c r="W229" s="58">
        <f t="shared" si="37"/>
        <v>0.2848410329096529</v>
      </c>
      <c r="X229" s="51">
        <f t="shared" si="25"/>
        <v>0</v>
      </c>
      <c r="Y229" s="58">
        <f t="shared" si="31"/>
        <v>0</v>
      </c>
      <c r="Z229" s="51">
        <f t="shared" si="26"/>
        <v>-5.687140104416212</v>
      </c>
      <c r="AA229" s="51">
        <f t="shared" si="27"/>
        <v>1.8038872628814295</v>
      </c>
      <c r="AB229" s="52">
        <v>3</v>
      </c>
      <c r="AC229">
        <v>0</v>
      </c>
    </row>
    <row r="230" spans="1:29">
      <c r="A230" s="6">
        <v>2019</v>
      </c>
      <c r="B230" s="82" t="s">
        <v>296</v>
      </c>
      <c r="C230" s="7" t="s">
        <v>297</v>
      </c>
      <c r="D230" s="9">
        <v>2417001000000</v>
      </c>
      <c r="E230" s="10">
        <v>2782800000000</v>
      </c>
      <c r="F230" s="10">
        <v>6054384000000</v>
      </c>
      <c r="G230" s="10">
        <f t="shared" si="38"/>
        <v>2261663000000</v>
      </c>
      <c r="H230" s="10">
        <v>126159000000</v>
      </c>
      <c r="I230" s="9">
        <v>2387822000000</v>
      </c>
      <c r="J230" s="10">
        <v>3666562000000</v>
      </c>
      <c r="K230" s="13">
        <v>9000000000</v>
      </c>
      <c r="L230" s="10">
        <v>12181025000000</v>
      </c>
      <c r="M230" s="10">
        <v>8733377000000</v>
      </c>
      <c r="N230" s="10">
        <f>3488590000000+239351000000</f>
        <v>3727941000000</v>
      </c>
      <c r="O230" s="10">
        <v>-28216000000</v>
      </c>
      <c r="P230" s="64">
        <v>0</v>
      </c>
      <c r="Q230" s="51">
        <v>890</v>
      </c>
      <c r="R230" s="51">
        <f t="shared" si="29"/>
        <v>1.0686830885061125</v>
      </c>
      <c r="S230" s="51">
        <f t="shared" si="30"/>
        <v>3.4407982191491646E-2</v>
      </c>
      <c r="T230" s="51">
        <f t="shared" si="2"/>
        <v>-4.6604245782890545E-3</v>
      </c>
      <c r="U230" s="51">
        <f t="shared" si="3"/>
        <v>-7.6954923986011963E-3</v>
      </c>
      <c r="V230" s="51">
        <f t="shared" si="4"/>
        <v>-2.3163896305934844E-3</v>
      </c>
      <c r="W230" s="58">
        <f t="shared" si="37"/>
        <v>0.28303430951007819</v>
      </c>
      <c r="X230" s="51">
        <f t="shared" si="25"/>
        <v>0</v>
      </c>
      <c r="Y230" s="58">
        <f t="shared" si="31"/>
        <v>0</v>
      </c>
      <c r="Z230" s="74">
        <f t="shared" si="26"/>
        <v>-283.88148568188262</v>
      </c>
      <c r="AA230" s="74">
        <f t="shared" si="27"/>
        <v>2.1846078151685422</v>
      </c>
      <c r="AB230" s="52">
        <v>3</v>
      </c>
      <c r="AC230">
        <v>0</v>
      </c>
    </row>
    <row r="231" spans="1:29">
      <c r="A231" s="6">
        <v>2020</v>
      </c>
      <c r="B231" s="82" t="s">
        <v>296</v>
      </c>
      <c r="C231" s="7" t="s">
        <v>297</v>
      </c>
      <c r="D231" s="9">
        <v>1540143000000</v>
      </c>
      <c r="E231" s="10">
        <v>2933236000000</v>
      </c>
      <c r="F231" s="10">
        <v>4838417000000</v>
      </c>
      <c r="G231" s="10">
        <f t="shared" si="38"/>
        <v>2278042000000</v>
      </c>
      <c r="H231" s="10">
        <v>705687000000</v>
      </c>
      <c r="I231" s="10">
        <v>2983729000000</v>
      </c>
      <c r="J231" s="10">
        <v>1854688000000</v>
      </c>
      <c r="K231" s="13">
        <v>9000000000</v>
      </c>
      <c r="L231" s="10">
        <v>8893785000000</v>
      </c>
      <c r="M231" s="10">
        <v>6493920000000</v>
      </c>
      <c r="N231" s="10">
        <f>3554440000000</f>
        <v>3554440000000</v>
      </c>
      <c r="O231" s="10">
        <v>-1214602000000</v>
      </c>
      <c r="P231" s="64">
        <v>0</v>
      </c>
      <c r="Q231" s="51">
        <v>830</v>
      </c>
      <c r="R231" s="51">
        <f t="shared" si="29"/>
        <v>0.67608191596116318</v>
      </c>
      <c r="S231" s="51">
        <f t="shared" si="30"/>
        <v>0.38048825462827168</v>
      </c>
      <c r="T231" s="51">
        <f t="shared" si="2"/>
        <v>-0.25103293081187505</v>
      </c>
      <c r="U231" s="51">
        <f t="shared" si="3"/>
        <v>-0.65488211494332205</v>
      </c>
      <c r="V231" s="51">
        <f t="shared" si="4"/>
        <v>-0.13656750191285263</v>
      </c>
      <c r="W231" s="58">
        <f t="shared" si="37"/>
        <v>0.26983618335725451</v>
      </c>
      <c r="X231" s="51">
        <f t="shared" si="25"/>
        <v>0</v>
      </c>
      <c r="Y231" s="58">
        <f t="shared" si="31"/>
        <v>0</v>
      </c>
      <c r="Z231" s="51">
        <f t="shared" si="26"/>
        <v>-6.1501627693680732</v>
      </c>
      <c r="AA231" s="51">
        <f t="shared" si="27"/>
        <v>4.0276316016494418</v>
      </c>
      <c r="AB231" s="52">
        <v>3</v>
      </c>
      <c r="AC231">
        <v>0</v>
      </c>
    </row>
    <row r="232" spans="1:29">
      <c r="A232" s="6">
        <v>2018</v>
      </c>
      <c r="B232" s="6" t="s">
        <v>298</v>
      </c>
      <c r="C232" s="7" t="s">
        <v>299</v>
      </c>
      <c r="D232" s="9">
        <v>803042816102</v>
      </c>
      <c r="E232" s="10">
        <v>23434425176</v>
      </c>
      <c r="F232" s="10">
        <v>855572807455</v>
      </c>
      <c r="G232" s="10">
        <f t="shared" si="38"/>
        <v>734503822439</v>
      </c>
      <c r="H232" s="10">
        <v>17989355076</v>
      </c>
      <c r="I232" s="10">
        <v>752493177515</v>
      </c>
      <c r="J232" s="10">
        <v>103079629940</v>
      </c>
      <c r="K232" s="8">
        <v>2400000000</v>
      </c>
      <c r="L232" s="10">
        <v>1750649236912</v>
      </c>
      <c r="M232" s="10">
        <v>1506613211796</v>
      </c>
      <c r="N232" s="10">
        <f>154436007434+91582145434+3045332990</f>
        <v>249063485858</v>
      </c>
      <c r="O232" s="10">
        <v>-9993012908</v>
      </c>
      <c r="P232" s="64">
        <v>0</v>
      </c>
      <c r="Q232" s="51">
        <v>232</v>
      </c>
      <c r="R232" s="51">
        <f t="shared" si="29"/>
        <v>1.0933133246814275</v>
      </c>
      <c r="S232" s="51">
        <f t="shared" si="30"/>
        <v>0.17451901104487028</v>
      </c>
      <c r="T232" s="51">
        <f t="shared" si="2"/>
        <v>-1.1679909437193743E-2</v>
      </c>
      <c r="U232" s="51">
        <f t="shared" si="3"/>
        <v>-9.694459432786745E-2</v>
      </c>
      <c r="V232" s="51">
        <f t="shared" si="4"/>
        <v>-5.708175399902979E-3</v>
      </c>
      <c r="W232" s="58">
        <f t="shared" si="37"/>
        <v>0.13939744180076832</v>
      </c>
      <c r="X232" s="51">
        <f t="shared" si="25"/>
        <v>0</v>
      </c>
      <c r="Y232" s="58">
        <f t="shared" si="31"/>
        <v>0</v>
      </c>
      <c r="Z232" s="51">
        <f t="shared" si="26"/>
        <v>-55.718931329934392</v>
      </c>
      <c r="AA232" s="51">
        <f t="shared" si="27"/>
        <v>5.4016491941627933</v>
      </c>
      <c r="AB232" s="52">
        <v>3</v>
      </c>
      <c r="AC232">
        <v>0</v>
      </c>
    </row>
    <row r="233" spans="1:29">
      <c r="A233" s="6">
        <v>2019</v>
      </c>
      <c r="B233" s="6" t="s">
        <v>298</v>
      </c>
      <c r="C233" s="7" t="s">
        <v>299</v>
      </c>
      <c r="D233" s="9">
        <v>592578908193</v>
      </c>
      <c r="E233" s="9">
        <v>28228320173</v>
      </c>
      <c r="F233" s="10">
        <v>652346214673</v>
      </c>
      <c r="G233" s="10">
        <f t="shared" si="38"/>
        <v>553865665830</v>
      </c>
      <c r="H233" s="10">
        <v>12452213573</v>
      </c>
      <c r="I233" s="10">
        <v>566317879403</v>
      </c>
      <c r="J233" s="10">
        <v>86028335270</v>
      </c>
      <c r="K233" s="8">
        <v>2400000000</v>
      </c>
      <c r="L233" s="10">
        <v>1618048001660</v>
      </c>
      <c r="M233" s="10">
        <v>1437005463891</v>
      </c>
      <c r="N233" s="10">
        <f>94135654872+568970135+6512798532</f>
        <v>101217423539</v>
      </c>
      <c r="O233" s="10">
        <v>-18643690989</v>
      </c>
      <c r="P233" s="64">
        <v>0</v>
      </c>
      <c r="Q233" s="51">
        <v>110</v>
      </c>
      <c r="R233" s="51">
        <f t="shared" si="29"/>
        <v>1.069896447372281</v>
      </c>
      <c r="S233" s="51">
        <f t="shared" si="30"/>
        <v>0.14474549035406437</v>
      </c>
      <c r="T233" s="51">
        <f t="shared" si="2"/>
        <v>-2.8579442280270574E-2</v>
      </c>
      <c r="U233" s="51">
        <f t="shared" si="3"/>
        <v>-0.21671570105927029</v>
      </c>
      <c r="V233" s="51">
        <f t="shared" si="4"/>
        <v>-1.1522334918292241E-2</v>
      </c>
      <c r="W233" s="58">
        <f t="shared" si="37"/>
        <v>0.11188947273706558</v>
      </c>
      <c r="X233" s="51">
        <f t="shared" si="25"/>
        <v>0</v>
      </c>
      <c r="Y233" s="58">
        <f t="shared" si="31"/>
        <v>0</v>
      </c>
      <c r="Z233" s="51">
        <f t="shared" si="26"/>
        <v>-14.160286187738423</v>
      </c>
      <c r="AA233" s="51">
        <f t="shared" si="27"/>
        <v>3.0687563483756346</v>
      </c>
      <c r="AB233" s="52">
        <v>3</v>
      </c>
      <c r="AC233">
        <v>0</v>
      </c>
    </row>
    <row r="234" spans="1:29">
      <c r="A234" s="6">
        <v>2020</v>
      </c>
      <c r="B234" s="6" t="s">
        <v>298</v>
      </c>
      <c r="C234" s="7" t="s">
        <v>299</v>
      </c>
      <c r="D234" s="9">
        <v>606903824102</v>
      </c>
      <c r="E234" s="9">
        <v>32005744503</v>
      </c>
      <c r="F234" s="10">
        <v>675863759206</v>
      </c>
      <c r="G234" s="10">
        <f t="shared" si="38"/>
        <v>529614198284</v>
      </c>
      <c r="H234" s="10">
        <v>19653074898</v>
      </c>
      <c r="I234" s="10">
        <v>549267273182</v>
      </c>
      <c r="J234" s="10">
        <v>126596486024</v>
      </c>
      <c r="K234" s="8">
        <v>2400000000</v>
      </c>
      <c r="L234" s="10">
        <v>1446474839632</v>
      </c>
      <c r="M234" s="10">
        <v>1283821135165</v>
      </c>
      <c r="N234" s="10">
        <f>69372687390+80714831225+2457853119</f>
        <v>152545371734</v>
      </c>
      <c r="O234" s="10">
        <v>41124681020</v>
      </c>
      <c r="P234" s="64">
        <v>0</v>
      </c>
      <c r="Q234" s="51">
        <v>101</v>
      </c>
      <c r="R234" s="51">
        <f t="shared" si="29"/>
        <v>1.1459357133332635</v>
      </c>
      <c r="S234" s="51">
        <f t="shared" si="30"/>
        <v>0.15524186741071308</v>
      </c>
      <c r="T234" s="51">
        <f t="shared" si="2"/>
        <v>6.0847590153839566E-2</v>
      </c>
      <c r="U234" s="51">
        <f t="shared" si="3"/>
        <v>0.32484851919352353</v>
      </c>
      <c r="V234" s="51">
        <f t="shared" si="4"/>
        <v>2.8430968789241156E-2</v>
      </c>
      <c r="W234" s="58">
        <f t="shared" si="37"/>
        <v>0.11244834684326828</v>
      </c>
      <c r="X234" s="51">
        <f t="shared" si="25"/>
        <v>0</v>
      </c>
      <c r="Y234" s="58">
        <f t="shared" si="31"/>
        <v>0</v>
      </c>
      <c r="Z234" s="51">
        <f t="shared" si="26"/>
        <v>5.8942706420534812</v>
      </c>
      <c r="AA234" s="51">
        <f t="shared" si="27"/>
        <v>1.9147450897969325</v>
      </c>
      <c r="AB234" s="52">
        <v>3</v>
      </c>
      <c r="AC234">
        <v>0</v>
      </c>
    </row>
    <row r="235" spans="1:29">
      <c r="A235" s="6">
        <v>2018</v>
      </c>
      <c r="B235" s="6" t="s">
        <v>300</v>
      </c>
      <c r="C235" s="7" t="s">
        <v>301</v>
      </c>
      <c r="D235" s="9">
        <v>2472849000000</v>
      </c>
      <c r="E235" s="9">
        <v>1097913000000</v>
      </c>
      <c r="F235" s="10">
        <v>4808545000000</v>
      </c>
      <c r="G235" s="10">
        <f t="shared" si="38"/>
        <v>2887516000000</v>
      </c>
      <c r="H235" s="10">
        <v>771786000000</v>
      </c>
      <c r="I235" s="10">
        <v>3659302000000</v>
      </c>
      <c r="J235" s="10">
        <v>1149243000000</v>
      </c>
      <c r="K235" s="13">
        <v>10800000000</v>
      </c>
      <c r="L235" s="10">
        <v>10692363000000</v>
      </c>
      <c r="M235" s="10">
        <v>9210950000000</v>
      </c>
      <c r="N235" s="10">
        <f>419089000000+1672033000000+431072000000</f>
        <v>2522194000000</v>
      </c>
      <c r="O235" s="10">
        <v>-826004000000</v>
      </c>
      <c r="P235" s="64">
        <v>0</v>
      </c>
      <c r="Q235" s="51">
        <v>152</v>
      </c>
      <c r="R235" s="51">
        <f t="shared" si="29"/>
        <v>0.85639317669581749</v>
      </c>
      <c r="S235" s="51">
        <f t="shared" si="30"/>
        <v>0.67156032275158517</v>
      </c>
      <c r="T235" s="51">
        <f t="shared" si="2"/>
        <v>-0.17177836538911459</v>
      </c>
      <c r="U235" s="51">
        <f t="shared" si="3"/>
        <v>-0.71873746457450682</v>
      </c>
      <c r="V235" s="51">
        <f t="shared" si="4"/>
        <v>-7.725177306456954E-2</v>
      </c>
      <c r="W235" s="58">
        <f t="shared" si="37"/>
        <v>0.13854870060060626</v>
      </c>
      <c r="X235" s="51">
        <f t="shared" si="25"/>
        <v>0</v>
      </c>
      <c r="Y235" s="58">
        <f t="shared" si="31"/>
        <v>0</v>
      </c>
      <c r="Z235" s="51">
        <f t="shared" si="26"/>
        <v>-1.9873995767574975</v>
      </c>
      <c r="AA235" s="51">
        <f t="shared" si="27"/>
        <v>1.4284185328951318</v>
      </c>
      <c r="AB235" s="52">
        <v>3</v>
      </c>
      <c r="AC235">
        <v>0</v>
      </c>
    </row>
    <row r="236" spans="1:29">
      <c r="A236" s="6">
        <v>2019</v>
      </c>
      <c r="B236" s="6" t="s">
        <v>300</v>
      </c>
      <c r="C236" s="7" t="s">
        <v>301</v>
      </c>
      <c r="D236" s="9">
        <v>1904047000000</v>
      </c>
      <c r="E236" s="10">
        <v>926287000000</v>
      </c>
      <c r="F236" s="10">
        <v>3820809000000</v>
      </c>
      <c r="G236" s="10">
        <f t="shared" si="38"/>
        <v>2618390000000</v>
      </c>
      <c r="H236" s="10">
        <v>671738000000</v>
      </c>
      <c r="I236" s="10">
        <v>3290128000000</v>
      </c>
      <c r="J236" s="10">
        <v>530681000000</v>
      </c>
      <c r="K236" s="13">
        <v>10800000000</v>
      </c>
      <c r="L236" s="10">
        <v>8654646000000</v>
      </c>
      <c r="M236" s="10">
        <v>7074249000000</v>
      </c>
      <c r="N236" s="10">
        <f>359499000000+1432633000000+88573000000</f>
        <v>1880705000000</v>
      </c>
      <c r="O236" s="10">
        <v>-618562000000</v>
      </c>
      <c r="P236" s="64">
        <v>0</v>
      </c>
      <c r="Q236" s="51">
        <v>140</v>
      </c>
      <c r="R236" s="51">
        <f t="shared" si="29"/>
        <v>0.72718235251433128</v>
      </c>
      <c r="S236" s="51">
        <f t="shared" si="30"/>
        <v>1.2658037502755892</v>
      </c>
      <c r="T236" s="51">
        <f t="shared" si="2"/>
        <v>-0.16189293942722602</v>
      </c>
      <c r="U236" s="51">
        <f t="shared" si="3"/>
        <v>-1.1656004266216426</v>
      </c>
      <c r="V236" s="51">
        <f t="shared" si="4"/>
        <v>-7.1471669667367094E-2</v>
      </c>
      <c r="W236" s="58">
        <f t="shared" si="37"/>
        <v>0.1826067755977541</v>
      </c>
      <c r="X236" s="51">
        <f t="shared" si="25"/>
        <v>0</v>
      </c>
      <c r="Y236" s="58">
        <f t="shared" si="31"/>
        <v>0</v>
      </c>
      <c r="Z236" s="51">
        <f t="shared" si="26"/>
        <v>-2.4443790598193873</v>
      </c>
      <c r="AA236" s="51">
        <f t="shared" si="27"/>
        <v>2.8491692749504884</v>
      </c>
      <c r="AB236" s="52">
        <v>3</v>
      </c>
      <c r="AC236">
        <v>0</v>
      </c>
    </row>
    <row r="237" spans="1:29">
      <c r="A237" s="6">
        <v>2020</v>
      </c>
      <c r="B237" s="6" t="s">
        <v>300</v>
      </c>
      <c r="C237" s="7" t="s">
        <v>301</v>
      </c>
      <c r="D237" s="9">
        <v>1535266000000</v>
      </c>
      <c r="E237" s="10">
        <v>789871000000</v>
      </c>
      <c r="F237" s="10">
        <v>4510511000000</v>
      </c>
      <c r="G237" s="10">
        <f t="shared" si="38"/>
        <v>2763099000000</v>
      </c>
      <c r="H237" s="10">
        <v>1562678000000</v>
      </c>
      <c r="I237" s="10">
        <v>4325777000000</v>
      </c>
      <c r="J237" s="10">
        <v>184734000000</v>
      </c>
      <c r="K237" s="13">
        <v>10800000000</v>
      </c>
      <c r="L237" s="10">
        <v>6746594000000</v>
      </c>
      <c r="M237" s="10">
        <v>5439936000000</v>
      </c>
      <c r="N237" s="9">
        <f>279376000000+1239746000000+5841000000</f>
        <v>1524963000000</v>
      </c>
      <c r="O237" s="10">
        <v>405307000000</v>
      </c>
      <c r="P237" s="64">
        <v>0</v>
      </c>
      <c r="Q237" s="51">
        <v>105</v>
      </c>
      <c r="R237" s="51">
        <f t="shared" si="29"/>
        <v>0.55563191908795162</v>
      </c>
      <c r="S237" s="51">
        <f t="shared" si="30"/>
        <v>8.4590708802927459</v>
      </c>
      <c r="T237" s="51">
        <f t="shared" si="2"/>
        <v>8.9858333124561721E-2</v>
      </c>
      <c r="U237" s="51">
        <f t="shared" si="3"/>
        <v>2.1940032695659704</v>
      </c>
      <c r="V237" s="51">
        <f t="shared" si="4"/>
        <v>6.0075795282775277E-2</v>
      </c>
      <c r="W237" s="58">
        <f t="shared" si="37"/>
        <v>0.19367669078649166</v>
      </c>
      <c r="X237" s="51">
        <f t="shared" si="25"/>
        <v>0</v>
      </c>
      <c r="Y237" s="58">
        <f t="shared" si="31"/>
        <v>0</v>
      </c>
      <c r="Z237" s="51">
        <f t="shared" si="26"/>
        <v>2.7978791385295594</v>
      </c>
      <c r="AA237" s="51">
        <f t="shared" si="27"/>
        <v>6.1385559777842733</v>
      </c>
      <c r="AB237" s="52">
        <v>3</v>
      </c>
      <c r="AC237">
        <v>2</v>
      </c>
    </row>
    <row r="238" spans="1:29">
      <c r="A238" s="6">
        <v>2018</v>
      </c>
      <c r="B238" s="6" t="s">
        <v>302</v>
      </c>
      <c r="C238" s="7" t="s">
        <v>303</v>
      </c>
      <c r="D238" s="10">
        <v>3557488000000</v>
      </c>
      <c r="E238" s="10">
        <v>1164225000000</v>
      </c>
      <c r="F238" s="10">
        <v>5243047000000</v>
      </c>
      <c r="G238" s="10">
        <f t="shared" si="38"/>
        <v>1093095000000</v>
      </c>
      <c r="H238" s="9">
        <v>322487000000</v>
      </c>
      <c r="I238" s="10">
        <v>1415582000000</v>
      </c>
      <c r="J238" s="10">
        <v>3827465000000</v>
      </c>
      <c r="K238" s="8">
        <v>28000000000</v>
      </c>
      <c r="L238" s="10">
        <v>5739553000000</v>
      </c>
      <c r="M238" s="9">
        <v>3232948000000</v>
      </c>
      <c r="N238" s="10">
        <f>425171000000+1473612000000+19295000000</f>
        <v>1918078000000</v>
      </c>
      <c r="O238" s="10">
        <v>587105000000</v>
      </c>
      <c r="P238" s="64">
        <v>268913000000</v>
      </c>
      <c r="Q238" s="51">
        <v>1420</v>
      </c>
      <c r="R238" s="51">
        <f t="shared" si="29"/>
        <v>3.254509443369515</v>
      </c>
      <c r="S238" s="51">
        <f t="shared" si="30"/>
        <v>8.4256028467928512E-2</v>
      </c>
      <c r="T238" s="51">
        <f t="shared" si="2"/>
        <v>0.11197782510818614</v>
      </c>
      <c r="U238" s="51">
        <f t="shared" si="3"/>
        <v>0.15339265022671664</v>
      </c>
      <c r="V238" s="51">
        <f t="shared" si="4"/>
        <v>0.10229106691758051</v>
      </c>
      <c r="W238" s="58">
        <f t="shared" si="37"/>
        <v>0.43672477630226603</v>
      </c>
      <c r="X238" s="51">
        <f t="shared" si="25"/>
        <v>6.7634054325955741E-3</v>
      </c>
      <c r="Y238" s="58">
        <f t="shared" si="31"/>
        <v>0.45803220888938095</v>
      </c>
      <c r="Z238" s="51">
        <f t="shared" si="26"/>
        <v>67.722128069084746</v>
      </c>
      <c r="AA238" s="51">
        <f t="shared" si="27"/>
        <v>10.388076703510025</v>
      </c>
      <c r="AB238" s="52">
        <v>3</v>
      </c>
      <c r="AC238">
        <v>2</v>
      </c>
    </row>
    <row r="239" spans="1:29">
      <c r="A239" s="6">
        <v>2019</v>
      </c>
      <c r="B239" s="6" t="s">
        <v>302</v>
      </c>
      <c r="C239" s="7" t="s">
        <v>303</v>
      </c>
      <c r="D239" s="10">
        <v>4017659000000</v>
      </c>
      <c r="E239" s="10">
        <v>1107325000000</v>
      </c>
      <c r="F239" s="10">
        <v>5649823000000</v>
      </c>
      <c r="G239" s="10">
        <f t="shared" si="38"/>
        <v>1135638000000</v>
      </c>
      <c r="H239" s="9">
        <v>345255000000</v>
      </c>
      <c r="I239" s="10">
        <v>1480893000000</v>
      </c>
      <c r="J239" s="10">
        <v>4168930000000</v>
      </c>
      <c r="K239" s="8">
        <v>28000000000</v>
      </c>
      <c r="L239" s="10">
        <v>5596398000000</v>
      </c>
      <c r="M239" s="10">
        <v>3102317000000</v>
      </c>
      <c r="N239" s="10">
        <f>405125000000+1571474000000+7316000000</f>
        <v>1983915000000</v>
      </c>
      <c r="O239" s="10">
        <v>647898000000</v>
      </c>
      <c r="P239" s="64">
        <v>337141000000</v>
      </c>
      <c r="Q239" s="51">
        <v>1065</v>
      </c>
      <c r="R239" s="51">
        <f t="shared" si="29"/>
        <v>3.5377990169402573</v>
      </c>
      <c r="S239" s="51">
        <f t="shared" si="30"/>
        <v>8.281621423242895E-2</v>
      </c>
      <c r="T239" s="51">
        <f t="shared" si="2"/>
        <v>0.11467580488804693</v>
      </c>
      <c r="U239" s="51">
        <f t="shared" si="3"/>
        <v>0.15541110069010514</v>
      </c>
      <c r="V239" s="51">
        <f t="shared" si="4"/>
        <v>0.1157705366916363</v>
      </c>
      <c r="W239" s="58">
        <f t="shared" si="37"/>
        <v>0.44565826090281641</v>
      </c>
      <c r="X239" s="51">
        <f t="shared" si="25"/>
        <v>1.1305868544600937E-2</v>
      </c>
      <c r="Y239" s="58">
        <f t="shared" si="31"/>
        <v>0.52036122969973664</v>
      </c>
      <c r="Z239" s="51">
        <f t="shared" si="26"/>
        <v>46.025763314595814</v>
      </c>
      <c r="AA239" s="51">
        <f t="shared" si="27"/>
        <v>7.1529145368235971</v>
      </c>
      <c r="AB239" s="52">
        <v>3</v>
      </c>
      <c r="AC239">
        <v>2</v>
      </c>
    </row>
    <row r="240" spans="1:29">
      <c r="A240" s="6">
        <v>2020</v>
      </c>
      <c r="B240" s="6" t="s">
        <v>302</v>
      </c>
      <c r="C240" s="7" t="s">
        <v>303</v>
      </c>
      <c r="D240" s="9">
        <v>3200854000000</v>
      </c>
      <c r="E240" s="10">
        <v>1002168000000</v>
      </c>
      <c r="F240" s="10">
        <v>5285218000000</v>
      </c>
      <c r="G240" s="10">
        <f t="shared" si="38"/>
        <v>925658000000</v>
      </c>
      <c r="H240" s="10">
        <v>640816000000</v>
      </c>
      <c r="I240" s="10">
        <v>1566474000000</v>
      </c>
      <c r="J240" s="10">
        <v>3718744000000</v>
      </c>
      <c r="K240" s="8">
        <v>28000000000</v>
      </c>
      <c r="L240" s="10">
        <v>2527951000000</v>
      </c>
      <c r="M240" s="10">
        <v>1450362000000</v>
      </c>
      <c r="N240" s="10">
        <f>106968000000+1266663000000+36303000000</f>
        <v>1409934000000</v>
      </c>
      <c r="O240" s="10">
        <v>138874000000</v>
      </c>
      <c r="P240" s="64">
        <v>337124000000</v>
      </c>
      <c r="Q240" s="51">
        <v>775</v>
      </c>
      <c r="R240" s="51">
        <f t="shared" si="29"/>
        <v>3.4579229045716668</v>
      </c>
      <c r="S240" s="51">
        <f t="shared" si="30"/>
        <v>0.17232054693735305</v>
      </c>
      <c r="T240" s="51">
        <f t="shared" si="2"/>
        <v>2.6275926555915007E-2</v>
      </c>
      <c r="U240" s="51">
        <f t="shared" si="3"/>
        <v>3.7344329160598308E-2</v>
      </c>
      <c r="V240" s="51">
        <f t="shared" si="4"/>
        <v>5.4935400251033349E-2</v>
      </c>
      <c r="W240" s="58">
        <f t="shared" si="37"/>
        <v>0.42626973386746814</v>
      </c>
      <c r="X240" s="51">
        <f t="shared" si="25"/>
        <v>1.5535668202764977E-2</v>
      </c>
      <c r="Y240" s="58">
        <f t="shared" si="31"/>
        <v>2.4275530336852111</v>
      </c>
      <c r="Z240" s="51">
        <f t="shared" si="26"/>
        <v>156.25675072367758</v>
      </c>
      <c r="AA240" s="51">
        <f t="shared" si="27"/>
        <v>5.835303532590574</v>
      </c>
      <c r="AB240" s="52">
        <v>3</v>
      </c>
      <c r="AC240">
        <v>2</v>
      </c>
    </row>
    <row r="241" spans="1:29">
      <c r="A241" s="6">
        <v>2018</v>
      </c>
      <c r="B241" s="6" t="s">
        <v>304</v>
      </c>
      <c r="C241" s="7" t="s">
        <v>305</v>
      </c>
      <c r="D241" s="9">
        <v>544178319988</v>
      </c>
      <c r="E241" s="10">
        <v>255260217838</v>
      </c>
      <c r="F241" s="10">
        <v>904003739438</v>
      </c>
      <c r="G241" s="10">
        <f t="shared" si="38"/>
        <v>348666837381</v>
      </c>
      <c r="H241" s="10">
        <v>51292877616</v>
      </c>
      <c r="I241" s="10">
        <v>399959714997</v>
      </c>
      <c r="J241" s="10">
        <v>504044024441</v>
      </c>
      <c r="K241" s="8">
        <v>5000000000</v>
      </c>
      <c r="L241" s="10">
        <v>2355625271907</v>
      </c>
      <c r="M241" s="10">
        <v>1760399334375</v>
      </c>
      <c r="N241" s="10">
        <f>350121343001+234627546530</f>
        <v>584748889531</v>
      </c>
      <c r="O241" s="10">
        <v>49966984744</v>
      </c>
      <c r="P241" s="64">
        <v>7822437500</v>
      </c>
      <c r="Q241" s="51">
        <v>314</v>
      </c>
      <c r="R241" s="51">
        <f t="shared" si="29"/>
        <v>1.5607401153364007</v>
      </c>
      <c r="S241" s="51">
        <f t="shared" si="30"/>
        <v>0.101762693591865</v>
      </c>
      <c r="T241" s="51">
        <f t="shared" si="2"/>
        <v>5.5272984573120701E-2</v>
      </c>
      <c r="U241" s="51">
        <f t="shared" si="3"/>
        <v>9.9132183541735044E-2</v>
      </c>
      <c r="V241" s="51">
        <f t="shared" si="4"/>
        <v>2.1211771388217938E-2</v>
      </c>
      <c r="W241" s="58">
        <f t="shared" si="37"/>
        <v>0.25268277795735056</v>
      </c>
      <c r="X241" s="51">
        <f t="shared" si="25"/>
        <v>4.9824442675159234E-3</v>
      </c>
      <c r="Y241" s="58">
        <f t="shared" si="31"/>
        <v>0.15655212216781428</v>
      </c>
      <c r="Z241" s="51">
        <f t="shared" si="26"/>
        <v>31.420747280303413</v>
      </c>
      <c r="AA241" s="51">
        <f t="shared" si="27"/>
        <v>3.1148072864095102</v>
      </c>
      <c r="AB241" s="52">
        <v>3</v>
      </c>
      <c r="AC241">
        <v>0</v>
      </c>
    </row>
    <row r="242" spans="1:29">
      <c r="A242" s="6">
        <v>2019</v>
      </c>
      <c r="B242" s="6" t="s">
        <v>304</v>
      </c>
      <c r="C242" s="7" t="s">
        <v>305</v>
      </c>
      <c r="D242" s="9">
        <v>570849048409</v>
      </c>
      <c r="E242" s="10">
        <v>257452233884</v>
      </c>
      <c r="F242" s="10">
        <v>952496300846</v>
      </c>
      <c r="G242" s="10">
        <f t="shared" si="38"/>
        <v>348625244359</v>
      </c>
      <c r="H242" s="9">
        <v>56067821742</v>
      </c>
      <c r="I242" s="10">
        <v>404693066101</v>
      </c>
      <c r="J242" s="10">
        <v>547803234745</v>
      </c>
      <c r="K242" s="8">
        <v>5000000000</v>
      </c>
      <c r="L242" s="10">
        <v>2397792415330</v>
      </c>
      <c r="M242" s="10">
        <v>1748429029000</v>
      </c>
      <c r="N242" s="10">
        <f>382756148310+266706597134</f>
        <v>649462745444</v>
      </c>
      <c r="O242" s="10">
        <v>55464434251</v>
      </c>
      <c r="P242" s="64">
        <v>10951412500</v>
      </c>
      <c r="Q242" s="51">
        <v>334</v>
      </c>
      <c r="R242" s="51">
        <f t="shared" si="29"/>
        <v>1.6374288943377922</v>
      </c>
      <c r="S242" s="51">
        <f t="shared" si="30"/>
        <v>0.10235029329116563</v>
      </c>
      <c r="T242" s="51">
        <f t="shared" si="2"/>
        <v>5.8230603312303585E-2</v>
      </c>
      <c r="U242" s="51">
        <f t="shared" si="3"/>
        <v>0.10124882573360205</v>
      </c>
      <c r="V242" s="51">
        <f t="shared" si="4"/>
        <v>2.3131457876167574E-2</v>
      </c>
      <c r="W242" s="58">
        <f t="shared" si="37"/>
        <v>0.27081718257943121</v>
      </c>
      <c r="X242" s="51">
        <f t="shared" si="25"/>
        <v>6.5577320359281434E-3</v>
      </c>
      <c r="Y242" s="58">
        <f t="shared" si="31"/>
        <v>0.19744927804438123</v>
      </c>
      <c r="Z242" s="51">
        <f t="shared" si="26"/>
        <v>30.109384915792063</v>
      </c>
      <c r="AA242" s="51">
        <f t="shared" si="27"/>
        <v>3.0485398662849765</v>
      </c>
      <c r="AB242" s="52">
        <v>3</v>
      </c>
      <c r="AC242">
        <v>0</v>
      </c>
    </row>
    <row r="243" spans="1:29">
      <c r="A243" s="6">
        <v>2020</v>
      </c>
      <c r="B243" s="6" t="s">
        <v>304</v>
      </c>
      <c r="C243" s="7" t="s">
        <v>305</v>
      </c>
      <c r="D243" s="9">
        <v>625866677394</v>
      </c>
      <c r="E243" s="10">
        <v>329542756308</v>
      </c>
      <c r="F243" s="10">
        <v>1319134443995</v>
      </c>
      <c r="G243" s="10">
        <f t="shared" si="38"/>
        <v>512965592357</v>
      </c>
      <c r="H243" s="9">
        <v>261664232698</v>
      </c>
      <c r="I243" s="10">
        <v>774629825055</v>
      </c>
      <c r="J243" s="10">
        <v>544504618940</v>
      </c>
      <c r="K243" s="8">
        <v>5000000000</v>
      </c>
      <c r="L243" s="10">
        <v>3011422750334</v>
      </c>
      <c r="M243" s="10">
        <v>2225048462226</v>
      </c>
      <c r="N243" s="10">
        <f>428548630896+295584403379</f>
        <v>724133034275</v>
      </c>
      <c r="O243" s="10">
        <v>76002689458</v>
      </c>
      <c r="P243" s="64">
        <v>43805650000</v>
      </c>
      <c r="Q243" s="51">
        <v>436</v>
      </c>
      <c r="R243" s="51">
        <f t="shared" si="29"/>
        <v>1.2200948498674862</v>
      </c>
      <c r="S243" s="51">
        <f t="shared" si="30"/>
        <v>0.48055466123939949</v>
      </c>
      <c r="T243" s="51">
        <f t="shared" si="2"/>
        <v>5.7615574973408912E-2</v>
      </c>
      <c r="U243" s="51">
        <f t="shared" si="3"/>
        <v>0.13958134938498085</v>
      </c>
      <c r="V243" s="51">
        <f t="shared" si="4"/>
        <v>2.5238133519968415E-2</v>
      </c>
      <c r="W243" s="58">
        <f t="shared" si="37"/>
        <v>0.26113048658504767</v>
      </c>
      <c r="X243" s="51">
        <f t="shared" si="25"/>
        <v>2.0094334862385321E-2</v>
      </c>
      <c r="Y243" s="58">
        <f t="shared" si="31"/>
        <v>0.57636973523427126</v>
      </c>
      <c r="Z243" s="51">
        <f t="shared" si="26"/>
        <v>28.683195496715864</v>
      </c>
      <c r="AA243" s="51">
        <f t="shared" si="27"/>
        <v>4.0036391321048068</v>
      </c>
      <c r="AB243" s="52">
        <v>3</v>
      </c>
      <c r="AC243">
        <v>0</v>
      </c>
    </row>
    <row r="244" spans="1:29">
      <c r="A244" s="6">
        <v>2018</v>
      </c>
      <c r="B244" s="82" t="s">
        <v>331</v>
      </c>
      <c r="C244" s="7" t="s">
        <v>332</v>
      </c>
      <c r="D244" s="9">
        <v>92279000</v>
      </c>
      <c r="E244" s="10">
        <v>85121000</v>
      </c>
      <c r="F244" s="10">
        <v>195826000</v>
      </c>
      <c r="G244" s="10">
        <f t="shared" si="38"/>
        <v>79199000</v>
      </c>
      <c r="H244" s="10">
        <v>14092000</v>
      </c>
      <c r="I244" s="10">
        <v>93291000</v>
      </c>
      <c r="J244" s="10">
        <v>102535000</v>
      </c>
      <c r="K244" s="8">
        <v>8000000000</v>
      </c>
      <c r="L244" s="10">
        <v>433868000</v>
      </c>
      <c r="M244" s="10">
        <v>415763000</v>
      </c>
      <c r="N244" s="10">
        <f>4837000+4316000+64000</f>
        <v>9217000</v>
      </c>
      <c r="O244" s="10">
        <v>6125000</v>
      </c>
      <c r="P244" s="64">
        <v>0</v>
      </c>
      <c r="Q244" s="51">
        <v>160</v>
      </c>
      <c r="R244" s="51">
        <f t="shared" si="29"/>
        <v>1.1651536004242478</v>
      </c>
      <c r="S244" s="51">
        <f t="shared" si="30"/>
        <v>0.13743599746428048</v>
      </c>
      <c r="T244" s="51">
        <f t="shared" si="2"/>
        <v>3.127776699723224E-2</v>
      </c>
      <c r="U244" s="51">
        <f t="shared" si="3"/>
        <v>5.9735700004876387E-2</v>
      </c>
      <c r="V244" s="51">
        <f t="shared" si="4"/>
        <v>1.4117196935473463E-2</v>
      </c>
      <c r="W244" s="58">
        <f t="shared" si="37"/>
        <v>4.1729281717019923E-2</v>
      </c>
      <c r="X244" s="51">
        <f t="shared" si="25"/>
        <v>0</v>
      </c>
      <c r="Y244" s="58">
        <f t="shared" si="31"/>
        <v>0</v>
      </c>
      <c r="Z244" s="74">
        <f t="shared" si="26"/>
        <v>208979.59183673467</v>
      </c>
      <c r="AA244" s="74">
        <f t="shared" si="27"/>
        <v>12483.542205100697</v>
      </c>
      <c r="AB244" s="52">
        <v>3</v>
      </c>
      <c r="AC244">
        <v>0</v>
      </c>
    </row>
    <row r="245" spans="1:29">
      <c r="A245" s="6">
        <v>2019</v>
      </c>
      <c r="B245" s="82" t="s">
        <v>331</v>
      </c>
      <c r="C245" s="7" t="s">
        <v>332</v>
      </c>
      <c r="D245" s="9">
        <v>71356000</v>
      </c>
      <c r="E245" s="10">
        <v>69087000</v>
      </c>
      <c r="F245" s="10">
        <v>165728000</v>
      </c>
      <c r="G245" s="10">
        <f t="shared" si="38"/>
        <v>54106000</v>
      </c>
      <c r="H245" s="10">
        <v>12426000</v>
      </c>
      <c r="I245" s="10">
        <v>66532000</v>
      </c>
      <c r="J245" s="10">
        <v>99196000</v>
      </c>
      <c r="K245" s="8">
        <v>8000000000</v>
      </c>
      <c r="L245" s="10">
        <v>331945000</v>
      </c>
      <c r="M245" s="10">
        <v>327289000</v>
      </c>
      <c r="N245" s="10">
        <f>5420000+4761000+52000+256000</f>
        <v>10489000</v>
      </c>
      <c r="O245" s="10">
        <v>-3286000</v>
      </c>
      <c r="P245" s="64">
        <v>0</v>
      </c>
      <c r="Q245" s="51">
        <v>119</v>
      </c>
      <c r="R245" s="51">
        <f t="shared" si="29"/>
        <v>1.3188186153106864</v>
      </c>
      <c r="S245" s="51">
        <f t="shared" si="30"/>
        <v>0.12526714786886567</v>
      </c>
      <c r="T245" s="51">
        <f t="shared" si="2"/>
        <v>-1.9827669434253715E-2</v>
      </c>
      <c r="U245" s="51">
        <f t="shared" si="3"/>
        <v>-3.3126335739344329E-2</v>
      </c>
      <c r="V245" s="51">
        <f t="shared" si="4"/>
        <v>-9.8992302941752399E-3</v>
      </c>
      <c r="W245" s="58">
        <f t="shared" si="37"/>
        <v>1.4026420039464369E-2</v>
      </c>
      <c r="X245" s="51">
        <f t="shared" si="25"/>
        <v>0</v>
      </c>
      <c r="Y245" s="58">
        <f t="shared" si="31"/>
        <v>0</v>
      </c>
      <c r="Z245" s="74">
        <f t="shared" si="26"/>
        <v>-289713.93791844189</v>
      </c>
      <c r="AA245" s="74">
        <f t="shared" si="27"/>
        <v>9597.1611758538638</v>
      </c>
      <c r="AB245" s="52">
        <v>3</v>
      </c>
      <c r="AC245">
        <v>0</v>
      </c>
    </row>
    <row r="246" spans="1:29">
      <c r="A246" s="6">
        <v>2020</v>
      </c>
      <c r="B246" s="82" t="s">
        <v>331</v>
      </c>
      <c r="C246" s="7" t="s">
        <v>332</v>
      </c>
      <c r="D246" s="9">
        <v>71563000</v>
      </c>
      <c r="E246" s="9">
        <v>60206000</v>
      </c>
      <c r="F246" s="10">
        <v>149377000</v>
      </c>
      <c r="G246" s="10">
        <f t="shared" si="38"/>
        <v>45164000</v>
      </c>
      <c r="H246" s="10">
        <v>9051000</v>
      </c>
      <c r="I246" s="10">
        <v>54215000</v>
      </c>
      <c r="J246" s="10">
        <v>95162000</v>
      </c>
      <c r="K246" s="8">
        <v>8000000000</v>
      </c>
      <c r="L246" s="10">
        <v>309367000</v>
      </c>
      <c r="M246" s="10">
        <v>307424000</v>
      </c>
      <c r="N246" s="10">
        <f>5961000+4955000+101000+12665000</f>
        <v>23682000</v>
      </c>
      <c r="O246" s="10">
        <v>-4172000</v>
      </c>
      <c r="P246" s="64">
        <v>0</v>
      </c>
      <c r="Q246" s="51">
        <v>362</v>
      </c>
      <c r="R246" s="51">
        <f t="shared" si="29"/>
        <v>1.584514214861394</v>
      </c>
      <c r="S246" s="51">
        <f t="shared" si="30"/>
        <v>9.5111494083772938E-2</v>
      </c>
      <c r="T246" s="51">
        <f t="shared" si="2"/>
        <v>-2.7929333163740067E-2</v>
      </c>
      <c r="U246" s="51">
        <f t="shared" si="3"/>
        <v>-4.3841028982156742E-2</v>
      </c>
      <c r="V246" s="51">
        <f t="shared" si="4"/>
        <v>-1.3485601243830143E-2</v>
      </c>
      <c r="W246" s="58">
        <f t="shared" si="37"/>
        <v>6.2805664469707499E-3</v>
      </c>
      <c r="X246" s="51">
        <f t="shared" si="25"/>
        <v>0</v>
      </c>
      <c r="Y246" s="58">
        <f t="shared" si="31"/>
        <v>0</v>
      </c>
      <c r="Z246" s="74">
        <f t="shared" si="26"/>
        <v>-694151.48609779472</v>
      </c>
      <c r="AA246" s="74">
        <f t="shared" si="27"/>
        <v>30432.315420020597</v>
      </c>
      <c r="AB246" s="52">
        <v>3</v>
      </c>
      <c r="AC246">
        <v>0</v>
      </c>
    </row>
    <row r="247" spans="1:29">
      <c r="A247" s="6">
        <v>2018</v>
      </c>
      <c r="B247" s="6" t="s">
        <v>333</v>
      </c>
      <c r="C247" s="7" t="s">
        <v>334</v>
      </c>
      <c r="D247" s="9">
        <v>416191470230</v>
      </c>
      <c r="E247" s="10">
        <v>129189294974</v>
      </c>
      <c r="F247" s="10">
        <v>570197810698</v>
      </c>
      <c r="G247" s="10">
        <f t="shared" si="38"/>
        <v>72223978098</v>
      </c>
      <c r="H247" s="10">
        <v>15059589263</v>
      </c>
      <c r="I247" s="10">
        <v>87283567361</v>
      </c>
      <c r="J247" s="10">
        <v>482914243337</v>
      </c>
      <c r="K247" s="8">
        <v>1750000000</v>
      </c>
      <c r="L247" s="10">
        <v>777316506801</v>
      </c>
      <c r="M247" s="10">
        <v>676188716685</v>
      </c>
      <c r="N247" s="10">
        <f>49302815633+3829961076</f>
        <v>53132776709</v>
      </c>
      <c r="O247" s="10">
        <v>44672438405</v>
      </c>
      <c r="P247" s="64">
        <f>3782065060+5070489666</f>
        <v>8852554726</v>
      </c>
      <c r="Q247" s="51">
        <v>384</v>
      </c>
      <c r="R247" s="51">
        <f t="shared" si="29"/>
        <v>5.7625110273664779</v>
      </c>
      <c r="S247" s="51">
        <f t="shared" si="30"/>
        <v>3.1184810700418127E-2</v>
      </c>
      <c r="T247" s="51">
        <f t="shared" si="2"/>
        <v>7.8345510219190131E-2</v>
      </c>
      <c r="U247" s="51">
        <f t="shared" si="3"/>
        <v>9.2505944940260335E-2</v>
      </c>
      <c r="V247" s="51">
        <f t="shared" si="4"/>
        <v>5.7470075592305082E-2</v>
      </c>
      <c r="W247" s="58">
        <f t="shared" si="37"/>
        <v>0.13009860106044244</v>
      </c>
      <c r="X247" s="51">
        <f t="shared" si="25"/>
        <v>1.3173444532738096E-2</v>
      </c>
      <c r="Y247" s="58">
        <f t="shared" si="31"/>
        <v>0.19816591710850442</v>
      </c>
      <c r="Z247" s="51">
        <f t="shared" si="26"/>
        <v>15.04283231436021</v>
      </c>
      <c r="AA247" s="51">
        <f t="shared" si="27"/>
        <v>1.3915514178177741</v>
      </c>
      <c r="AB247" s="52">
        <v>3</v>
      </c>
      <c r="AC247">
        <v>0</v>
      </c>
    </row>
    <row r="248" spans="1:29">
      <c r="A248" s="6">
        <v>2019</v>
      </c>
      <c r="B248" s="6" t="s">
        <v>333</v>
      </c>
      <c r="C248" s="7" t="s">
        <v>334</v>
      </c>
      <c r="D248" s="65">
        <v>446573796440</v>
      </c>
      <c r="E248" s="10">
        <v>144745920744</v>
      </c>
      <c r="F248" s="10">
        <v>617594780669</v>
      </c>
      <c r="G248" s="10">
        <f t="shared" si="38"/>
        <v>57853674597</v>
      </c>
      <c r="H248" s="10">
        <v>22815734567</v>
      </c>
      <c r="I248" s="10">
        <v>80669409164</v>
      </c>
      <c r="J248" s="10">
        <v>536295371505</v>
      </c>
      <c r="K248" s="8">
        <v>1750000000</v>
      </c>
      <c r="L248" s="10">
        <v>776541441414</v>
      </c>
      <c r="M248" s="10">
        <v>652946761824</v>
      </c>
      <c r="N248" s="10">
        <f>53355998377+806685924</f>
        <v>54162684301</v>
      </c>
      <c r="O248" s="10">
        <v>60836752751</v>
      </c>
      <c r="P248" s="64">
        <f>5070489666+1777225450</f>
        <v>6847715116</v>
      </c>
      <c r="Q248" s="51">
        <v>340</v>
      </c>
      <c r="R248" s="51">
        <f t="shared" si="29"/>
        <v>7.7190221632552456</v>
      </c>
      <c r="S248" s="51">
        <f t="shared" si="30"/>
        <v>4.2543224833308642E-2</v>
      </c>
      <c r="T248" s="51">
        <f t="shared" si="2"/>
        <v>9.8505937315563979E-2</v>
      </c>
      <c r="U248" s="51">
        <f t="shared" si="3"/>
        <v>0.11343889204241027</v>
      </c>
      <c r="V248" s="51">
        <f t="shared" si="4"/>
        <v>7.8343214549145876E-2</v>
      </c>
      <c r="W248" s="58">
        <f t="shared" si="37"/>
        <v>0.1591604426995514</v>
      </c>
      <c r="X248" s="51">
        <f t="shared" si="25"/>
        <v>1.1508764900840336E-2</v>
      </c>
      <c r="Y248" s="58">
        <f t="shared" si="31"/>
        <v>0.1125588531003151</v>
      </c>
      <c r="Z248" s="51">
        <f t="shared" si="26"/>
        <v>9.7802721725679174</v>
      </c>
      <c r="AA248" s="51">
        <f t="shared" si="27"/>
        <v>1.1094632391293213</v>
      </c>
      <c r="AB248" s="52">
        <v>3</v>
      </c>
      <c r="AC248">
        <v>0</v>
      </c>
    </row>
    <row r="249" spans="1:29">
      <c r="A249" s="6">
        <v>2020</v>
      </c>
      <c r="B249" s="6" t="s">
        <v>333</v>
      </c>
      <c r="C249" s="7" t="s">
        <v>334</v>
      </c>
      <c r="D249" s="9">
        <v>509735319690</v>
      </c>
      <c r="E249" s="10">
        <v>140087552996</v>
      </c>
      <c r="F249" s="10">
        <v>665586417235</v>
      </c>
      <c r="G249" s="10">
        <f t="shared" si="38"/>
        <v>48639860198</v>
      </c>
      <c r="H249" s="10">
        <v>23641182035</v>
      </c>
      <c r="I249" s="10">
        <v>72281042233</v>
      </c>
      <c r="J249" s="10">
        <v>593582375012</v>
      </c>
      <c r="K249" s="8">
        <v>1750000000</v>
      </c>
      <c r="L249" s="10">
        <v>739402296030</v>
      </c>
      <c r="M249" s="10">
        <v>610537250674</v>
      </c>
      <c r="N249" s="10">
        <f>16696318068+35104646560+1722272231+3440944756</f>
        <v>56964181615</v>
      </c>
      <c r="O249" s="10">
        <v>60770710445</v>
      </c>
      <c r="P249" s="64">
        <f>4727523825+1777225450</f>
        <v>6504749275</v>
      </c>
      <c r="Q249" s="51">
        <v>354</v>
      </c>
      <c r="R249" s="51">
        <f t="shared" si="29"/>
        <v>10.47978587140264</v>
      </c>
      <c r="S249" s="51">
        <f t="shared" si="30"/>
        <v>3.982797170236408E-2</v>
      </c>
      <c r="T249" s="51">
        <f t="shared" si="2"/>
        <v>9.1304012328640355E-2</v>
      </c>
      <c r="U249" s="51">
        <f t="shared" si="3"/>
        <v>0.10237957359123313</v>
      </c>
      <c r="V249" s="51">
        <f t="shared" si="4"/>
        <v>8.2188966373637456E-2</v>
      </c>
      <c r="W249" s="58">
        <f t="shared" si="37"/>
        <v>0.17428272274498255</v>
      </c>
      <c r="X249" s="51">
        <f t="shared" si="25"/>
        <v>1.0499998829701372E-2</v>
      </c>
      <c r="Y249" s="58">
        <f t="shared" si="31"/>
        <v>0.10703757167504346</v>
      </c>
      <c r="Z249" s="51">
        <f t="shared" si="26"/>
        <v>10.19405558144121</v>
      </c>
      <c r="AA249" s="51">
        <f t="shared" si="27"/>
        <v>1.0436630635932813</v>
      </c>
      <c r="AB249" s="52">
        <v>3</v>
      </c>
      <c r="AC249">
        <v>0</v>
      </c>
    </row>
    <row r="250" spans="1:29">
      <c r="A250" s="6">
        <v>2018</v>
      </c>
      <c r="B250" s="6" t="s">
        <v>335</v>
      </c>
      <c r="C250" s="7" t="s">
        <v>336</v>
      </c>
      <c r="D250" s="9">
        <v>1220137554014</v>
      </c>
      <c r="E250" s="10">
        <v>757379485281</v>
      </c>
      <c r="F250" s="10">
        <v>2370198817803</v>
      </c>
      <c r="G250" s="10">
        <f t="shared" si="38"/>
        <v>342328901816</v>
      </c>
      <c r="H250" s="10">
        <v>655646584965</v>
      </c>
      <c r="I250" s="10">
        <v>997975486781</v>
      </c>
      <c r="J250" s="10">
        <v>1372223331022</v>
      </c>
      <c r="K250" s="13">
        <v>17000000000</v>
      </c>
      <c r="L250" s="10">
        <v>1395298815177</v>
      </c>
      <c r="M250" s="10">
        <v>978652263708</v>
      </c>
      <c r="N250" s="10">
        <f>257005280578+15979424352</f>
        <v>272984704930</v>
      </c>
      <c r="O250" s="10">
        <v>105523929164</v>
      </c>
      <c r="P250" s="64">
        <v>43598000000</v>
      </c>
      <c r="Q250" s="51">
        <v>940</v>
      </c>
      <c r="R250" s="51">
        <f t="shared" si="29"/>
        <v>3.5642259462796324</v>
      </c>
      <c r="S250" s="51">
        <f t="shared" si="30"/>
        <v>0.47779874466694111</v>
      </c>
      <c r="T250" s="51">
        <f t="shared" si="2"/>
        <v>4.4521129776704943E-2</v>
      </c>
      <c r="U250" s="51">
        <f t="shared" si="3"/>
        <v>7.6899967212631662E-2</v>
      </c>
      <c r="V250" s="51">
        <f t="shared" si="4"/>
        <v>7.5628193771965474E-2</v>
      </c>
      <c r="W250" s="58">
        <f t="shared" si="37"/>
        <v>0.29860740003290726</v>
      </c>
      <c r="X250" s="51">
        <f t="shared" si="25"/>
        <v>2.7282853566958699E-3</v>
      </c>
      <c r="Y250" s="58">
        <f t="shared" si="31"/>
        <v>0.41315747381091328</v>
      </c>
      <c r="Z250" s="51">
        <f t="shared" si="26"/>
        <v>151.43484635759427</v>
      </c>
      <c r="AA250" s="51">
        <f t="shared" si="27"/>
        <v>11.645334719748913</v>
      </c>
      <c r="AB250" s="52">
        <v>3</v>
      </c>
      <c r="AC250">
        <v>0</v>
      </c>
    </row>
    <row r="251" spans="1:29">
      <c r="A251" s="6">
        <v>2019</v>
      </c>
      <c r="B251" s="6" t="s">
        <v>335</v>
      </c>
      <c r="C251" s="7" t="s">
        <v>336</v>
      </c>
      <c r="D251" s="9">
        <v>1174699544323</v>
      </c>
      <c r="E251" s="10">
        <v>851624396191</v>
      </c>
      <c r="F251" s="10">
        <v>2501132856219</v>
      </c>
      <c r="G251" s="10">
        <f t="shared" si="38"/>
        <v>479079545266</v>
      </c>
      <c r="H251" s="10">
        <v>613765478165</v>
      </c>
      <c r="I251" s="10">
        <v>1092845023431</v>
      </c>
      <c r="J251" s="10">
        <v>1408287832788</v>
      </c>
      <c r="K251" s="13">
        <v>17000000000</v>
      </c>
      <c r="L251" s="10">
        <v>1495759701262</v>
      </c>
      <c r="M251" s="10">
        <v>1001042927237</v>
      </c>
      <c r="N251" s="10">
        <f>279134329437+70965395209+23904990387</f>
        <v>374004715033</v>
      </c>
      <c r="O251" s="10">
        <v>93145200039</v>
      </c>
      <c r="P251" s="64">
        <v>77775000000</v>
      </c>
      <c r="Q251" s="51">
        <v>1050</v>
      </c>
      <c r="R251" s="51">
        <f t="shared" si="29"/>
        <v>2.4519926929269542</v>
      </c>
      <c r="S251" s="51">
        <f t="shared" si="30"/>
        <v>0.43582388761388574</v>
      </c>
      <c r="T251" s="51">
        <f t="shared" si="2"/>
        <v>3.7241204443577217E-2</v>
      </c>
      <c r="U251" s="51">
        <f t="shared" si="3"/>
        <v>6.6140740458290839E-2</v>
      </c>
      <c r="V251" s="51">
        <f t="shared" si="4"/>
        <v>6.2272836980707312E-2</v>
      </c>
      <c r="W251" s="58">
        <f t="shared" si="37"/>
        <v>0.33074615769337706</v>
      </c>
      <c r="X251" s="51">
        <f t="shared" si="25"/>
        <v>4.3571428571428572E-3</v>
      </c>
      <c r="Y251" s="58">
        <f t="shared" si="31"/>
        <v>0.83498666562995749</v>
      </c>
      <c r="Z251" s="51">
        <f t="shared" si="26"/>
        <v>191.63628391507223</v>
      </c>
      <c r="AA251" s="51">
        <f t="shared" si="27"/>
        <v>12.674965716818129</v>
      </c>
      <c r="AB251" s="52">
        <v>3</v>
      </c>
      <c r="AC251">
        <v>0</v>
      </c>
    </row>
    <row r="252" spans="1:29">
      <c r="A252" s="6">
        <v>2020</v>
      </c>
      <c r="B252" s="6" t="s">
        <v>335</v>
      </c>
      <c r="C252" s="7" t="s">
        <v>336</v>
      </c>
      <c r="D252" s="10">
        <v>1261952159927</v>
      </c>
      <c r="E252" s="10">
        <v>907748683255</v>
      </c>
      <c r="F252" s="10">
        <v>2697100062756</v>
      </c>
      <c r="G252" s="10">
        <f t="shared" si="38"/>
        <v>608353619395</v>
      </c>
      <c r="H252" s="10">
        <v>622838614595</v>
      </c>
      <c r="I252" s="10">
        <v>1231192233990</v>
      </c>
      <c r="J252" s="10">
        <v>1465907828766</v>
      </c>
      <c r="K252" s="13">
        <v>17000000000</v>
      </c>
      <c r="L252" s="10">
        <v>1797514877242</v>
      </c>
      <c r="M252" s="10">
        <v>1146328782026</v>
      </c>
      <c r="N252" s="10">
        <f>413457936700+66391570721+25729951405</f>
        <v>505579458826</v>
      </c>
      <c r="O252" s="10">
        <v>115805324362</v>
      </c>
      <c r="P252" s="64">
        <v>53280000000</v>
      </c>
      <c r="Q252" s="51">
        <v>1325</v>
      </c>
      <c r="R252" s="51">
        <f t="shared" si="29"/>
        <v>2.0743727327240946</v>
      </c>
      <c r="S252" s="51">
        <f t="shared" si="30"/>
        <v>0.42488252151522038</v>
      </c>
      <c r="T252" s="51">
        <f t="shared" si="2"/>
        <v>4.2936977371045584E-2</v>
      </c>
      <c r="U252" s="51">
        <f t="shared" si="3"/>
        <v>7.8999048978055347E-2</v>
      </c>
      <c r="V252" s="51">
        <f t="shared" si="4"/>
        <v>6.4425238326641723E-2</v>
      </c>
      <c r="W252" s="58">
        <f t="shared" si="37"/>
        <v>0.362270211757658</v>
      </c>
      <c r="X252" s="51">
        <f t="shared" si="25"/>
        <v>2.3653718091009991E-3</v>
      </c>
      <c r="Y252" s="58">
        <f t="shared" si="31"/>
        <v>0.46008247283561976</v>
      </c>
      <c r="Z252" s="51">
        <f t="shared" si="26"/>
        <v>194.50746435101979</v>
      </c>
      <c r="AA252" s="51">
        <f t="shared" si="27"/>
        <v>15.365904702863569</v>
      </c>
      <c r="AB252" s="52">
        <v>3</v>
      </c>
      <c r="AC252">
        <v>2</v>
      </c>
    </row>
    <row r="253" spans="1:29">
      <c r="A253" s="6">
        <v>2018</v>
      </c>
      <c r="B253" s="6" t="s">
        <v>383</v>
      </c>
      <c r="C253" s="7" t="s">
        <v>384</v>
      </c>
      <c r="D253" s="10">
        <v>888979741744</v>
      </c>
      <c r="E253" s="10">
        <v>319990859164</v>
      </c>
      <c r="F253" s="10">
        <v>1255573914558</v>
      </c>
      <c r="G253" s="10">
        <f t="shared" si="38"/>
        <v>150202377711</v>
      </c>
      <c r="H253" s="9">
        <v>100134734182</v>
      </c>
      <c r="I253" s="9">
        <v>250337111893</v>
      </c>
      <c r="J253" s="9">
        <v>1005236802665</v>
      </c>
      <c r="K253" s="8">
        <v>4050000000</v>
      </c>
      <c r="L253" s="10">
        <v>1405384153405</v>
      </c>
      <c r="M253" s="10">
        <v>963851587401</v>
      </c>
      <c r="N253" s="10">
        <v>389346287885</v>
      </c>
      <c r="O253" s="10">
        <v>51142850919</v>
      </c>
      <c r="P253" s="64">
        <v>0</v>
      </c>
      <c r="Q253" s="51">
        <v>141</v>
      </c>
      <c r="R253" s="51">
        <f t="shared" si="29"/>
        <v>5.9185463991419622</v>
      </c>
      <c r="S253" s="51">
        <f t="shared" si="30"/>
        <v>9.961308013846204E-2</v>
      </c>
      <c r="T253" s="51">
        <f t="shared" si="2"/>
        <v>4.0732648493262011E-2</v>
      </c>
      <c r="U253" s="51">
        <f t="shared" si="3"/>
        <v>5.0876421141182196E-2</v>
      </c>
      <c r="V253" s="51">
        <f t="shared" si="4"/>
        <v>3.6390655747106454E-2</v>
      </c>
      <c r="W253" s="58">
        <f t="shared" si="37"/>
        <v>0.31417215352417616</v>
      </c>
      <c r="X253" s="51">
        <f t="shared" si="25"/>
        <v>0</v>
      </c>
      <c r="Y253" s="58">
        <f t="shared" si="31"/>
        <v>0</v>
      </c>
      <c r="Z253" s="51">
        <f t="shared" si="26"/>
        <v>11.165783481730974</v>
      </c>
      <c r="AA253" s="51">
        <f t="shared" si="27"/>
        <v>0.56807510278780071</v>
      </c>
      <c r="AB253" s="52">
        <v>3</v>
      </c>
      <c r="AC253">
        <v>0</v>
      </c>
    </row>
    <row r="254" spans="1:29">
      <c r="A254" s="6">
        <v>2019</v>
      </c>
      <c r="B254" s="6" t="s">
        <v>383</v>
      </c>
      <c r="C254" s="7" t="s">
        <v>384</v>
      </c>
      <c r="D254" s="10">
        <v>948430163983</v>
      </c>
      <c r="E254" s="10">
        <v>329061638626</v>
      </c>
      <c r="F254" s="10">
        <v>1299521608556</v>
      </c>
      <c r="G254" s="10">
        <f t="shared" si="38"/>
        <v>157443942631</v>
      </c>
      <c r="H254" s="9">
        <v>108907088448</v>
      </c>
      <c r="I254" s="10">
        <v>266351031079</v>
      </c>
      <c r="J254" s="10">
        <v>1033170577477</v>
      </c>
      <c r="K254" s="8">
        <v>4050000000</v>
      </c>
      <c r="L254" s="10">
        <v>1393574099760</v>
      </c>
      <c r="M254" s="10">
        <v>962040733573</v>
      </c>
      <c r="N254" s="10">
        <v>402885126126</v>
      </c>
      <c r="O254" s="10">
        <v>27328091481</v>
      </c>
      <c r="P254" s="64">
        <f>5249684400+12366950</f>
        <v>5262051350</v>
      </c>
      <c r="Q254" s="51">
        <v>168</v>
      </c>
      <c r="R254" s="51">
        <f t="shared" si="29"/>
        <v>6.0239228523756392</v>
      </c>
      <c r="S254" s="51">
        <f t="shared" si="30"/>
        <v>0.10541055932307987</v>
      </c>
      <c r="T254" s="51">
        <f t="shared" si="2"/>
        <v>2.1029347493010431E-2</v>
      </c>
      <c r="U254" s="51">
        <f t="shared" si="3"/>
        <v>2.645070627904942E-2</v>
      </c>
      <c r="V254" s="51">
        <f t="shared" si="4"/>
        <v>1.9610074186730664E-2</v>
      </c>
      <c r="W254" s="58">
        <f t="shared" si="37"/>
        <v>0.30965943343903868</v>
      </c>
      <c r="X254" s="51">
        <f t="shared" si="25"/>
        <v>7.7337615373309814E-3</v>
      </c>
      <c r="Y254" s="58">
        <f t="shared" si="31"/>
        <v>0.19255100026500091</v>
      </c>
      <c r="Z254" s="51">
        <f t="shared" si="26"/>
        <v>24.897457638893361</v>
      </c>
      <c r="AA254" s="51">
        <f t="shared" si="27"/>
        <v>0.65855533910144348</v>
      </c>
      <c r="AB254" s="52">
        <v>3</v>
      </c>
      <c r="AC254">
        <v>0</v>
      </c>
    </row>
    <row r="255" spans="1:29">
      <c r="A255" s="6">
        <v>2020</v>
      </c>
      <c r="B255" s="6" t="s">
        <v>383</v>
      </c>
      <c r="C255" s="7" t="s">
        <v>384</v>
      </c>
      <c r="D255" s="10">
        <v>1288718539539</v>
      </c>
      <c r="E255" s="10">
        <v>298904982008</v>
      </c>
      <c r="F255" s="10">
        <v>1614442007528</v>
      </c>
      <c r="G255" s="10">
        <f t="shared" si="38"/>
        <v>351790782502</v>
      </c>
      <c r="H255" s="9">
        <v>76799383517</v>
      </c>
      <c r="I255" s="10">
        <v>428590166019</v>
      </c>
      <c r="J255" s="10">
        <v>1185851841509</v>
      </c>
      <c r="K255" s="8">
        <v>4050000000</v>
      </c>
      <c r="L255" s="10">
        <v>1994066771177</v>
      </c>
      <c r="M255" s="10">
        <v>1368626457514</v>
      </c>
      <c r="N255" s="10">
        <v>420569492780</v>
      </c>
      <c r="O255" s="10">
        <v>172506562986</v>
      </c>
      <c r="P255" s="64">
        <f>7349558160+47082300</f>
        <v>7396640460</v>
      </c>
      <c r="Q255" s="51">
        <v>540</v>
      </c>
      <c r="R255" s="51">
        <f t="shared" si="29"/>
        <v>3.663309568185384</v>
      </c>
      <c r="S255" s="51">
        <f t="shared" si="30"/>
        <v>6.4763051191346593E-2</v>
      </c>
      <c r="T255" s="51">
        <f t="shared" si="2"/>
        <v>0.10685212734902659</v>
      </c>
      <c r="U255" s="51">
        <f t="shared" si="3"/>
        <v>0.14547058658397399</v>
      </c>
      <c r="V255" s="51">
        <f t="shared" si="4"/>
        <v>8.6509923077539588E-2</v>
      </c>
      <c r="W255" s="58">
        <f t="shared" si="37"/>
        <v>0.31365063733238641</v>
      </c>
      <c r="X255" s="51">
        <f t="shared" si="25"/>
        <v>3.3820944032921813E-3</v>
      </c>
      <c r="Y255" s="58">
        <f t="shared" si="31"/>
        <v>4.2877443802531064E-2</v>
      </c>
      <c r="Z255" s="51">
        <f t="shared" si="26"/>
        <v>12.677778527055164</v>
      </c>
      <c r="AA255" s="51">
        <f t="shared" si="27"/>
        <v>1.8442438789124245</v>
      </c>
      <c r="AB255" s="52">
        <v>3</v>
      </c>
      <c r="AC255">
        <v>2</v>
      </c>
    </row>
    <row r="256" spans="1:29">
      <c r="A256" s="66">
        <v>2018</v>
      </c>
      <c r="B256" s="59" t="s">
        <v>479</v>
      </c>
      <c r="C256" s="49" t="s">
        <v>480</v>
      </c>
      <c r="D256" s="64">
        <v>382330851179</v>
      </c>
      <c r="E256" s="64">
        <v>59744095869</v>
      </c>
      <c r="F256" s="64">
        <v>511887783867</v>
      </c>
      <c r="G256" s="10">
        <f t="shared" si="38"/>
        <v>122929175890</v>
      </c>
      <c r="H256" s="64">
        <v>20984611197</v>
      </c>
      <c r="I256" s="64">
        <v>143913787087</v>
      </c>
      <c r="J256" s="64">
        <v>367973996780</v>
      </c>
      <c r="K256" s="67">
        <v>428000000</v>
      </c>
      <c r="L256" s="64">
        <v>300572751733</v>
      </c>
      <c r="M256" s="64">
        <v>126237236215</v>
      </c>
      <c r="N256" s="64">
        <f>121854966846+43793006242</f>
        <v>165647973088</v>
      </c>
      <c r="O256" s="10">
        <v>1242582777</v>
      </c>
      <c r="P256" s="64">
        <v>0</v>
      </c>
      <c r="Q256" s="51">
        <v>179</v>
      </c>
      <c r="R256" s="51">
        <f t="shared" si="29"/>
        <v>3.1101717587460187</v>
      </c>
      <c r="S256" s="51">
        <f t="shared" si="30"/>
        <v>5.702742960271194E-2</v>
      </c>
      <c r="T256" s="51">
        <f t="shared" ref="T256:T360" si="39">O256/F256</f>
        <v>2.4274515160589397E-3</v>
      </c>
      <c r="U256" s="51">
        <f t="shared" ref="U256:U360" si="40">O256/J256</f>
        <v>3.3768222425317215E-3</v>
      </c>
      <c r="V256" s="51">
        <f t="shared" ref="V256:V360" si="41">O256/L256</f>
        <v>4.1340499757070177E-3</v>
      </c>
      <c r="W256" s="58">
        <f t="shared" si="37"/>
        <v>0.58001104395804626</v>
      </c>
      <c r="X256" s="51">
        <f t="shared" si="25"/>
        <v>0</v>
      </c>
      <c r="Y256" s="58">
        <f t="shared" si="31"/>
        <v>0</v>
      </c>
      <c r="Z256" s="51">
        <f t="shared" si="26"/>
        <v>61.655449776123852</v>
      </c>
      <c r="AA256" s="51">
        <f t="shared" si="27"/>
        <v>0.20819949417731246</v>
      </c>
      <c r="AB256" s="52">
        <v>3</v>
      </c>
      <c r="AC256">
        <v>2</v>
      </c>
    </row>
    <row r="257" spans="1:29">
      <c r="A257" s="66">
        <v>2019</v>
      </c>
      <c r="B257" s="59" t="s">
        <v>479</v>
      </c>
      <c r="C257" s="49" t="s">
        <v>480</v>
      </c>
      <c r="D257" s="64">
        <v>412707718061</v>
      </c>
      <c r="E257" s="64">
        <v>54872479523</v>
      </c>
      <c r="F257" s="64">
        <v>532762947995</v>
      </c>
      <c r="G257" s="10">
        <f t="shared" si="38"/>
        <v>142931525716</v>
      </c>
      <c r="H257" s="64">
        <v>21189897229</v>
      </c>
      <c r="I257" s="64">
        <v>164121422945</v>
      </c>
      <c r="J257" s="64">
        <v>368641525050</v>
      </c>
      <c r="K257" s="67">
        <v>428000000</v>
      </c>
      <c r="L257" s="64">
        <v>305224577860</v>
      </c>
      <c r="M257" s="64">
        <v>120805351025</v>
      </c>
      <c r="N257" s="64">
        <f>127264471191+48192315737</f>
        <v>175456786928</v>
      </c>
      <c r="O257" s="10">
        <v>667528270</v>
      </c>
      <c r="P257" s="64">
        <v>0</v>
      </c>
      <c r="Q257" s="51">
        <v>153</v>
      </c>
      <c r="R257" s="51">
        <f t="shared" si="29"/>
        <v>2.8874505886198678</v>
      </c>
      <c r="S257" s="51">
        <f t="shared" si="30"/>
        <v>5.7481037238346785E-2</v>
      </c>
      <c r="T257" s="51">
        <f t="shared" si="39"/>
        <v>1.2529555077209775E-3</v>
      </c>
      <c r="U257" s="51">
        <f t="shared" si="40"/>
        <v>1.8107788315748234E-3</v>
      </c>
      <c r="V257" s="51">
        <f t="shared" si="41"/>
        <v>2.1870069398742227E-3</v>
      </c>
      <c r="W257" s="58">
        <f t="shared" si="37"/>
        <v>0.60420831155867516</v>
      </c>
      <c r="X257" s="51">
        <f t="shared" si="25"/>
        <v>0</v>
      </c>
      <c r="Y257" s="58">
        <f t="shared" si="31"/>
        <v>0</v>
      </c>
      <c r="Z257" s="51">
        <f t="shared" si="26"/>
        <v>98.099216082638719</v>
      </c>
      <c r="AA257" s="51">
        <f t="shared" si="27"/>
        <v>0.17763598387652665</v>
      </c>
      <c r="AB257" s="52">
        <v>3</v>
      </c>
      <c r="AC257">
        <v>2</v>
      </c>
    </row>
    <row r="258" spans="1:29">
      <c r="A258" s="66">
        <v>2020</v>
      </c>
      <c r="B258" s="66" t="s">
        <v>479</v>
      </c>
      <c r="C258" s="49" t="s">
        <v>480</v>
      </c>
      <c r="D258" s="64">
        <v>432576455286</v>
      </c>
      <c r="E258" s="64">
        <v>55965014371</v>
      </c>
      <c r="F258" s="64">
        <v>559795937451</v>
      </c>
      <c r="G258" s="10">
        <f t="shared" si="38"/>
        <v>195801413331</v>
      </c>
      <c r="H258" s="64">
        <v>21575918643</v>
      </c>
      <c r="I258" s="64">
        <v>217377331974</v>
      </c>
      <c r="J258" s="64">
        <v>342418605477</v>
      </c>
      <c r="K258" s="67">
        <v>428000000</v>
      </c>
      <c r="L258" s="64">
        <v>318408499475</v>
      </c>
      <c r="M258" s="64">
        <v>113949955107</v>
      </c>
      <c r="N258" s="64">
        <f>132164370165+58327364740</f>
        <v>190491734905</v>
      </c>
      <c r="O258" s="10">
        <v>7263926826</v>
      </c>
      <c r="P258" s="64">
        <v>0</v>
      </c>
      <c r="Q258" s="51">
        <v>169</v>
      </c>
      <c r="R258" s="51">
        <f t="shared" si="29"/>
        <v>2.2092611484613474</v>
      </c>
      <c r="S258" s="51">
        <f t="shared" si="30"/>
        <v>6.301035719990758E-2</v>
      </c>
      <c r="T258" s="51">
        <f t="shared" si="39"/>
        <v>1.2976026333945708E-2</v>
      </c>
      <c r="U258" s="51">
        <f t="shared" si="40"/>
        <v>2.1213586849000564E-2</v>
      </c>
      <c r="V258" s="51">
        <f t="shared" si="41"/>
        <v>2.2813231549964737E-2</v>
      </c>
      <c r="W258" s="58">
        <f t="shared" ref="W258:W321" si="42">(L258-M258)/L258</f>
        <v>0.64212652835937623</v>
      </c>
      <c r="X258" s="51">
        <f t="shared" si="25"/>
        <v>0</v>
      </c>
      <c r="Y258" s="58">
        <f t="shared" si="31"/>
        <v>0</v>
      </c>
      <c r="Z258" s="51">
        <f t="shared" si="26"/>
        <v>9.9576994279595183</v>
      </c>
      <c r="AA258" s="51">
        <f t="shared" si="27"/>
        <v>0.21123852163126247</v>
      </c>
      <c r="AB258" s="52">
        <v>3</v>
      </c>
      <c r="AC258">
        <v>2</v>
      </c>
    </row>
    <row r="259" spans="1:29">
      <c r="A259" s="66">
        <v>2018</v>
      </c>
      <c r="B259" s="66" t="s">
        <v>481</v>
      </c>
      <c r="C259" s="49" t="s">
        <v>482</v>
      </c>
      <c r="D259" s="64">
        <v>1384227944</v>
      </c>
      <c r="E259" s="64">
        <v>90191394000</v>
      </c>
      <c r="F259" s="64">
        <v>1523517170000</v>
      </c>
      <c r="G259" s="10">
        <f t="shared" si="38"/>
        <v>192299843000</v>
      </c>
      <c r="H259" s="64">
        <v>47053513000</v>
      </c>
      <c r="I259" s="64">
        <v>239353356000</v>
      </c>
      <c r="J259" s="64">
        <v>1284163814000</v>
      </c>
      <c r="K259" s="67">
        <v>800659050</v>
      </c>
      <c r="L259" s="64">
        <v>893006350000</v>
      </c>
      <c r="M259" s="64">
        <v>241721111000</v>
      </c>
      <c r="N259" s="64">
        <f>166486011000+68361970000</f>
        <v>234847981000</v>
      </c>
      <c r="O259" s="10">
        <v>338129985000</v>
      </c>
      <c r="P259" s="10">
        <v>207667269000</v>
      </c>
      <c r="Q259" s="51">
        <v>5500</v>
      </c>
      <c r="R259" s="51">
        <f t="shared" si="29"/>
        <v>7.1982791166397362E-3</v>
      </c>
      <c r="S259" s="51">
        <f t="shared" si="30"/>
        <v>3.6641363420321392E-2</v>
      </c>
      <c r="T259" s="51">
        <f t="shared" si="39"/>
        <v>0.22194038351402368</v>
      </c>
      <c r="U259" s="51">
        <f t="shared" si="40"/>
        <v>0.26330751677760639</v>
      </c>
      <c r="V259" s="51">
        <f t="shared" si="41"/>
        <v>0.37864230752670458</v>
      </c>
      <c r="W259" s="58">
        <f t="shared" si="42"/>
        <v>0.72931758995890683</v>
      </c>
      <c r="X259" s="51">
        <f t="shared" si="25"/>
        <v>4.7158257029290149E-2</v>
      </c>
      <c r="Y259" s="58">
        <f t="shared" si="31"/>
        <v>0.61416401446916935</v>
      </c>
      <c r="Z259" s="51">
        <f t="shared" si="26"/>
        <v>13.023467217791998</v>
      </c>
      <c r="AA259" s="51">
        <f t="shared" si="27"/>
        <v>3.4291768129513733</v>
      </c>
      <c r="AB259" s="52">
        <v>3</v>
      </c>
      <c r="AC259">
        <v>2</v>
      </c>
    </row>
    <row r="260" spans="1:29">
      <c r="A260" s="66">
        <v>2019</v>
      </c>
      <c r="B260" s="66" t="s">
        <v>481</v>
      </c>
      <c r="C260" s="49" t="s">
        <v>482</v>
      </c>
      <c r="D260" s="64">
        <v>1292805083</v>
      </c>
      <c r="E260" s="64">
        <v>85234517000</v>
      </c>
      <c r="F260" s="64">
        <v>1425983722000</v>
      </c>
      <c r="G260" s="10">
        <f t="shared" si="38"/>
        <v>160587363000</v>
      </c>
      <c r="H260" s="64">
        <v>51833027000</v>
      </c>
      <c r="I260" s="64">
        <v>212420390000</v>
      </c>
      <c r="J260" s="64">
        <v>1213563332000</v>
      </c>
      <c r="K260" s="67">
        <v>800659050</v>
      </c>
      <c r="L260" s="64">
        <v>827136727000</v>
      </c>
      <c r="M260" s="64">
        <v>230440697000</v>
      </c>
      <c r="N260" s="64">
        <f>175692185000+79000788000</f>
        <v>254692973000</v>
      </c>
      <c r="O260" s="10">
        <v>317815177000</v>
      </c>
      <c r="P260" s="10">
        <v>382134244000</v>
      </c>
      <c r="Q260" s="51">
        <v>6800</v>
      </c>
      <c r="R260" s="51">
        <f t="shared" si="29"/>
        <v>8.0504783119204719E-3</v>
      </c>
      <c r="S260" s="51">
        <f t="shared" si="30"/>
        <v>4.2711431396478615E-2</v>
      </c>
      <c r="T260" s="51">
        <f t="shared" si="39"/>
        <v>0.2228743372710113</v>
      </c>
      <c r="U260" s="51">
        <f t="shared" si="40"/>
        <v>0.2618859425129697</v>
      </c>
      <c r="V260" s="51">
        <f t="shared" si="41"/>
        <v>0.38423535870871806</v>
      </c>
      <c r="W260" s="58">
        <f t="shared" si="42"/>
        <v>0.72139951053098383</v>
      </c>
      <c r="X260" s="51">
        <f t="shared" si="25"/>
        <v>7.0187444147344846E-2</v>
      </c>
      <c r="Y260" s="58">
        <f t="shared" si="31"/>
        <v>1.20237884045418</v>
      </c>
      <c r="Z260" s="51">
        <f t="shared" si="26"/>
        <v>17.13096772593714</v>
      </c>
      <c r="AA260" s="51">
        <f t="shared" si="27"/>
        <v>4.4863596290663139</v>
      </c>
      <c r="AB260" s="52">
        <v>3</v>
      </c>
      <c r="AC260">
        <v>2</v>
      </c>
    </row>
    <row r="261" spans="1:29">
      <c r="A261" s="66">
        <v>2020</v>
      </c>
      <c r="B261" s="66" t="s">
        <v>481</v>
      </c>
      <c r="C261" s="49" t="s">
        <v>482</v>
      </c>
      <c r="D261" s="64">
        <v>1103831856</v>
      </c>
      <c r="E261" s="64">
        <v>79117279000</v>
      </c>
      <c r="F261" s="64">
        <v>1225580913000</v>
      </c>
      <c r="G261" s="10">
        <f t="shared" si="38"/>
        <v>147207676000</v>
      </c>
      <c r="H261" s="64">
        <v>58474274000</v>
      </c>
      <c r="I261" s="64">
        <v>205681950000</v>
      </c>
      <c r="J261" s="64">
        <v>1019898963000</v>
      </c>
      <c r="K261" s="67">
        <v>800659050</v>
      </c>
      <c r="L261" s="64">
        <v>546336411000</v>
      </c>
      <c r="M261" s="64">
        <v>179156903000</v>
      </c>
      <c r="N261" s="64">
        <f>156629572000+78513510000</f>
        <v>235143082000</v>
      </c>
      <c r="O261" s="10">
        <v>123465762000</v>
      </c>
      <c r="P261" s="10">
        <v>311711537000</v>
      </c>
      <c r="Q261" s="51">
        <v>4400</v>
      </c>
      <c r="R261" s="51">
        <f t="shared" si="29"/>
        <v>7.4984666968045876E-3</v>
      </c>
      <c r="S261" s="51">
        <f t="shared" si="30"/>
        <v>5.733339881825137E-2</v>
      </c>
      <c r="T261" s="51">
        <f t="shared" si="39"/>
        <v>0.10074060446794833</v>
      </c>
      <c r="U261" s="51">
        <f t="shared" si="40"/>
        <v>0.12105685609957817</v>
      </c>
      <c r="V261" s="51">
        <f t="shared" si="41"/>
        <v>0.22598852925436816</v>
      </c>
      <c r="W261" s="58">
        <f t="shared" si="42"/>
        <v>0.67207585035001449</v>
      </c>
      <c r="X261" s="51">
        <f t="shared" si="25"/>
        <v>8.848152173682873E-2</v>
      </c>
      <c r="Y261" s="58">
        <f t="shared" si="31"/>
        <v>2.5246799756518734</v>
      </c>
      <c r="Z261" s="51">
        <f t="shared" si="26"/>
        <v>28.533414955961636</v>
      </c>
      <c r="AA261" s="51">
        <f t="shared" si="27"/>
        <v>3.4541655083533995</v>
      </c>
      <c r="AB261" s="52">
        <v>3</v>
      </c>
      <c r="AC261">
        <v>2</v>
      </c>
    </row>
    <row r="262" spans="1:29">
      <c r="A262" s="66">
        <v>2018</v>
      </c>
      <c r="B262" s="59" t="s">
        <v>483</v>
      </c>
      <c r="C262" s="49" t="s">
        <v>484</v>
      </c>
      <c r="D262" s="64">
        <v>1570545769306</v>
      </c>
      <c r="E262" s="64">
        <v>2280734909765</v>
      </c>
      <c r="F262" s="64">
        <v>4212408305683</v>
      </c>
      <c r="G262" s="10">
        <f t="shared" si="38"/>
        <v>1329358276278</v>
      </c>
      <c r="H262" s="64">
        <v>393641552725</v>
      </c>
      <c r="I262" s="64">
        <v>1722999829003</v>
      </c>
      <c r="J262" s="64">
        <v>2489408476680</v>
      </c>
      <c r="K262" s="67">
        <v>7130087567</v>
      </c>
      <c r="L262" s="64">
        <v>8048946664266</v>
      </c>
      <c r="M262" s="64">
        <v>5495794976776</v>
      </c>
      <c r="N262" s="64">
        <f>1361526966344+574981609169+48046719655</f>
        <v>1984555295168</v>
      </c>
      <c r="O262" s="10">
        <v>425481597110</v>
      </c>
      <c r="P262" s="10">
        <v>183082141237</v>
      </c>
      <c r="Q262" s="51">
        <v>1875</v>
      </c>
      <c r="R262" s="51">
        <f t="shared" si="29"/>
        <v>1.1814315202544856</v>
      </c>
      <c r="S262" s="51">
        <f t="shared" si="30"/>
        <v>0.15812654147059871</v>
      </c>
      <c r="T262" s="51">
        <f t="shared" si="39"/>
        <v>0.10100673207200231</v>
      </c>
      <c r="U262" s="51">
        <f t="shared" si="40"/>
        <v>0.17091674632579526</v>
      </c>
      <c r="V262" s="51">
        <f t="shared" si="41"/>
        <v>5.2861773702509746E-2</v>
      </c>
      <c r="W262" s="58">
        <f t="shared" si="42"/>
        <v>0.3172032060822243</v>
      </c>
      <c r="X262" s="51">
        <f t="shared" si="25"/>
        <v>1.3694615633005077E-2</v>
      </c>
      <c r="Y262" s="58">
        <f t="shared" si="31"/>
        <v>0.43029391278153839</v>
      </c>
      <c r="Z262" s="51">
        <f t="shared" si="26"/>
        <v>31.420663734767189</v>
      </c>
      <c r="AA262" s="51">
        <f t="shared" si="27"/>
        <v>5.3703176129433183</v>
      </c>
      <c r="AB262" s="52">
        <v>3</v>
      </c>
      <c r="AC262">
        <v>2</v>
      </c>
    </row>
    <row r="263" spans="1:29">
      <c r="A263" s="66">
        <v>2019</v>
      </c>
      <c r="B263" s="59" t="s">
        <v>483</v>
      </c>
      <c r="C263" s="49" t="s">
        <v>484</v>
      </c>
      <c r="D263" s="64">
        <v>1999886108743</v>
      </c>
      <c r="E263" s="64">
        <v>2715366689138</v>
      </c>
      <c r="F263" s="64">
        <v>5063067672414</v>
      </c>
      <c r="G263" s="10">
        <f t="shared" si="38"/>
        <v>1303881731637</v>
      </c>
      <c r="H263" s="64">
        <v>993665175862</v>
      </c>
      <c r="I263" s="64">
        <v>2297546907499</v>
      </c>
      <c r="J263" s="64">
        <v>2765520764915</v>
      </c>
      <c r="K263" s="67">
        <v>7379580291</v>
      </c>
      <c r="L263" s="64">
        <v>8438631355699</v>
      </c>
      <c r="M263" s="64">
        <v>5910489349236</v>
      </c>
      <c r="N263" s="64">
        <f>1355631464428+554177456534+57788727828</f>
        <v>1967597648790</v>
      </c>
      <c r="O263" s="10">
        <v>435766359480</v>
      </c>
      <c r="P263" s="10">
        <v>132379748022</v>
      </c>
      <c r="Q263" s="51">
        <v>1510</v>
      </c>
      <c r="R263" s="51">
        <f t="shared" si="29"/>
        <v>1.5337941012734178</v>
      </c>
      <c r="S263" s="51">
        <f t="shared" si="30"/>
        <v>0.35930490505376511</v>
      </c>
      <c r="T263" s="51">
        <f t="shared" si="39"/>
        <v>8.606765456726212E-2</v>
      </c>
      <c r="U263" s="51">
        <f t="shared" si="40"/>
        <v>0.15757117610845114</v>
      </c>
      <c r="V263" s="51">
        <f t="shared" si="41"/>
        <v>5.1639459186199277E-2</v>
      </c>
      <c r="W263" s="58">
        <f t="shared" si="42"/>
        <v>0.29959147400788261</v>
      </c>
      <c r="X263" s="51">
        <f t="shared" si="25"/>
        <v>1.1879904255023404E-2</v>
      </c>
      <c r="Y263" s="58">
        <f t="shared" si="31"/>
        <v>0.30378606595508828</v>
      </c>
      <c r="Z263" s="51">
        <f t="shared" si="26"/>
        <v>25.571423761823059</v>
      </c>
      <c r="AA263" s="51">
        <f t="shared" si="27"/>
        <v>4.0293193169180537</v>
      </c>
      <c r="AB263" s="52">
        <v>3</v>
      </c>
      <c r="AC263">
        <v>2</v>
      </c>
    </row>
    <row r="264" spans="1:29">
      <c r="A264" s="66">
        <v>2020</v>
      </c>
      <c r="B264" s="59" t="s">
        <v>483</v>
      </c>
      <c r="C264" s="49" t="s">
        <v>484</v>
      </c>
      <c r="D264" s="64">
        <v>2314323530275</v>
      </c>
      <c r="E264" s="64">
        <v>3217662289685</v>
      </c>
      <c r="F264" s="64">
        <v>6570969641033</v>
      </c>
      <c r="G264" s="10">
        <f t="shared" si="38"/>
        <v>1321529767664</v>
      </c>
      <c r="H264" s="64">
        <v>2355003084216</v>
      </c>
      <c r="I264" s="64">
        <v>3676532851880</v>
      </c>
      <c r="J264" s="64">
        <v>2894436789153</v>
      </c>
      <c r="K264" s="67">
        <v>7369648898</v>
      </c>
      <c r="L264" s="64">
        <v>7711334590144</v>
      </c>
      <c r="M264" s="64">
        <v>5568907814506</v>
      </c>
      <c r="N264" s="64">
        <f>1111326412293+603575877329+97215317609</f>
        <v>1812117607231</v>
      </c>
      <c r="O264" s="10">
        <v>245103761907</v>
      </c>
      <c r="P264" s="10">
        <v>213786027325</v>
      </c>
      <c r="Q264" s="51">
        <v>1270</v>
      </c>
      <c r="R264" s="51">
        <f t="shared" si="29"/>
        <v>1.7512458568117693</v>
      </c>
      <c r="S264" s="51">
        <f t="shared" si="30"/>
        <v>0.8136308566286381</v>
      </c>
      <c r="T264" s="51">
        <f t="shared" si="39"/>
        <v>3.7301003549982628E-2</v>
      </c>
      <c r="U264" s="51">
        <f t="shared" si="40"/>
        <v>8.4680986237299999E-2</v>
      </c>
      <c r="V264" s="51">
        <f t="shared" si="41"/>
        <v>3.1784869278045809E-2</v>
      </c>
      <c r="W264" s="58">
        <f t="shared" si="42"/>
        <v>0.27782827351004524</v>
      </c>
      <c r="X264" s="51">
        <f t="shared" si="25"/>
        <v>2.2841719723214714E-2</v>
      </c>
      <c r="Y264" s="58">
        <f t="shared" si="31"/>
        <v>0.87222662623235081</v>
      </c>
      <c r="Z264" s="51">
        <f t="shared" si="26"/>
        <v>38.185681148424266</v>
      </c>
      <c r="AA264" s="51">
        <f t="shared" si="27"/>
        <v>3.2336011397916415</v>
      </c>
      <c r="AB264" s="52">
        <v>3</v>
      </c>
      <c r="AC264">
        <v>0</v>
      </c>
    </row>
    <row r="265" spans="1:29">
      <c r="A265" s="66">
        <v>2018</v>
      </c>
      <c r="B265" s="73" t="s">
        <v>485</v>
      </c>
      <c r="C265" s="49" t="s">
        <v>486</v>
      </c>
      <c r="D265" s="64">
        <v>33272618000000</v>
      </c>
      <c r="E265" s="64">
        <v>42388236000000</v>
      </c>
      <c r="F265" s="64">
        <v>96537796000000</v>
      </c>
      <c r="G265" s="10">
        <f t="shared" si="38"/>
        <v>31204102000000</v>
      </c>
      <c r="H265" s="64">
        <v>15416894000000</v>
      </c>
      <c r="I265" s="64">
        <v>46620996000000</v>
      </c>
      <c r="J265" s="64">
        <v>49916800000000</v>
      </c>
      <c r="K265" s="67">
        <v>8780426500</v>
      </c>
      <c r="L265" s="64">
        <v>73394728000000</v>
      </c>
      <c r="M265" s="64">
        <v>53182723000000</v>
      </c>
      <c r="N265" s="64">
        <f>7817444000000+4466279000000+278450000000</f>
        <v>12562173000000</v>
      </c>
      <c r="O265" s="10">
        <v>4961851000000</v>
      </c>
      <c r="P265" s="10">
        <v>2651689000000</v>
      </c>
      <c r="Q265" s="51">
        <v>7450</v>
      </c>
      <c r="R265" s="51">
        <f t="shared" si="29"/>
        <v>1.0662898743248563</v>
      </c>
      <c r="S265" s="51">
        <f t="shared" si="30"/>
        <v>0.30885180941085966</v>
      </c>
      <c r="T265" s="51">
        <f t="shared" si="39"/>
        <v>5.1398014100094022E-2</v>
      </c>
      <c r="U265" s="51">
        <f t="shared" si="40"/>
        <v>9.9402425636258729E-2</v>
      </c>
      <c r="V265" s="51">
        <f t="shared" si="41"/>
        <v>6.7605005634737148E-2</v>
      </c>
      <c r="W265" s="58">
        <f t="shared" si="42"/>
        <v>0.27538769542139319</v>
      </c>
      <c r="X265" s="51">
        <f t="shared" si="25"/>
        <v>4.0536915763257422E-2</v>
      </c>
      <c r="Y265" s="58">
        <f t="shared" si="31"/>
        <v>0.53441528171644015</v>
      </c>
      <c r="Z265" s="74">
        <f t="shared" si="26"/>
        <v>13.183422360929418</v>
      </c>
      <c r="AA265" s="74">
        <f t="shared" si="27"/>
        <v>1.3104641608636771</v>
      </c>
      <c r="AB265" s="52">
        <v>3</v>
      </c>
      <c r="AC265">
        <v>0</v>
      </c>
    </row>
    <row r="266" spans="1:29">
      <c r="A266" s="66">
        <v>2019</v>
      </c>
      <c r="B266" s="73" t="s">
        <v>485</v>
      </c>
      <c r="C266" s="49" t="s">
        <v>486</v>
      </c>
      <c r="D266" s="64">
        <v>31403445000000</v>
      </c>
      <c r="E266" s="64">
        <v>43072504000000</v>
      </c>
      <c r="F266" s="64">
        <v>96198559000000</v>
      </c>
      <c r="G266" s="10">
        <f t="shared" si="38"/>
        <v>24686862000000</v>
      </c>
      <c r="H266" s="64">
        <v>17309209000000</v>
      </c>
      <c r="I266" s="64">
        <v>41996071000000</v>
      </c>
      <c r="J266" s="64">
        <v>54202488000000</v>
      </c>
      <c r="K266" s="67">
        <v>8780426500</v>
      </c>
      <c r="L266" s="64">
        <v>76592955000000</v>
      </c>
      <c r="M266" s="64">
        <v>53876594000000</v>
      </c>
      <c r="N266" s="64">
        <f>8489356000000+4697173000000+759131000000</f>
        <v>13945660000000</v>
      </c>
      <c r="O266" s="10">
        <v>5902729000000</v>
      </c>
      <c r="P266" s="10">
        <v>1501453000000</v>
      </c>
      <c r="Q266" s="51">
        <v>7925</v>
      </c>
      <c r="R266" s="51">
        <f t="shared" si="29"/>
        <v>1.2720711526641175</v>
      </c>
      <c r="S266" s="51">
        <f t="shared" si="30"/>
        <v>0.31934344047085073</v>
      </c>
      <c r="T266" s="51">
        <f t="shared" si="39"/>
        <v>6.1359848435983327E-2</v>
      </c>
      <c r="U266" s="51">
        <f t="shared" si="40"/>
        <v>0.10890144009625537</v>
      </c>
      <c r="V266" s="51">
        <f t="shared" si="41"/>
        <v>7.7066213204595641E-2</v>
      </c>
      <c r="W266" s="58">
        <f t="shared" si="42"/>
        <v>0.29658551494716451</v>
      </c>
      <c r="X266" s="51">
        <f t="shared" si="25"/>
        <v>2.1577288050655313E-2</v>
      </c>
      <c r="Y266" s="58">
        <f t="shared" si="31"/>
        <v>0.25436590431307282</v>
      </c>
      <c r="Z266" s="74">
        <f t="shared" si="26"/>
        <v>11.788594735164024</v>
      </c>
      <c r="AA266" s="74">
        <f t="shared" si="27"/>
        <v>1.2837949433704963</v>
      </c>
      <c r="AB266" s="52">
        <v>3</v>
      </c>
      <c r="AC266">
        <v>0</v>
      </c>
    </row>
    <row r="267" spans="1:29">
      <c r="A267" s="66">
        <v>2020</v>
      </c>
      <c r="B267" s="73" t="s">
        <v>485</v>
      </c>
      <c r="C267" s="49" t="s">
        <v>486</v>
      </c>
      <c r="D267" s="64">
        <v>38418238000000</v>
      </c>
      <c r="E267" s="64">
        <v>45862919000000</v>
      </c>
      <c r="F267" s="64">
        <v>163136516000000</v>
      </c>
      <c r="G267" s="10">
        <f t="shared" si="38"/>
        <v>27975875000000</v>
      </c>
      <c r="H267" s="64">
        <v>56022597000000</v>
      </c>
      <c r="I267" s="64">
        <v>83998472000000</v>
      </c>
      <c r="J267" s="64">
        <v>79138044000000</v>
      </c>
      <c r="K267" s="67">
        <v>8780426500</v>
      </c>
      <c r="L267" s="64">
        <v>81731469000000</v>
      </c>
      <c r="M267" s="64">
        <v>54979425000000</v>
      </c>
      <c r="N267" s="64">
        <f>9077860000000+5087140000000+563315000000</f>
        <v>14728315000000</v>
      </c>
      <c r="O267" s="10">
        <v>8752066000000</v>
      </c>
      <c r="P267" s="10">
        <v>2440959000000</v>
      </c>
      <c r="Q267" s="51">
        <v>6850</v>
      </c>
      <c r="R267" s="51">
        <f t="shared" si="29"/>
        <v>1.3732631419035151</v>
      </c>
      <c r="S267" s="51">
        <f t="shared" si="30"/>
        <v>0.70790980125816605</v>
      </c>
      <c r="T267" s="51">
        <f t="shared" si="39"/>
        <v>5.3648724482996804E-2</v>
      </c>
      <c r="U267" s="51">
        <f t="shared" si="40"/>
        <v>0.11059239725459982</v>
      </c>
      <c r="V267" s="51">
        <f t="shared" si="41"/>
        <v>0.10708318481342848</v>
      </c>
      <c r="W267" s="58">
        <f t="shared" si="42"/>
        <v>0.32731632414437578</v>
      </c>
      <c r="X267" s="51">
        <f t="shared" si="25"/>
        <v>4.0583948804997549E-2</v>
      </c>
      <c r="Y267" s="58">
        <f t="shared" si="31"/>
        <v>0.27890089037262744</v>
      </c>
      <c r="Z267" s="74">
        <f t="shared" si="26"/>
        <v>6.8721969789761648</v>
      </c>
      <c r="AA267" s="74">
        <f t="shared" si="27"/>
        <v>0.76001273831079263</v>
      </c>
      <c r="AB267" s="52">
        <v>3</v>
      </c>
      <c r="AC267">
        <v>2</v>
      </c>
    </row>
    <row r="268" spans="1:29">
      <c r="A268" s="66">
        <v>2018</v>
      </c>
      <c r="B268" s="59" t="s">
        <v>487</v>
      </c>
      <c r="C268" s="49" t="s">
        <v>488</v>
      </c>
      <c r="D268" s="64">
        <v>12647858727872</v>
      </c>
      <c r="E268" s="64">
        <v>4258300525120</v>
      </c>
      <c r="F268" s="64">
        <v>17591706426634</v>
      </c>
      <c r="G268" s="10">
        <f t="shared" si="38"/>
        <v>4764510387113</v>
      </c>
      <c r="H268" s="64">
        <v>4284651557827</v>
      </c>
      <c r="I268" s="64">
        <v>9049161944940</v>
      </c>
      <c r="J268" s="64">
        <v>8542544481694</v>
      </c>
      <c r="K268" s="67">
        <v>22358699725</v>
      </c>
      <c r="L268" s="64">
        <v>24060802395725</v>
      </c>
      <c r="M268" s="64">
        <v>17664148865078</v>
      </c>
      <c r="N268" s="64">
        <v>3768761522641</v>
      </c>
      <c r="O268" s="10">
        <v>1760434280304</v>
      </c>
      <c r="P268" s="10">
        <v>603684892575</v>
      </c>
      <c r="Q268" s="51">
        <v>2620</v>
      </c>
      <c r="R268" s="51">
        <f t="shared" si="29"/>
        <v>2.6545977866019146</v>
      </c>
      <c r="S268" s="51">
        <f t="shared" si="30"/>
        <v>0.5015661981051045</v>
      </c>
      <c r="T268" s="51">
        <f t="shared" si="39"/>
        <v>0.10007183144204174</v>
      </c>
      <c r="U268" s="51">
        <f t="shared" si="40"/>
        <v>0.20607844466908801</v>
      </c>
      <c r="V268" s="51">
        <f t="shared" si="41"/>
        <v>7.3166067006010777E-2</v>
      </c>
      <c r="W268" s="58">
        <f t="shared" si="42"/>
        <v>0.26585370784573353</v>
      </c>
      <c r="X268" s="51">
        <f t="shared" si="25"/>
        <v>1.0305343511450382E-2</v>
      </c>
      <c r="Y268" s="58">
        <f t="shared" si="31"/>
        <v>0.3429181647557743</v>
      </c>
      <c r="Z268" s="51">
        <f t="shared" si="26"/>
        <v>33.275762654078839</v>
      </c>
      <c r="AA268" s="51">
        <f t="shared" si="27"/>
        <v>6.8574174129302907</v>
      </c>
      <c r="AB268" s="52">
        <v>3</v>
      </c>
      <c r="AC268">
        <v>2</v>
      </c>
    </row>
    <row r="269" spans="1:29">
      <c r="A269" s="66">
        <v>2019</v>
      </c>
      <c r="B269" s="59" t="s">
        <v>487</v>
      </c>
      <c r="C269" s="49" t="s">
        <v>488</v>
      </c>
      <c r="D269" s="64">
        <v>12776102781513</v>
      </c>
      <c r="E269" s="64">
        <v>4674963819225</v>
      </c>
      <c r="F269" s="64">
        <v>19037918806473</v>
      </c>
      <c r="G269" s="10">
        <f t="shared" si="38"/>
        <v>3726359539201</v>
      </c>
      <c r="H269" s="64">
        <v>5411619071954</v>
      </c>
      <c r="I269" s="64">
        <v>9137978611155</v>
      </c>
      <c r="J269" s="64">
        <v>9899940195318</v>
      </c>
      <c r="K269" s="67">
        <v>22358699725</v>
      </c>
      <c r="L269" s="64">
        <v>25026739472547</v>
      </c>
      <c r="M269" s="64">
        <v>17109498526032</v>
      </c>
      <c r="N269" s="64">
        <v>4744976395481</v>
      </c>
      <c r="O269" s="10">
        <v>2039404206764</v>
      </c>
      <c r="P269" s="10">
        <v>648402292025</v>
      </c>
      <c r="Q269" s="51">
        <v>2050</v>
      </c>
      <c r="R269" s="51">
        <f t="shared" si="29"/>
        <v>3.4285748992037499</v>
      </c>
      <c r="S269" s="51">
        <f t="shared" si="30"/>
        <v>0.54663149121984889</v>
      </c>
      <c r="T269" s="51">
        <f t="shared" si="39"/>
        <v>0.10712327473896942</v>
      </c>
      <c r="U269" s="51">
        <f t="shared" si="40"/>
        <v>0.20600166935639669</v>
      </c>
      <c r="V269" s="51">
        <f t="shared" si="41"/>
        <v>8.1489009345429034E-2</v>
      </c>
      <c r="W269" s="58">
        <f t="shared" si="42"/>
        <v>0.31635127521105144</v>
      </c>
      <c r="X269" s="51">
        <f t="shared" si="25"/>
        <v>1.4146341463414635E-2</v>
      </c>
      <c r="Y269" s="58">
        <f t="shared" si="31"/>
        <v>0.31793711608246827</v>
      </c>
      <c r="Z269" s="51">
        <f t="shared" si="26"/>
        <v>22.474865102381376</v>
      </c>
      <c r="AA269" s="51">
        <f t="shared" si="27"/>
        <v>4.6298597296503878</v>
      </c>
      <c r="AB269" s="52">
        <v>3</v>
      </c>
      <c r="AC269">
        <v>2</v>
      </c>
    </row>
    <row r="270" spans="1:29">
      <c r="A270" s="66">
        <v>2020</v>
      </c>
      <c r="B270" s="66" t="s">
        <v>487</v>
      </c>
      <c r="C270" s="49" t="s">
        <v>488</v>
      </c>
      <c r="D270" s="64">
        <v>12838729162094</v>
      </c>
      <c r="E270" s="64">
        <v>6043201970326</v>
      </c>
      <c r="F270" s="64">
        <v>19777500514550</v>
      </c>
      <c r="G270" s="10">
        <f t="shared" si="38"/>
        <v>3475323711943</v>
      </c>
      <c r="H270" s="64">
        <v>5030708752649</v>
      </c>
      <c r="I270" s="64">
        <v>8506032464592</v>
      </c>
      <c r="J270" s="64">
        <v>11271468049958</v>
      </c>
      <c r="K270" s="67">
        <v>22358699725</v>
      </c>
      <c r="L270" s="64">
        <v>24476953742651</v>
      </c>
      <c r="M270" s="64">
        <v>17177830782966</v>
      </c>
      <c r="N270" s="64">
        <v>4468194765530</v>
      </c>
      <c r="O270" s="10">
        <v>2098168514645</v>
      </c>
      <c r="P270" s="10">
        <v>670760991750</v>
      </c>
      <c r="Q270" s="51">
        <v>2710</v>
      </c>
      <c r="R270" s="51">
        <f t="shared" si="29"/>
        <v>3.6942541835667053</v>
      </c>
      <c r="S270" s="51">
        <f t="shared" si="30"/>
        <v>0.44632240719235733</v>
      </c>
      <c r="T270" s="51">
        <f t="shared" si="39"/>
        <v>0.10608865933798915</v>
      </c>
      <c r="U270" s="51">
        <f t="shared" si="40"/>
        <v>0.18614864588582303</v>
      </c>
      <c r="V270" s="51">
        <f t="shared" si="41"/>
        <v>8.5720165046067359E-2</v>
      </c>
      <c r="W270" s="58">
        <f t="shared" si="42"/>
        <v>0.29820389564924926</v>
      </c>
      <c r="X270" s="51">
        <f t="shared" si="25"/>
        <v>1.107011070110701E-2</v>
      </c>
      <c r="Y270" s="58">
        <f t="shared" si="31"/>
        <v>0.31968880815251843</v>
      </c>
      <c r="Z270" s="51">
        <f t="shared" si="26"/>
        <v>28.878555669777501</v>
      </c>
      <c r="AA270" s="51">
        <f t="shared" si="27"/>
        <v>5.3757040330674384</v>
      </c>
      <c r="AB270" s="52">
        <v>3</v>
      </c>
      <c r="AC270">
        <v>2</v>
      </c>
    </row>
    <row r="271" spans="1:29">
      <c r="A271" s="66">
        <v>2018</v>
      </c>
      <c r="B271" s="66" t="s">
        <v>489</v>
      </c>
      <c r="C271" s="49" t="s">
        <v>490</v>
      </c>
      <c r="D271" s="64">
        <v>322856090927</v>
      </c>
      <c r="E271" s="64">
        <v>182939273529</v>
      </c>
      <c r="F271" s="64">
        <v>536474618119576</v>
      </c>
      <c r="G271" s="10">
        <f t="shared" si="38"/>
        <v>140400984686</v>
      </c>
      <c r="H271" s="64">
        <v>21288318855</v>
      </c>
      <c r="I271" s="64">
        <v>161689303541</v>
      </c>
      <c r="J271" s="64">
        <v>374784906962</v>
      </c>
      <c r="K271" s="67">
        <v>1230000000</v>
      </c>
      <c r="L271" s="64">
        <v>856750384301</v>
      </c>
      <c r="M271" s="64">
        <v>555042585618</v>
      </c>
      <c r="N271" s="64">
        <f>175978684559+22971515012+8891681794</f>
        <v>207841881365</v>
      </c>
      <c r="O271" s="10">
        <v>67479160972</v>
      </c>
      <c r="P271" s="10">
        <v>48666666666</v>
      </c>
      <c r="Q271" s="51"/>
      <c r="R271" s="51">
        <f t="shared" si="29"/>
        <v>2.2995286795819276</v>
      </c>
      <c r="S271" s="51">
        <f t="shared" si="30"/>
        <v>5.6801430526012227E-2</v>
      </c>
      <c r="T271" s="51">
        <f t="shared" si="39"/>
        <v>1.2578257888234224E-4</v>
      </c>
      <c r="U271" s="51">
        <f t="shared" si="40"/>
        <v>0.18004770127747383</v>
      </c>
      <c r="V271" s="51">
        <f t="shared" si="41"/>
        <v>7.8761751623904391E-2</v>
      </c>
      <c r="W271" s="58">
        <f t="shared" si="42"/>
        <v>0.35215367767725653</v>
      </c>
      <c r="X271" s="51" t="e">
        <f t="shared" si="25"/>
        <v>#DIV/0!</v>
      </c>
      <c r="Y271" s="58">
        <f t="shared" si="31"/>
        <v>0.72121031093130938</v>
      </c>
      <c r="Z271" s="51">
        <f t="shared" si="26"/>
        <v>0</v>
      </c>
      <c r="AA271" s="51">
        <f t="shared" si="27"/>
        <v>0</v>
      </c>
      <c r="AB271" s="52">
        <v>3</v>
      </c>
      <c r="AC271">
        <v>2</v>
      </c>
    </row>
    <row r="272" spans="1:29">
      <c r="A272" s="66">
        <v>2019</v>
      </c>
      <c r="B272" s="66" t="s">
        <v>489</v>
      </c>
      <c r="C272" s="49" t="s">
        <v>490</v>
      </c>
      <c r="D272" s="64">
        <v>498883575576</v>
      </c>
      <c r="E272" s="64">
        <v>138148991989</v>
      </c>
      <c r="F272" s="64">
        <v>167429811097</v>
      </c>
      <c r="G272" s="10">
        <f t="shared" si="38"/>
        <v>201269847299</v>
      </c>
      <c r="H272" s="64">
        <v>29349562487</v>
      </c>
      <c r="I272" s="64">
        <v>230619409786</v>
      </c>
      <c r="J272" s="64">
        <v>435693976887</v>
      </c>
      <c r="K272" s="67">
        <v>1230000000</v>
      </c>
      <c r="L272" s="64">
        <v>978806205312</v>
      </c>
      <c r="M272" s="64">
        <v>623784665515</v>
      </c>
      <c r="N272" s="64">
        <f>190933841644+23843523817+6822224341</f>
        <v>221599589802</v>
      </c>
      <c r="O272" s="10">
        <v>98047666143</v>
      </c>
      <c r="P272" s="10">
        <v>208000000000</v>
      </c>
      <c r="Q272" s="51">
        <v>940</v>
      </c>
      <c r="R272" s="51">
        <f t="shared" si="29"/>
        <v>2.4786801514032781</v>
      </c>
      <c r="S272" s="51">
        <f t="shared" si="30"/>
        <v>6.7362791417729412E-2</v>
      </c>
      <c r="T272" s="51">
        <f t="shared" si="39"/>
        <v>0.58560459156342448</v>
      </c>
      <c r="U272" s="51">
        <f t="shared" si="40"/>
        <v>0.22503791960481767</v>
      </c>
      <c r="V272" s="51">
        <f t="shared" si="41"/>
        <v>0.10017066259990327</v>
      </c>
      <c r="W272" s="58">
        <f t="shared" si="42"/>
        <v>0.36270871380901687</v>
      </c>
      <c r="X272" s="51">
        <f t="shared" si="25"/>
        <v>0.17989967133713888</v>
      </c>
      <c r="Y272" s="58">
        <f t="shared" si="31"/>
        <v>2.1214171451734236</v>
      </c>
      <c r="Z272" s="51">
        <f t="shared" si="26"/>
        <v>11.792223573314963</v>
      </c>
      <c r="AA272" s="51">
        <f t="shared" si="27"/>
        <v>2.6536974604536887</v>
      </c>
      <c r="AB272" s="52">
        <v>3</v>
      </c>
      <c r="AC272">
        <v>2</v>
      </c>
    </row>
    <row r="273" spans="1:29">
      <c r="A273" s="66">
        <v>2020</v>
      </c>
      <c r="B273" s="66" t="s">
        <v>489</v>
      </c>
      <c r="C273" s="49" t="s">
        <v>490</v>
      </c>
      <c r="D273" s="64">
        <v>500560734326</v>
      </c>
      <c r="E273" s="64">
        <v>131897013807</v>
      </c>
      <c r="F273" s="64">
        <v>674806910037</v>
      </c>
      <c r="G273" s="10">
        <f t="shared" si="38"/>
        <v>197366118342</v>
      </c>
      <c r="H273" s="64">
        <v>36539827577</v>
      </c>
      <c r="I273" s="64">
        <v>233905945919</v>
      </c>
      <c r="J273" s="64">
        <v>440900964118</v>
      </c>
      <c r="K273" s="67">
        <v>1500000000</v>
      </c>
      <c r="L273" s="64">
        <v>900852668263</v>
      </c>
      <c r="M273" s="64">
        <v>610850195613</v>
      </c>
      <c r="N273" s="64">
        <f>114037904664+27757363797+2119771465</f>
        <v>143915039926</v>
      </c>
      <c r="O273" s="10">
        <v>157207256439</v>
      </c>
      <c r="P273" s="10">
        <v>165500000000</v>
      </c>
      <c r="Q273" s="51">
        <v>1355</v>
      </c>
      <c r="R273" s="51">
        <f t="shared" si="29"/>
        <v>2.5362039773139697</v>
      </c>
      <c r="S273" s="51">
        <f t="shared" si="30"/>
        <v>8.2875363291836007E-2</v>
      </c>
      <c r="T273" s="51">
        <f t="shared" si="39"/>
        <v>0.23296628131798508</v>
      </c>
      <c r="U273" s="51">
        <f t="shared" si="40"/>
        <v>0.35655911243806221</v>
      </c>
      <c r="V273" s="51">
        <f t="shared" si="41"/>
        <v>0.17450939757121753</v>
      </c>
      <c r="W273" s="58">
        <f t="shared" si="42"/>
        <v>0.3219199796667917</v>
      </c>
      <c r="X273" s="51">
        <f t="shared" si="25"/>
        <v>8.1426814268142675E-2</v>
      </c>
      <c r="Y273" s="58">
        <f t="shared" si="31"/>
        <v>1.0527503866478185</v>
      </c>
      <c r="Z273" s="51">
        <f t="shared" si="26"/>
        <v>12.928792512759463</v>
      </c>
      <c r="AA273" s="51">
        <f t="shared" si="27"/>
        <v>4.609878783245378</v>
      </c>
      <c r="AB273" s="52">
        <v>3</v>
      </c>
      <c r="AC273">
        <v>2</v>
      </c>
    </row>
    <row r="274" spans="1:29">
      <c r="A274" s="66">
        <v>2018</v>
      </c>
      <c r="B274" s="66" t="s">
        <v>491</v>
      </c>
      <c r="C274" s="49" t="s">
        <v>492</v>
      </c>
      <c r="D274" s="64">
        <v>1228961000000</v>
      </c>
      <c r="E274" s="64">
        <v>1524061000000</v>
      </c>
      <c r="F274" s="64">
        <v>2889501000000</v>
      </c>
      <c r="G274" s="10">
        <f t="shared" si="38"/>
        <v>1578919000000</v>
      </c>
      <c r="H274" s="64">
        <v>143046000000</v>
      </c>
      <c r="I274" s="64">
        <v>1721965000000</v>
      </c>
      <c r="J274" s="64">
        <v>1167536000000</v>
      </c>
      <c r="K274" s="67">
        <v>2107000000</v>
      </c>
      <c r="L274" s="64">
        <v>3574801000000</v>
      </c>
      <c r="M274" s="64">
        <v>1364750000000</v>
      </c>
      <c r="N274" s="64">
        <f>338337000000+198772000000+15</f>
        <v>537109000015</v>
      </c>
      <c r="O274" s="10">
        <v>1224807000000</v>
      </c>
      <c r="P274" s="10">
        <v>1121756000000</v>
      </c>
      <c r="Q274" s="51">
        <v>16000</v>
      </c>
      <c r="R274" s="51">
        <f t="shared" si="29"/>
        <v>0.77835595112858857</v>
      </c>
      <c r="S274" s="51">
        <f t="shared" si="30"/>
        <v>0.12251956256595085</v>
      </c>
      <c r="T274" s="51">
        <f t="shared" si="39"/>
        <v>0.4238818398055581</v>
      </c>
      <c r="U274" s="51">
        <f t="shared" si="40"/>
        <v>1.0490528771703826</v>
      </c>
      <c r="V274" s="51">
        <f t="shared" si="41"/>
        <v>0.34262242849322244</v>
      </c>
      <c r="W274" s="58">
        <f t="shared" si="42"/>
        <v>0.61823049730600388</v>
      </c>
      <c r="X274" s="51">
        <f t="shared" si="25"/>
        <v>3.3274679639297582E-2</v>
      </c>
      <c r="Y274" s="58">
        <f t="shared" si="31"/>
        <v>0.91586347889912456</v>
      </c>
      <c r="Z274" s="51">
        <f t="shared" si="26"/>
        <v>27.524336487299628</v>
      </c>
      <c r="AA274" s="51">
        <f t="shared" si="27"/>
        <v>28.874484384207427</v>
      </c>
      <c r="AB274" s="52">
        <v>3</v>
      </c>
      <c r="AC274">
        <v>2</v>
      </c>
    </row>
    <row r="275" spans="1:29">
      <c r="A275" s="66">
        <v>2019</v>
      </c>
      <c r="B275" s="66" t="s">
        <v>491</v>
      </c>
      <c r="C275" s="49" t="s">
        <v>492</v>
      </c>
      <c r="D275" s="64">
        <v>1162802000000</v>
      </c>
      <c r="E275" s="64">
        <v>1559289000000</v>
      </c>
      <c r="F275" s="64">
        <v>2896950000000</v>
      </c>
      <c r="G275" s="10">
        <f t="shared" si="38"/>
        <v>1588693000000</v>
      </c>
      <c r="H275" s="64">
        <v>162250000000</v>
      </c>
      <c r="I275" s="64">
        <v>1750943000000</v>
      </c>
      <c r="J275" s="64">
        <v>1146007000000</v>
      </c>
      <c r="K275" s="67">
        <v>2107000000</v>
      </c>
      <c r="L275" s="64">
        <v>3711405000000</v>
      </c>
      <c r="M275" s="64">
        <v>1426351000000</v>
      </c>
      <c r="N275" s="64">
        <f>367927000000+207854000000</f>
        <v>575781000000</v>
      </c>
      <c r="O275" s="10">
        <v>1206059000000</v>
      </c>
      <c r="P275" s="10">
        <v>1224323000000</v>
      </c>
      <c r="Q275" s="51">
        <v>15500</v>
      </c>
      <c r="R275" s="51">
        <f t="shared" si="29"/>
        <v>0.73192366303621903</v>
      </c>
      <c r="S275" s="51">
        <f t="shared" si="30"/>
        <v>0.14157854184136745</v>
      </c>
      <c r="T275" s="51">
        <f t="shared" si="39"/>
        <v>0.41632026786793008</v>
      </c>
      <c r="U275" s="51">
        <f t="shared" si="40"/>
        <v>1.0524010760841775</v>
      </c>
      <c r="V275" s="51">
        <f t="shared" si="41"/>
        <v>0.32496022395831231</v>
      </c>
      <c r="W275" s="58">
        <f t="shared" si="42"/>
        <v>0.61568435673282762</v>
      </c>
      <c r="X275" s="51">
        <f t="shared" si="25"/>
        <v>3.7488647672122108E-2</v>
      </c>
      <c r="Y275" s="58">
        <f t="shared" si="31"/>
        <v>1.0151435377539573</v>
      </c>
      <c r="Z275" s="51">
        <f t="shared" si="26"/>
        <v>27.07869183845898</v>
      </c>
      <c r="AA275" s="51">
        <f t="shared" si="27"/>
        <v>28.497644429746064</v>
      </c>
      <c r="AB275" s="52">
        <v>3</v>
      </c>
      <c r="AC275">
        <v>2</v>
      </c>
    </row>
    <row r="276" spans="1:29">
      <c r="A276" s="66">
        <v>2020</v>
      </c>
      <c r="B276" s="66" t="s">
        <v>491</v>
      </c>
      <c r="C276" s="49" t="s">
        <v>492</v>
      </c>
      <c r="D276" s="64">
        <v>1189261000000</v>
      </c>
      <c r="E276" s="64">
        <v>1479447000000</v>
      </c>
      <c r="F276" s="64">
        <v>2907425000000</v>
      </c>
      <c r="G276" s="10">
        <f t="shared" si="38"/>
        <v>1338441000000</v>
      </c>
      <c r="H276" s="64">
        <v>135578000000</v>
      </c>
      <c r="I276" s="64">
        <v>1474019000000</v>
      </c>
      <c r="J276" s="64">
        <v>1433406000000</v>
      </c>
      <c r="K276" s="67">
        <v>2107000000</v>
      </c>
      <c r="L276" s="64">
        <v>1985009000000</v>
      </c>
      <c r="M276" s="64">
        <v>1044783000000</v>
      </c>
      <c r="N276" s="64">
        <f>257864000000+191970000000</f>
        <v>449834000000</v>
      </c>
      <c r="O276" s="10">
        <v>285617000000</v>
      </c>
      <c r="P276" s="10">
        <v>500000000</v>
      </c>
      <c r="Q276" s="51">
        <v>9700</v>
      </c>
      <c r="R276" s="51">
        <f t="shared" si="29"/>
        <v>0.8885419678566332</v>
      </c>
      <c r="S276" s="51">
        <f t="shared" si="30"/>
        <v>9.4584507111034832E-2</v>
      </c>
      <c r="T276" s="51">
        <f t="shared" si="39"/>
        <v>9.8237099839204797E-2</v>
      </c>
      <c r="U276" s="51">
        <f t="shared" si="40"/>
        <v>0.19925757252306744</v>
      </c>
      <c r="V276" s="51">
        <f t="shared" si="41"/>
        <v>0.14388700504632473</v>
      </c>
      <c r="W276" s="58">
        <f t="shared" si="42"/>
        <v>0.47366334359189305</v>
      </c>
      <c r="X276" s="51">
        <f t="shared" si="25"/>
        <v>2.4464352991256439E-5</v>
      </c>
      <c r="Y276" s="58">
        <f t="shared" si="31"/>
        <v>1.750596077964547E-3</v>
      </c>
      <c r="Z276" s="51">
        <f t="shared" si="26"/>
        <v>71.557015163663237</v>
      </c>
      <c r="AA276" s="51">
        <f t="shared" si="27"/>
        <v>14.258277138507861</v>
      </c>
      <c r="AB276" s="52">
        <v>3</v>
      </c>
      <c r="AC276">
        <v>2</v>
      </c>
    </row>
    <row r="277" spans="1:29">
      <c r="A277" s="6">
        <v>2018</v>
      </c>
      <c r="B277" s="6" t="s">
        <v>245</v>
      </c>
      <c r="C277" s="7" t="s">
        <v>246</v>
      </c>
      <c r="D277" s="10">
        <v>788973000000</v>
      </c>
      <c r="E277" s="10">
        <v>764532000000</v>
      </c>
      <c r="F277" s="10">
        <v>1816406000000</v>
      </c>
      <c r="G277" s="10">
        <f t="shared" si="38"/>
        <v>5177830000000</v>
      </c>
      <c r="H277" s="10">
        <v>89518000000</v>
      </c>
      <c r="I277" s="10">
        <v>5267348000000</v>
      </c>
      <c r="J277" s="10">
        <v>-3450942000000</v>
      </c>
      <c r="K277" s="8">
        <v>23450000000</v>
      </c>
      <c r="L277" s="10">
        <v>1583265000000</v>
      </c>
      <c r="M277" s="10">
        <v>1123521000000</v>
      </c>
      <c r="N277" s="9">
        <f>395353000000+91748000000</f>
        <v>487101000000</v>
      </c>
      <c r="O277" s="10">
        <v>-123513000000</v>
      </c>
      <c r="P277" s="10">
        <v>0</v>
      </c>
      <c r="Q277" s="51">
        <v>168</v>
      </c>
      <c r="R277" s="51">
        <f t="shared" si="29"/>
        <v>0.15237522282500585</v>
      </c>
      <c r="S277" s="51">
        <f t="shared" si="30"/>
        <v>-2.5940163584319876E-2</v>
      </c>
      <c r="T277" s="51">
        <f t="shared" si="39"/>
        <v>-6.7998564197651851E-2</v>
      </c>
      <c r="U277" s="51">
        <f t="shared" si="40"/>
        <v>3.5791097039590929E-2</v>
      </c>
      <c r="V277" s="51">
        <f t="shared" si="41"/>
        <v>-7.8011577341758967E-2</v>
      </c>
      <c r="W277" s="58">
        <f t="shared" si="42"/>
        <v>0.29037716364600996</v>
      </c>
      <c r="X277" s="51">
        <f t="shared" si="25"/>
        <v>0</v>
      </c>
      <c r="Y277" s="58">
        <f t="shared" si="31"/>
        <v>0</v>
      </c>
      <c r="Z277" s="51">
        <f t="shared" si="26"/>
        <v>-31.89623764300114</v>
      </c>
      <c r="AA277" s="51">
        <f t="shared" si="27"/>
        <v>-1.1416013366785067</v>
      </c>
      <c r="AB277" s="52">
        <v>3</v>
      </c>
      <c r="AC277">
        <v>0</v>
      </c>
    </row>
    <row r="278" spans="1:29">
      <c r="A278" s="6">
        <v>2019</v>
      </c>
      <c r="B278" s="6" t="s">
        <v>245</v>
      </c>
      <c r="C278" s="7" t="s">
        <v>246</v>
      </c>
      <c r="D278" s="10">
        <v>474261000000</v>
      </c>
      <c r="E278" s="10">
        <v>1150417000000</v>
      </c>
      <c r="F278" s="10">
        <v>1868966000000</v>
      </c>
      <c r="G278" s="10">
        <f t="shared" si="38"/>
        <v>1152923000000</v>
      </c>
      <c r="H278" s="10">
        <v>2373896000000</v>
      </c>
      <c r="I278" s="10">
        <v>3526819000000</v>
      </c>
      <c r="J278" s="10">
        <v>-1657853000000</v>
      </c>
      <c r="K278" s="8">
        <v>23450000000</v>
      </c>
      <c r="L278" s="10">
        <v>1510427000000</v>
      </c>
      <c r="M278" s="10">
        <v>1062970000000</v>
      </c>
      <c r="N278" s="9">
        <f>538628000000+322278000000</f>
        <v>860906000000</v>
      </c>
      <c r="O278" s="10">
        <v>1134776000000</v>
      </c>
      <c r="P278" s="10">
        <v>0</v>
      </c>
      <c r="Q278" s="51">
        <v>168</v>
      </c>
      <c r="R278" s="51">
        <f t="shared" si="29"/>
        <v>0.41135531167302586</v>
      </c>
      <c r="S278" s="51">
        <f t="shared" si="30"/>
        <v>-1.4319098255394176</v>
      </c>
      <c r="T278" s="51">
        <f t="shared" si="39"/>
        <v>0.60716781364669015</v>
      </c>
      <c r="U278" s="51">
        <f t="shared" si="40"/>
        <v>-0.68448529513774747</v>
      </c>
      <c r="V278" s="51">
        <f t="shared" si="41"/>
        <v>0.75129483252086993</v>
      </c>
      <c r="W278" s="58">
        <f t="shared" si="42"/>
        <v>0.29624536637652799</v>
      </c>
      <c r="X278" s="51">
        <f t="shared" si="25"/>
        <v>0</v>
      </c>
      <c r="Y278" s="58">
        <f t="shared" si="31"/>
        <v>0</v>
      </c>
      <c r="Z278" s="51">
        <f t="shared" si="26"/>
        <v>3.4716983792396032</v>
      </c>
      <c r="AA278" s="51">
        <f t="shared" si="27"/>
        <v>-2.3763264897430592</v>
      </c>
      <c r="AB278" s="52">
        <v>3</v>
      </c>
      <c r="AC278">
        <v>0</v>
      </c>
    </row>
    <row r="279" spans="1:29">
      <c r="A279" s="6">
        <v>2020</v>
      </c>
      <c r="B279" s="6" t="s">
        <v>245</v>
      </c>
      <c r="C279" s="7" t="s">
        <v>246</v>
      </c>
      <c r="D279" s="10">
        <v>695360000000</v>
      </c>
      <c r="E279" s="10">
        <v>1081687000000</v>
      </c>
      <c r="F279" s="10">
        <v>2011557000000</v>
      </c>
      <c r="G279" s="10">
        <f t="shared" si="38"/>
        <v>855449000000</v>
      </c>
      <c r="H279" s="10">
        <v>327851000000</v>
      </c>
      <c r="I279" s="10">
        <v>1183300000000</v>
      </c>
      <c r="J279" s="10">
        <v>828257000000</v>
      </c>
      <c r="K279" s="8">
        <v>23450000000</v>
      </c>
      <c r="L279" s="10">
        <v>1283331000000</v>
      </c>
      <c r="M279" s="10">
        <v>965172000000</v>
      </c>
      <c r="N279" s="9">
        <f>480135000000+7497000000</f>
        <v>487632000000</v>
      </c>
      <c r="O279" s="10">
        <v>1204972000000</v>
      </c>
      <c r="P279" s="10">
        <v>0</v>
      </c>
      <c r="Q279" s="51">
        <v>390</v>
      </c>
      <c r="R279" s="51">
        <f t="shared" si="29"/>
        <v>0.81285967953671112</v>
      </c>
      <c r="S279" s="51">
        <f t="shared" si="30"/>
        <v>0.39583245297051517</v>
      </c>
      <c r="T279" s="51">
        <f t="shared" si="39"/>
        <v>0.59902453671459477</v>
      </c>
      <c r="U279" s="51">
        <f t="shared" si="40"/>
        <v>1.4548286341075294</v>
      </c>
      <c r="V279" s="51">
        <f t="shared" si="41"/>
        <v>0.93894092794454431</v>
      </c>
      <c r="W279" s="58">
        <f t="shared" si="42"/>
        <v>0.24791655465347601</v>
      </c>
      <c r="X279" s="51">
        <f t="shared" si="25"/>
        <v>0</v>
      </c>
      <c r="Y279" s="58">
        <f t="shared" si="31"/>
        <v>0</v>
      </c>
      <c r="Z279" s="51">
        <f t="shared" si="26"/>
        <v>7.5898029165822942</v>
      </c>
      <c r="AA279" s="51">
        <f t="shared" si="27"/>
        <v>11.041862610276761</v>
      </c>
      <c r="AB279" s="52">
        <v>3</v>
      </c>
      <c r="AC279">
        <v>2</v>
      </c>
    </row>
    <row r="280" spans="1:29">
      <c r="A280" s="6">
        <v>2018</v>
      </c>
      <c r="B280" s="82" t="s">
        <v>249</v>
      </c>
      <c r="C280" s="7" t="s">
        <v>250</v>
      </c>
      <c r="D280" s="9">
        <v>1876409299238</v>
      </c>
      <c r="E280" s="10">
        <v>2222133112899</v>
      </c>
      <c r="F280" s="10">
        <v>4393810380883</v>
      </c>
      <c r="G280" s="10">
        <f t="shared" si="38"/>
        <v>525422150049</v>
      </c>
      <c r="H280" s="10">
        <v>951487110723</v>
      </c>
      <c r="I280" s="10">
        <v>1476909260772</v>
      </c>
      <c r="J280" s="10">
        <v>2916901120111</v>
      </c>
      <c r="K280" s="8">
        <v>17200000000</v>
      </c>
      <c r="L280" s="10">
        <v>2766545866684</v>
      </c>
      <c r="M280" s="10">
        <v>1274332759465</v>
      </c>
      <c r="N280" s="10">
        <f>1353753543617+2064517559</f>
        <v>1355818061176</v>
      </c>
      <c r="O280" s="10">
        <v>127171436363</v>
      </c>
      <c r="P280" s="10">
        <v>36005365328</v>
      </c>
      <c r="Q280" s="51">
        <v>1200</v>
      </c>
      <c r="R280" s="51">
        <f t="shared" si="29"/>
        <v>3.5712413324466987</v>
      </c>
      <c r="S280" s="51">
        <f t="shared" si="30"/>
        <v>0.32619793114097473</v>
      </c>
      <c r="T280" s="51">
        <f t="shared" si="39"/>
        <v>2.8943314649241429E-2</v>
      </c>
      <c r="U280" s="51">
        <f t="shared" si="40"/>
        <v>4.359813073065727E-2</v>
      </c>
      <c r="V280" s="51">
        <f t="shared" si="41"/>
        <v>4.5967586474692547E-2</v>
      </c>
      <c r="W280" s="58">
        <f t="shared" si="42"/>
        <v>0.53937768579545597</v>
      </c>
      <c r="X280" s="51">
        <f t="shared" si="25"/>
        <v>1.7444459945736436E-3</v>
      </c>
      <c r="Y280" s="58">
        <f t="shared" si="31"/>
        <v>0.28312462576286201</v>
      </c>
      <c r="Z280" s="74">
        <f t="shared" si="26"/>
        <v>162.30059666138303</v>
      </c>
      <c r="AA280" s="51">
        <f t="shared" si="27"/>
        <v>7.0760026309066539</v>
      </c>
      <c r="AB280" s="52">
        <v>3</v>
      </c>
      <c r="AC280">
        <v>2</v>
      </c>
    </row>
    <row r="281" spans="1:29">
      <c r="A281" s="6">
        <v>2019</v>
      </c>
      <c r="B281" s="6" t="s">
        <v>249</v>
      </c>
      <c r="C281" s="7" t="s">
        <v>250</v>
      </c>
      <c r="D281" s="9">
        <v>1874411044438</v>
      </c>
      <c r="E281" s="9">
        <v>2540413874692</v>
      </c>
      <c r="F281" s="10">
        <v>4682083844951</v>
      </c>
      <c r="G281" s="10">
        <f t="shared" si="38"/>
        <v>1106938318565</v>
      </c>
      <c r="H281" s="10">
        <v>482548147289</v>
      </c>
      <c r="I281" s="10">
        <v>1589486465854</v>
      </c>
      <c r="J281" s="10">
        <v>3092597379097</v>
      </c>
      <c r="K281" s="8">
        <v>17200000000</v>
      </c>
      <c r="L281" s="10">
        <v>3337022314624</v>
      </c>
      <c r="M281" s="10">
        <v>1487586425468</v>
      </c>
      <c r="N281" s="10">
        <f>1556060704391+5724203586+2223001439</f>
        <v>1564007909416</v>
      </c>
      <c r="O281" s="10">
        <v>236518557420</v>
      </c>
      <c r="P281" s="10">
        <v>59724779679</v>
      </c>
      <c r="Q281" s="51">
        <v>1300</v>
      </c>
      <c r="R281" s="51">
        <f t="shared" si="29"/>
        <v>1.6933292605390402</v>
      </c>
      <c r="S281" s="51">
        <f t="shared" si="30"/>
        <v>0.15603329115861117</v>
      </c>
      <c r="T281" s="51">
        <f t="shared" si="39"/>
        <v>5.0515660388067068E-2</v>
      </c>
      <c r="U281" s="51">
        <f t="shared" si="40"/>
        <v>7.6478936126195801E-2</v>
      </c>
      <c r="V281" s="51">
        <f t="shared" si="41"/>
        <v>7.0877127906365175E-2</v>
      </c>
      <c r="W281" s="58">
        <f t="shared" si="42"/>
        <v>0.55421741744162889</v>
      </c>
      <c r="X281" s="51">
        <f t="shared" si="25"/>
        <v>2.6710545473613593E-3</v>
      </c>
      <c r="Y281" s="58">
        <f t="shared" si="31"/>
        <v>0.25251625213045409</v>
      </c>
      <c r="Z281" s="51">
        <f t="shared" si="26"/>
        <v>94.538036439542566</v>
      </c>
      <c r="AA281" s="51">
        <f t="shared" si="27"/>
        <v>7.2301684503557473</v>
      </c>
      <c r="AB281" s="52">
        <v>3</v>
      </c>
      <c r="AC281">
        <v>2</v>
      </c>
    </row>
    <row r="282" spans="1:29">
      <c r="A282" s="6">
        <v>2020</v>
      </c>
      <c r="B282" s="82" t="s">
        <v>249</v>
      </c>
      <c r="C282" s="7" t="s">
        <v>250</v>
      </c>
      <c r="D282" s="9">
        <v>1549617329468</v>
      </c>
      <c r="E282" s="10">
        <v>2434486072405</v>
      </c>
      <c r="F282" s="10">
        <v>4452166671985</v>
      </c>
      <c r="G282" s="10">
        <f t="shared" si="38"/>
        <v>404567270700</v>
      </c>
      <c r="H282" s="10">
        <v>819928353554</v>
      </c>
      <c r="I282" s="10">
        <v>1224495624254</v>
      </c>
      <c r="J282" s="10">
        <v>3227671047731</v>
      </c>
      <c r="K282" s="8">
        <v>17200000000</v>
      </c>
      <c r="L282" s="10">
        <v>3212034546032</v>
      </c>
      <c r="M282" s="10">
        <v>1409870836152</v>
      </c>
      <c r="N282" s="10">
        <f>1598529737771+7485264504+18889290455</f>
        <v>1624904292730</v>
      </c>
      <c r="O282" s="10">
        <v>168610282478</v>
      </c>
      <c r="P282" s="10">
        <v>149528741987</v>
      </c>
      <c r="Q282" s="51">
        <v>1360</v>
      </c>
      <c r="R282" s="51">
        <f t="shared" si="29"/>
        <v>3.8303081877750129</v>
      </c>
      <c r="S282" s="51">
        <f t="shared" si="30"/>
        <v>0.25403095341156162</v>
      </c>
      <c r="T282" s="51">
        <f t="shared" si="39"/>
        <v>3.7871511760548052E-2</v>
      </c>
      <c r="U282" s="51">
        <f t="shared" si="40"/>
        <v>5.223899213537584E-2</v>
      </c>
      <c r="V282" s="51">
        <f t="shared" si="41"/>
        <v>5.249329671322913E-2</v>
      </c>
      <c r="W282" s="58">
        <f t="shared" si="42"/>
        <v>0.56106610438119675</v>
      </c>
      <c r="X282" s="51">
        <f t="shared" si="25"/>
        <v>6.3923025815235983E-3</v>
      </c>
      <c r="Y282" s="58">
        <f t="shared" si="31"/>
        <v>0.88683050517106077</v>
      </c>
      <c r="Z282" s="74">
        <f t="shared" si="26"/>
        <v>138.73412496685754</v>
      </c>
      <c r="AA282" s="51">
        <f t="shared" si="27"/>
        <v>7.2473308630519195</v>
      </c>
      <c r="AB282" s="52">
        <v>3</v>
      </c>
      <c r="AC282">
        <v>2</v>
      </c>
    </row>
    <row r="283" spans="1:29">
      <c r="A283" s="6">
        <v>2018</v>
      </c>
      <c r="B283" s="82" t="s">
        <v>251</v>
      </c>
      <c r="C283" s="7" t="s">
        <v>252</v>
      </c>
      <c r="D283" s="9">
        <v>851410216636</v>
      </c>
      <c r="E283" s="10">
        <v>582660258194</v>
      </c>
      <c r="F283" s="10">
        <v>1771365972009</v>
      </c>
      <c r="G283" s="10">
        <f t="shared" si="38"/>
        <v>615506825729</v>
      </c>
      <c r="H283" s="10">
        <v>115282593709</v>
      </c>
      <c r="I283" s="10">
        <v>730789419438</v>
      </c>
      <c r="J283" s="10">
        <v>1040576552571</v>
      </c>
      <c r="K283" s="8">
        <v>6500000000</v>
      </c>
      <c r="L283" s="10">
        <v>1953910957160</v>
      </c>
      <c r="M283" s="10">
        <v>1728304112505</v>
      </c>
      <c r="N283" s="10">
        <f>73318364644+107643678040</f>
        <v>180962042684</v>
      </c>
      <c r="O283" s="10">
        <v>15954632472</v>
      </c>
      <c r="P283" s="10">
        <v>0</v>
      </c>
      <c r="Q283" s="51">
        <v>695</v>
      </c>
      <c r="R283" s="51">
        <f t="shared" si="29"/>
        <v>1.3832668965573183</v>
      </c>
      <c r="S283" s="51">
        <f t="shared" si="30"/>
        <v>0.11078722985268699</v>
      </c>
      <c r="T283" s="51">
        <f t="shared" si="39"/>
        <v>9.0069656548189218E-3</v>
      </c>
      <c r="U283" s="51">
        <f t="shared" si="40"/>
        <v>1.5332492772953765E-2</v>
      </c>
      <c r="V283" s="51">
        <f t="shared" si="41"/>
        <v>8.1654859519238177E-3</v>
      </c>
      <c r="W283" s="58">
        <f t="shared" si="42"/>
        <v>0.11546424049073273</v>
      </c>
      <c r="X283" s="51">
        <f t="shared" si="25"/>
        <v>0</v>
      </c>
      <c r="Y283" s="58">
        <f t="shared" si="31"/>
        <v>0</v>
      </c>
      <c r="Z283" s="74">
        <f t="shared" si="26"/>
        <v>283.14660384237027</v>
      </c>
      <c r="AA283" s="51">
        <f t="shared" si="27"/>
        <v>4.3413432570995436</v>
      </c>
      <c r="AB283" s="52">
        <v>3</v>
      </c>
      <c r="AC283">
        <v>0</v>
      </c>
    </row>
    <row r="284" spans="1:29">
      <c r="A284" s="6">
        <v>2019</v>
      </c>
      <c r="B284" s="82" t="s">
        <v>251</v>
      </c>
      <c r="C284" s="7" t="s">
        <v>252</v>
      </c>
      <c r="D284" s="9">
        <v>889743651128</v>
      </c>
      <c r="E284" s="9">
        <v>602802562379</v>
      </c>
      <c r="F284" s="10">
        <v>1820383352811</v>
      </c>
      <c r="G284" s="10">
        <f t="shared" si="38"/>
        <v>668931501885</v>
      </c>
      <c r="H284" s="9">
        <v>115631469926</v>
      </c>
      <c r="I284" s="10">
        <v>784562971811</v>
      </c>
      <c r="J284" s="10">
        <v>1035820381000</v>
      </c>
      <c r="K284" s="8">
        <v>6500000000</v>
      </c>
      <c r="L284" s="10">
        <v>2104704872583</v>
      </c>
      <c r="M284" s="10">
        <v>1837650335553</v>
      </c>
      <c r="N284" s="10">
        <f>95900186652+120894683753+2695742567</f>
        <v>219490612972</v>
      </c>
      <c r="O284" s="10">
        <v>957169058</v>
      </c>
      <c r="P284" s="10">
        <v>0</v>
      </c>
      <c r="Q284" s="51">
        <v>410</v>
      </c>
      <c r="R284" s="51">
        <f t="shared" si="29"/>
        <v>1.3300968015720107</v>
      </c>
      <c r="S284" s="51">
        <f t="shared" si="30"/>
        <v>0.11163274255558407</v>
      </c>
      <c r="T284" s="51">
        <f t="shared" si="39"/>
        <v>5.2580631245718575E-4</v>
      </c>
      <c r="U284" s="51">
        <f t="shared" si="40"/>
        <v>9.2406856976103469E-4</v>
      </c>
      <c r="V284" s="51">
        <f t="shared" si="41"/>
        <v>4.5477590253559583E-4</v>
      </c>
      <c r="W284" s="58">
        <f t="shared" si="42"/>
        <v>0.12688455303581694</v>
      </c>
      <c r="X284" s="51">
        <f t="shared" si="25"/>
        <v>0</v>
      </c>
      <c r="Y284" s="58">
        <f t="shared" si="31"/>
        <v>0</v>
      </c>
      <c r="Z284" s="74">
        <f t="shared" si="26"/>
        <v>2784.2521420077078</v>
      </c>
      <c r="AA284" s="51">
        <f t="shared" si="27"/>
        <v>2.5728398947191597</v>
      </c>
      <c r="AB284" s="52">
        <v>3</v>
      </c>
      <c r="AC284">
        <v>0</v>
      </c>
    </row>
    <row r="285" spans="1:29">
      <c r="A285" s="6">
        <v>2020</v>
      </c>
      <c r="B285" s="82" t="s">
        <v>251</v>
      </c>
      <c r="C285" s="7" t="s">
        <v>252</v>
      </c>
      <c r="D285" s="9">
        <v>953792483691</v>
      </c>
      <c r="E285" s="10">
        <v>440748401586</v>
      </c>
      <c r="F285" s="10">
        <v>1768660546754</v>
      </c>
      <c r="G285" s="10">
        <f t="shared" si="38"/>
        <v>701020837232</v>
      </c>
      <c r="H285" s="10">
        <v>105658050187</v>
      </c>
      <c r="I285" s="10">
        <v>806678887419</v>
      </c>
      <c r="J285" s="10">
        <v>961981659335</v>
      </c>
      <c r="K285" s="8">
        <v>6500000000</v>
      </c>
      <c r="L285" s="10">
        <v>3165530224724</v>
      </c>
      <c r="M285" s="10">
        <v>2850011161450</v>
      </c>
      <c r="N285" s="10">
        <f>123892703496+123380975540+21272443611</f>
        <v>268546122647</v>
      </c>
      <c r="O285" s="10">
        <v>5415741808</v>
      </c>
      <c r="P285" s="10">
        <v>0</v>
      </c>
      <c r="Q285" s="51">
        <v>324</v>
      </c>
      <c r="R285" s="51">
        <f t="shared" si="29"/>
        <v>1.3605765093332687</v>
      </c>
      <c r="S285" s="51">
        <f t="shared" si="30"/>
        <v>0.10983374699683926</v>
      </c>
      <c r="T285" s="51">
        <f t="shared" si="39"/>
        <v>3.0620583570654309E-3</v>
      </c>
      <c r="U285" s="51">
        <f t="shared" si="40"/>
        <v>5.6297765715656173E-3</v>
      </c>
      <c r="V285" s="51">
        <f t="shared" si="41"/>
        <v>1.7108482382196157E-3</v>
      </c>
      <c r="W285" s="58">
        <f t="shared" si="42"/>
        <v>9.9673369348893148E-2</v>
      </c>
      <c r="X285" s="51">
        <f t="shared" si="25"/>
        <v>0</v>
      </c>
      <c r="Y285" s="58">
        <f t="shared" si="31"/>
        <v>0</v>
      </c>
      <c r="Z285" s="74">
        <f t="shared" si="26"/>
        <v>388.86639626894117</v>
      </c>
      <c r="AA285" s="51">
        <f t="shared" si="27"/>
        <v>2.1892309271840364</v>
      </c>
      <c r="AB285" s="52">
        <v>3</v>
      </c>
      <c r="AC285">
        <v>0</v>
      </c>
    </row>
    <row r="286" spans="1:29">
      <c r="A286" s="6">
        <v>2018</v>
      </c>
      <c r="B286" s="6" t="s">
        <v>253</v>
      </c>
      <c r="C286" s="7" t="s">
        <v>254</v>
      </c>
      <c r="D286" s="9">
        <v>2793521000000</v>
      </c>
      <c r="E286" s="10">
        <v>1453135000000</v>
      </c>
      <c r="F286" s="10">
        <v>5555871000000</v>
      </c>
      <c r="G286" s="10">
        <f t="shared" si="38"/>
        <v>635161000000</v>
      </c>
      <c r="H286" s="9">
        <v>145754000000</v>
      </c>
      <c r="I286" s="10">
        <v>780915000000</v>
      </c>
      <c r="J286" s="10">
        <v>4774956000000</v>
      </c>
      <c r="K286" s="8">
        <v>30000000000</v>
      </c>
      <c r="L286" s="10">
        <v>5472882000000</v>
      </c>
      <c r="M286" s="10">
        <v>3516606000000</v>
      </c>
      <c r="N286" s="10">
        <f>196900000000+855358000000</f>
        <v>1052258000000</v>
      </c>
      <c r="O286" s="10">
        <v>701607000000</v>
      </c>
      <c r="P286" s="10">
        <v>159119000000</v>
      </c>
      <c r="Q286" s="51">
        <v>1350</v>
      </c>
      <c r="R286" s="51">
        <f t="shared" si="29"/>
        <v>4.398130552726002</v>
      </c>
      <c r="S286" s="51">
        <f t="shared" si="30"/>
        <v>3.0524679180289827E-2</v>
      </c>
      <c r="T286" s="51">
        <f t="shared" si="39"/>
        <v>0.12628208970294666</v>
      </c>
      <c r="U286" s="51">
        <f t="shared" si="40"/>
        <v>0.14693475709514392</v>
      </c>
      <c r="V286" s="51">
        <f t="shared" si="41"/>
        <v>0.12819699017811823</v>
      </c>
      <c r="W286" s="58">
        <f t="shared" si="42"/>
        <v>0.35744896381833191</v>
      </c>
      <c r="X286" s="51">
        <f t="shared" si="25"/>
        <v>3.9288641975308639E-3</v>
      </c>
      <c r="Y286" s="58">
        <f t="shared" si="31"/>
        <v>0.22679220703328218</v>
      </c>
      <c r="Z286" s="51">
        <f t="shared" si="26"/>
        <v>57.724623614074545</v>
      </c>
      <c r="AA286" s="51">
        <f t="shared" si="27"/>
        <v>8.4817535491426526</v>
      </c>
      <c r="AB286" s="52">
        <v>3</v>
      </c>
      <c r="AC286">
        <v>2</v>
      </c>
    </row>
    <row r="287" spans="1:29">
      <c r="A287" s="6">
        <v>2019</v>
      </c>
      <c r="B287" s="6" t="s">
        <v>253</v>
      </c>
      <c r="C287" s="7" t="s">
        <v>254</v>
      </c>
      <c r="D287" s="9">
        <v>3716641000000</v>
      </c>
      <c r="E287" s="10">
        <v>1556666000000</v>
      </c>
      <c r="F287" s="9">
        <v>6608422000000</v>
      </c>
      <c r="G287" s="10">
        <f t="shared" si="38"/>
        <v>836314000000</v>
      </c>
      <c r="H287" s="9">
        <v>116969000000</v>
      </c>
      <c r="I287" s="10">
        <v>953283000000</v>
      </c>
      <c r="J287" s="10">
        <v>5655139000000</v>
      </c>
      <c r="K287" s="8">
        <v>30000000000</v>
      </c>
      <c r="L287" s="10">
        <v>6223057000000</v>
      </c>
      <c r="M287" s="10">
        <v>3881051000000</v>
      </c>
      <c r="N287" s="10">
        <f>202883000000+908877000000</f>
        <v>1111760000000</v>
      </c>
      <c r="O287" s="10">
        <v>1035865000000</v>
      </c>
      <c r="P287" s="10">
        <v>149933000000</v>
      </c>
      <c r="Q287" s="51">
        <v>1680</v>
      </c>
      <c r="R287" s="51">
        <f t="shared" si="29"/>
        <v>4.4440736374136991</v>
      </c>
      <c r="S287" s="51">
        <f t="shared" si="30"/>
        <v>2.068366489311757E-2</v>
      </c>
      <c r="T287" s="51">
        <f t="shared" si="39"/>
        <v>0.15674922091839777</v>
      </c>
      <c r="U287" s="51">
        <f t="shared" si="40"/>
        <v>0.1831723322804267</v>
      </c>
      <c r="V287" s="51">
        <f t="shared" si="41"/>
        <v>0.16645597171936558</v>
      </c>
      <c r="W287" s="58">
        <f t="shared" si="42"/>
        <v>0.37634333093847605</v>
      </c>
      <c r="X287" s="51">
        <f t="shared" si="25"/>
        <v>2.9748611111111108E-3</v>
      </c>
      <c r="Y287" s="58">
        <f t="shared" si="31"/>
        <v>0.14474183411931091</v>
      </c>
      <c r="Z287" s="51">
        <f t="shared" si="26"/>
        <v>48.654988825763979</v>
      </c>
      <c r="AA287" s="51">
        <f t="shared" si="27"/>
        <v>8.9122477802932867</v>
      </c>
      <c r="AB287" s="52">
        <v>3</v>
      </c>
      <c r="AC287">
        <v>2</v>
      </c>
    </row>
    <row r="288" spans="1:29">
      <c r="A288" s="6">
        <v>2020</v>
      </c>
      <c r="B288" s="6" t="s">
        <v>253</v>
      </c>
      <c r="C288" s="7" t="s">
        <v>254</v>
      </c>
      <c r="D288" s="9">
        <v>5593421000000</v>
      </c>
      <c r="E288" s="10">
        <v>1715401000000</v>
      </c>
      <c r="F288" s="10">
        <v>8754116000000</v>
      </c>
      <c r="G288" s="10">
        <f t="shared" si="38"/>
        <v>2327339000000</v>
      </c>
      <c r="H288" s="9">
        <v>1645040000000</v>
      </c>
      <c r="I288" s="10">
        <v>3972379000000</v>
      </c>
      <c r="J288" s="10">
        <v>4781737000000</v>
      </c>
      <c r="K288" s="8">
        <v>30000000000</v>
      </c>
      <c r="L288" s="10">
        <v>5967362000000</v>
      </c>
      <c r="M288" s="10">
        <v>3738835000000</v>
      </c>
      <c r="N288" s="10">
        <f>773759000000+231175000000</f>
        <v>1004934000000</v>
      </c>
      <c r="O288" s="10">
        <v>1109666000000</v>
      </c>
      <c r="P288" s="10">
        <v>70536000000</v>
      </c>
      <c r="Q288" s="51">
        <v>1600</v>
      </c>
      <c r="R288" s="51">
        <f t="shared" si="29"/>
        <v>2.4033546466586948</v>
      </c>
      <c r="S288" s="51">
        <f t="shared" si="30"/>
        <v>0.34402561245003649</v>
      </c>
      <c r="T288" s="51">
        <f t="shared" si="39"/>
        <v>0.12675934383323229</v>
      </c>
      <c r="U288" s="51">
        <f t="shared" si="40"/>
        <v>0.23206336944085382</v>
      </c>
      <c r="V288" s="51">
        <f t="shared" si="41"/>
        <v>0.1859558712878488</v>
      </c>
      <c r="W288" s="58">
        <f t="shared" si="42"/>
        <v>0.37345262445951827</v>
      </c>
      <c r="X288" s="51">
        <f t="shared" si="25"/>
        <v>1.4694999999999999E-3</v>
      </c>
      <c r="Y288" s="58">
        <f t="shared" si="31"/>
        <v>6.3565072733597322E-2</v>
      </c>
      <c r="Z288" s="51">
        <f t="shared" si="26"/>
        <v>43.256259090573202</v>
      </c>
      <c r="AA288" s="51">
        <f t="shared" si="27"/>
        <v>10.03819323396498</v>
      </c>
      <c r="AB288" s="52">
        <v>3</v>
      </c>
      <c r="AC288">
        <v>2</v>
      </c>
    </row>
    <row r="289" spans="1:29">
      <c r="A289" s="6">
        <v>2018</v>
      </c>
      <c r="B289" s="6" t="s">
        <v>493</v>
      </c>
      <c r="C289" s="49" t="s">
        <v>494</v>
      </c>
      <c r="D289" s="64">
        <v>109504732067</v>
      </c>
      <c r="E289" s="64">
        <v>20070236365</v>
      </c>
      <c r="F289" s="64">
        <v>149593161546</v>
      </c>
      <c r="G289" s="10">
        <f t="shared" si="38"/>
        <v>91524875312</v>
      </c>
      <c r="H289" s="64">
        <v>18204157687</v>
      </c>
      <c r="I289" s="64">
        <v>109729032999</v>
      </c>
      <c r="J289" s="64">
        <v>39864128547</v>
      </c>
      <c r="K289" s="67">
        <v>410000000</v>
      </c>
      <c r="L289" s="64">
        <v>294974459837</v>
      </c>
      <c r="M289" s="64">
        <v>280921903141</v>
      </c>
      <c r="N289" s="64">
        <v>10402688202</v>
      </c>
      <c r="O289" s="10">
        <v>1175166829</v>
      </c>
      <c r="P289" s="10">
        <v>0</v>
      </c>
      <c r="Q289" s="51">
        <v>177</v>
      </c>
      <c r="R289" s="51">
        <f t="shared" si="29"/>
        <v>1.1964477601713011</v>
      </c>
      <c r="S289" s="51">
        <f t="shared" si="30"/>
        <v>0.45665510198064935</v>
      </c>
      <c r="T289" s="51">
        <f t="shared" si="39"/>
        <v>7.8557523409159002E-3</v>
      </c>
      <c r="U289" s="51">
        <f t="shared" si="40"/>
        <v>2.9479305627225054E-2</v>
      </c>
      <c r="V289" s="51">
        <f t="shared" si="41"/>
        <v>3.9839612882057165E-3</v>
      </c>
      <c r="W289" s="58">
        <f t="shared" si="42"/>
        <v>4.7639909922253289E-2</v>
      </c>
      <c r="X289" s="51">
        <f t="shared" si="25"/>
        <v>0</v>
      </c>
      <c r="Y289" s="58">
        <f t="shared" si="31"/>
        <v>0</v>
      </c>
      <c r="Z289" s="51">
        <f t="shared" si="26"/>
        <v>61.752934314656358</v>
      </c>
      <c r="AA289" s="51">
        <f t="shared" si="27"/>
        <v>1.8204336240397083</v>
      </c>
      <c r="AB289" s="52">
        <v>3</v>
      </c>
      <c r="AC289">
        <v>0</v>
      </c>
    </row>
    <row r="290" spans="1:29">
      <c r="A290" s="6">
        <v>2019</v>
      </c>
      <c r="B290" s="6" t="s">
        <v>493</v>
      </c>
      <c r="C290" s="49" t="s">
        <v>494</v>
      </c>
      <c r="D290" s="64">
        <v>91858799351</v>
      </c>
      <c r="E290" s="64">
        <v>26479936122</v>
      </c>
      <c r="F290" s="64">
        <v>119708955785</v>
      </c>
      <c r="G290" s="10">
        <f t="shared" si="38"/>
        <v>61591309603</v>
      </c>
      <c r="H290" s="64">
        <v>18153246392</v>
      </c>
      <c r="I290" s="64">
        <v>79744555995</v>
      </c>
      <c r="J290" s="64">
        <v>39964399790</v>
      </c>
      <c r="K290" s="67">
        <v>410000000</v>
      </c>
      <c r="L290" s="64">
        <v>230646056647</v>
      </c>
      <c r="M290" s="64">
        <v>214744883946</v>
      </c>
      <c r="N290" s="64">
        <v>14783897082</v>
      </c>
      <c r="O290" s="10">
        <v>1236402757</v>
      </c>
      <c r="P290" s="10">
        <v>0</v>
      </c>
      <c r="Q290" s="51">
        <v>113</v>
      </c>
      <c r="R290" s="51">
        <f t="shared" si="29"/>
        <v>1.4914246822010377</v>
      </c>
      <c r="S290" s="51">
        <f t="shared" si="30"/>
        <v>0.45423543171896591</v>
      </c>
      <c r="T290" s="51">
        <f t="shared" si="39"/>
        <v>1.0328406499682509E-2</v>
      </c>
      <c r="U290" s="51">
        <f t="shared" si="40"/>
        <v>3.0937603554586E-2</v>
      </c>
      <c r="V290" s="51">
        <f t="shared" si="41"/>
        <v>5.3606065283496006E-3</v>
      </c>
      <c r="W290" s="58">
        <f t="shared" si="42"/>
        <v>6.894187974493092E-2</v>
      </c>
      <c r="X290" s="51">
        <f t="shared" si="25"/>
        <v>0</v>
      </c>
      <c r="Y290" s="58">
        <f t="shared" si="31"/>
        <v>0</v>
      </c>
      <c r="Z290" s="51">
        <f t="shared" si="26"/>
        <v>37.471608452584519</v>
      </c>
      <c r="AA290" s="51">
        <f t="shared" si="27"/>
        <v>1.1592817668587336</v>
      </c>
      <c r="AB290" s="52">
        <v>3</v>
      </c>
      <c r="AC290">
        <v>0</v>
      </c>
    </row>
    <row r="291" spans="1:29">
      <c r="A291" s="6">
        <v>2020</v>
      </c>
      <c r="B291" s="82" t="s">
        <v>493</v>
      </c>
      <c r="C291" s="49" t="s">
        <v>494</v>
      </c>
      <c r="D291" s="64">
        <v>86854604000</v>
      </c>
      <c r="E291" s="64">
        <v>24865991822</v>
      </c>
      <c r="F291" s="64">
        <v>112591210595</v>
      </c>
      <c r="G291" s="10">
        <f t="shared" si="38"/>
        <v>54985764683</v>
      </c>
      <c r="H291" s="64">
        <v>17640556856</v>
      </c>
      <c r="I291" s="64">
        <v>72626321539</v>
      </c>
      <c r="J291" s="64">
        <v>39964889056</v>
      </c>
      <c r="K291" s="67">
        <v>410000000</v>
      </c>
      <c r="L291" s="64">
        <v>180460605151</v>
      </c>
      <c r="M291" s="64">
        <v>164844653179</v>
      </c>
      <c r="N291" s="64">
        <v>12846383369</v>
      </c>
      <c r="O291" s="10">
        <v>224178056</v>
      </c>
      <c r="P291" s="10">
        <v>0</v>
      </c>
      <c r="Q291" s="51">
        <v>116</v>
      </c>
      <c r="R291" s="51">
        <f t="shared" si="29"/>
        <v>1.579583452203092</v>
      </c>
      <c r="S291" s="51">
        <f t="shared" si="30"/>
        <v>0.44140137187123235</v>
      </c>
      <c r="T291" s="51">
        <f t="shared" si="39"/>
        <v>1.991079541780461E-3</v>
      </c>
      <c r="U291" s="51">
        <f t="shared" si="40"/>
        <v>5.6093751614291979E-3</v>
      </c>
      <c r="V291" s="51">
        <f t="shared" si="41"/>
        <v>1.2422548168472534E-3</v>
      </c>
      <c r="W291" s="58">
        <f t="shared" si="42"/>
        <v>8.6533855735069651E-2</v>
      </c>
      <c r="X291" s="51">
        <f t="shared" si="25"/>
        <v>0</v>
      </c>
      <c r="Y291" s="58">
        <f t="shared" si="31"/>
        <v>0</v>
      </c>
      <c r="Z291" s="74">
        <f t="shared" si="26"/>
        <v>212.15278983416647</v>
      </c>
      <c r="AA291" s="51">
        <f t="shared" si="27"/>
        <v>1.1900445897236822</v>
      </c>
      <c r="AB291" s="52">
        <v>3</v>
      </c>
      <c r="AC291">
        <v>0</v>
      </c>
    </row>
    <row r="292" spans="1:29">
      <c r="A292" s="6">
        <v>2018</v>
      </c>
      <c r="B292" s="6" t="s">
        <v>495</v>
      </c>
      <c r="C292" s="49" t="s">
        <v>496</v>
      </c>
      <c r="D292" s="64">
        <v>1250806822918</v>
      </c>
      <c r="E292" s="64">
        <v>1096143561950</v>
      </c>
      <c r="F292" s="64">
        <v>2631189810030</v>
      </c>
      <c r="G292" s="10">
        <f t="shared" si="38"/>
        <v>676673564908</v>
      </c>
      <c r="H292" s="64">
        <v>308128298170</v>
      </c>
      <c r="I292" s="64">
        <v>984801863078</v>
      </c>
      <c r="J292" s="64">
        <v>1646387946952</v>
      </c>
      <c r="K292" s="67">
        <v>1310000000</v>
      </c>
      <c r="L292" s="64">
        <v>2826957323397</v>
      </c>
      <c r="M292" s="64">
        <v>2207268926068</v>
      </c>
      <c r="N292" s="64">
        <f>168669440713+112859616510</f>
        <v>281529057223</v>
      </c>
      <c r="O292" s="10">
        <v>255088886019</v>
      </c>
      <c r="P292" s="10">
        <v>0</v>
      </c>
      <c r="Q292" s="51">
        <v>3750</v>
      </c>
      <c r="R292" s="51">
        <f t="shared" si="29"/>
        <v>1.8484641454673327</v>
      </c>
      <c r="S292" s="51">
        <f t="shared" si="30"/>
        <v>0.18715412654741903</v>
      </c>
      <c r="T292" s="51">
        <f t="shared" si="39"/>
        <v>9.6948112616813284E-2</v>
      </c>
      <c r="U292" s="51">
        <f t="shared" si="40"/>
        <v>0.15493850431257866</v>
      </c>
      <c r="V292" s="51">
        <f t="shared" si="41"/>
        <v>9.0234431170143611E-2</v>
      </c>
      <c r="W292" s="58">
        <f t="shared" si="42"/>
        <v>0.21920684553679584</v>
      </c>
      <c r="X292" s="51">
        <f t="shared" si="25"/>
        <v>0</v>
      </c>
      <c r="Y292" s="58">
        <f t="shared" si="31"/>
        <v>0</v>
      </c>
      <c r="Z292" s="51">
        <f t="shared" si="26"/>
        <v>19.25799307318351</v>
      </c>
      <c r="AA292" s="51">
        <f t="shared" si="27"/>
        <v>2.9838046428210538</v>
      </c>
      <c r="AB292" s="52">
        <v>3</v>
      </c>
      <c r="AC292">
        <v>0</v>
      </c>
    </row>
    <row r="293" spans="1:29">
      <c r="A293" s="6">
        <v>2019</v>
      </c>
      <c r="B293" s="6" t="s">
        <v>495</v>
      </c>
      <c r="C293" s="49" t="s">
        <v>496</v>
      </c>
      <c r="D293" s="64">
        <v>1165406301686</v>
      </c>
      <c r="E293" s="64">
        <v>1124520287704</v>
      </c>
      <c r="F293" s="64">
        <v>2881563083954</v>
      </c>
      <c r="G293" s="10">
        <f t="shared" si="38"/>
        <v>408490550651</v>
      </c>
      <c r="H293" s="64">
        <v>325065525323</v>
      </c>
      <c r="I293" s="64">
        <v>733556075974</v>
      </c>
      <c r="J293" s="64">
        <v>2148007007980</v>
      </c>
      <c r="K293" s="67">
        <v>1310000000</v>
      </c>
      <c r="L293" s="64">
        <v>3512509168853</v>
      </c>
      <c r="M293" s="64">
        <v>2559476265555</v>
      </c>
      <c r="N293" s="64">
        <f>217197578067+116602280672</f>
        <v>333799858739</v>
      </c>
      <c r="O293" s="10">
        <v>482590522840</v>
      </c>
      <c r="P293" s="10">
        <v>0</v>
      </c>
      <c r="Q293" s="51">
        <v>4500</v>
      </c>
      <c r="R293" s="51">
        <f t="shared" si="29"/>
        <v>2.852957797502842</v>
      </c>
      <c r="S293" s="51">
        <f t="shared" si="30"/>
        <v>0.15133354971159696</v>
      </c>
      <c r="T293" s="51">
        <f t="shared" si="39"/>
        <v>0.16747525866336505</v>
      </c>
      <c r="U293" s="51">
        <f t="shared" si="40"/>
        <v>0.22466897037446415</v>
      </c>
      <c r="V293" s="51">
        <f t="shared" si="41"/>
        <v>0.13739196102869919</v>
      </c>
      <c r="W293" s="58">
        <f t="shared" si="42"/>
        <v>0.27132538521150973</v>
      </c>
      <c r="X293" s="51">
        <f t="shared" si="25"/>
        <v>0</v>
      </c>
      <c r="Y293" s="58">
        <f t="shared" si="31"/>
        <v>0</v>
      </c>
      <c r="Z293" s="51">
        <f t="shared" si="26"/>
        <v>12.215324837521628</v>
      </c>
      <c r="AA293" s="51">
        <f t="shared" si="27"/>
        <v>2.7444044540356027</v>
      </c>
      <c r="AB293" s="52">
        <v>3</v>
      </c>
      <c r="AC293">
        <v>2</v>
      </c>
    </row>
    <row r="294" spans="1:29">
      <c r="A294" s="6">
        <v>2020</v>
      </c>
      <c r="B294" s="6" t="s">
        <v>495</v>
      </c>
      <c r="C294" s="49" t="s">
        <v>496</v>
      </c>
      <c r="D294" s="64">
        <v>1505872822478</v>
      </c>
      <c r="E294" s="64">
        <v>1538988540784</v>
      </c>
      <c r="F294" s="64">
        <v>3448995059882</v>
      </c>
      <c r="G294" s="10">
        <f t="shared" si="38"/>
        <v>626131203549</v>
      </c>
      <c r="H294" s="64">
        <v>149565657189</v>
      </c>
      <c r="I294" s="64">
        <v>775696860738</v>
      </c>
      <c r="J294" s="64">
        <v>2673298199144</v>
      </c>
      <c r="K294" s="67">
        <v>1310000000</v>
      </c>
      <c r="L294" s="64">
        <v>3846300254825</v>
      </c>
      <c r="M294" s="64">
        <v>2776101376253</v>
      </c>
      <c r="N294" s="64">
        <f>180762094952+140809830176</f>
        <v>321571925128</v>
      </c>
      <c r="O294" s="10">
        <v>628628879549</v>
      </c>
      <c r="P294" s="10">
        <v>0</v>
      </c>
      <c r="Q294" s="51">
        <v>9500</v>
      </c>
      <c r="R294" s="51">
        <f t="shared" si="29"/>
        <v>2.4050435658572842</v>
      </c>
      <c r="S294" s="51">
        <f t="shared" si="30"/>
        <v>5.5947988607066533E-2</v>
      </c>
      <c r="T294" s="51">
        <f t="shared" si="39"/>
        <v>0.18226436067162916</v>
      </c>
      <c r="U294" s="51">
        <f t="shared" si="40"/>
        <v>0.2351510503954588</v>
      </c>
      <c r="V294" s="51">
        <f t="shared" si="41"/>
        <v>0.16343728723736922</v>
      </c>
      <c r="W294" s="58">
        <f t="shared" si="42"/>
        <v>0.27824111683155434</v>
      </c>
      <c r="X294" s="51">
        <f t="shared" si="25"/>
        <v>0</v>
      </c>
      <c r="Y294" s="58">
        <f t="shared" si="31"/>
        <v>0</v>
      </c>
      <c r="Z294" s="51">
        <f t="shared" si="26"/>
        <v>19.797054199814159</v>
      </c>
      <c r="AA294" s="51">
        <f t="shared" si="27"/>
        <v>4.6552980898221286</v>
      </c>
      <c r="AB294" s="52">
        <v>3</v>
      </c>
      <c r="AC294">
        <v>2</v>
      </c>
    </row>
    <row r="295" spans="1:29">
      <c r="A295" s="6">
        <v>2018</v>
      </c>
      <c r="B295" s="6" t="s">
        <v>497</v>
      </c>
      <c r="C295" s="49" t="s">
        <v>498</v>
      </c>
      <c r="D295" s="64">
        <v>809166450672</v>
      </c>
      <c r="E295" s="64">
        <v>200024117988</v>
      </c>
      <c r="F295" s="64">
        <v>1168956042706</v>
      </c>
      <c r="G295" s="10">
        <f t="shared" si="38"/>
        <v>158255592250</v>
      </c>
      <c r="H295" s="64">
        <v>34052874614</v>
      </c>
      <c r="I295" s="64">
        <v>192308466864</v>
      </c>
      <c r="J295" s="64">
        <v>976647575842</v>
      </c>
      <c r="K295" s="67">
        <v>595000000</v>
      </c>
      <c r="L295" s="64">
        <v>3629327583572</v>
      </c>
      <c r="M295" s="64">
        <v>3354976550553</v>
      </c>
      <c r="N295" s="64">
        <f>77735839903+48951237291</f>
        <v>126687077194</v>
      </c>
      <c r="O295" s="10">
        <v>92649656775</v>
      </c>
      <c r="P295" s="10">
        <v>26711383500</v>
      </c>
      <c r="Q295" s="51">
        <v>1375</v>
      </c>
      <c r="R295" s="51">
        <f t="shared" si="29"/>
        <v>5.1130354331728203</v>
      </c>
      <c r="S295" s="51">
        <f t="shared" si="30"/>
        <v>3.486710606396775E-2</v>
      </c>
      <c r="T295" s="51">
        <f t="shared" si="39"/>
        <v>7.9258460874650688E-2</v>
      </c>
      <c r="U295" s="51">
        <f t="shared" si="40"/>
        <v>9.4864984121957902E-2</v>
      </c>
      <c r="V295" s="51">
        <f t="shared" si="41"/>
        <v>2.5528050208081191E-2</v>
      </c>
      <c r="W295" s="58">
        <f t="shared" si="42"/>
        <v>7.5592799685770581E-2</v>
      </c>
      <c r="X295" s="51">
        <f t="shared" si="25"/>
        <v>3.2649513827349125E-2</v>
      </c>
      <c r="Y295" s="58">
        <f t="shared" si="31"/>
        <v>0.28830526123662481</v>
      </c>
      <c r="Z295" s="51">
        <f t="shared" si="26"/>
        <v>8.830307941526641</v>
      </c>
      <c r="AA295" s="51">
        <f t="shared" si="27"/>
        <v>0.83768702266492345</v>
      </c>
      <c r="AB295" s="52">
        <v>3</v>
      </c>
      <c r="AC295">
        <v>0</v>
      </c>
    </row>
    <row r="296" spans="1:29">
      <c r="A296" s="6">
        <v>2019</v>
      </c>
      <c r="B296" s="6" t="s">
        <v>497</v>
      </c>
      <c r="C296" s="49" t="s">
        <v>498</v>
      </c>
      <c r="D296" s="64">
        <v>1067652078121</v>
      </c>
      <c r="E296" s="64">
        <v>195283411192</v>
      </c>
      <c r="F296" s="64">
        <v>1393079542074</v>
      </c>
      <c r="G296" s="10">
        <f t="shared" si="38"/>
        <v>222440530626</v>
      </c>
      <c r="H296" s="64">
        <v>39344314614</v>
      </c>
      <c r="I296" s="64">
        <v>261784845240</v>
      </c>
      <c r="J296" s="64">
        <v>1131294696834</v>
      </c>
      <c r="K296" s="67">
        <v>595000000</v>
      </c>
      <c r="L296" s="64">
        <v>3120937098980</v>
      </c>
      <c r="M296" s="64">
        <v>2755574838991</v>
      </c>
      <c r="N296" s="64">
        <f>48951237291+44598253533</f>
        <v>93549490824</v>
      </c>
      <c r="O296" s="10">
        <v>215459200242</v>
      </c>
      <c r="P296" s="10">
        <v>59408630000</v>
      </c>
      <c r="Q296" s="51">
        <v>1670</v>
      </c>
      <c r="R296" s="51">
        <f t="shared" si="29"/>
        <v>4.7997191659108873</v>
      </c>
      <c r="S296" s="51">
        <f t="shared" si="30"/>
        <v>3.4778130511976729E-2</v>
      </c>
      <c r="T296" s="51">
        <f t="shared" si="39"/>
        <v>0.15466396119867423</v>
      </c>
      <c r="U296" s="51">
        <f t="shared" si="40"/>
        <v>0.19045364646804785</v>
      </c>
      <c r="V296" s="51">
        <f t="shared" si="41"/>
        <v>6.9036700647513036E-2</v>
      </c>
      <c r="W296" s="58">
        <f t="shared" si="42"/>
        <v>0.11706812678423076</v>
      </c>
      <c r="X296" s="51">
        <f t="shared" si="25"/>
        <v>5.9788285613646651E-2</v>
      </c>
      <c r="Y296" s="58">
        <f t="shared" si="31"/>
        <v>0.27573030036904095</v>
      </c>
      <c r="Z296" s="51">
        <f t="shared" si="26"/>
        <v>4.6117780019787951</v>
      </c>
      <c r="AA296" s="51">
        <f t="shared" si="27"/>
        <v>0.87832993717798957</v>
      </c>
      <c r="AB296" s="52">
        <v>3</v>
      </c>
      <c r="AC296">
        <v>0</v>
      </c>
    </row>
    <row r="297" spans="1:29">
      <c r="A297" s="6">
        <v>2020</v>
      </c>
      <c r="B297" s="6" t="s">
        <v>497</v>
      </c>
      <c r="C297" s="49" t="s">
        <v>498</v>
      </c>
      <c r="D297" s="64">
        <v>1266586465994</v>
      </c>
      <c r="E297" s="64">
        <v>204186009945</v>
      </c>
      <c r="F297" s="64">
        <v>1566673828068</v>
      </c>
      <c r="G297" s="10">
        <f t="shared" si="38"/>
        <v>271641005590</v>
      </c>
      <c r="H297" s="64">
        <v>34317827614</v>
      </c>
      <c r="I297" s="64">
        <v>305958833204</v>
      </c>
      <c r="J297" s="64">
        <v>1260714994864</v>
      </c>
      <c r="K297" s="67">
        <v>595000000</v>
      </c>
      <c r="L297" s="64">
        <v>3634297273749</v>
      </c>
      <c r="M297" s="64">
        <v>3299157338979</v>
      </c>
      <c r="N297" s="64">
        <f>79134141192+51430321036</f>
        <v>130564462228</v>
      </c>
      <c r="O297" s="10">
        <v>181812593992</v>
      </c>
      <c r="P297" s="10">
        <v>59416540000</v>
      </c>
      <c r="Q297" s="51">
        <v>1785</v>
      </c>
      <c r="R297" s="51">
        <f t="shared" si="29"/>
        <v>4.6627219010730503</v>
      </c>
      <c r="S297" s="51">
        <f t="shared" si="30"/>
        <v>2.7220924438756317E-2</v>
      </c>
      <c r="T297" s="51">
        <f t="shared" si="39"/>
        <v>0.11605006143251191</v>
      </c>
      <c r="U297" s="51">
        <f t="shared" si="40"/>
        <v>0.14421387445432352</v>
      </c>
      <c r="V297" s="51">
        <f t="shared" si="41"/>
        <v>5.0026891114619575E-2</v>
      </c>
      <c r="W297" s="58">
        <f t="shared" si="42"/>
        <v>9.2215883711758845E-2</v>
      </c>
      <c r="X297" s="51">
        <f t="shared" si="25"/>
        <v>5.594382694254172E-2</v>
      </c>
      <c r="Y297" s="58">
        <f t="shared" si="31"/>
        <v>0.32680101358992991</v>
      </c>
      <c r="Z297" s="51">
        <f t="shared" si="26"/>
        <v>5.8415920299048851</v>
      </c>
      <c r="AA297" s="51">
        <f t="shared" si="27"/>
        <v>0.84243861961407995</v>
      </c>
      <c r="AB297" s="52">
        <v>3</v>
      </c>
      <c r="AC297">
        <v>0</v>
      </c>
    </row>
    <row r="298" spans="1:29">
      <c r="A298" s="6">
        <v>2018</v>
      </c>
      <c r="B298" s="82" t="s">
        <v>433</v>
      </c>
      <c r="C298" s="32" t="s">
        <v>434</v>
      </c>
      <c r="D298" s="50">
        <v>1149973619979</v>
      </c>
      <c r="E298" s="10">
        <v>6331628401699</v>
      </c>
      <c r="F298" s="10">
        <v>7725601132423</v>
      </c>
      <c r="G298" s="10">
        <f t="shared" si="38"/>
        <v>956508963121</v>
      </c>
      <c r="H298" s="10">
        <v>1547711915701</v>
      </c>
      <c r="I298" s="10">
        <v>2504220878822</v>
      </c>
      <c r="J298" s="10">
        <v>5221380253601</v>
      </c>
      <c r="K298" s="8">
        <v>3000000000</v>
      </c>
      <c r="L298" s="10">
        <v>897612636308</v>
      </c>
      <c r="M298" s="10">
        <v>406766397197</v>
      </c>
      <c r="N298" s="10">
        <f>198367075354+153007062236</f>
        <v>351374137590</v>
      </c>
      <c r="O298" s="10">
        <v>146006831186</v>
      </c>
      <c r="P298" s="50">
        <v>0</v>
      </c>
      <c r="Q298" s="51">
        <v>8300</v>
      </c>
      <c r="R298" s="51">
        <f t="shared" si="29"/>
        <v>1.2022612064467675</v>
      </c>
      <c r="S298" s="51">
        <f t="shared" si="30"/>
        <v>0.29641815775313402</v>
      </c>
      <c r="T298" s="51">
        <f t="shared" si="39"/>
        <v>1.8899090010385703E-2</v>
      </c>
      <c r="U298" s="51">
        <f t="shared" si="40"/>
        <v>2.796326336993064E-2</v>
      </c>
      <c r="V298" s="51">
        <f t="shared" si="41"/>
        <v>0.16266129205415991</v>
      </c>
      <c r="W298" s="58">
        <f t="shared" si="42"/>
        <v>0.5468352597284234</v>
      </c>
      <c r="X298" s="51">
        <f t="shared" si="25"/>
        <v>0</v>
      </c>
      <c r="Y298" s="58">
        <f t="shared" si="31"/>
        <v>0</v>
      </c>
      <c r="Z298" s="74">
        <f t="shared" si="26"/>
        <v>170.53996582036334</v>
      </c>
      <c r="AA298" s="51">
        <f t="shared" si="27"/>
        <v>4.7688539793337892</v>
      </c>
      <c r="AB298" s="52">
        <v>4</v>
      </c>
      <c r="AC298">
        <v>2</v>
      </c>
    </row>
    <row r="299" spans="1:29">
      <c r="A299" s="6">
        <v>2019</v>
      </c>
      <c r="B299" s="82" t="s">
        <v>433</v>
      </c>
      <c r="C299" s="32" t="s">
        <v>434</v>
      </c>
      <c r="D299" s="50">
        <v>1463644955334</v>
      </c>
      <c r="E299" s="10">
        <v>7157600562179</v>
      </c>
      <c r="F299" s="10">
        <v>8893030992719</v>
      </c>
      <c r="G299" s="10">
        <f t="shared" si="38"/>
        <v>993021427528</v>
      </c>
      <c r="H299" s="10">
        <v>2097290824729</v>
      </c>
      <c r="I299" s="10">
        <v>3090312252257</v>
      </c>
      <c r="J299" s="10">
        <v>5802718740462</v>
      </c>
      <c r="K299" s="8">
        <v>3000000000</v>
      </c>
      <c r="L299" s="10">
        <v>1087963086355</v>
      </c>
      <c r="M299" s="10">
        <v>539141827323</v>
      </c>
      <c r="N299" s="10">
        <f>170930067640+231683666926</f>
        <v>402613734566</v>
      </c>
      <c r="O299" s="10">
        <v>128831147635</v>
      </c>
      <c r="P299" s="50">
        <v>0</v>
      </c>
      <c r="Q299" s="51">
        <v>6525</v>
      </c>
      <c r="R299" s="51">
        <f t="shared" si="29"/>
        <v>1.4739308888606333</v>
      </c>
      <c r="S299" s="51">
        <f t="shared" si="30"/>
        <v>0.36143244546814246</v>
      </c>
      <c r="T299" s="51">
        <f t="shared" si="39"/>
        <v>1.4486753474768957E-2</v>
      </c>
      <c r="U299" s="51">
        <f t="shared" si="40"/>
        <v>2.2201859748374214E-2</v>
      </c>
      <c r="V299" s="51">
        <f t="shared" si="41"/>
        <v>0.11841499886418268</v>
      </c>
      <c r="W299" s="58">
        <f t="shared" si="42"/>
        <v>0.50444841917450944</v>
      </c>
      <c r="X299" s="51">
        <f t="shared" si="25"/>
        <v>0</v>
      </c>
      <c r="Y299" s="58">
        <f t="shared" si="31"/>
        <v>0</v>
      </c>
      <c r="Z299" s="74">
        <f t="shared" si="26"/>
        <v>151.94306935353256</v>
      </c>
      <c r="AA299" s="51">
        <f t="shared" si="27"/>
        <v>3.3734187155246271</v>
      </c>
      <c r="AB299" s="52">
        <v>4</v>
      </c>
      <c r="AC299">
        <v>2</v>
      </c>
    </row>
    <row r="300" spans="1:29">
      <c r="A300" s="6">
        <v>2020</v>
      </c>
      <c r="B300" s="82" t="s">
        <v>433</v>
      </c>
      <c r="C300" s="32" t="s">
        <v>434</v>
      </c>
      <c r="D300" s="50">
        <v>1380008830013</v>
      </c>
      <c r="E300" s="10">
        <v>7475267546394</v>
      </c>
      <c r="F300" s="10">
        <v>10412826253217</v>
      </c>
      <c r="G300" s="10">
        <f t="shared" si="38"/>
        <v>1194454114708</v>
      </c>
      <c r="H300" s="10">
        <v>3016521818693</v>
      </c>
      <c r="I300" s="10">
        <v>4210975933401</v>
      </c>
      <c r="J300" s="10">
        <v>6201850319816</v>
      </c>
      <c r="K300" s="8">
        <v>3000000000</v>
      </c>
      <c r="L300" s="10">
        <v>1122276247134</v>
      </c>
      <c r="M300" s="10">
        <v>566680887698</v>
      </c>
      <c r="N300" s="10">
        <f>177263065242+366069282337</f>
        <v>543332347579</v>
      </c>
      <c r="O300" s="10">
        <v>67204167744</v>
      </c>
      <c r="P300" s="50">
        <v>0</v>
      </c>
      <c r="Q300" s="51">
        <v>7250</v>
      </c>
      <c r="R300" s="51">
        <f t="shared" si="29"/>
        <v>1.1553468760500367</v>
      </c>
      <c r="S300" s="51">
        <f t="shared" si="30"/>
        <v>0.4863906194341201</v>
      </c>
      <c r="T300" s="51">
        <f t="shared" si="39"/>
        <v>6.4539795546129991E-3</v>
      </c>
      <c r="U300" s="51">
        <f t="shared" si="40"/>
        <v>1.0836147968497545E-2</v>
      </c>
      <c r="V300" s="51">
        <f t="shared" si="41"/>
        <v>5.9882019169185723E-2</v>
      </c>
      <c r="W300" s="58">
        <f t="shared" si="42"/>
        <v>0.49506114101126636</v>
      </c>
      <c r="X300" s="51">
        <f t="shared" si="25"/>
        <v>0</v>
      </c>
      <c r="Y300" s="58">
        <f t="shared" si="31"/>
        <v>0</v>
      </c>
      <c r="Z300" s="74">
        <f t="shared" si="26"/>
        <v>323.64064209309169</v>
      </c>
      <c r="AA300" s="51">
        <f t="shared" si="27"/>
        <v>3.5070178863402965</v>
      </c>
      <c r="AB300" s="52">
        <v>4</v>
      </c>
      <c r="AC300">
        <v>2</v>
      </c>
    </row>
    <row r="301" spans="1:29">
      <c r="A301" s="6">
        <v>2018</v>
      </c>
      <c r="B301" s="83" t="s">
        <v>440</v>
      </c>
      <c r="C301" s="7" t="s">
        <v>441</v>
      </c>
      <c r="D301" s="10">
        <v>2027465000000</v>
      </c>
      <c r="E301" s="10">
        <v>21878608000000</v>
      </c>
      <c r="F301" s="10">
        <v>29113747000000</v>
      </c>
      <c r="G301" s="10">
        <f t="shared" si="38"/>
        <v>6424937000000</v>
      </c>
      <c r="H301" s="10">
        <v>19009245000000</v>
      </c>
      <c r="I301" s="10">
        <v>25434182000000</v>
      </c>
      <c r="J301" s="10">
        <v>3679565000000</v>
      </c>
      <c r="K301" s="8">
        <v>14420120000</v>
      </c>
      <c r="L301" s="10">
        <v>4318137000000</v>
      </c>
      <c r="M301" s="10">
        <v>784082000000</v>
      </c>
      <c r="N301" s="10">
        <v>381463000000</v>
      </c>
      <c r="O301" s="12">
        <v>702632000000</v>
      </c>
      <c r="P301" s="50">
        <v>760910000000</v>
      </c>
      <c r="Q301" s="51">
        <v>3600</v>
      </c>
      <c r="R301" s="51">
        <f t="shared" si="29"/>
        <v>0.31556184908894824</v>
      </c>
      <c r="S301" s="51">
        <f t="shared" si="30"/>
        <v>5.1661663810803722</v>
      </c>
      <c r="T301" s="51">
        <f t="shared" si="39"/>
        <v>2.4134028505502916E-2</v>
      </c>
      <c r="U301" s="51">
        <f t="shared" si="40"/>
        <v>0.19095518084338775</v>
      </c>
      <c r="V301" s="51">
        <f t="shared" si="41"/>
        <v>0.1627164677730234</v>
      </c>
      <c r="W301" s="58">
        <f t="shared" si="42"/>
        <v>0.81842123119298904</v>
      </c>
      <c r="X301" s="51">
        <f t="shared" si="25"/>
        <v>1.4657567959828968E-2</v>
      </c>
      <c r="Y301" s="58">
        <f t="shared" si="31"/>
        <v>1.0829424222067883</v>
      </c>
      <c r="Z301" s="51">
        <f t="shared" si="26"/>
        <v>73.882817748124197</v>
      </c>
      <c r="AA301" s="51">
        <f t="shared" si="27"/>
        <v>14.108306824312114</v>
      </c>
      <c r="AB301" s="52">
        <v>4</v>
      </c>
      <c r="AC301">
        <v>2</v>
      </c>
    </row>
    <row r="302" spans="1:29">
      <c r="A302" s="6">
        <v>2019</v>
      </c>
      <c r="B302" s="82" t="s">
        <v>440</v>
      </c>
      <c r="C302" s="7" t="s">
        <v>441</v>
      </c>
      <c r="D302" s="9">
        <v>2376740000000</v>
      </c>
      <c r="E302" s="10">
        <v>24649294000000</v>
      </c>
      <c r="F302" s="10">
        <v>30871710000000</v>
      </c>
      <c r="G302" s="10">
        <f t="shared" si="38"/>
        <v>4513623000000</v>
      </c>
      <c r="H302" s="9">
        <v>20834803000000</v>
      </c>
      <c r="I302" s="10">
        <v>25348426000000</v>
      </c>
      <c r="J302" s="10">
        <v>5523284000000</v>
      </c>
      <c r="K302" s="8">
        <v>72100600000</v>
      </c>
      <c r="L302" s="10">
        <v>4698742000000</v>
      </c>
      <c r="M302" s="10">
        <v>903454000000</v>
      </c>
      <c r="N302" s="10">
        <v>426434000000</v>
      </c>
      <c r="O302" s="12">
        <v>866121000000</v>
      </c>
      <c r="P302" s="50">
        <f>9197000000+600000000000</f>
        <v>609197000000</v>
      </c>
      <c r="Q302" s="51">
        <v>1230</v>
      </c>
      <c r="R302" s="51">
        <f t="shared" si="29"/>
        <v>0.52657034050030316</v>
      </c>
      <c r="S302" s="51">
        <f t="shared" si="30"/>
        <v>3.7721766615658368</v>
      </c>
      <c r="T302" s="51">
        <f t="shared" si="39"/>
        <v>2.8055491581127186E-2</v>
      </c>
      <c r="U302" s="51">
        <f t="shared" si="40"/>
        <v>0.15681268607589252</v>
      </c>
      <c r="V302" s="51">
        <f t="shared" si="41"/>
        <v>0.18433040162664815</v>
      </c>
      <c r="W302" s="58">
        <f t="shared" si="42"/>
        <v>0.8077242802435205</v>
      </c>
      <c r="X302" s="51">
        <f t="shared" si="25"/>
        <v>6.8693202805682361E-3</v>
      </c>
      <c r="Y302" s="58">
        <f t="shared" si="31"/>
        <v>0.70336246321241491</v>
      </c>
      <c r="Z302" s="74">
        <f t="shared" si="26"/>
        <v>102.39185748873426</v>
      </c>
      <c r="AA302" s="51">
        <f t="shared" si="27"/>
        <v>16.056342205108411</v>
      </c>
      <c r="AB302" s="52">
        <v>4</v>
      </c>
      <c r="AC302">
        <v>2</v>
      </c>
    </row>
    <row r="303" spans="1:29">
      <c r="A303" s="6">
        <v>2020</v>
      </c>
      <c r="B303" s="82" t="s">
        <v>440</v>
      </c>
      <c r="C303" s="7" t="s">
        <v>441</v>
      </c>
      <c r="D303" s="50">
        <v>3227394000000</v>
      </c>
      <c r="E303" s="10">
        <v>28738362000000</v>
      </c>
      <c r="F303" s="10">
        <v>36521303000000</v>
      </c>
      <c r="G303" s="10">
        <f t="shared" si="38"/>
        <v>13777876000000</v>
      </c>
      <c r="H303" s="10">
        <v>13439589000000</v>
      </c>
      <c r="I303" s="10">
        <v>27217465000000</v>
      </c>
      <c r="J303" s="10">
        <v>9303838000000</v>
      </c>
      <c r="K303" s="8">
        <v>72100600000</v>
      </c>
      <c r="L303" s="10">
        <v>5327689000000</v>
      </c>
      <c r="M303" s="10">
        <v>1093065000000</v>
      </c>
      <c r="N303" s="10">
        <v>418623000000</v>
      </c>
      <c r="O303" s="12">
        <v>1066576000000</v>
      </c>
      <c r="P303" s="50">
        <f>11055000000+605670000000</f>
        <v>616725000000</v>
      </c>
      <c r="Q303" s="51">
        <v>1630</v>
      </c>
      <c r="R303" s="51">
        <f t="shared" si="29"/>
        <v>0.23424466877187747</v>
      </c>
      <c r="S303" s="51">
        <f t="shared" si="30"/>
        <v>1.4445209600597086</v>
      </c>
      <c r="T303" s="51">
        <f t="shared" si="39"/>
        <v>2.9204215413672397E-2</v>
      </c>
      <c r="U303" s="51">
        <f t="shared" si="40"/>
        <v>0.11463828153499664</v>
      </c>
      <c r="V303" s="51">
        <f t="shared" si="41"/>
        <v>0.20019486873201495</v>
      </c>
      <c r="W303" s="58">
        <f t="shared" si="42"/>
        <v>0.79483318189181085</v>
      </c>
      <c r="X303" s="51">
        <f t="shared" si="25"/>
        <v>5.2476525258530644E-3</v>
      </c>
      <c r="Y303" s="58">
        <f t="shared" si="31"/>
        <v>0.5782288369511408</v>
      </c>
      <c r="Z303" s="74">
        <f t="shared" si="26"/>
        <v>110.18809536310587</v>
      </c>
      <c r="AA303" s="51">
        <f t="shared" si="27"/>
        <v>12.631773898040789</v>
      </c>
      <c r="AB303" s="52">
        <v>4</v>
      </c>
      <c r="AC303">
        <v>2</v>
      </c>
    </row>
    <row r="304" spans="1:29">
      <c r="A304" s="6">
        <v>2018</v>
      </c>
      <c r="B304" s="6" t="s">
        <v>411</v>
      </c>
      <c r="C304" s="7" t="s">
        <v>412</v>
      </c>
      <c r="D304" s="9">
        <v>7058652000000</v>
      </c>
      <c r="E304" s="10">
        <v>36759530000000</v>
      </c>
      <c r="F304" s="10">
        <v>57613954000000</v>
      </c>
      <c r="G304" s="10">
        <f t="shared" si="38"/>
        <v>15733294000000</v>
      </c>
      <c r="H304" s="10">
        <v>23537562000000</v>
      </c>
      <c r="I304" s="10">
        <f>23537562000000+15733294000000</f>
        <v>39270856000000</v>
      </c>
      <c r="J304" s="10">
        <v>18343098000000</v>
      </c>
      <c r="K304" s="8">
        <v>22650000000</v>
      </c>
      <c r="L304" s="10">
        <v>22938812000000</v>
      </c>
      <c r="M304" s="10">
        <v>25710191000000</v>
      </c>
      <c r="N304" s="9">
        <f>1037244000000+2038624000000+1037244000000</f>
        <v>4113112000000</v>
      </c>
      <c r="O304" s="12">
        <v>-3296890000000</v>
      </c>
      <c r="P304" s="50">
        <v>0</v>
      </c>
      <c r="Q304" s="51">
        <v>1980</v>
      </c>
      <c r="R304" s="51">
        <f t="shared" si="29"/>
        <v>0.44864425720386336</v>
      </c>
      <c r="S304" s="51">
        <f t="shared" si="30"/>
        <v>1.2831835712811435</v>
      </c>
      <c r="T304" s="51">
        <f t="shared" si="39"/>
        <v>-5.7223810745570425E-2</v>
      </c>
      <c r="U304" s="51">
        <f t="shared" si="40"/>
        <v>-0.17973463370255122</v>
      </c>
      <c r="V304" s="51">
        <f t="shared" si="41"/>
        <v>-0.1437254030417966</v>
      </c>
      <c r="W304" s="58">
        <f t="shared" si="42"/>
        <v>-0.12081615211807831</v>
      </c>
      <c r="X304" s="51">
        <f t="shared" si="25"/>
        <v>0</v>
      </c>
      <c r="Y304" s="58">
        <f t="shared" si="31"/>
        <v>0</v>
      </c>
      <c r="Z304" s="51">
        <f t="shared" si="26"/>
        <v>-13.602819626981791</v>
      </c>
      <c r="AA304" s="51">
        <f t="shared" si="27"/>
        <v>2.4448978029774469</v>
      </c>
      <c r="AB304" s="52">
        <v>4</v>
      </c>
      <c r="AC304">
        <v>0</v>
      </c>
    </row>
    <row r="305" spans="1:29">
      <c r="A305" s="6">
        <v>2019</v>
      </c>
      <c r="B305" s="82" t="s">
        <v>411</v>
      </c>
      <c r="C305" s="7" t="s">
        <v>412</v>
      </c>
      <c r="D305" s="9">
        <v>7145648000000</v>
      </c>
      <c r="E305" s="10">
        <v>42081680000000</v>
      </c>
      <c r="F305" s="10">
        <v>62725242000000</v>
      </c>
      <c r="G305" s="10">
        <f t="shared" si="38"/>
        <v>21292684000000</v>
      </c>
      <c r="H305" s="10">
        <v>22310592000000</v>
      </c>
      <c r="I305" s="10">
        <f>H305+21292684000000</f>
        <v>43603276000000</v>
      </c>
      <c r="J305" s="10">
        <v>19121966000000</v>
      </c>
      <c r="K305" s="8">
        <v>22650000000</v>
      </c>
      <c r="L305" s="10">
        <v>25132628000000</v>
      </c>
      <c r="M305" s="10">
        <v>21858139000000</v>
      </c>
      <c r="N305" s="9">
        <f>1970279000000+1279376000000+531193000000</f>
        <v>3780848000000</v>
      </c>
      <c r="O305" s="12">
        <v>712579000000</v>
      </c>
      <c r="P305" s="50">
        <v>0</v>
      </c>
      <c r="Q305" s="51">
        <v>3150</v>
      </c>
      <c r="R305" s="51">
        <f t="shared" si="29"/>
        <v>0.33559169900797853</v>
      </c>
      <c r="S305" s="51">
        <f t="shared" si="30"/>
        <v>1.1667519961075132</v>
      </c>
      <c r="T305" s="51">
        <f t="shared" si="39"/>
        <v>1.1360322850567879E-2</v>
      </c>
      <c r="U305" s="51">
        <f t="shared" si="40"/>
        <v>3.7264944410004705E-2</v>
      </c>
      <c r="V305" s="51">
        <f t="shared" si="41"/>
        <v>2.8352745283939267E-2</v>
      </c>
      <c r="W305" s="58">
        <f t="shared" si="42"/>
        <v>0.13028836459123971</v>
      </c>
      <c r="X305" s="51">
        <f t="shared" si="25"/>
        <v>0</v>
      </c>
      <c r="Y305" s="58">
        <f t="shared" si="31"/>
        <v>0</v>
      </c>
      <c r="Z305" s="74">
        <f t="shared" si="26"/>
        <v>100.12574044421741</v>
      </c>
      <c r="AA305" s="51">
        <f t="shared" si="27"/>
        <v>3.7311801516643213</v>
      </c>
      <c r="AB305" s="52">
        <v>4</v>
      </c>
      <c r="AC305">
        <v>0</v>
      </c>
    </row>
    <row r="306" spans="1:29">
      <c r="A306" s="6">
        <v>2020</v>
      </c>
      <c r="B306" s="82" t="s">
        <v>411</v>
      </c>
      <c r="C306" s="7" t="s">
        <v>412</v>
      </c>
      <c r="D306" s="50">
        <v>7571123000000</v>
      </c>
      <c r="E306" s="10">
        <v>47162250000000</v>
      </c>
      <c r="F306" s="10">
        <v>67744797000000</v>
      </c>
      <c r="G306" s="10">
        <f t="shared" si="38"/>
        <v>18857026000000</v>
      </c>
      <c r="H306" s="10">
        <v>29750405000000</v>
      </c>
      <c r="I306" s="10">
        <f>H306+18857026000000</f>
        <v>48607431000000</v>
      </c>
      <c r="J306" s="10">
        <v>19137366000000</v>
      </c>
      <c r="K306" s="8">
        <v>22650000000</v>
      </c>
      <c r="L306" s="10">
        <v>26009095000000</v>
      </c>
      <c r="M306" s="10">
        <v>23377010000000</v>
      </c>
      <c r="N306" s="9">
        <f>1805207000000+1274264000000+335218000000</f>
        <v>3414689000000</v>
      </c>
      <c r="O306" s="12">
        <v>371598000000</v>
      </c>
      <c r="P306" s="50">
        <v>213024000000</v>
      </c>
      <c r="Q306" s="51">
        <v>2730</v>
      </c>
      <c r="R306" s="51">
        <f t="shared" si="29"/>
        <v>0.40150143506192332</v>
      </c>
      <c r="S306" s="51">
        <f t="shared" si="30"/>
        <v>1.5545715643417177</v>
      </c>
      <c r="T306" s="51">
        <f t="shared" si="39"/>
        <v>5.4852625803868005E-3</v>
      </c>
      <c r="U306" s="51">
        <f t="shared" si="40"/>
        <v>1.9417405718216395E-2</v>
      </c>
      <c r="V306" s="51">
        <f t="shared" si="41"/>
        <v>1.4287232985230743E-2</v>
      </c>
      <c r="W306" s="58">
        <f t="shared" si="42"/>
        <v>0.10119863839937529</v>
      </c>
      <c r="X306" s="51">
        <f t="shared" si="25"/>
        <v>3.4450670742061473E-3</v>
      </c>
      <c r="Y306" s="58">
        <f t="shared" si="31"/>
        <v>0.57326465696801387</v>
      </c>
      <c r="Z306" s="74">
        <f t="shared" si="26"/>
        <v>166.40159527231037</v>
      </c>
      <c r="AA306" s="51">
        <f t="shared" si="27"/>
        <v>3.2310872875608898</v>
      </c>
      <c r="AB306" s="52">
        <v>4</v>
      </c>
      <c r="AC306">
        <v>0</v>
      </c>
    </row>
    <row r="307" spans="1:29">
      <c r="A307" s="6">
        <v>2018</v>
      </c>
      <c r="B307" s="6" t="s">
        <v>413</v>
      </c>
      <c r="C307" s="7" t="s">
        <v>414</v>
      </c>
      <c r="D307" s="50">
        <v>1987582883558</v>
      </c>
      <c r="E307" s="10">
        <v>16747033996892</v>
      </c>
      <c r="F307" s="10">
        <v>26213595077036</v>
      </c>
      <c r="G307" s="10">
        <f t="shared" si="38"/>
        <v>6113366615810</v>
      </c>
      <c r="H307" s="10">
        <v>6652222637584</v>
      </c>
      <c r="I307" s="10">
        <v>12765589253394</v>
      </c>
      <c r="J307" s="10">
        <v>12448005823642</v>
      </c>
      <c r="K307" s="8">
        <f t="shared" ref="K307:K309" si="43">1011793622+6793548068+541828646880</f>
        <v>549633988570</v>
      </c>
      <c r="L307" s="10">
        <v>5490311128559</v>
      </c>
      <c r="M307" s="10">
        <v>3621087413155</v>
      </c>
      <c r="N307" s="10">
        <f>648487185301+7330018167414</f>
        <v>7978505352715</v>
      </c>
      <c r="O307" s="12">
        <v>-3532729249240</v>
      </c>
      <c r="P307" s="50">
        <v>0</v>
      </c>
      <c r="Q307" s="51">
        <v>78</v>
      </c>
      <c r="R307" s="51">
        <f t="shared" si="29"/>
        <v>0.32512083905091499</v>
      </c>
      <c r="S307" s="51">
        <f t="shared" si="30"/>
        <v>0.53440066881634163</v>
      </c>
      <c r="T307" s="51">
        <f t="shared" si="39"/>
        <v>-0.13476706414584053</v>
      </c>
      <c r="U307" s="51">
        <f t="shared" si="40"/>
        <v>-0.28379881077260011</v>
      </c>
      <c r="V307" s="51">
        <f t="shared" si="41"/>
        <v>-0.64344791515799005</v>
      </c>
      <c r="W307" s="58">
        <f t="shared" si="42"/>
        <v>0.34045861366231917</v>
      </c>
      <c r="X307" s="51">
        <f t="shared" si="25"/>
        <v>0</v>
      </c>
      <c r="Y307" s="58">
        <f t="shared" si="31"/>
        <v>0</v>
      </c>
      <c r="Z307" s="51">
        <f t="shared" si="26"/>
        <v>-12.135504332148574</v>
      </c>
      <c r="AA307" s="51">
        <f t="shared" si="27"/>
        <v>3.4440416975895016</v>
      </c>
      <c r="AB307" s="52">
        <v>4</v>
      </c>
      <c r="AC307">
        <v>0</v>
      </c>
    </row>
    <row r="308" spans="1:29">
      <c r="A308" s="6">
        <v>2019</v>
      </c>
      <c r="B308" s="6" t="s">
        <v>413</v>
      </c>
      <c r="C308" s="7" t="s">
        <v>414</v>
      </c>
      <c r="D308" s="9">
        <v>1774596661176</v>
      </c>
      <c r="E308" s="10">
        <v>19894482043118</v>
      </c>
      <c r="F308" s="10">
        <v>27650462178339</v>
      </c>
      <c r="G308" s="10">
        <f t="shared" si="38"/>
        <v>6119936082173</v>
      </c>
      <c r="H308" s="10">
        <v>8795039298147</v>
      </c>
      <c r="I308" s="10">
        <v>14914975380320</v>
      </c>
      <c r="J308" s="10">
        <v>12735486798019</v>
      </c>
      <c r="K308" s="8">
        <f t="shared" si="43"/>
        <v>549633988570</v>
      </c>
      <c r="L308" s="10">
        <v>6987804620572</v>
      </c>
      <c r="M308" s="10">
        <v>9290093435878</v>
      </c>
      <c r="N308" s="10">
        <f>939362411828+8093594926155</f>
        <v>9032957337983</v>
      </c>
      <c r="O308" s="12">
        <v>-2197474419923</v>
      </c>
      <c r="P308" s="50">
        <v>0</v>
      </c>
      <c r="Q308" s="51">
        <v>138</v>
      </c>
      <c r="R308" s="51">
        <f t="shared" si="29"/>
        <v>0.28996980317250237</v>
      </c>
      <c r="S308" s="51">
        <f t="shared" si="30"/>
        <v>0.69059309923787637</v>
      </c>
      <c r="T308" s="51">
        <f t="shared" si="39"/>
        <v>-7.9473334143559879E-2</v>
      </c>
      <c r="U308" s="51">
        <f t="shared" si="40"/>
        <v>-0.17254734387262027</v>
      </c>
      <c r="V308" s="51">
        <f t="shared" si="41"/>
        <v>-0.31447279070363038</v>
      </c>
      <c r="W308" s="58">
        <f t="shared" si="42"/>
        <v>-0.32947240804759964</v>
      </c>
      <c r="X308" s="51">
        <f t="shared" si="25"/>
        <v>0</v>
      </c>
      <c r="Y308" s="58">
        <f t="shared" si="31"/>
        <v>0</v>
      </c>
      <c r="Z308" s="51">
        <f t="shared" si="26"/>
        <v>-34.516665921106735</v>
      </c>
      <c r="AA308" s="51">
        <f t="shared" si="27"/>
        <v>5.9557590240255571</v>
      </c>
      <c r="AB308" s="52">
        <v>4</v>
      </c>
      <c r="AC308">
        <v>0</v>
      </c>
    </row>
    <row r="309" spans="1:29">
      <c r="A309" s="6">
        <v>2020</v>
      </c>
      <c r="B309" s="6" t="s">
        <v>413</v>
      </c>
      <c r="C309" s="7" t="s">
        <v>414</v>
      </c>
      <c r="D309" s="10">
        <v>2646319224796</v>
      </c>
      <c r="E309" s="10">
        <v>29672953182374</v>
      </c>
      <c r="F309" s="10">
        <v>38684276546076</v>
      </c>
      <c r="G309" s="10">
        <f t="shared" si="38"/>
        <v>8417955655404</v>
      </c>
      <c r="H309" s="10">
        <v>17900388499822</v>
      </c>
      <c r="I309" s="10">
        <v>26318344155226</v>
      </c>
      <c r="J309" s="10">
        <v>12365932390850</v>
      </c>
      <c r="K309" s="8">
        <f t="shared" si="43"/>
        <v>549633988570</v>
      </c>
      <c r="L309" s="10">
        <v>9407882876396</v>
      </c>
      <c r="M309" s="10">
        <v>10192558145177</v>
      </c>
      <c r="N309" s="10">
        <f>1254597841997+8466286109995+14327760523</f>
        <v>9735211712515</v>
      </c>
      <c r="O309" s="12">
        <v>-1499720500328</v>
      </c>
      <c r="P309" s="50">
        <v>0</v>
      </c>
      <c r="Q309" s="51">
        <v>67</v>
      </c>
      <c r="R309" s="51">
        <f t="shared" si="29"/>
        <v>0.31436602105371819</v>
      </c>
      <c r="S309" s="51">
        <f t="shared" si="30"/>
        <v>1.4475567174430894</v>
      </c>
      <c r="T309" s="51">
        <f t="shared" si="39"/>
        <v>-3.8768218879360855E-2</v>
      </c>
      <c r="U309" s="51">
        <f t="shared" si="40"/>
        <v>-0.1212784004413365</v>
      </c>
      <c r="V309" s="51">
        <f t="shared" si="41"/>
        <v>-0.15941105135255654</v>
      </c>
      <c r="W309" s="58">
        <f t="shared" si="42"/>
        <v>-8.3406147705103628E-2</v>
      </c>
      <c r="X309" s="51">
        <f t="shared" si="25"/>
        <v>0</v>
      </c>
      <c r="Y309" s="58">
        <f t="shared" si="31"/>
        <v>0</v>
      </c>
      <c r="Z309" s="51">
        <f t="shared" si="26"/>
        <v>-24.554893545921388</v>
      </c>
      <c r="AA309" s="51">
        <f t="shared" si="27"/>
        <v>2.9779782122566432</v>
      </c>
      <c r="AB309" s="52">
        <v>4</v>
      </c>
      <c r="AC309">
        <v>0</v>
      </c>
    </row>
    <row r="310" spans="1:29">
      <c r="A310" s="6">
        <v>2018</v>
      </c>
      <c r="B310" s="6" t="s">
        <v>415</v>
      </c>
      <c r="C310" s="7" t="s">
        <v>416</v>
      </c>
      <c r="D310" s="10">
        <v>7906525000000</v>
      </c>
      <c r="E310" s="10">
        <v>36899330000000</v>
      </c>
      <c r="F310" s="10">
        <v>53139587000000</v>
      </c>
      <c r="G310" s="10">
        <f t="shared" si="38"/>
        <v>21040365000000</v>
      </c>
      <c r="H310" s="10">
        <v>19962975000000</v>
      </c>
      <c r="I310" s="10">
        <v>41003340000000</v>
      </c>
      <c r="J310" s="10">
        <v>12136247000000</v>
      </c>
      <c r="K310" s="8">
        <v>20000000000</v>
      </c>
      <c r="L310" s="9">
        <v>23139551000000</v>
      </c>
      <c r="M310" s="10">
        <v>12043307000000</v>
      </c>
      <c r="N310" s="10">
        <f>2238310000000+1228930000000+1128860000000</f>
        <v>4596100000000</v>
      </c>
      <c r="O310" s="12">
        <v>-2085059000000</v>
      </c>
      <c r="P310" s="50">
        <f>79619000000+396677000000</f>
        <v>476296000000</v>
      </c>
      <c r="Q310" s="51">
        <v>1685</v>
      </c>
      <c r="R310" s="51">
        <f t="shared" si="29"/>
        <v>0.37577888976735907</v>
      </c>
      <c r="S310" s="51">
        <f t="shared" si="30"/>
        <v>1.6449051341819263</v>
      </c>
      <c r="T310" s="51">
        <f t="shared" si="39"/>
        <v>-3.9237395653827722E-2</v>
      </c>
      <c r="U310" s="51">
        <f t="shared" si="40"/>
        <v>-0.17180426535484983</v>
      </c>
      <c r="V310" s="51">
        <f t="shared" si="41"/>
        <v>-9.0108014628287297E-2</v>
      </c>
      <c r="W310" s="58">
        <f t="shared" si="42"/>
        <v>0.4795358388760439</v>
      </c>
      <c r="X310" s="51">
        <f t="shared" si="25"/>
        <v>1.4133412462908014E-2</v>
      </c>
      <c r="Y310" s="58">
        <f t="shared" si="31"/>
        <v>-0.22843286448968592</v>
      </c>
      <c r="Z310" s="51">
        <f t="shared" si="26"/>
        <v>-16.16261218507486</v>
      </c>
      <c r="AA310" s="51">
        <f t="shared" si="27"/>
        <v>2.7768057126721297</v>
      </c>
      <c r="AB310" s="52">
        <v>4</v>
      </c>
      <c r="AC310">
        <v>2</v>
      </c>
    </row>
    <row r="311" spans="1:29">
      <c r="A311" s="6">
        <v>2019</v>
      </c>
      <c r="B311" s="6" t="s">
        <v>415</v>
      </c>
      <c r="C311" s="7" t="s">
        <v>416</v>
      </c>
      <c r="D311" s="10">
        <v>12444795000000</v>
      </c>
      <c r="E311" s="10">
        <v>42753285000000</v>
      </c>
      <c r="F311" s="10">
        <v>62813000000000</v>
      </c>
      <c r="G311" s="10">
        <f t="shared" si="38"/>
        <v>22129440000000</v>
      </c>
      <c r="H311" s="10">
        <v>26976367000000</v>
      </c>
      <c r="I311" s="10">
        <v>49105807000000</v>
      </c>
      <c r="J311" s="10">
        <v>13707193000000</v>
      </c>
      <c r="K311" s="8">
        <v>20000000000</v>
      </c>
      <c r="L311" s="10">
        <v>26117533000000</v>
      </c>
      <c r="M311" s="10">
        <v>12342653000000</v>
      </c>
      <c r="N311" s="10">
        <f>1934024000000+1145457000000+839338000000</f>
        <v>3918819000000</v>
      </c>
      <c r="O311" s="12">
        <v>1630372000000</v>
      </c>
      <c r="P311" s="50">
        <v>38273000000</v>
      </c>
      <c r="Q311" s="51">
        <v>2910</v>
      </c>
      <c r="R311" s="51">
        <f t="shared" si="29"/>
        <v>0.56236375615469714</v>
      </c>
      <c r="S311" s="51">
        <f t="shared" si="30"/>
        <v>1.9680445879765462</v>
      </c>
      <c r="T311" s="51">
        <f t="shared" si="39"/>
        <v>2.5955964529635583E-2</v>
      </c>
      <c r="U311" s="51">
        <f t="shared" si="40"/>
        <v>0.1189428061602401</v>
      </c>
      <c r="V311" s="51">
        <f t="shared" si="41"/>
        <v>6.2424425767931453E-2</v>
      </c>
      <c r="W311" s="58">
        <f t="shared" si="42"/>
        <v>0.52741887987659475</v>
      </c>
      <c r="X311" s="51">
        <f t="shared" si="25"/>
        <v>6.5761168384879725E-4</v>
      </c>
      <c r="Y311" s="58">
        <f t="shared" si="31"/>
        <v>2.3475010611075264E-2</v>
      </c>
      <c r="Z311" s="51">
        <f t="shared" si="26"/>
        <v>35.69737458690409</v>
      </c>
      <c r="AA311" s="51">
        <f t="shared" si="27"/>
        <v>4.2459459059196147</v>
      </c>
      <c r="AB311" s="52">
        <v>4</v>
      </c>
      <c r="AC311">
        <v>2</v>
      </c>
    </row>
    <row r="312" spans="1:29">
      <c r="A312" s="6">
        <v>2020</v>
      </c>
      <c r="B312" s="82" t="s">
        <v>415</v>
      </c>
      <c r="C312" s="7" t="s">
        <v>416</v>
      </c>
      <c r="D312" s="10">
        <v>9594951000000</v>
      </c>
      <c r="E312" s="10">
        <v>46522054000000</v>
      </c>
      <c r="F312" s="10">
        <v>62778740000000</v>
      </c>
      <c r="G312" s="10">
        <f t="shared" si="38"/>
        <v>22658094000000</v>
      </c>
      <c r="H312" s="10">
        <v>27207250000000</v>
      </c>
      <c r="I312" s="10">
        <v>49865344000000</v>
      </c>
      <c r="J312" s="10">
        <v>12913396000000</v>
      </c>
      <c r="K312" s="8">
        <v>20000000000</v>
      </c>
      <c r="L312" s="10">
        <v>27925661000000</v>
      </c>
      <c r="M312" s="10">
        <v>12165540000000</v>
      </c>
      <c r="N312" s="10">
        <f>2578463000000+1082774000000+665727000000</f>
        <v>4326964000000</v>
      </c>
      <c r="O312" s="12">
        <v>-630160000000</v>
      </c>
      <c r="P312" s="50">
        <v>22226000000</v>
      </c>
      <c r="Q312" s="51">
        <v>5050</v>
      </c>
      <c r="R312" s="51">
        <f t="shared" si="29"/>
        <v>0.42346681940678682</v>
      </c>
      <c r="S312" s="51">
        <f t="shared" si="30"/>
        <v>2.1069012365143918</v>
      </c>
      <c r="T312" s="51">
        <f t="shared" si="39"/>
        <v>-1.0037793049048133E-2</v>
      </c>
      <c r="U312" s="51">
        <f t="shared" si="40"/>
        <v>-4.8798937165715352E-2</v>
      </c>
      <c r="V312" s="51">
        <f t="shared" si="41"/>
        <v>-2.2565625214744246E-2</v>
      </c>
      <c r="W312" s="58">
        <f t="shared" si="42"/>
        <v>0.56435981945064795</v>
      </c>
      <c r="X312" s="51">
        <f t="shared" si="25"/>
        <v>2.2005940594059406E-4</v>
      </c>
      <c r="Y312" s="58">
        <f t="shared" si="31"/>
        <v>-3.5270407515551605E-2</v>
      </c>
      <c r="Z312" s="74">
        <f t="shared" si="26"/>
        <v>-160.27675510981339</v>
      </c>
      <c r="AA312" s="51">
        <f t="shared" si="27"/>
        <v>7.8213353017285305</v>
      </c>
      <c r="AB312" s="52">
        <v>4</v>
      </c>
      <c r="AC312">
        <v>2</v>
      </c>
    </row>
    <row r="313" spans="1:29">
      <c r="A313" s="6">
        <v>2018</v>
      </c>
      <c r="B313" s="6" t="s">
        <v>417</v>
      </c>
      <c r="C313" s="7" t="s">
        <v>418</v>
      </c>
      <c r="D313" s="10">
        <v>206196000000000</v>
      </c>
      <c r="E313" s="10">
        <v>143248000000000</v>
      </c>
      <c r="F313" s="10">
        <v>206196000000000</v>
      </c>
      <c r="G313" s="10">
        <f t="shared" si="38"/>
        <v>46261000000000</v>
      </c>
      <c r="H313" s="10">
        <v>42632000000000</v>
      </c>
      <c r="I313" s="10">
        <v>88893000000000</v>
      </c>
      <c r="J313" s="10">
        <v>117303000000000</v>
      </c>
      <c r="K313" s="8">
        <v>99062216600</v>
      </c>
      <c r="L313" s="10">
        <v>130784000000000</v>
      </c>
      <c r="M313" s="10">
        <f>130784000000000-38845000000000</f>
        <v>91939000000000</v>
      </c>
      <c r="N313" s="10">
        <v>6137000000000</v>
      </c>
      <c r="O313" s="12">
        <v>26979000000000</v>
      </c>
      <c r="P313" s="50">
        <f>16609000000000+10134000000000</f>
        <v>26743000000000</v>
      </c>
      <c r="Q313" s="51">
        <v>3750</v>
      </c>
      <c r="R313" s="51">
        <f t="shared" si="29"/>
        <v>4.4572317935193793</v>
      </c>
      <c r="S313" s="51">
        <f t="shared" si="30"/>
        <v>0.36343486526346303</v>
      </c>
      <c r="T313" s="51">
        <f t="shared" si="39"/>
        <v>0.13084152941861141</v>
      </c>
      <c r="U313" s="51">
        <f t="shared" si="40"/>
        <v>0.22999411779749879</v>
      </c>
      <c r="V313" s="51">
        <f t="shared" si="41"/>
        <v>0.20628670173721556</v>
      </c>
      <c r="W313" s="58">
        <f t="shared" si="42"/>
        <v>0.29701645461218495</v>
      </c>
      <c r="X313" s="51">
        <f t="shared" si="25"/>
        <v>7.1989774824669797E-2</v>
      </c>
      <c r="Y313" s="58">
        <f t="shared" si="31"/>
        <v>0.99125245561362541</v>
      </c>
      <c r="Z313" s="51">
        <f t="shared" si="26"/>
        <v>13.769350689425108</v>
      </c>
      <c r="AA313" s="51">
        <f t="shared" si="27"/>
        <v>3.1668696644587091</v>
      </c>
      <c r="AB313" s="52">
        <v>4</v>
      </c>
      <c r="AC313">
        <v>2</v>
      </c>
    </row>
    <row r="314" spans="1:29">
      <c r="A314" s="6">
        <v>2019</v>
      </c>
      <c r="B314" s="6" t="s">
        <v>417</v>
      </c>
      <c r="C314" s="7" t="s">
        <v>418</v>
      </c>
      <c r="D314" s="10">
        <v>221208000000000</v>
      </c>
      <c r="E314" s="10">
        <v>156973000000000</v>
      </c>
      <c r="F314" s="10">
        <v>221208000000000</v>
      </c>
      <c r="G314" s="10">
        <f t="shared" si="38"/>
        <v>58369000000000</v>
      </c>
      <c r="H314" s="10">
        <v>45589000000000</v>
      </c>
      <c r="I314" s="10">
        <v>103958000000000</v>
      </c>
      <c r="J314" s="10">
        <v>117250000000000</v>
      </c>
      <c r="K314" s="8">
        <v>99062216600</v>
      </c>
      <c r="L314" s="10">
        <v>135567000000000</v>
      </c>
      <c r="M314" s="10">
        <f>L314-42394000000000</f>
        <v>93173000000000</v>
      </c>
      <c r="N314" s="10">
        <v>6696000000000</v>
      </c>
      <c r="O314" s="12">
        <v>27592000000000</v>
      </c>
      <c r="P314" s="50">
        <f>16229000000000+9618000000000</f>
        <v>25847000000000</v>
      </c>
      <c r="Q314" s="51">
        <v>3970</v>
      </c>
      <c r="R314" s="51">
        <f t="shared" si="29"/>
        <v>3.7898199386660729</v>
      </c>
      <c r="S314" s="51">
        <f t="shared" si="30"/>
        <v>0.388818763326226</v>
      </c>
      <c r="T314" s="51">
        <f t="shared" si="39"/>
        <v>0.12473328270225309</v>
      </c>
      <c r="U314" s="51">
        <f t="shared" si="40"/>
        <v>0.23532622601279318</v>
      </c>
      <c r="V314" s="51">
        <f t="shared" si="41"/>
        <v>0.20353035768291694</v>
      </c>
      <c r="W314" s="58">
        <f t="shared" si="42"/>
        <v>0.31271622149933243</v>
      </c>
      <c r="X314" s="51">
        <f t="shared" si="25"/>
        <v>6.5722124625749209E-2</v>
      </c>
      <c r="Y314" s="58">
        <f t="shared" si="31"/>
        <v>0.93675703102348507</v>
      </c>
      <c r="Z314" s="51">
        <f t="shared" si="26"/>
        <v>14.253298053856192</v>
      </c>
      <c r="AA314" s="51">
        <f t="shared" si="27"/>
        <v>3.3541748392494668</v>
      </c>
      <c r="AB314" s="52">
        <v>4</v>
      </c>
      <c r="AC314">
        <v>2</v>
      </c>
    </row>
    <row r="315" spans="1:29">
      <c r="A315" s="6">
        <v>2020</v>
      </c>
      <c r="B315" s="6" t="s">
        <v>417</v>
      </c>
      <c r="C315" s="7" t="s">
        <v>418</v>
      </c>
      <c r="D315" s="10">
        <v>246943000000000</v>
      </c>
      <c r="E315" s="10">
        <v>160923000000000</v>
      </c>
      <c r="F315" s="10">
        <v>246943000000000</v>
      </c>
      <c r="G315" s="10">
        <f t="shared" si="38"/>
        <v>69093000000000</v>
      </c>
      <c r="H315" s="10">
        <v>56961000000000</v>
      </c>
      <c r="I315" s="10">
        <v>126054000000000</v>
      </c>
      <c r="J315" s="10">
        <v>120889000000000</v>
      </c>
      <c r="K315" s="8">
        <v>99062216600</v>
      </c>
      <c r="L315" s="10">
        <v>136462000000000</v>
      </c>
      <c r="M315" s="10">
        <f>L315-43505000000000</f>
        <v>92957000000000</v>
      </c>
      <c r="N315" s="10">
        <v>6511000000000</v>
      </c>
      <c r="O315" s="12">
        <v>29563000000000</v>
      </c>
      <c r="P315" s="50">
        <f>15262000000000+7778000000000</f>
        <v>23040000000000</v>
      </c>
      <c r="Q315" s="51">
        <v>3310</v>
      </c>
      <c r="R315" s="51">
        <f t="shared" si="29"/>
        <v>3.5740668374509719</v>
      </c>
      <c r="S315" s="51">
        <f t="shared" si="30"/>
        <v>0.47118430957324486</v>
      </c>
      <c r="T315" s="51">
        <f t="shared" si="39"/>
        <v>0.11971588585220071</v>
      </c>
      <c r="U315" s="51">
        <f t="shared" si="40"/>
        <v>0.24454665023285824</v>
      </c>
      <c r="V315" s="51">
        <f t="shared" si="41"/>
        <v>0.21663906435491198</v>
      </c>
      <c r="W315" s="58">
        <f t="shared" si="42"/>
        <v>0.31880670076651374</v>
      </c>
      <c r="X315" s="51">
        <f t="shared" si="25"/>
        <v>7.0266195472237197E-2</v>
      </c>
      <c r="Y315" s="58">
        <f t="shared" si="31"/>
        <v>0.7793525690897406</v>
      </c>
      <c r="Z315" s="51">
        <f t="shared" si="26"/>
        <v>11.091429724520514</v>
      </c>
      <c r="AA315" s="51">
        <f t="shared" si="27"/>
        <v>2.7123719854246455</v>
      </c>
      <c r="AB315" s="52">
        <v>4</v>
      </c>
      <c r="AC315">
        <v>2</v>
      </c>
    </row>
    <row r="316" spans="1:29">
      <c r="A316" s="49">
        <v>2018</v>
      </c>
      <c r="B316" s="73" t="s">
        <v>499</v>
      </c>
      <c r="C316" s="49" t="s">
        <v>500</v>
      </c>
      <c r="D316" s="10">
        <v>48775196690</v>
      </c>
      <c r="E316" s="10">
        <v>580053780</v>
      </c>
      <c r="F316" s="10">
        <v>48775196690</v>
      </c>
      <c r="G316" s="10">
        <f t="shared" si="38"/>
        <v>326647510</v>
      </c>
      <c r="H316" s="10">
        <v>337721000</v>
      </c>
      <c r="I316" s="10">
        <v>664368510</v>
      </c>
      <c r="J316" s="10">
        <v>48110828180</v>
      </c>
      <c r="K316" s="8">
        <v>358600000</v>
      </c>
      <c r="L316" s="10">
        <v>22829336499</v>
      </c>
      <c r="M316" s="10">
        <v>20373044769</v>
      </c>
      <c r="N316" s="10">
        <v>3483073937</v>
      </c>
      <c r="O316" s="50">
        <v>-758342670</v>
      </c>
      <c r="P316" s="50">
        <v>0</v>
      </c>
      <c r="Q316" s="51">
        <v>368</v>
      </c>
      <c r="R316" s="51">
        <f t="shared" si="29"/>
        <v>149.32058318766917</v>
      </c>
      <c r="S316" s="51">
        <f t="shared" si="30"/>
        <v>7.0196463618639789E-3</v>
      </c>
      <c r="T316" s="51">
        <f t="shared" si="39"/>
        <v>-1.5547711161879888E-2</v>
      </c>
      <c r="U316" s="51">
        <f t="shared" si="40"/>
        <v>-1.5762411471337927E-2</v>
      </c>
      <c r="V316" s="51">
        <f t="shared" si="41"/>
        <v>-3.3217902326386835E-2</v>
      </c>
      <c r="W316" s="58">
        <f t="shared" si="42"/>
        <v>0.10759365389824596</v>
      </c>
      <c r="X316" s="51">
        <f t="shared" si="25"/>
        <v>0</v>
      </c>
      <c r="Y316" s="58">
        <f t="shared" si="31"/>
        <v>0</v>
      </c>
      <c r="Z316" s="74">
        <f t="shared" si="26"/>
        <v>-174.01737396631</v>
      </c>
      <c r="AA316" s="51">
        <f t="shared" si="27"/>
        <v>2.7429334516186663</v>
      </c>
      <c r="AB316" s="52">
        <v>4</v>
      </c>
      <c r="AC316">
        <v>0</v>
      </c>
    </row>
    <row r="317" spans="1:29">
      <c r="A317" s="49">
        <v>2019</v>
      </c>
      <c r="B317" s="73" t="s">
        <v>499</v>
      </c>
      <c r="C317" s="49" t="s">
        <v>500</v>
      </c>
      <c r="D317" s="10">
        <v>46929335290</v>
      </c>
      <c r="E317" s="10">
        <v>430537309</v>
      </c>
      <c r="F317" s="10">
        <v>47359872599</v>
      </c>
      <c r="G317" s="10">
        <f t="shared" si="38"/>
        <v>292435975</v>
      </c>
      <c r="H317" s="10">
        <v>635723000</v>
      </c>
      <c r="I317" s="10">
        <v>928158975</v>
      </c>
      <c r="J317" s="10">
        <v>46431713624</v>
      </c>
      <c r="K317" s="8">
        <v>358600000</v>
      </c>
      <c r="L317" s="10">
        <v>16875355000</v>
      </c>
      <c r="M317" s="10">
        <v>15373079022</v>
      </c>
      <c r="N317" s="50">
        <v>769656280</v>
      </c>
      <c r="O317" s="50">
        <v>-1671122556</v>
      </c>
      <c r="P317" s="50">
        <v>0</v>
      </c>
      <c r="Q317" s="51">
        <v>420</v>
      </c>
      <c r="R317" s="51">
        <f t="shared" si="29"/>
        <v>160.47729862921278</v>
      </c>
      <c r="S317" s="51">
        <f t="shared" si="30"/>
        <v>1.3691568765866146E-2</v>
      </c>
      <c r="T317" s="51">
        <f t="shared" si="39"/>
        <v>-3.5285621862827514E-2</v>
      </c>
      <c r="U317" s="51">
        <f t="shared" si="40"/>
        <v>-3.5990973099390769E-2</v>
      </c>
      <c r="V317" s="51">
        <f t="shared" si="41"/>
        <v>-9.9027401556885761E-2</v>
      </c>
      <c r="W317" s="58">
        <f t="shared" si="42"/>
        <v>8.9021888902485316E-2</v>
      </c>
      <c r="X317" s="51">
        <f t="shared" si="25"/>
        <v>0</v>
      </c>
      <c r="Y317" s="58">
        <f t="shared" si="31"/>
        <v>0</v>
      </c>
      <c r="Z317" s="74">
        <f t="shared" si="26"/>
        <v>-90.12624445720185</v>
      </c>
      <c r="AA317" s="51">
        <f t="shared" si="27"/>
        <v>3.2437312398082687</v>
      </c>
      <c r="AB317" s="52">
        <v>4</v>
      </c>
      <c r="AC317">
        <v>0</v>
      </c>
    </row>
    <row r="318" spans="1:29">
      <c r="A318" s="49">
        <v>2020</v>
      </c>
      <c r="B318" s="73" t="s">
        <v>499</v>
      </c>
      <c r="C318" s="49" t="s">
        <v>500</v>
      </c>
      <c r="D318" s="10">
        <v>46434428090</v>
      </c>
      <c r="E318" s="10">
        <v>321732709</v>
      </c>
      <c r="F318" s="10">
        <v>46840047799</v>
      </c>
      <c r="G318" s="10">
        <f t="shared" si="38"/>
        <v>113188050</v>
      </c>
      <c r="H318" s="10">
        <v>315928000</v>
      </c>
      <c r="I318" s="10">
        <v>429116050</v>
      </c>
      <c r="J318" s="10">
        <v>46410931749</v>
      </c>
      <c r="K318" s="8">
        <v>358600000</v>
      </c>
      <c r="L318" s="10">
        <v>1211712320</v>
      </c>
      <c r="M318" s="10">
        <v>858716337</v>
      </c>
      <c r="N318" s="10">
        <v>1748051253</v>
      </c>
      <c r="O318" s="50">
        <v>-468118875</v>
      </c>
      <c r="P318" s="50">
        <v>0</v>
      </c>
      <c r="Q318" s="51">
        <v>368</v>
      </c>
      <c r="R318" s="51">
        <f t="shared" si="29"/>
        <v>410.24143529285999</v>
      </c>
      <c r="S318" s="51">
        <f t="shared" si="30"/>
        <v>6.8071893429893738E-3</v>
      </c>
      <c r="T318" s="51">
        <f t="shared" si="39"/>
        <v>-9.9939879867072638E-3</v>
      </c>
      <c r="U318" s="51">
        <f t="shared" si="40"/>
        <v>-1.0086392523461597E-2</v>
      </c>
      <c r="V318" s="51">
        <f t="shared" si="41"/>
        <v>-0.38632839435023653</v>
      </c>
      <c r="W318" s="58">
        <f t="shared" si="42"/>
        <v>0.29131995868458282</v>
      </c>
      <c r="X318" s="51">
        <f t="shared" si="25"/>
        <v>0</v>
      </c>
      <c r="Y318" s="58">
        <f t="shared" si="31"/>
        <v>0</v>
      </c>
      <c r="Z318" s="74">
        <f t="shared" si="26"/>
        <v>-281.90446283542832</v>
      </c>
      <c r="AA318" s="51">
        <f t="shared" si="27"/>
        <v>2.843399066273721</v>
      </c>
      <c r="AB318" s="52">
        <v>4</v>
      </c>
      <c r="AC318">
        <v>0</v>
      </c>
    </row>
    <row r="319" spans="1:29">
      <c r="A319" s="49">
        <v>2018</v>
      </c>
      <c r="B319" s="59" t="s">
        <v>501</v>
      </c>
      <c r="C319" s="49" t="s">
        <v>502</v>
      </c>
      <c r="D319" s="10">
        <v>45955010000</v>
      </c>
      <c r="E319" s="10">
        <v>439201752000</v>
      </c>
      <c r="F319" s="10">
        <v>485156762000</v>
      </c>
      <c r="G319" s="10">
        <f t="shared" si="38"/>
        <v>63527586000</v>
      </c>
      <c r="H319" s="10">
        <v>29472212000</v>
      </c>
      <c r="I319" s="10">
        <v>92999798000</v>
      </c>
      <c r="J319" s="10">
        <v>392156964000</v>
      </c>
      <c r="K319" s="8">
        <v>152882000</v>
      </c>
      <c r="L319" s="10">
        <v>108699906000</v>
      </c>
      <c r="M319" s="10">
        <v>23419229000</v>
      </c>
      <c r="N319" s="50">
        <v>11392100000</v>
      </c>
      <c r="O319" s="50">
        <v>49423302000</v>
      </c>
      <c r="P319" s="50">
        <v>0</v>
      </c>
      <c r="Q319" s="51">
        <v>1320</v>
      </c>
      <c r="R319" s="51">
        <f t="shared" si="29"/>
        <v>0.72338668747778323</v>
      </c>
      <c r="S319" s="51">
        <f t="shared" si="30"/>
        <v>7.5154121195205911E-2</v>
      </c>
      <c r="T319" s="51">
        <f t="shared" si="39"/>
        <v>0.10187078872457311</v>
      </c>
      <c r="U319" s="51">
        <f t="shared" si="40"/>
        <v>0.12602938755921214</v>
      </c>
      <c r="V319" s="51">
        <f t="shared" si="41"/>
        <v>0.45467658454092869</v>
      </c>
      <c r="W319" s="58">
        <f t="shared" si="42"/>
        <v>0.7845515248191659</v>
      </c>
      <c r="X319" s="51">
        <f t="shared" si="25"/>
        <v>0</v>
      </c>
      <c r="Y319" s="58">
        <f t="shared" si="31"/>
        <v>0</v>
      </c>
      <c r="Z319" s="51">
        <f t="shared" si="26"/>
        <v>4.0831800351987813</v>
      </c>
      <c r="AA319" s="51">
        <f t="shared" si="27"/>
        <v>0.51460067913010465</v>
      </c>
      <c r="AB319" s="52">
        <v>4</v>
      </c>
      <c r="AC319">
        <v>2</v>
      </c>
    </row>
    <row r="320" spans="1:29">
      <c r="A320" s="49">
        <v>2019</v>
      </c>
      <c r="B320" s="59" t="s">
        <v>501</v>
      </c>
      <c r="C320" s="49" t="s">
        <v>502</v>
      </c>
      <c r="D320" s="10">
        <v>41885488000</v>
      </c>
      <c r="E320" s="10">
        <v>698547749000</v>
      </c>
      <c r="F320" s="10">
        <v>740433237000</v>
      </c>
      <c r="G320" s="10">
        <f t="shared" si="38"/>
        <v>62828314000</v>
      </c>
      <c r="H320" s="10">
        <v>76296298000</v>
      </c>
      <c r="I320" s="10">
        <v>139124612000</v>
      </c>
      <c r="J320" s="10">
        <v>601308625000</v>
      </c>
      <c r="K320" s="8">
        <v>152882000</v>
      </c>
      <c r="L320" s="10">
        <v>115935417000</v>
      </c>
      <c r="M320" s="10">
        <v>22558554000</v>
      </c>
      <c r="N320" s="10">
        <v>11696467000</v>
      </c>
      <c r="O320" s="50">
        <v>63509234000</v>
      </c>
      <c r="P320" s="50">
        <v>7425000000</v>
      </c>
      <c r="Q320" s="51">
        <v>1650</v>
      </c>
      <c r="R320" s="51">
        <f t="shared" si="29"/>
        <v>0.66666579657063529</v>
      </c>
      <c r="S320" s="51">
        <f t="shared" si="30"/>
        <v>0.12688375790385512</v>
      </c>
      <c r="T320" s="51">
        <f t="shared" si="39"/>
        <v>8.5773072880033344E-2</v>
      </c>
      <c r="U320" s="51">
        <f t="shared" si="40"/>
        <v>0.10561836527789702</v>
      </c>
      <c r="V320" s="51">
        <f t="shared" si="41"/>
        <v>0.54779838330162733</v>
      </c>
      <c r="W320" s="58">
        <f t="shared" si="42"/>
        <v>0.80542137524722057</v>
      </c>
      <c r="X320" s="51">
        <f t="shared" si="25"/>
        <v>2.9434465797150745E-2</v>
      </c>
      <c r="Y320" s="58">
        <f t="shared" si="31"/>
        <v>0.11691213280890776</v>
      </c>
      <c r="Z320" s="51">
        <f t="shared" si="26"/>
        <v>3.9719468195758747</v>
      </c>
      <c r="AA320" s="51">
        <f t="shared" si="27"/>
        <v>0.41951053005434602</v>
      </c>
      <c r="AB320" s="52">
        <v>4</v>
      </c>
      <c r="AC320">
        <v>2</v>
      </c>
    </row>
    <row r="321" spans="1:29">
      <c r="A321" s="49">
        <v>2020</v>
      </c>
      <c r="B321" s="59" t="s">
        <v>501</v>
      </c>
      <c r="C321" s="49" t="s">
        <v>502</v>
      </c>
      <c r="D321" s="10">
        <v>37262521000</v>
      </c>
      <c r="E321" s="10">
        <v>723989944000</v>
      </c>
      <c r="F321" s="10">
        <v>827628586000</v>
      </c>
      <c r="G321" s="10">
        <f t="shared" si="38"/>
        <v>112293182000</v>
      </c>
      <c r="H321" s="10">
        <v>45489063000</v>
      </c>
      <c r="I321" s="10">
        <v>157782245000</v>
      </c>
      <c r="J321" s="10">
        <v>669846341000</v>
      </c>
      <c r="K321" s="8">
        <v>152882000</v>
      </c>
      <c r="L321" s="10">
        <v>143056438000</v>
      </c>
      <c r="M321" s="10">
        <v>29580907000</v>
      </c>
      <c r="N321" s="10">
        <v>12199753000</v>
      </c>
      <c r="O321" s="50">
        <v>77752839000</v>
      </c>
      <c r="P321" s="50">
        <v>11000000000</v>
      </c>
      <c r="Q321" s="51">
        <v>1765</v>
      </c>
      <c r="R321" s="51">
        <f t="shared" si="29"/>
        <v>0.33183244375424326</v>
      </c>
      <c r="S321" s="51">
        <f t="shared" si="30"/>
        <v>6.7909698412460237E-2</v>
      </c>
      <c r="T321" s="51">
        <f t="shared" si="39"/>
        <v>9.3946536302940115E-2</v>
      </c>
      <c r="U321" s="51">
        <f t="shared" si="40"/>
        <v>0.11607563442673191</v>
      </c>
      <c r="V321" s="51">
        <f t="shared" si="41"/>
        <v>0.54351163839267413</v>
      </c>
      <c r="W321" s="58">
        <f t="shared" si="42"/>
        <v>0.79322211979023272</v>
      </c>
      <c r="X321" s="51">
        <f t="shared" si="25"/>
        <v>4.0765391724099237E-2</v>
      </c>
      <c r="Y321" s="58">
        <f t="shared" si="31"/>
        <v>0.1414739338328212</v>
      </c>
      <c r="Z321" s="51">
        <f t="shared" si="26"/>
        <v>3.4704421532440763</v>
      </c>
      <c r="AA321" s="51">
        <f t="shared" si="27"/>
        <v>0.40283377467907971</v>
      </c>
      <c r="AB321" s="52">
        <v>4</v>
      </c>
      <c r="AC321">
        <v>2</v>
      </c>
    </row>
    <row r="322" spans="1:29">
      <c r="A322" s="49">
        <v>2018</v>
      </c>
      <c r="B322" s="59" t="s">
        <v>503</v>
      </c>
      <c r="C322" s="49" t="s">
        <v>504</v>
      </c>
      <c r="D322" s="10">
        <v>32978084524</v>
      </c>
      <c r="E322" s="50">
        <v>45967447032</v>
      </c>
      <c r="F322" s="50">
        <v>89916165514</v>
      </c>
      <c r="G322" s="10">
        <f t="shared" si="38"/>
        <v>79756255011</v>
      </c>
      <c r="H322" s="50">
        <v>7159910503</v>
      </c>
      <c r="I322" s="50">
        <v>86916165514</v>
      </c>
      <c r="J322" s="50">
        <v>37830666886</v>
      </c>
      <c r="K322" s="51">
        <v>472920500</v>
      </c>
      <c r="L322" s="50">
        <v>111762743814</v>
      </c>
      <c r="M322" s="50">
        <v>72989985111</v>
      </c>
      <c r="N322" s="50">
        <v>33145380628</v>
      </c>
      <c r="O322" s="50">
        <v>5497953006</v>
      </c>
      <c r="P322" s="50">
        <v>2000000000</v>
      </c>
      <c r="Q322" s="49">
        <v>0</v>
      </c>
      <c r="R322" s="51">
        <f t="shared" si="29"/>
        <v>0.41348587041168938</v>
      </c>
      <c r="S322" s="51">
        <f t="shared" si="30"/>
        <v>0.189262074723025</v>
      </c>
      <c r="T322" s="51">
        <f t="shared" si="39"/>
        <v>6.1145323252735521E-2</v>
      </c>
      <c r="U322" s="51">
        <f t="shared" si="40"/>
        <v>0.14533058649395969</v>
      </c>
      <c r="V322" s="51">
        <f t="shared" si="41"/>
        <v>4.9193074707882187E-2</v>
      </c>
      <c r="W322" s="58">
        <f t="shared" ref="W322:W360" si="44">(L322-M322)/L322</f>
        <v>0.34692024712212832</v>
      </c>
      <c r="X322" s="51" t="e">
        <f t="shared" si="25"/>
        <v>#DIV/0!</v>
      </c>
      <c r="Y322" s="58">
        <f t="shared" si="31"/>
        <v>0.36377175247175986</v>
      </c>
      <c r="Z322" s="51">
        <f t="shared" si="26"/>
        <v>0</v>
      </c>
      <c r="AA322" s="51">
        <f t="shared" si="27"/>
        <v>0</v>
      </c>
      <c r="AB322" s="52">
        <v>4</v>
      </c>
      <c r="AC322">
        <v>2</v>
      </c>
    </row>
    <row r="323" spans="1:29">
      <c r="A323" s="49">
        <v>2019</v>
      </c>
      <c r="B323" s="73" t="s">
        <v>503</v>
      </c>
      <c r="C323" s="49" t="s">
        <v>504</v>
      </c>
      <c r="D323" s="10">
        <v>73376899889</v>
      </c>
      <c r="E323" s="50">
        <v>67255822588</v>
      </c>
      <c r="F323" s="50">
        <v>148855269670</v>
      </c>
      <c r="G323" s="10">
        <f t="shared" si="38"/>
        <v>89626480090</v>
      </c>
      <c r="H323" s="50">
        <v>59228789580</v>
      </c>
      <c r="I323" s="50">
        <v>148855269670</v>
      </c>
      <c r="J323" s="50">
        <v>89761864225</v>
      </c>
      <c r="K323" s="51">
        <v>728873908</v>
      </c>
      <c r="L323" s="50">
        <v>103155978367</v>
      </c>
      <c r="M323" s="50">
        <v>61881897426</v>
      </c>
      <c r="N323" s="50">
        <v>35799991985</v>
      </c>
      <c r="O323" s="50">
        <v>-3926009907</v>
      </c>
      <c r="P323" s="50">
        <v>0</v>
      </c>
      <c r="Q323" s="51">
        <v>1425</v>
      </c>
      <c r="R323" s="51">
        <f t="shared" si="29"/>
        <v>0.8186966599080685</v>
      </c>
      <c r="S323" s="51">
        <f t="shared" si="30"/>
        <v>0.65984357712909347</v>
      </c>
      <c r="T323" s="51">
        <f t="shared" si="39"/>
        <v>-2.6374678677507649E-2</v>
      </c>
      <c r="U323" s="51">
        <f t="shared" si="40"/>
        <v>-4.373806115656128E-2</v>
      </c>
      <c r="V323" s="51">
        <f t="shared" si="41"/>
        <v>-3.8058966326046169E-2</v>
      </c>
      <c r="W323" s="58">
        <f t="shared" si="44"/>
        <v>0.40011331959994029</v>
      </c>
      <c r="X323" s="51">
        <f t="shared" si="25"/>
        <v>0</v>
      </c>
      <c r="Y323" s="58">
        <f t="shared" si="31"/>
        <v>0</v>
      </c>
      <c r="Z323" s="74">
        <f t="shared" si="26"/>
        <v>-264.55494089510967</v>
      </c>
      <c r="AA323" s="51">
        <f t="shared" si="27"/>
        <v>11.571120184140762</v>
      </c>
      <c r="AB323" s="52">
        <v>4</v>
      </c>
      <c r="AC323">
        <v>2</v>
      </c>
    </row>
    <row r="324" spans="1:29">
      <c r="A324" s="49">
        <v>2020</v>
      </c>
      <c r="B324" s="59" t="s">
        <v>503</v>
      </c>
      <c r="C324" s="49" t="s">
        <v>504</v>
      </c>
      <c r="D324" s="10">
        <v>60757202496</v>
      </c>
      <c r="E324" s="50">
        <v>32166580006</v>
      </c>
      <c r="F324" s="50">
        <v>114094419513</v>
      </c>
      <c r="G324" s="10">
        <f t="shared" si="38"/>
        <v>52688677813</v>
      </c>
      <c r="H324" s="50">
        <v>5566416965</v>
      </c>
      <c r="I324" s="50">
        <v>58255094778</v>
      </c>
      <c r="J324" s="50">
        <v>55839324735</v>
      </c>
      <c r="K324" s="51">
        <v>728873908</v>
      </c>
      <c r="L324" s="50">
        <v>61431175244</v>
      </c>
      <c r="M324" s="50">
        <v>37447597131</v>
      </c>
      <c r="N324" s="50">
        <v>32024663642</v>
      </c>
      <c r="O324" s="50">
        <v>-14321581869</v>
      </c>
      <c r="P324" s="50">
        <v>0</v>
      </c>
      <c r="Q324" s="51">
        <v>252</v>
      </c>
      <c r="R324" s="51">
        <f t="shared" si="29"/>
        <v>1.1531358352099175</v>
      </c>
      <c r="S324" s="51">
        <f t="shared" si="30"/>
        <v>9.9686323060260415E-2</v>
      </c>
      <c r="T324" s="51">
        <f t="shared" si="39"/>
        <v>-0.12552394700924166</v>
      </c>
      <c r="U324" s="51">
        <f t="shared" si="40"/>
        <v>-0.25647842155983763</v>
      </c>
      <c r="V324" s="51">
        <f t="shared" si="41"/>
        <v>-0.23313214849163727</v>
      </c>
      <c r="W324" s="58">
        <f t="shared" si="44"/>
        <v>0.39041379263442438</v>
      </c>
      <c r="X324" s="51">
        <f t="shared" si="25"/>
        <v>0</v>
      </c>
      <c r="Y324" s="58">
        <f t="shared" si="31"/>
        <v>0</v>
      </c>
      <c r="Z324" s="51">
        <f t="shared" si="26"/>
        <v>-12.825135274587174</v>
      </c>
      <c r="AA324" s="51">
        <f t="shared" si="27"/>
        <v>3.2893704515175131</v>
      </c>
      <c r="AB324" s="52">
        <v>4</v>
      </c>
      <c r="AC324">
        <v>0</v>
      </c>
    </row>
    <row r="325" spans="1:29">
      <c r="A325" s="49">
        <v>2018</v>
      </c>
      <c r="B325" s="59" t="s">
        <v>505</v>
      </c>
      <c r="C325" s="49" t="s">
        <v>506</v>
      </c>
      <c r="D325" s="10">
        <v>2275390000000</v>
      </c>
      <c r="E325" s="50">
        <v>15980147000000</v>
      </c>
      <c r="F325" s="50">
        <v>22959618000000</v>
      </c>
      <c r="G325" s="10">
        <f t="shared" si="38"/>
        <v>4751801000000</v>
      </c>
      <c r="H325" s="50">
        <v>10174537000000</v>
      </c>
      <c r="I325" s="50">
        <v>14926338000000</v>
      </c>
      <c r="J325" s="50">
        <v>8033280000000</v>
      </c>
      <c r="K325" s="51">
        <v>50970846956</v>
      </c>
      <c r="L325" s="50">
        <v>5867860000000</v>
      </c>
      <c r="M325" s="50">
        <v>1541885000000</v>
      </c>
      <c r="N325" s="50">
        <f>109271000000+399251000000+27376000000</f>
        <v>535898000000</v>
      </c>
      <c r="O325" s="50">
        <v>2200060000000</v>
      </c>
      <c r="P325" s="50">
        <f>1205798000000+6000000</f>
        <v>1205804000000</v>
      </c>
      <c r="Q325" s="51">
        <v>690</v>
      </c>
      <c r="R325" s="51">
        <f t="shared" si="29"/>
        <v>0.4788479147169673</v>
      </c>
      <c r="S325" s="51">
        <f t="shared" si="30"/>
        <v>1.266548284137986</v>
      </c>
      <c r="T325" s="51">
        <f t="shared" si="39"/>
        <v>9.5823022839491498E-2</v>
      </c>
      <c r="U325" s="51">
        <f t="shared" si="40"/>
        <v>0.27386820825366476</v>
      </c>
      <c r="V325" s="51">
        <f t="shared" si="41"/>
        <v>0.37493396229630566</v>
      </c>
      <c r="W325" s="58">
        <f t="shared" si="44"/>
        <v>0.73723214255282166</v>
      </c>
      <c r="X325" s="51">
        <f t="shared" si="25"/>
        <v>3.4285128330201239E-2</v>
      </c>
      <c r="Y325" s="58">
        <f t="shared" si="31"/>
        <v>0.5480777796969174</v>
      </c>
      <c r="Z325" s="51">
        <f t="shared" si="26"/>
        <v>15.9858751123333</v>
      </c>
      <c r="AA325" s="51">
        <f t="shared" si="27"/>
        <v>4.3780229743815724</v>
      </c>
      <c r="AB325" s="52">
        <v>4</v>
      </c>
      <c r="AC325">
        <v>2</v>
      </c>
    </row>
    <row r="326" spans="1:29">
      <c r="A326" s="49">
        <v>2019</v>
      </c>
      <c r="B326" s="59" t="s">
        <v>505</v>
      </c>
      <c r="C326" s="49" t="s">
        <v>506</v>
      </c>
      <c r="D326" s="10">
        <v>2474389000000</v>
      </c>
      <c r="E326" s="50">
        <v>19648004000000</v>
      </c>
      <c r="F326" s="50">
        <v>27665695000000</v>
      </c>
      <c r="G326" s="10">
        <f t="shared" si="38"/>
        <v>4565104000000</v>
      </c>
      <c r="H326" s="50">
        <v>14339970000000</v>
      </c>
      <c r="I326" s="50">
        <v>18905074000000</v>
      </c>
      <c r="J326" s="50">
        <v>8760621000000</v>
      </c>
      <c r="K326" s="51">
        <v>50390847669</v>
      </c>
      <c r="L326" s="50">
        <v>6454302000000</v>
      </c>
      <c r="M326" s="50">
        <v>1807940000000</v>
      </c>
      <c r="N326" s="50">
        <f>147620000000+463049000000+108000000000</f>
        <v>718669000000</v>
      </c>
      <c r="O326" s="50">
        <v>2353089000000</v>
      </c>
      <c r="P326" s="50">
        <f>1187069000000+4500000000</f>
        <v>1191569000000</v>
      </c>
      <c r="Q326" s="51">
        <v>805</v>
      </c>
      <c r="R326" s="51">
        <f t="shared" si="29"/>
        <v>0.54202248185364454</v>
      </c>
      <c r="S326" s="51">
        <f t="shared" si="30"/>
        <v>1.6368668385494589</v>
      </c>
      <c r="T326" s="51">
        <f t="shared" si="39"/>
        <v>8.5054396789959547E-2</v>
      </c>
      <c r="U326" s="51">
        <f t="shared" si="40"/>
        <v>0.26859842470071471</v>
      </c>
      <c r="V326" s="51">
        <f t="shared" si="41"/>
        <v>0.36457683572909977</v>
      </c>
      <c r="W326" s="58">
        <f t="shared" si="44"/>
        <v>0.71988605429370989</v>
      </c>
      <c r="X326" s="51">
        <f t="shared" si="25"/>
        <v>2.9374579042829054E-2</v>
      </c>
      <c r="Y326" s="58">
        <f t="shared" si="31"/>
        <v>0.50638501136166125</v>
      </c>
      <c r="Z326" s="51">
        <f t="shared" si="26"/>
        <v>17.238885725760905</v>
      </c>
      <c r="AA326" s="51">
        <f t="shared" si="27"/>
        <v>4.6303375495350156</v>
      </c>
      <c r="AB326" s="52">
        <v>4</v>
      </c>
      <c r="AC326">
        <v>2</v>
      </c>
    </row>
    <row r="327" spans="1:29">
      <c r="A327" s="49">
        <v>2020</v>
      </c>
      <c r="B327" s="59" t="s">
        <v>505</v>
      </c>
      <c r="C327" s="49" t="s">
        <v>506</v>
      </c>
      <c r="D327" s="10">
        <v>3002332000000</v>
      </c>
      <c r="E327" s="50">
        <v>22757823000000</v>
      </c>
      <c r="F327" s="50">
        <v>34249550000000</v>
      </c>
      <c r="G327" s="10">
        <f t="shared" si="38"/>
        <v>-14433762000000</v>
      </c>
      <c r="H327" s="50">
        <v>16840314000000</v>
      </c>
      <c r="I327" s="50">
        <v>2406552000000</v>
      </c>
      <c r="J327" s="50">
        <v>10184048000000</v>
      </c>
      <c r="K327" s="51">
        <v>50148387851</v>
      </c>
      <c r="L327" s="50">
        <v>7445426000000</v>
      </c>
      <c r="M327" s="50">
        <v>2059254000000</v>
      </c>
      <c r="N327" s="50">
        <f>145996000000+47927000000+194279000000</f>
        <v>388202000000</v>
      </c>
      <c r="O327" s="50">
        <v>2853617000000</v>
      </c>
      <c r="P327" s="50">
        <f>1174043000000+23700000000</f>
        <v>1197743000000</v>
      </c>
      <c r="Q327" s="51">
        <v>960</v>
      </c>
      <c r="R327" s="51">
        <f t="shared" si="29"/>
        <v>-0.20800758665689514</v>
      </c>
      <c r="S327" s="51">
        <f t="shared" si="30"/>
        <v>1.653597272911518</v>
      </c>
      <c r="T327" s="51">
        <f t="shared" si="39"/>
        <v>8.331837936556831E-2</v>
      </c>
      <c r="U327" s="51">
        <f t="shared" si="40"/>
        <v>0.28020459055181202</v>
      </c>
      <c r="V327" s="51">
        <f t="shared" si="41"/>
        <v>0.38327115197975242</v>
      </c>
      <c r="W327" s="58">
        <f t="shared" si="44"/>
        <v>0.72342025829012335</v>
      </c>
      <c r="X327" s="51">
        <f t="shared" si="25"/>
        <v>2.4879143912668256E-2</v>
      </c>
      <c r="Y327" s="58">
        <f t="shared" si="31"/>
        <v>0.41972801535735171</v>
      </c>
      <c r="Z327" s="51">
        <f t="shared" si="26"/>
        <v>16.870677577600638</v>
      </c>
      <c r="AA327" s="51">
        <f t="shared" si="27"/>
        <v>4.7272413029632219</v>
      </c>
      <c r="AB327" s="52">
        <v>4</v>
      </c>
      <c r="AC327">
        <v>2</v>
      </c>
    </row>
    <row r="328" spans="1:29">
      <c r="A328" s="6">
        <v>2018</v>
      </c>
      <c r="B328" s="6" t="s">
        <v>337</v>
      </c>
      <c r="C328" s="7" t="s">
        <v>338</v>
      </c>
      <c r="D328" s="10">
        <v>229296000000</v>
      </c>
      <c r="E328" s="10">
        <v>33696815824</v>
      </c>
      <c r="F328" s="16">
        <v>849799701091</v>
      </c>
      <c r="G328" s="16">
        <f t="shared" si="38"/>
        <v>204275610836</v>
      </c>
      <c r="H328" s="10">
        <v>235154667857</v>
      </c>
      <c r="I328" s="10">
        <v>439430278693</v>
      </c>
      <c r="J328" s="10">
        <v>410369422397</v>
      </c>
      <c r="K328" s="8">
        <v>2800000000</v>
      </c>
      <c r="L328" s="10">
        <v>200658519501</v>
      </c>
      <c r="M328" s="10">
        <v>90382621588</v>
      </c>
      <c r="N328" s="9">
        <f>42837978596+838722643</f>
        <v>43676701239</v>
      </c>
      <c r="O328" s="12">
        <v>50247119273</v>
      </c>
      <c r="P328" s="50"/>
      <c r="Q328" s="51">
        <v>89</v>
      </c>
      <c r="R328" s="51">
        <f t="shared" si="29"/>
        <v>1.1224834871945986</v>
      </c>
      <c r="S328" s="51">
        <f t="shared" si="30"/>
        <v>0.57303165153837032</v>
      </c>
      <c r="T328" s="51">
        <f t="shared" si="39"/>
        <v>5.9128191276710436E-2</v>
      </c>
      <c r="U328" s="51">
        <f t="shared" si="40"/>
        <v>0.1224436240388054</v>
      </c>
      <c r="V328" s="51">
        <f t="shared" si="41"/>
        <v>0.25041109342356921</v>
      </c>
      <c r="W328" s="58">
        <f t="shared" si="44"/>
        <v>0.54956997683046516</v>
      </c>
      <c r="X328" s="51">
        <f t="shared" si="25"/>
        <v>0</v>
      </c>
      <c r="Y328" s="58">
        <f t="shared" ref="Y328:Y360" si="45">(P328/O328)</f>
        <v>0</v>
      </c>
      <c r="Z328" s="51">
        <f t="shared" si="26"/>
        <v>4.9594882971511201</v>
      </c>
      <c r="AA328" s="51">
        <f t="shared" si="27"/>
        <v>0.60725772048122695</v>
      </c>
      <c r="AB328" s="52">
        <v>5</v>
      </c>
      <c r="AC328">
        <v>2</v>
      </c>
    </row>
    <row r="329" spans="1:29">
      <c r="A329" s="6">
        <v>2019</v>
      </c>
      <c r="B329" s="6" t="s">
        <v>337</v>
      </c>
      <c r="C329" s="7" t="s">
        <v>338</v>
      </c>
      <c r="D329" s="10">
        <v>391674006298</v>
      </c>
      <c r="E329" s="10">
        <v>34992765408</v>
      </c>
      <c r="F329" s="16">
        <v>467065425451</v>
      </c>
      <c r="G329" s="16">
        <f t="shared" si="38"/>
        <v>283080536190</v>
      </c>
      <c r="H329" s="10">
        <v>150449955614</v>
      </c>
      <c r="I329" s="10">
        <v>433530491804</v>
      </c>
      <c r="J329" s="10">
        <v>433534933647</v>
      </c>
      <c r="K329" s="8">
        <v>2800000000</v>
      </c>
      <c r="L329" s="10">
        <v>131094399577</v>
      </c>
      <c r="M329" s="10">
        <v>65808695362</v>
      </c>
      <c r="N329" s="9">
        <f>44178083086+68572459</f>
        <v>44246655545</v>
      </c>
      <c r="O329" s="12">
        <v>23201520208</v>
      </c>
      <c r="P329" s="50"/>
      <c r="Q329" s="51">
        <v>64</v>
      </c>
      <c r="R329" s="51">
        <f t="shared" si="29"/>
        <v>1.3836133404633424</v>
      </c>
      <c r="S329" s="51">
        <f t="shared" si="30"/>
        <v>0.34703075562649321</v>
      </c>
      <c r="T329" s="51">
        <f t="shared" si="39"/>
        <v>4.9675096771713577E-2</v>
      </c>
      <c r="U329" s="51">
        <f t="shared" si="40"/>
        <v>5.3517071883511756E-2</v>
      </c>
      <c r="V329" s="51">
        <f t="shared" si="41"/>
        <v>0.17698330579234459</v>
      </c>
      <c r="W329" s="58">
        <f t="shared" si="44"/>
        <v>0.49800528798832167</v>
      </c>
      <c r="X329" s="51">
        <f t="shared" si="25"/>
        <v>0</v>
      </c>
      <c r="Y329" s="58">
        <f t="shared" si="45"/>
        <v>0</v>
      </c>
      <c r="Z329" s="51">
        <f t="shared" si="26"/>
        <v>7.7236318307371485</v>
      </c>
      <c r="AA329" s="51">
        <f t="shared" si="27"/>
        <v>0.41334615988733958</v>
      </c>
      <c r="AB329" s="52">
        <v>5</v>
      </c>
      <c r="AC329">
        <v>2</v>
      </c>
    </row>
    <row r="330" spans="1:29">
      <c r="A330" s="6">
        <v>2020</v>
      </c>
      <c r="B330" s="6" t="s">
        <v>337</v>
      </c>
      <c r="C330" s="7" t="s">
        <v>338</v>
      </c>
      <c r="D330" s="10">
        <v>395767984973</v>
      </c>
      <c r="E330" s="10">
        <v>39270240610</v>
      </c>
      <c r="F330" s="10">
        <v>909264462663</v>
      </c>
      <c r="G330" s="16">
        <f t="shared" si="38"/>
        <v>308300895925</v>
      </c>
      <c r="H330" s="10">
        <v>154371558000</v>
      </c>
      <c r="I330" s="10">
        <v>462672453925</v>
      </c>
      <c r="J330" s="10">
        <v>446592008738</v>
      </c>
      <c r="K330" s="8">
        <v>2800000000</v>
      </c>
      <c r="L330" s="10">
        <v>73155228143</v>
      </c>
      <c r="M330" s="10">
        <v>37845260341</v>
      </c>
      <c r="N330" s="9">
        <f>39469729585+216954228</f>
        <v>39686683813</v>
      </c>
      <c r="O330" s="12">
        <v>12990816748</v>
      </c>
      <c r="P330" s="50"/>
      <c r="Q330" s="51">
        <v>75</v>
      </c>
      <c r="R330" s="51">
        <f t="shared" si="29"/>
        <v>1.2837068922085715</v>
      </c>
      <c r="S330" s="51">
        <f t="shared" si="30"/>
        <v>0.34566574183947035</v>
      </c>
      <c r="T330" s="51">
        <f t="shared" si="39"/>
        <v>1.4287170874305661E-2</v>
      </c>
      <c r="U330" s="51">
        <f t="shared" si="40"/>
        <v>2.908878012553346E-2</v>
      </c>
      <c r="V330" s="51">
        <f t="shared" si="41"/>
        <v>0.17757878797953078</v>
      </c>
      <c r="W330" s="58">
        <f t="shared" si="44"/>
        <v>0.48267182945527731</v>
      </c>
      <c r="X330" s="51">
        <f t="shared" si="25"/>
        <v>0</v>
      </c>
      <c r="Y330" s="58">
        <f t="shared" si="45"/>
        <v>0</v>
      </c>
      <c r="Z330" s="51">
        <f t="shared" si="26"/>
        <v>16.165265361958902</v>
      </c>
      <c r="AA330" s="51">
        <f t="shared" si="27"/>
        <v>0.4702278497849246</v>
      </c>
      <c r="AB330" s="52">
        <v>5</v>
      </c>
      <c r="AC330">
        <v>2</v>
      </c>
    </row>
    <row r="331" spans="1:29">
      <c r="A331" s="6">
        <v>2018</v>
      </c>
      <c r="B331" s="6" t="s">
        <v>341</v>
      </c>
      <c r="C331" s="7" t="s">
        <v>342</v>
      </c>
      <c r="D331" s="9">
        <v>20948678473652</v>
      </c>
      <c r="E331" s="10">
        <v>676536086022</v>
      </c>
      <c r="F331" s="10">
        <v>52101492204552</v>
      </c>
      <c r="G331" s="16">
        <f t="shared" si="38"/>
        <v>6231233383026</v>
      </c>
      <c r="H331" s="10">
        <v>15583360871276</v>
      </c>
      <c r="I331" s="10">
        <v>21814594254302</v>
      </c>
      <c r="J331" s="10">
        <v>30286897950250</v>
      </c>
      <c r="K331" s="8">
        <v>40000000000</v>
      </c>
      <c r="L331" s="10">
        <v>6628782185008</v>
      </c>
      <c r="M331" s="10">
        <v>1874274191288</v>
      </c>
      <c r="N331" s="18">
        <f>1301675569437+281982923302</f>
        <v>1583658492739</v>
      </c>
      <c r="O331" s="12">
        <v>1701817694927</v>
      </c>
      <c r="P331" s="50">
        <v>67813057500</v>
      </c>
      <c r="Q331" s="51">
        <v>1255</v>
      </c>
      <c r="R331" s="51">
        <f t="shared" si="29"/>
        <v>3.3618831435068062</v>
      </c>
      <c r="S331" s="51">
        <f t="shared" si="30"/>
        <v>0.51452482511987885</v>
      </c>
      <c r="T331" s="51">
        <f t="shared" si="39"/>
        <v>3.2663511598585569E-2</v>
      </c>
      <c r="U331" s="51">
        <f t="shared" si="40"/>
        <v>5.6189897615874937E-2</v>
      </c>
      <c r="V331" s="51">
        <f t="shared" si="41"/>
        <v>0.2567315756393263</v>
      </c>
      <c r="W331" s="58">
        <f t="shared" si="44"/>
        <v>0.71725210770585335</v>
      </c>
      <c r="X331" s="51">
        <f t="shared" si="25"/>
        <v>1.350857719123506E-3</v>
      </c>
      <c r="Y331" s="58">
        <f t="shared" si="45"/>
        <v>3.9847427666398108E-2</v>
      </c>
      <c r="Z331" s="51">
        <f t="shared" si="26"/>
        <v>29.497871687221672</v>
      </c>
      <c r="AA331" s="51">
        <f t="shared" si="27"/>
        <v>1.6574823899912019</v>
      </c>
      <c r="AB331" s="52">
        <v>5</v>
      </c>
      <c r="AC331">
        <v>2</v>
      </c>
    </row>
    <row r="332" spans="1:29">
      <c r="A332" s="6">
        <v>2019</v>
      </c>
      <c r="B332" s="6" t="s">
        <v>341</v>
      </c>
      <c r="C332" s="7" t="s">
        <v>342</v>
      </c>
      <c r="D332" s="9">
        <v>24256712740291</v>
      </c>
      <c r="E332" s="10">
        <v>631541383154</v>
      </c>
      <c r="F332" s="10">
        <v>54444849052447</v>
      </c>
      <c r="G332" s="16">
        <f t="shared" si="38"/>
        <v>6159441542866</v>
      </c>
      <c r="H332" s="10">
        <v>14737901627736</v>
      </c>
      <c r="I332" s="10">
        <v>20897343170602</v>
      </c>
      <c r="J332" s="10">
        <v>33547505881845</v>
      </c>
      <c r="K332" s="8">
        <v>40000000000</v>
      </c>
      <c r="L332" s="10">
        <v>7084864038574</v>
      </c>
      <c r="M332" s="10">
        <v>2018798088448</v>
      </c>
      <c r="N332" s="9">
        <f>1324227647413+299760795937</f>
        <v>1623988443350</v>
      </c>
      <c r="O332" s="12">
        <v>3130076103452</v>
      </c>
      <c r="P332" s="50">
        <v>110113140796</v>
      </c>
      <c r="Q332" s="51">
        <v>1255</v>
      </c>
      <c r="R332" s="51">
        <f t="shared" si="29"/>
        <v>3.9381350681679339</v>
      </c>
      <c r="S332" s="51">
        <f t="shared" si="30"/>
        <v>0.43931437644405491</v>
      </c>
      <c r="T332" s="51">
        <f t="shared" si="39"/>
        <v>5.7490766489898461E-2</v>
      </c>
      <c r="U332" s="51">
        <f t="shared" si="40"/>
        <v>9.3302796174362171E-2</v>
      </c>
      <c r="V332" s="51">
        <f t="shared" si="41"/>
        <v>0.4417976246841292</v>
      </c>
      <c r="W332" s="58">
        <f t="shared" si="44"/>
        <v>0.71505478757862917</v>
      </c>
      <c r="X332" s="51">
        <f t="shared" si="25"/>
        <v>2.1934888604780876E-3</v>
      </c>
      <c r="Y332" s="58">
        <f t="shared" si="45"/>
        <v>3.5179061836407712E-2</v>
      </c>
      <c r="Z332" s="51">
        <f t="shared" si="26"/>
        <v>16.037948708223738</v>
      </c>
      <c r="AA332" s="51">
        <f t="shared" si="27"/>
        <v>1.4963854593782746</v>
      </c>
      <c r="AB332" s="52">
        <v>5</v>
      </c>
      <c r="AC332">
        <v>2</v>
      </c>
    </row>
    <row r="333" spans="1:29">
      <c r="A333" s="6">
        <v>2020</v>
      </c>
      <c r="B333" s="82" t="s">
        <v>341</v>
      </c>
      <c r="C333" s="7" t="s">
        <v>342</v>
      </c>
      <c r="D333" s="9">
        <v>28364288311886</v>
      </c>
      <c r="E333" s="10">
        <v>584619322260</v>
      </c>
      <c r="F333" s="10">
        <v>60862926586750</v>
      </c>
      <c r="G333" s="16">
        <f t="shared" si="38"/>
        <v>11965625224530</v>
      </c>
      <c r="H333" s="10">
        <v>14426198886396</v>
      </c>
      <c r="I333" s="10">
        <v>26391824110926</v>
      </c>
      <c r="J333" s="10">
        <v>34471102475824</v>
      </c>
      <c r="K333" s="8">
        <v>40000000000</v>
      </c>
      <c r="L333" s="10">
        <v>6180589086059</v>
      </c>
      <c r="M333" s="10">
        <v>1928745848318</v>
      </c>
      <c r="N333" s="9">
        <f>1235289881113+221931907917</f>
        <v>1457221789030</v>
      </c>
      <c r="O333" s="12">
        <v>486257814158</v>
      </c>
      <c r="P333" s="50">
        <v>186238102446</v>
      </c>
      <c r="Q333" s="51">
        <v>1225</v>
      </c>
      <c r="R333" s="51">
        <f t="shared" si="29"/>
        <v>2.3704810889228001</v>
      </c>
      <c r="S333" s="51">
        <f t="shared" si="30"/>
        <v>0.41850123292440922</v>
      </c>
      <c r="T333" s="51">
        <f t="shared" si="39"/>
        <v>7.9893925814579457E-3</v>
      </c>
      <c r="U333" s="51">
        <f t="shared" si="40"/>
        <v>1.4106244919176362E-2</v>
      </c>
      <c r="V333" s="51">
        <f t="shared" si="41"/>
        <v>7.8674994792132052E-2</v>
      </c>
      <c r="W333" s="58">
        <f t="shared" si="44"/>
        <v>0.68793494900534657</v>
      </c>
      <c r="X333" s="51">
        <f t="shared" si="25"/>
        <v>3.8007776009387757E-3</v>
      </c>
      <c r="Y333" s="58">
        <f t="shared" si="45"/>
        <v>0.38300279609591131</v>
      </c>
      <c r="Z333" s="74">
        <f t="shared" si="26"/>
        <v>100.76958883395632</v>
      </c>
      <c r="AA333" s="51">
        <f t="shared" si="27"/>
        <v>1.4214805004964872</v>
      </c>
      <c r="AB333" s="52">
        <v>5</v>
      </c>
      <c r="AC333">
        <v>2</v>
      </c>
    </row>
    <row r="334" spans="1:29">
      <c r="A334" s="6">
        <v>2018</v>
      </c>
      <c r="B334" s="6" t="s">
        <v>343</v>
      </c>
      <c r="C334" s="7" t="s">
        <v>344</v>
      </c>
      <c r="D334" s="9">
        <v>16151959000000</v>
      </c>
      <c r="E334" s="10">
        <v>3113950000000</v>
      </c>
      <c r="F334" s="10">
        <v>34289017000000</v>
      </c>
      <c r="G334" s="16">
        <f t="shared" si="38"/>
        <v>7994843000000</v>
      </c>
      <c r="H334" s="10">
        <v>9649898000000</v>
      </c>
      <c r="I334" s="10">
        <v>17644741000000</v>
      </c>
      <c r="J334" s="10">
        <v>16644276000000</v>
      </c>
      <c r="K334" s="8">
        <v>36000000000</v>
      </c>
      <c r="L334" s="10">
        <v>7670405000000</v>
      </c>
      <c r="M334" s="10">
        <v>4042138000000</v>
      </c>
      <c r="N334" s="9">
        <f>1210546000000+372585000000+270853000000</f>
        <v>1853984000000</v>
      </c>
      <c r="O334" s="12">
        <v>1302702000000</v>
      </c>
      <c r="P334" s="50">
        <v>196839000000</v>
      </c>
      <c r="Q334" s="51">
        <v>1010</v>
      </c>
      <c r="R334" s="51">
        <f t="shared" si="29"/>
        <v>2.0202972090884086</v>
      </c>
      <c r="S334" s="51">
        <f t="shared" si="30"/>
        <v>0.57977276993003479</v>
      </c>
      <c r="T334" s="51">
        <f t="shared" si="39"/>
        <v>3.7991815280093912E-2</v>
      </c>
      <c r="U334" s="51">
        <f t="shared" si="40"/>
        <v>7.8267267377685884E-2</v>
      </c>
      <c r="V334" s="51">
        <f t="shared" si="41"/>
        <v>0.16983483922948006</v>
      </c>
      <c r="W334" s="58">
        <f t="shared" si="44"/>
        <v>0.47302156796153527</v>
      </c>
      <c r="X334" s="51">
        <f t="shared" si="25"/>
        <v>5.413613861386138E-3</v>
      </c>
      <c r="Y334" s="58">
        <f t="shared" si="45"/>
        <v>0.15110055868494868</v>
      </c>
      <c r="Z334" s="51">
        <f t="shared" si="26"/>
        <v>27.911218375346014</v>
      </c>
      <c r="AA334" s="51">
        <f t="shared" si="27"/>
        <v>2.1845347914201856</v>
      </c>
      <c r="AB334" s="52">
        <v>5</v>
      </c>
      <c r="AC334">
        <v>2</v>
      </c>
    </row>
    <row r="335" spans="1:29">
      <c r="A335" s="6">
        <v>2019</v>
      </c>
      <c r="B335" s="6" t="s">
        <v>343</v>
      </c>
      <c r="C335" s="7" t="s">
        <v>344</v>
      </c>
      <c r="D335" s="9">
        <v>18195176000000</v>
      </c>
      <c r="E335" s="10">
        <v>3089106000000</v>
      </c>
      <c r="F335" s="10">
        <v>36196024000000</v>
      </c>
      <c r="G335" s="16">
        <f t="shared" si="38"/>
        <v>8368689000000</v>
      </c>
      <c r="H335" s="10">
        <v>10065767000000</v>
      </c>
      <c r="I335" s="10">
        <v>18434456000000</v>
      </c>
      <c r="J335" s="10">
        <v>17761568000000</v>
      </c>
      <c r="K335" s="8">
        <v>36000000000</v>
      </c>
      <c r="L335" s="10">
        <v>7608237000000</v>
      </c>
      <c r="M335" s="10">
        <v>3816495000000</v>
      </c>
      <c r="N335" s="9">
        <f>1252875000000+383428000000+372687000000</f>
        <v>2008990000000</v>
      </c>
      <c r="O335" s="12">
        <v>1283281000000</v>
      </c>
      <c r="P335" s="50">
        <v>209264000000</v>
      </c>
      <c r="Q335" s="51">
        <v>1040</v>
      </c>
      <c r="R335" s="51">
        <f t="shared" si="29"/>
        <v>2.1741966991484567</v>
      </c>
      <c r="S335" s="51">
        <f t="shared" si="30"/>
        <v>0.56671612551324302</v>
      </c>
      <c r="T335" s="51">
        <f t="shared" si="39"/>
        <v>3.54536454059153E-2</v>
      </c>
      <c r="U335" s="51">
        <f t="shared" si="40"/>
        <v>7.2250434195899826E-2</v>
      </c>
      <c r="V335" s="51">
        <f t="shared" si="41"/>
        <v>0.16866995599637602</v>
      </c>
      <c r="W335" s="58">
        <f t="shared" si="44"/>
        <v>0.49837327622680522</v>
      </c>
      <c r="X335" s="51">
        <f t="shared" si="25"/>
        <v>5.5893162393162391E-3</v>
      </c>
      <c r="Y335" s="58">
        <f t="shared" si="45"/>
        <v>0.16306950699028505</v>
      </c>
      <c r="Z335" s="51">
        <f t="shared" si="26"/>
        <v>29.175215716588966</v>
      </c>
      <c r="AA335" s="51">
        <f t="shared" si="27"/>
        <v>2.1079220032825932</v>
      </c>
      <c r="AB335" s="52">
        <v>5</v>
      </c>
      <c r="AC335">
        <v>2</v>
      </c>
    </row>
    <row r="336" spans="1:29">
      <c r="A336" s="6">
        <v>2020</v>
      </c>
      <c r="B336" s="6" t="s">
        <v>343</v>
      </c>
      <c r="C336" s="7" t="s">
        <v>344</v>
      </c>
      <c r="D336" s="9">
        <v>20645596000000</v>
      </c>
      <c r="E336" s="10">
        <v>2594980000000</v>
      </c>
      <c r="F336" s="10">
        <v>39255187000000</v>
      </c>
      <c r="G336" s="16">
        <f t="shared" si="38"/>
        <v>11609414000000</v>
      </c>
      <c r="H336" s="10">
        <v>10188245000000</v>
      </c>
      <c r="I336" s="10">
        <v>21797659000000</v>
      </c>
      <c r="J336" s="10">
        <v>17457528000000</v>
      </c>
      <c r="K336" s="8">
        <v>36000000000</v>
      </c>
      <c r="L336" s="10">
        <v>8070737000000</v>
      </c>
      <c r="M336" s="10">
        <v>3949402000000</v>
      </c>
      <c r="N336" s="9">
        <f>1166156000000+356561000000+399197000000</f>
        <v>1921914000000</v>
      </c>
      <c r="O336" s="12">
        <v>1370686000000</v>
      </c>
      <c r="P336" s="50">
        <v>175309000000</v>
      </c>
      <c r="Q336" s="51">
        <v>985</v>
      </c>
      <c r="R336" s="51">
        <f t="shared" si="29"/>
        <v>1.7783495359886381</v>
      </c>
      <c r="S336" s="51">
        <f t="shared" si="30"/>
        <v>0.58360181349845175</v>
      </c>
      <c r="T336" s="51">
        <f t="shared" si="39"/>
        <v>3.4917321881564337E-2</v>
      </c>
      <c r="U336" s="51">
        <f t="shared" si="40"/>
        <v>7.8515469085886622E-2</v>
      </c>
      <c r="V336" s="51">
        <f t="shared" si="41"/>
        <v>0.16983405604717389</v>
      </c>
      <c r="W336" s="58">
        <f t="shared" si="44"/>
        <v>0.51065162946085341</v>
      </c>
      <c r="X336" s="51">
        <f t="shared" si="25"/>
        <v>4.9438522278623803E-3</v>
      </c>
      <c r="Y336" s="58">
        <f t="shared" si="45"/>
        <v>0.12789873100038959</v>
      </c>
      <c r="Z336" s="51">
        <f t="shared" si="26"/>
        <v>25.870257666599063</v>
      </c>
      <c r="AA336" s="51">
        <f t="shared" si="27"/>
        <v>2.0312154160657796</v>
      </c>
      <c r="AB336" s="52">
        <v>5</v>
      </c>
      <c r="AC336">
        <v>2</v>
      </c>
    </row>
    <row r="337" spans="1:29">
      <c r="A337" s="6">
        <v>2018</v>
      </c>
      <c r="B337" s="82" t="s">
        <v>345</v>
      </c>
      <c r="C337" s="7" t="s">
        <v>346</v>
      </c>
      <c r="D337" s="9">
        <v>383811502955</v>
      </c>
      <c r="E337" s="10">
        <v>237016895</v>
      </c>
      <c r="F337" s="10">
        <v>940955391343</v>
      </c>
      <c r="G337" s="16">
        <f t="shared" si="38"/>
        <v>118630021417</v>
      </c>
      <c r="H337" s="10">
        <v>146832593365</v>
      </c>
      <c r="I337" s="10">
        <v>265462614782</v>
      </c>
      <c r="J337" s="10">
        <v>675492776561</v>
      </c>
      <c r="K337" s="8">
        <v>4400000000</v>
      </c>
      <c r="L337" s="10">
        <v>43232413637</v>
      </c>
      <c r="M337" s="10">
        <v>13481206866</v>
      </c>
      <c r="N337" s="9">
        <f>889425479+10842011194+11832706755+70064</f>
        <v>23564213492</v>
      </c>
      <c r="O337" s="12">
        <v>5908257104</v>
      </c>
      <c r="P337" s="50">
        <v>14575000000</v>
      </c>
      <c r="Q337" s="51">
        <v>700</v>
      </c>
      <c r="R337" s="51">
        <f t="shared" si="29"/>
        <v>3.2353657056661271</v>
      </c>
      <c r="S337" s="51">
        <f t="shared" si="30"/>
        <v>0.21737107850736634</v>
      </c>
      <c r="T337" s="51">
        <f t="shared" si="39"/>
        <v>6.2789980889182279E-3</v>
      </c>
      <c r="U337" s="51">
        <f t="shared" si="40"/>
        <v>8.7465881338946606E-3</v>
      </c>
      <c r="V337" s="51">
        <f t="shared" si="41"/>
        <v>0.13666267059731038</v>
      </c>
      <c r="W337" s="58">
        <f t="shared" si="44"/>
        <v>0.68816899793764341</v>
      </c>
      <c r="X337" s="51">
        <f t="shared" si="25"/>
        <v>4.7321428571428575E-3</v>
      </c>
      <c r="Y337" s="58">
        <f t="shared" si="45"/>
        <v>2.4668865527420012</v>
      </c>
      <c r="Z337" s="74">
        <f t="shared" si="26"/>
        <v>521.30432812661161</v>
      </c>
      <c r="AA337" s="51">
        <f t="shared" si="27"/>
        <v>4.5596342505401495</v>
      </c>
      <c r="AB337" s="52">
        <v>5</v>
      </c>
      <c r="AC337">
        <v>2</v>
      </c>
    </row>
    <row r="338" spans="1:29">
      <c r="A338" s="6">
        <v>2019</v>
      </c>
      <c r="B338" s="82" t="s">
        <v>345</v>
      </c>
      <c r="C338" s="7" t="s">
        <v>346</v>
      </c>
      <c r="D338" s="9">
        <v>274783000000</v>
      </c>
      <c r="E338" s="10">
        <v>152607850</v>
      </c>
      <c r="F338" s="10">
        <v>891866986266</v>
      </c>
      <c r="G338" s="16">
        <f t="shared" si="38"/>
        <v>94605074884</v>
      </c>
      <c r="H338" s="10">
        <v>169794632882</v>
      </c>
      <c r="I338" s="10">
        <v>264399707766</v>
      </c>
      <c r="J338" s="10">
        <v>627467278500</v>
      </c>
      <c r="K338" s="8">
        <v>4400000000</v>
      </c>
      <c r="L338" s="10">
        <v>84249947508</v>
      </c>
      <c r="M338" s="10">
        <v>47767171754</v>
      </c>
      <c r="N338" s="9">
        <f>504942972+13453467801+18533617026+68378</f>
        <v>32492096177</v>
      </c>
      <c r="O338" s="12">
        <v>2718797575</v>
      </c>
      <c r="P338" s="50"/>
      <c r="Q338" s="51">
        <v>470</v>
      </c>
      <c r="R338" s="51">
        <f t="shared" si="29"/>
        <v>2.9045270598530273</v>
      </c>
      <c r="S338" s="51">
        <f t="shared" si="30"/>
        <v>0.27060316720882205</v>
      </c>
      <c r="T338" s="51">
        <f t="shared" si="39"/>
        <v>3.0484339221735881E-3</v>
      </c>
      <c r="U338" s="51">
        <f t="shared" si="40"/>
        <v>4.3329710857583784E-3</v>
      </c>
      <c r="V338" s="51">
        <f t="shared" si="41"/>
        <v>3.2270614468238513E-2</v>
      </c>
      <c r="W338" s="58">
        <f t="shared" si="44"/>
        <v>0.43303024907565379</v>
      </c>
      <c r="X338" s="51">
        <f t="shared" si="25"/>
        <v>0</v>
      </c>
      <c r="Y338" s="58">
        <f t="shared" si="45"/>
        <v>0</v>
      </c>
      <c r="Z338" s="74">
        <f t="shared" si="26"/>
        <v>760.63036800376722</v>
      </c>
      <c r="AA338" s="51">
        <f t="shared" si="27"/>
        <v>3.2957893915100782</v>
      </c>
      <c r="AB338" s="52">
        <v>5</v>
      </c>
      <c r="AC338">
        <v>2</v>
      </c>
    </row>
    <row r="339" spans="1:29">
      <c r="A339" s="6">
        <v>2020</v>
      </c>
      <c r="B339" s="82" t="s">
        <v>345</v>
      </c>
      <c r="C339" s="7" t="s">
        <v>346</v>
      </c>
      <c r="D339" s="9">
        <v>267197000000</v>
      </c>
      <c r="E339" s="10">
        <v>342796806</v>
      </c>
      <c r="F339" s="10">
        <v>870707453070</v>
      </c>
      <c r="G339" s="16">
        <f t="shared" si="38"/>
        <v>81634525401</v>
      </c>
      <c r="H339" s="10">
        <v>163890124493</v>
      </c>
      <c r="I339" s="10">
        <v>245524649894</v>
      </c>
      <c r="J339" s="10">
        <v>625182803176</v>
      </c>
      <c r="K339" s="8">
        <v>4400000000</v>
      </c>
      <c r="L339" s="10">
        <v>51320798915</v>
      </c>
      <c r="M339" s="10">
        <v>20047726784</v>
      </c>
      <c r="N339" s="10">
        <f>794479266+16888104274+16785208334+16635</f>
        <v>34467808509</v>
      </c>
      <c r="O339" s="12">
        <v>-1481751003</v>
      </c>
      <c r="P339" s="50"/>
      <c r="Q339" s="51">
        <v>670</v>
      </c>
      <c r="R339" s="51">
        <f t="shared" si="29"/>
        <v>3.2730881779184928</v>
      </c>
      <c r="S339" s="51">
        <f t="shared" si="30"/>
        <v>0.26214752494857418</v>
      </c>
      <c r="T339" s="51">
        <f t="shared" si="39"/>
        <v>-1.7017782468446098E-3</v>
      </c>
      <c r="U339" s="51">
        <f t="shared" si="40"/>
        <v>-2.3701083834560639E-3</v>
      </c>
      <c r="V339" s="51">
        <f t="shared" si="41"/>
        <v>-2.887232923739453E-2</v>
      </c>
      <c r="W339" s="58">
        <f t="shared" si="44"/>
        <v>0.60936448364328821</v>
      </c>
      <c r="X339" s="51">
        <f t="shared" si="25"/>
        <v>0</v>
      </c>
      <c r="Y339" s="58">
        <f t="shared" si="45"/>
        <v>0</v>
      </c>
      <c r="Z339" s="74">
        <f t="shared" si="26"/>
        <v>-1989.5380492615736</v>
      </c>
      <c r="AA339" s="51">
        <f t="shared" si="27"/>
        <v>4.7154208097596788</v>
      </c>
      <c r="AB339" s="52">
        <v>5</v>
      </c>
      <c r="AC339">
        <v>2</v>
      </c>
    </row>
    <row r="340" spans="1:29">
      <c r="A340" s="6">
        <v>2018</v>
      </c>
      <c r="B340" s="6" t="s">
        <v>347</v>
      </c>
      <c r="C340" s="7" t="s">
        <v>348</v>
      </c>
      <c r="D340" s="9">
        <v>2510268566000</v>
      </c>
      <c r="E340" s="10">
        <v>747019235000</v>
      </c>
      <c r="F340" s="10">
        <v>4804256788000</v>
      </c>
      <c r="G340" s="16">
        <f t="shared" si="38"/>
        <v>1933630733000</v>
      </c>
      <c r="H340" s="10">
        <v>288129800000</v>
      </c>
      <c r="I340" s="10">
        <v>2221760533000</v>
      </c>
      <c r="J340" s="10">
        <v>2582496255000</v>
      </c>
      <c r="K340" s="8">
        <v>30000000000</v>
      </c>
      <c r="L340" s="10">
        <v>5157266424000</v>
      </c>
      <c r="M340" s="10">
        <v>4292248458000</v>
      </c>
      <c r="N340" s="10">
        <f>153567236000+382695600000+9373408000</f>
        <v>545636244000</v>
      </c>
      <c r="O340" s="12">
        <v>268229012000</v>
      </c>
      <c r="P340" s="50"/>
      <c r="Q340" s="51">
        <v>364</v>
      </c>
      <c r="R340" s="51">
        <f t="shared" si="29"/>
        <v>1.2982150744497916</v>
      </c>
      <c r="S340" s="51">
        <f t="shared" si="30"/>
        <v>0.11157026827905313</v>
      </c>
      <c r="T340" s="51">
        <f t="shared" si="39"/>
        <v>5.5831531043465117E-2</v>
      </c>
      <c r="U340" s="51">
        <f t="shared" si="40"/>
        <v>0.10386424045366137</v>
      </c>
      <c r="V340" s="51">
        <f t="shared" si="41"/>
        <v>5.2009919586810935E-2</v>
      </c>
      <c r="W340" s="58">
        <f t="shared" si="44"/>
        <v>0.16772799674931047</v>
      </c>
      <c r="X340" s="51">
        <f t="shared" si="25"/>
        <v>0</v>
      </c>
      <c r="Y340" s="58">
        <f t="shared" si="45"/>
        <v>0</v>
      </c>
      <c r="Z340" s="51">
        <f t="shared" si="26"/>
        <v>40.71147978578842</v>
      </c>
      <c r="AA340" s="51">
        <f t="shared" si="27"/>
        <v>4.2284669256955034</v>
      </c>
      <c r="AB340" s="52">
        <v>5</v>
      </c>
      <c r="AC340">
        <v>0</v>
      </c>
    </row>
    <row r="341" spans="1:29">
      <c r="A341" s="6">
        <v>2019</v>
      </c>
      <c r="B341" s="6" t="s">
        <v>347</v>
      </c>
      <c r="C341" s="7" t="s">
        <v>348</v>
      </c>
      <c r="D341" s="9">
        <v>2678070135000</v>
      </c>
      <c r="E341" s="10">
        <v>668140593000</v>
      </c>
      <c r="F341" s="10">
        <v>4928108872000</v>
      </c>
      <c r="G341" s="16">
        <f t="shared" si="38"/>
        <v>1972160394000</v>
      </c>
      <c r="H341" s="10">
        <v>258181518000</v>
      </c>
      <c r="I341" s="10">
        <v>2230341912000</v>
      </c>
      <c r="J341" s="10">
        <v>2697766960000</v>
      </c>
      <c r="K341" s="8">
        <v>30000000000</v>
      </c>
      <c r="L341" s="10">
        <v>5470824200000</v>
      </c>
      <c r="M341" s="10">
        <v>4651089971000</v>
      </c>
      <c r="N341" s="10">
        <f>128597983000+392437420000+14195990000</f>
        <v>535231393000</v>
      </c>
      <c r="O341" s="12">
        <v>202283267000</v>
      </c>
      <c r="P341" s="50">
        <v>4860871000</v>
      </c>
      <c r="Q341" s="51">
        <v>500</v>
      </c>
      <c r="R341" s="51">
        <f t="shared" si="29"/>
        <v>1.3579372870216966</v>
      </c>
      <c r="S341" s="51">
        <f t="shared" si="30"/>
        <v>9.5701934906935029E-2</v>
      </c>
      <c r="T341" s="51">
        <f t="shared" si="39"/>
        <v>4.1046834039992777E-2</v>
      </c>
      <c r="U341" s="51">
        <f t="shared" si="40"/>
        <v>7.4981742307348886E-2</v>
      </c>
      <c r="V341" s="51">
        <f t="shared" si="41"/>
        <v>3.6974916320652383E-2</v>
      </c>
      <c r="W341" s="58">
        <f t="shared" si="44"/>
        <v>0.14983742833483846</v>
      </c>
      <c r="X341" s="51">
        <f t="shared" si="25"/>
        <v>3.2405806666666666E-4</v>
      </c>
      <c r="Y341" s="58">
        <f t="shared" si="45"/>
        <v>2.4030020238895982E-2</v>
      </c>
      <c r="Z341" s="51">
        <f t="shared" si="26"/>
        <v>74.153439493341779</v>
      </c>
      <c r="AA341" s="51">
        <f t="shared" si="27"/>
        <v>5.5601540912933407</v>
      </c>
      <c r="AB341" s="52">
        <v>5</v>
      </c>
      <c r="AC341">
        <v>0</v>
      </c>
    </row>
    <row r="342" spans="1:29">
      <c r="A342" s="6">
        <v>2020</v>
      </c>
      <c r="B342" s="82" t="s">
        <v>347</v>
      </c>
      <c r="C342" s="7" t="s">
        <v>348</v>
      </c>
      <c r="D342" s="9">
        <v>2748869993000</v>
      </c>
      <c r="E342" s="10">
        <v>563657747000</v>
      </c>
      <c r="F342" s="10">
        <v>4565315258000</v>
      </c>
      <c r="G342" s="16">
        <f t="shared" si="38"/>
        <v>1628187787000</v>
      </c>
      <c r="H342" s="10">
        <v>254060046000</v>
      </c>
      <c r="I342" s="10">
        <v>1882247833000</v>
      </c>
      <c r="J342" s="10">
        <v>2683067425000</v>
      </c>
      <c r="K342" s="8">
        <v>30000000000</v>
      </c>
      <c r="L342" s="10">
        <v>3013778917000</v>
      </c>
      <c r="M342" s="10">
        <v>2520797620000</v>
      </c>
      <c r="N342" s="10">
        <f>86064392000+304157422000+18381721000</f>
        <v>408603535000</v>
      </c>
      <c r="O342" s="12">
        <v>51834425000</v>
      </c>
      <c r="P342" s="50"/>
      <c r="Q342" s="51">
        <v>400</v>
      </c>
      <c r="R342" s="51">
        <f t="shared" si="29"/>
        <v>1.6883003391549207</v>
      </c>
      <c r="S342" s="51">
        <f t="shared" si="30"/>
        <v>9.4690145925050692E-2</v>
      </c>
      <c r="T342" s="51">
        <f t="shared" si="39"/>
        <v>1.1353963980728009E-2</v>
      </c>
      <c r="U342" s="51">
        <f t="shared" si="40"/>
        <v>1.9319091468601463E-2</v>
      </c>
      <c r="V342" s="51">
        <f t="shared" si="41"/>
        <v>1.7199146462806049E-2</v>
      </c>
      <c r="W342" s="58">
        <f t="shared" si="44"/>
        <v>0.16357579987676316</v>
      </c>
      <c r="X342" s="51">
        <f t="shared" si="25"/>
        <v>0</v>
      </c>
      <c r="Y342" s="58">
        <f t="shared" si="45"/>
        <v>0</v>
      </c>
      <c r="Z342" s="74">
        <f t="shared" si="26"/>
        <v>231.50637824187305</v>
      </c>
      <c r="AA342" s="51">
        <f t="shared" si="27"/>
        <v>4.4724928968193929</v>
      </c>
      <c r="AB342" s="52">
        <v>5</v>
      </c>
      <c r="AC342">
        <v>0</v>
      </c>
    </row>
    <row r="343" spans="1:29">
      <c r="A343" s="6">
        <v>2018</v>
      </c>
      <c r="B343" s="6" t="s">
        <v>350</v>
      </c>
      <c r="C343" s="7" t="s">
        <v>351</v>
      </c>
      <c r="D343" s="10">
        <v>33046506000000</v>
      </c>
      <c r="E343" s="10">
        <v>5397911000000</v>
      </c>
      <c r="F343" s="10">
        <v>49083460000000</v>
      </c>
      <c r="G343" s="16">
        <f t="shared" si="38"/>
        <v>8204921000000</v>
      </c>
      <c r="H343" s="9">
        <v>16131471000000</v>
      </c>
      <c r="I343" s="10">
        <v>24336392000000</v>
      </c>
      <c r="J343" s="10">
        <v>24747068000000</v>
      </c>
      <c r="K343" s="8">
        <v>64000000000</v>
      </c>
      <c r="L343" s="10">
        <v>11452799000000</v>
      </c>
      <c r="M343" s="10">
        <v>177780000000</v>
      </c>
      <c r="N343" s="10">
        <f>3587467000000+1907422000000</f>
        <v>5494889000000</v>
      </c>
      <c r="O343" s="12">
        <v>1662685000000</v>
      </c>
      <c r="P343" s="50">
        <v>76754000000</v>
      </c>
      <c r="Q343" s="51">
        <v>254</v>
      </c>
      <c r="R343" s="51">
        <f t="shared" si="29"/>
        <v>4.027644629363281</v>
      </c>
      <c r="S343" s="51">
        <f t="shared" si="30"/>
        <v>0.65185382769385047</v>
      </c>
      <c r="T343" s="51">
        <f t="shared" si="39"/>
        <v>3.3874649423655138E-2</v>
      </c>
      <c r="U343" s="51">
        <f t="shared" si="40"/>
        <v>6.7187151221308319E-2</v>
      </c>
      <c r="V343" s="51">
        <f t="shared" si="41"/>
        <v>0.14517717459286589</v>
      </c>
      <c r="W343" s="58">
        <f t="shared" si="44"/>
        <v>0.98447715706876548</v>
      </c>
      <c r="X343" s="51">
        <f t="shared" si="25"/>
        <v>4.7215797244094491E-3</v>
      </c>
      <c r="Y343" s="58">
        <f t="shared" si="45"/>
        <v>4.6162682648848097E-2</v>
      </c>
      <c r="Z343" s="51">
        <f t="shared" si="26"/>
        <v>9.7769571506328621</v>
      </c>
      <c r="AA343" s="51">
        <f t="shared" si="27"/>
        <v>0.65688589856382185</v>
      </c>
      <c r="AB343" s="52">
        <v>5</v>
      </c>
      <c r="AC343">
        <v>2</v>
      </c>
    </row>
    <row r="344" spans="1:29">
      <c r="A344" s="6">
        <v>2019</v>
      </c>
      <c r="B344" s="6" t="s">
        <v>350</v>
      </c>
      <c r="C344" s="7" t="s">
        <v>351</v>
      </c>
      <c r="D344" s="10">
        <v>37197250000000</v>
      </c>
      <c r="E344" s="10">
        <v>5369030000000</v>
      </c>
      <c r="F344" s="10">
        <v>55079585000000</v>
      </c>
      <c r="G344" s="16">
        <f t="shared" si="38"/>
        <v>6881251000000</v>
      </c>
      <c r="H344" s="10">
        <v>13821995000000</v>
      </c>
      <c r="I344" s="10">
        <v>20703246000000</v>
      </c>
      <c r="J344" s="10">
        <v>34376339000000</v>
      </c>
      <c r="K344" s="31">
        <v>92000000000</v>
      </c>
      <c r="L344" s="10">
        <v>12320248000000</v>
      </c>
      <c r="M344" s="10">
        <v>143075000000</v>
      </c>
      <c r="N344" s="10">
        <f>4003429000000+2075322000000</f>
        <v>6078751000000</v>
      </c>
      <c r="O344" s="12">
        <v>2061418000000</v>
      </c>
      <c r="P344" s="50">
        <v>3437000000</v>
      </c>
      <c r="Q344" s="51">
        <v>242</v>
      </c>
      <c r="R344" s="51">
        <f t="shared" si="29"/>
        <v>5.4055941281607076</v>
      </c>
      <c r="S344" s="51">
        <f t="shared" si="30"/>
        <v>0.402078737936579</v>
      </c>
      <c r="T344" s="51">
        <f t="shared" si="39"/>
        <v>3.7426171602418574E-2</v>
      </c>
      <c r="U344" s="51">
        <f t="shared" si="40"/>
        <v>5.9966187789805073E-2</v>
      </c>
      <c r="V344" s="51">
        <f t="shared" si="41"/>
        <v>0.16731952149015183</v>
      </c>
      <c r="W344" s="58">
        <f t="shared" si="44"/>
        <v>0.98838700324863593</v>
      </c>
      <c r="X344" s="51">
        <f t="shared" si="25"/>
        <v>1.5437477542220627E-4</v>
      </c>
      <c r="Y344" s="58">
        <f t="shared" si="45"/>
        <v>1.6672989175412264E-3</v>
      </c>
      <c r="Z344" s="51">
        <f t="shared" si="26"/>
        <v>10.800332586598158</v>
      </c>
      <c r="AA344" s="51">
        <f t="shared" si="27"/>
        <v>0.64765477208029631</v>
      </c>
      <c r="AB344" s="52">
        <v>5</v>
      </c>
      <c r="AC344">
        <v>2</v>
      </c>
    </row>
    <row r="345" spans="1:29">
      <c r="A345" s="6">
        <v>2020</v>
      </c>
      <c r="B345" s="6" t="s">
        <v>350</v>
      </c>
      <c r="C345" s="7" t="s">
        <v>351</v>
      </c>
      <c r="D345" s="10">
        <v>33078230000000</v>
      </c>
      <c r="E345" s="10">
        <v>8787101000000</v>
      </c>
      <c r="F345" s="10">
        <v>51865480000000</v>
      </c>
      <c r="G345" s="16">
        <f t="shared" si="38"/>
        <v>10573858000000</v>
      </c>
      <c r="H345" s="10">
        <v>17717967000000</v>
      </c>
      <c r="I345" s="10">
        <v>28291825000000</v>
      </c>
      <c r="J345" s="10">
        <v>23573655000000</v>
      </c>
      <c r="K345" s="31">
        <v>92000000000</v>
      </c>
      <c r="L345" s="10">
        <v>11966299000000</v>
      </c>
      <c r="M345" s="10">
        <v>155344000000</v>
      </c>
      <c r="N345" s="10">
        <f>4069362000000+5612472000000</f>
        <v>9681834000000</v>
      </c>
      <c r="O345" s="12">
        <v>9637220000000</v>
      </c>
      <c r="P345" s="50"/>
      <c r="Q345" s="51">
        <v>214</v>
      </c>
      <c r="R345" s="51">
        <f t="shared" si="29"/>
        <v>3.1283028389448773</v>
      </c>
      <c r="S345" s="51">
        <f t="shared" si="30"/>
        <v>0.75160033520470204</v>
      </c>
      <c r="T345" s="51">
        <f t="shared" si="39"/>
        <v>0.18581183476948443</v>
      </c>
      <c r="U345" s="51">
        <f t="shared" si="40"/>
        <v>0.40881314331612983</v>
      </c>
      <c r="V345" s="51">
        <f t="shared" si="41"/>
        <v>0.80536346283842652</v>
      </c>
      <c r="W345" s="58">
        <f t="shared" si="44"/>
        <v>0.98701820838673682</v>
      </c>
      <c r="X345" s="51">
        <f t="shared" si="25"/>
        <v>0</v>
      </c>
      <c r="Y345" s="58">
        <f t="shared" si="45"/>
        <v>0</v>
      </c>
      <c r="Z345" s="51">
        <f t="shared" si="26"/>
        <v>2.0429127902029838</v>
      </c>
      <c r="AA345" s="51">
        <f t="shared" si="27"/>
        <v>0.83516959928360712</v>
      </c>
      <c r="AB345" s="52">
        <v>5</v>
      </c>
      <c r="AC345">
        <v>2</v>
      </c>
    </row>
    <row r="346" spans="1:29">
      <c r="A346" s="6">
        <v>2018</v>
      </c>
      <c r="B346" s="6" t="s">
        <v>352</v>
      </c>
      <c r="C346" s="7" t="s">
        <v>353</v>
      </c>
      <c r="D346" s="9">
        <v>10413442231664</v>
      </c>
      <c r="E346" s="10">
        <v>2169718612941</v>
      </c>
      <c r="F346" s="10">
        <v>15622688330680</v>
      </c>
      <c r="G346" s="16">
        <f t="shared" si="38"/>
        <v>6322667387430</v>
      </c>
      <c r="H346" s="10">
        <v>4971773985836</v>
      </c>
      <c r="I346" s="10">
        <v>11294441373266</v>
      </c>
      <c r="J346" s="10">
        <v>4328246957414</v>
      </c>
      <c r="K346" s="8">
        <v>146112960000</v>
      </c>
      <c r="L346" s="10">
        <v>2556174514577</v>
      </c>
      <c r="M346" s="10">
        <v>1965554651097</v>
      </c>
      <c r="N346" s="9">
        <v>75999819082</v>
      </c>
      <c r="O346" s="12">
        <v>496783496821</v>
      </c>
      <c r="P346" s="50">
        <v>88935991076</v>
      </c>
      <c r="Q346" s="51">
        <v>117</v>
      </c>
      <c r="R346" s="51">
        <f t="shared" si="29"/>
        <v>1.6470014304985912</v>
      </c>
      <c r="S346" s="51">
        <f t="shared" si="30"/>
        <v>1.1486807556855509</v>
      </c>
      <c r="T346" s="51">
        <f t="shared" si="39"/>
        <v>3.1798848335558953E-2</v>
      </c>
      <c r="U346" s="51">
        <f t="shared" si="40"/>
        <v>0.11477706833942153</v>
      </c>
      <c r="V346" s="51">
        <f t="shared" si="41"/>
        <v>0.19434647125539023</v>
      </c>
      <c r="W346" s="58">
        <f t="shared" si="44"/>
        <v>0.23105615837725257</v>
      </c>
      <c r="X346" s="51">
        <f t="shared" si="25"/>
        <v>5.2023905056967417E-3</v>
      </c>
      <c r="Y346" s="58">
        <f t="shared" si="45"/>
        <v>0.17902364238167362</v>
      </c>
      <c r="Z346" s="51">
        <f t="shared" si="26"/>
        <v>34.411803993882899</v>
      </c>
      <c r="AA346" s="51">
        <f t="shared" si="27"/>
        <v>3.9496859786886764</v>
      </c>
      <c r="AB346" s="52">
        <v>5</v>
      </c>
      <c r="AC346">
        <v>0</v>
      </c>
    </row>
    <row r="347" spans="1:29">
      <c r="A347" s="6">
        <v>2019</v>
      </c>
      <c r="B347" s="6" t="s">
        <v>352</v>
      </c>
      <c r="C347" s="7" t="s">
        <v>353</v>
      </c>
      <c r="D347" s="9">
        <v>11126748490830</v>
      </c>
      <c r="E347" s="10">
        <v>2481947878357</v>
      </c>
      <c r="F347" s="10">
        <v>18006178568569</v>
      </c>
      <c r="G347" s="16">
        <f t="shared" si="38"/>
        <v>7172872963250</v>
      </c>
      <c r="H347" s="10">
        <v>6312184791062</v>
      </c>
      <c r="I347" s="10">
        <v>13485057754312</v>
      </c>
      <c r="J347" s="10">
        <v>4521120814257</v>
      </c>
      <c r="K347" s="8">
        <v>146112960000</v>
      </c>
      <c r="L347" s="10">
        <v>1624169492823</v>
      </c>
      <c r="M347" s="10">
        <v>1183101342252</v>
      </c>
      <c r="N347" s="9">
        <v>76423480075</v>
      </c>
      <c r="O347" s="12">
        <v>360895336040</v>
      </c>
      <c r="P347" s="50">
        <v>94251521660</v>
      </c>
      <c r="Q347" s="51">
        <v>68</v>
      </c>
      <c r="R347" s="51">
        <f t="shared" si="29"/>
        <v>1.5512262029228125</v>
      </c>
      <c r="S347" s="51">
        <f t="shared" si="30"/>
        <v>1.396154858582195</v>
      </c>
      <c r="T347" s="51">
        <f t="shared" si="39"/>
        <v>2.0042861102686563E-2</v>
      </c>
      <c r="U347" s="51">
        <f t="shared" si="40"/>
        <v>7.9824307039516582E-2</v>
      </c>
      <c r="V347" s="51">
        <f t="shared" si="41"/>
        <v>0.22220300137070112</v>
      </c>
      <c r="W347" s="58">
        <f t="shared" si="44"/>
        <v>0.27156534617847738</v>
      </c>
      <c r="X347" s="51">
        <f t="shared" si="25"/>
        <v>9.4861659712981456E-3</v>
      </c>
      <c r="Y347" s="58">
        <f t="shared" si="45"/>
        <v>0.2611602651732623</v>
      </c>
      <c r="Z347" s="51">
        <f t="shared" si="26"/>
        <v>27.530644726588474</v>
      </c>
      <c r="AA347" s="51">
        <f t="shared" si="27"/>
        <v>2.1976146376510464</v>
      </c>
      <c r="AB347" s="52">
        <v>5</v>
      </c>
      <c r="AC347">
        <v>0</v>
      </c>
    </row>
    <row r="348" spans="1:29">
      <c r="A348" s="6">
        <v>2020</v>
      </c>
      <c r="B348" s="82" t="s">
        <v>352</v>
      </c>
      <c r="C348" s="7" t="s">
        <v>353</v>
      </c>
      <c r="D348" s="9">
        <v>11490844438332</v>
      </c>
      <c r="E348" s="10">
        <v>2694031520761</v>
      </c>
      <c r="F348" s="10">
        <v>18588970471992</v>
      </c>
      <c r="G348" s="16">
        <f t="shared" si="38"/>
        <v>6760191759915</v>
      </c>
      <c r="H348" s="10">
        <v>7284558715445</v>
      </c>
      <c r="I348" s="10">
        <v>14044750475360</v>
      </c>
      <c r="J348" s="10">
        <v>4544219996632</v>
      </c>
      <c r="K348" s="8">
        <v>146112960000</v>
      </c>
      <c r="L348" s="10">
        <v>2075242421357</v>
      </c>
      <c r="M348" s="10">
        <v>1747594089122</v>
      </c>
      <c r="N348" s="9">
        <v>57495202502</v>
      </c>
      <c r="O348" s="12">
        <v>106377057578</v>
      </c>
      <c r="P348" s="50">
        <v>34269521745</v>
      </c>
      <c r="Q348" s="51">
        <v>94</v>
      </c>
      <c r="R348" s="51">
        <f t="shared" si="29"/>
        <v>1.6997808414944255</v>
      </c>
      <c r="S348" s="51">
        <f t="shared" si="30"/>
        <v>1.6030383037889964</v>
      </c>
      <c r="T348" s="51">
        <f t="shared" si="39"/>
        <v>5.7225900561990945E-3</v>
      </c>
      <c r="U348" s="51">
        <f t="shared" si="40"/>
        <v>2.3409310653278795E-2</v>
      </c>
      <c r="V348" s="51">
        <f t="shared" si="41"/>
        <v>5.1260063153701386E-2</v>
      </c>
      <c r="W348" s="58">
        <f t="shared" si="44"/>
        <v>0.15788436515322915</v>
      </c>
      <c r="X348" s="51">
        <f t="shared" si="25"/>
        <v>2.4951200787798524E-3</v>
      </c>
      <c r="Y348" s="58">
        <f t="shared" si="45"/>
        <v>0.32215143495459242</v>
      </c>
      <c r="Z348" s="74">
        <f t="shared" si="26"/>
        <v>129.11259770396654</v>
      </c>
      <c r="AA348" s="51">
        <f t="shared" si="27"/>
        <v>3.0224369089039631</v>
      </c>
      <c r="AB348" s="52">
        <v>5</v>
      </c>
      <c r="AC348">
        <v>0</v>
      </c>
    </row>
    <row r="349" spans="1:29">
      <c r="A349" s="6">
        <v>2018</v>
      </c>
      <c r="B349" s="6" t="s">
        <v>354</v>
      </c>
      <c r="C349" s="7" t="s">
        <v>355</v>
      </c>
      <c r="D349" s="9">
        <v>37534483162953</v>
      </c>
      <c r="E349" s="10">
        <v>6605378728189</v>
      </c>
      <c r="F349" s="10">
        <v>52549150902972</v>
      </c>
      <c r="G349" s="16">
        <f t="shared" si="38"/>
        <v>26585529876819</v>
      </c>
      <c r="H349" s="10">
        <v>9648009050734</v>
      </c>
      <c r="I349" s="10">
        <v>36233538927553</v>
      </c>
      <c r="J349" s="10">
        <v>16315611975419</v>
      </c>
      <c r="K349" s="8">
        <v>25000000000</v>
      </c>
      <c r="L349" s="10">
        <v>25119560112231</v>
      </c>
      <c r="M349" s="18">
        <v>21647991667959</v>
      </c>
      <c r="N349" s="9">
        <f>843164199687+64366117108</f>
        <v>907530316795</v>
      </c>
      <c r="O349" s="12">
        <v>1958993059360</v>
      </c>
      <c r="P349" s="50">
        <v>290629550314</v>
      </c>
      <c r="Q349" s="51">
        <v>1805</v>
      </c>
      <c r="R349" s="51">
        <f t="shared" si="29"/>
        <v>1.4118388212258592</v>
      </c>
      <c r="S349" s="51">
        <f t="shared" si="30"/>
        <v>0.59133602008123454</v>
      </c>
      <c r="T349" s="51">
        <f t="shared" si="39"/>
        <v>3.7279252389389339E-2</v>
      </c>
      <c r="U349" s="51">
        <f t="shared" si="40"/>
        <v>0.12006862275907314</v>
      </c>
      <c r="V349" s="51">
        <f t="shared" si="41"/>
        <v>7.7986758152112062E-2</v>
      </c>
      <c r="W349" s="58">
        <f t="shared" si="44"/>
        <v>0.13820180085803549</v>
      </c>
      <c r="X349" s="51">
        <f t="shared" si="25"/>
        <v>6.4405440512797785E-3</v>
      </c>
      <c r="Y349" s="58">
        <f t="shared" si="45"/>
        <v>0.14835660030819517</v>
      </c>
      <c r="Z349" s="51">
        <f t="shared" si="26"/>
        <v>23.0347931986764</v>
      </c>
      <c r="AA349" s="51">
        <f t="shared" si="27"/>
        <v>2.7657558949051402</v>
      </c>
      <c r="AB349" s="52">
        <v>5</v>
      </c>
      <c r="AC349">
        <v>0</v>
      </c>
    </row>
    <row r="350" spans="1:29">
      <c r="A350" s="6">
        <v>2019</v>
      </c>
      <c r="B350" s="6" t="s">
        <v>354</v>
      </c>
      <c r="C350" s="7" t="s">
        <v>355</v>
      </c>
      <c r="D350" s="9">
        <v>41704590384570</v>
      </c>
      <c r="E350" s="10">
        <v>7424558967269</v>
      </c>
      <c r="F350" s="10">
        <v>59165548433821</v>
      </c>
      <c r="G350" s="16">
        <f t="shared" si="38"/>
        <v>30490992843527</v>
      </c>
      <c r="H350" s="10">
        <v>11348422351199</v>
      </c>
      <c r="I350" s="10">
        <v>41839415194726</v>
      </c>
      <c r="J350" s="10">
        <v>17326133239095</v>
      </c>
      <c r="K350" s="8">
        <v>25000000000</v>
      </c>
      <c r="L350" s="10">
        <v>24659998995266</v>
      </c>
      <c r="M350" s="10">
        <v>21174884307780</v>
      </c>
      <c r="N350" s="9">
        <f>828429133890+125854138690</f>
        <v>954283272580</v>
      </c>
      <c r="O350" s="12">
        <v>1208270555330</v>
      </c>
      <c r="P350" s="50">
        <v>300397420851</v>
      </c>
      <c r="Q350" s="51">
        <v>1585</v>
      </c>
      <c r="R350" s="51">
        <f t="shared" si="29"/>
        <v>1.3677675436345642</v>
      </c>
      <c r="S350" s="51">
        <f t="shared" si="30"/>
        <v>0.65498874991866129</v>
      </c>
      <c r="T350" s="51">
        <f t="shared" si="39"/>
        <v>2.0421860141827272E-2</v>
      </c>
      <c r="U350" s="51">
        <f t="shared" si="40"/>
        <v>6.9736884661814588E-2</v>
      </c>
      <c r="V350" s="51">
        <f t="shared" si="41"/>
        <v>4.8997185910751764E-2</v>
      </c>
      <c r="W350" s="58">
        <f t="shared" si="44"/>
        <v>0.14132663542099252</v>
      </c>
      <c r="X350" s="51">
        <f t="shared" si="25"/>
        <v>7.5810074662712931E-3</v>
      </c>
      <c r="Y350" s="58">
        <f t="shared" si="45"/>
        <v>0.24861767881859553</v>
      </c>
      <c r="Z350" s="51">
        <f t="shared" si="26"/>
        <v>32.794807276568712</v>
      </c>
      <c r="AA350" s="51">
        <f t="shared" si="27"/>
        <v>2.28700769255251</v>
      </c>
      <c r="AB350" s="52">
        <v>5</v>
      </c>
      <c r="AC350">
        <v>0</v>
      </c>
    </row>
    <row r="351" spans="1:29">
      <c r="A351" s="6">
        <v>2020</v>
      </c>
      <c r="B351" s="82" t="s">
        <v>354</v>
      </c>
      <c r="C351" s="7" t="s">
        <v>355</v>
      </c>
      <c r="D351" s="9">
        <v>33924938550674</v>
      </c>
      <c r="E351" s="9">
        <v>7117087116109</v>
      </c>
      <c r="F351" s="10">
        <v>53472450650976</v>
      </c>
      <c r="G351" s="16">
        <f t="shared" si="38"/>
        <v>27986826929242</v>
      </c>
      <c r="H351" s="10">
        <v>11478633630784</v>
      </c>
      <c r="I351" s="10">
        <v>39465460560026</v>
      </c>
      <c r="J351" s="10">
        <v>14006990090950</v>
      </c>
      <c r="K351" s="8">
        <v>25000000000</v>
      </c>
      <c r="L351" s="10">
        <v>15831388462166</v>
      </c>
      <c r="M351" s="10">
        <v>13657930676733</v>
      </c>
      <c r="N351" s="18">
        <f>583708784467+255824310627</f>
        <v>839533095094</v>
      </c>
      <c r="O351" s="12">
        <v>266269870851</v>
      </c>
      <c r="P351" s="50">
        <v>209323431248</v>
      </c>
      <c r="Q351" s="51">
        <v>1865</v>
      </c>
      <c r="R351" s="51">
        <f t="shared" si="29"/>
        <v>1.2121752364583915</v>
      </c>
      <c r="S351" s="51">
        <f t="shared" si="30"/>
        <v>0.8194932356095842</v>
      </c>
      <c r="T351" s="51">
        <f t="shared" si="39"/>
        <v>4.9795711176394333E-3</v>
      </c>
      <c r="U351" s="51">
        <f t="shared" si="40"/>
        <v>1.900978505175345E-2</v>
      </c>
      <c r="V351" s="51">
        <f t="shared" si="41"/>
        <v>1.681911043288049E-2</v>
      </c>
      <c r="W351" s="58">
        <f t="shared" si="44"/>
        <v>0.13728788164267144</v>
      </c>
      <c r="X351" s="51">
        <f t="shared" si="25"/>
        <v>4.4895105897694368E-3</v>
      </c>
      <c r="Y351" s="58">
        <f t="shared" si="45"/>
        <v>0.78613262018342944</v>
      </c>
      <c r="Z351" s="74">
        <f t="shared" si="26"/>
        <v>175.10430245444684</v>
      </c>
      <c r="AA351" s="51">
        <f t="shared" si="27"/>
        <v>3.3286951512962579</v>
      </c>
      <c r="AB351" s="52">
        <v>5</v>
      </c>
      <c r="AC351">
        <v>0</v>
      </c>
    </row>
    <row r="352" spans="1:29">
      <c r="A352" s="6">
        <v>2018</v>
      </c>
      <c r="B352" s="6" t="s">
        <v>358</v>
      </c>
      <c r="C352" s="7" t="s">
        <v>359</v>
      </c>
      <c r="D352" s="9">
        <v>2670409421000</v>
      </c>
      <c r="E352" s="10">
        <v>165726237000</v>
      </c>
      <c r="F352" s="10">
        <v>3228718157000</v>
      </c>
      <c r="G352" s="16">
        <f t="shared" si="38"/>
        <v>1945591346000</v>
      </c>
      <c r="H352" s="10">
        <v>231016074000</v>
      </c>
      <c r="I352" s="10">
        <v>2176607420000</v>
      </c>
      <c r="J352" s="10">
        <v>1052110737000</v>
      </c>
      <c r="K352" s="8">
        <v>5000000000</v>
      </c>
      <c r="L352" s="9">
        <v>2783482031000</v>
      </c>
      <c r="M352" s="10">
        <v>2339551181000</v>
      </c>
      <c r="N352" s="10">
        <f>193648445000+29028647000</f>
        <v>222677092000</v>
      </c>
      <c r="O352" s="12">
        <v>204418079000</v>
      </c>
      <c r="P352" s="50">
        <v>170500000000</v>
      </c>
      <c r="Q352" s="51">
        <v>560</v>
      </c>
      <c r="R352" s="51">
        <f t="shared" si="29"/>
        <v>1.3725438419995932</v>
      </c>
      <c r="S352" s="51">
        <f t="shared" si="30"/>
        <v>0.21957391544042384</v>
      </c>
      <c r="T352" s="51">
        <f t="shared" si="39"/>
        <v>6.3312456851277898E-2</v>
      </c>
      <c r="U352" s="51">
        <f t="shared" si="40"/>
        <v>0.19429331135131264</v>
      </c>
      <c r="V352" s="51">
        <f t="shared" si="41"/>
        <v>7.3439697732325684E-2</v>
      </c>
      <c r="W352" s="58">
        <f t="shared" si="44"/>
        <v>0.15948759325761208</v>
      </c>
      <c r="X352" s="51">
        <f t="shared" si="25"/>
        <v>6.0892857142857144E-2</v>
      </c>
      <c r="Y352" s="58">
        <f t="shared" si="45"/>
        <v>0.83407495478910165</v>
      </c>
      <c r="Z352" s="51">
        <f t="shared" si="26"/>
        <v>13.697418612372342</v>
      </c>
      <c r="AA352" s="51">
        <f t="shared" si="27"/>
        <v>2.6613168191629244</v>
      </c>
      <c r="AB352" s="52">
        <v>5</v>
      </c>
      <c r="AC352">
        <v>0</v>
      </c>
    </row>
    <row r="353" spans="1:29">
      <c r="A353" s="6">
        <v>2019</v>
      </c>
      <c r="B353" s="6" t="s">
        <v>358</v>
      </c>
      <c r="C353" s="7" t="s">
        <v>359</v>
      </c>
      <c r="D353" s="9">
        <v>2282904040000</v>
      </c>
      <c r="E353" s="10">
        <v>163852721000</v>
      </c>
      <c r="F353" s="10">
        <v>2962993701000</v>
      </c>
      <c r="G353" s="16">
        <f t="shared" si="38"/>
        <v>1604722681000</v>
      </c>
      <c r="H353" s="10">
        <v>281366520000</v>
      </c>
      <c r="I353" s="9">
        <v>1886089201000</v>
      </c>
      <c r="J353" s="10">
        <v>1076904500000</v>
      </c>
      <c r="K353" s="8">
        <v>5000000000</v>
      </c>
      <c r="L353" s="10">
        <v>2474974774000</v>
      </c>
      <c r="M353" s="10">
        <v>2114668629000</v>
      </c>
      <c r="N353" s="10">
        <f>191935649000+27579954</f>
        <v>191963228954</v>
      </c>
      <c r="O353" s="12">
        <v>175502010000</v>
      </c>
      <c r="P353" s="50">
        <v>136400000000</v>
      </c>
      <c r="Q353" s="51">
        <v>436</v>
      </c>
      <c r="R353" s="51">
        <f t="shared" si="29"/>
        <v>1.4226159242526466</v>
      </c>
      <c r="S353" s="51">
        <f t="shared" si="30"/>
        <v>0.26127341839503876</v>
      </c>
      <c r="T353" s="51">
        <f t="shared" si="39"/>
        <v>5.9231313904166819E-2</v>
      </c>
      <c r="U353" s="51">
        <f t="shared" si="40"/>
        <v>0.16296896335747507</v>
      </c>
      <c r="V353" s="51">
        <f t="shared" si="41"/>
        <v>7.0910625774321528E-2</v>
      </c>
      <c r="W353" s="58">
        <f t="shared" si="44"/>
        <v>0.14557972419964552</v>
      </c>
      <c r="X353" s="51">
        <f t="shared" si="25"/>
        <v>6.2568807339449542E-2</v>
      </c>
      <c r="Y353" s="58">
        <f t="shared" si="45"/>
        <v>0.77719907595360305</v>
      </c>
      <c r="Z353" s="51">
        <f t="shared" si="26"/>
        <v>12.421510158202745</v>
      </c>
      <c r="AA353" s="51">
        <f t="shared" si="27"/>
        <v>2.0243206338166475</v>
      </c>
      <c r="AB353" s="52">
        <v>5</v>
      </c>
      <c r="AC353">
        <v>0</v>
      </c>
    </row>
    <row r="354" spans="1:29">
      <c r="A354" s="6">
        <v>2020</v>
      </c>
      <c r="B354" s="6" t="s">
        <v>358</v>
      </c>
      <c r="C354" s="7" t="s">
        <v>359</v>
      </c>
      <c r="D354" s="9">
        <v>2201902161000</v>
      </c>
      <c r="E354" s="10">
        <v>145403319000</v>
      </c>
      <c r="F354" s="10">
        <v>2889059738000</v>
      </c>
      <c r="G354" s="16">
        <f t="shared" si="38"/>
        <v>1476857796000</v>
      </c>
      <c r="H354" s="10">
        <v>273037914000</v>
      </c>
      <c r="I354" s="10">
        <v>1749895710000</v>
      </c>
      <c r="J354" s="10">
        <v>1139164028000</v>
      </c>
      <c r="K354" s="8">
        <v>5000000000</v>
      </c>
      <c r="L354" s="10">
        <v>2292693925000</v>
      </c>
      <c r="M354" s="10">
        <v>2019621678000</v>
      </c>
      <c r="N354" s="10">
        <f>151100938000+75002575</f>
        <v>151175940575</v>
      </c>
      <c r="O354" s="12">
        <v>108580758000</v>
      </c>
      <c r="P354" s="50">
        <v>34100000000</v>
      </c>
      <c r="Q354" s="51">
        <v>370</v>
      </c>
      <c r="R354" s="51">
        <f t="shared" si="29"/>
        <v>1.4909371551978454</v>
      </c>
      <c r="S354" s="51">
        <f t="shared" si="30"/>
        <v>0.23968270353424467</v>
      </c>
      <c r="T354" s="51">
        <f t="shared" si="39"/>
        <v>3.7583424313395071E-2</v>
      </c>
      <c r="U354" s="51">
        <f t="shared" si="40"/>
        <v>9.5316175134701503E-2</v>
      </c>
      <c r="V354" s="51">
        <f t="shared" si="41"/>
        <v>4.7359465132267929E-2</v>
      </c>
      <c r="W354" s="58">
        <f t="shared" si="44"/>
        <v>0.11910540871695292</v>
      </c>
      <c r="X354" s="51">
        <f t="shared" si="25"/>
        <v>1.8432432432432432E-2</v>
      </c>
      <c r="Y354" s="58">
        <f t="shared" si="45"/>
        <v>0.31405196121397494</v>
      </c>
      <c r="Z354" s="51">
        <f t="shared" si="26"/>
        <v>17.038009625978113</v>
      </c>
      <c r="AA354" s="51">
        <f t="shared" si="27"/>
        <v>1.6239979094564598</v>
      </c>
      <c r="AB354" s="52">
        <v>5</v>
      </c>
      <c r="AC354">
        <v>0</v>
      </c>
    </row>
    <row r="355" spans="1:29">
      <c r="A355" s="6">
        <v>2018</v>
      </c>
      <c r="B355" s="6" t="s">
        <v>360</v>
      </c>
      <c r="C355" s="7" t="s">
        <v>361</v>
      </c>
      <c r="D355" s="10">
        <v>66989129822191</v>
      </c>
      <c r="E355" s="10">
        <v>7091121159643</v>
      </c>
      <c r="F355" s="10">
        <v>124391581623636</v>
      </c>
      <c r="G355" s="16">
        <f t="shared" si="38"/>
        <v>56799725099343</v>
      </c>
      <c r="H355" s="9">
        <v>38704737773426</v>
      </c>
      <c r="I355" s="10">
        <v>95504462872769</v>
      </c>
      <c r="J355" s="10">
        <v>28887118750867</v>
      </c>
      <c r="K355" s="8">
        <f t="shared" ref="K355:K357" si="46">25999999999+1</f>
        <v>26000000000</v>
      </c>
      <c r="L355" s="10">
        <v>31387389629869</v>
      </c>
      <c r="M355" s="10">
        <v>39926332089924</v>
      </c>
      <c r="N355" s="10">
        <f>51205890476+1616540079059+423475576187</f>
        <v>2091221545722</v>
      </c>
      <c r="O355" s="19">
        <v>4619567705553</v>
      </c>
      <c r="P355" s="50">
        <v>776342383468</v>
      </c>
      <c r="Q355" s="51">
        <v>1680</v>
      </c>
      <c r="R355" s="51">
        <f t="shared" si="29"/>
        <v>1.179391796439625</v>
      </c>
      <c r="S355" s="51">
        <f t="shared" si="30"/>
        <v>1.3398614831485864</v>
      </c>
      <c r="T355" s="51">
        <f t="shared" si="39"/>
        <v>3.7137301779232482E-2</v>
      </c>
      <c r="U355" s="51">
        <f t="shared" si="40"/>
        <v>0.1599179116959995</v>
      </c>
      <c r="V355" s="51">
        <f t="shared" si="41"/>
        <v>0.14717909835856205</v>
      </c>
      <c r="W355" s="58">
        <f t="shared" si="44"/>
        <v>-0.27205009912417616</v>
      </c>
      <c r="X355" s="51">
        <f t="shared" si="25"/>
        <v>1.7773406214926742E-2</v>
      </c>
      <c r="Y355" s="58">
        <f t="shared" si="45"/>
        <v>0.16805520190445297</v>
      </c>
      <c r="Z355" s="51">
        <f t="shared" si="26"/>
        <v>9.4554302012922111</v>
      </c>
      <c r="AA355" s="51">
        <f t="shared" si="27"/>
        <v>1.5120926519779343</v>
      </c>
      <c r="AB355" s="52">
        <v>5</v>
      </c>
      <c r="AC355">
        <v>0</v>
      </c>
    </row>
    <row r="356" spans="1:29">
      <c r="A356" s="6">
        <v>2019</v>
      </c>
      <c r="B356" s="6" t="s">
        <v>360</v>
      </c>
      <c r="C356" s="7" t="s">
        <v>361</v>
      </c>
      <c r="D356" s="10">
        <v>49037842886120</v>
      </c>
      <c r="E356" s="10">
        <v>8663216063821</v>
      </c>
      <c r="F356" s="10">
        <v>122589259350571</v>
      </c>
      <c r="G356" s="16">
        <f t="shared" si="38"/>
        <v>45023495139583</v>
      </c>
      <c r="H356" s="9">
        <v>48447295021989</v>
      </c>
      <c r="I356" s="10">
        <v>93470790161572</v>
      </c>
      <c r="J356" s="10">
        <v>29118469188999</v>
      </c>
      <c r="K356" s="8">
        <f t="shared" si="46"/>
        <v>26000000000</v>
      </c>
      <c r="L356" s="10">
        <v>16190456515103</v>
      </c>
      <c r="M356" s="10">
        <v>25782746866464</v>
      </c>
      <c r="N356" s="10">
        <f>51589935546+1319957348117+197802480370</f>
        <v>1569349764033</v>
      </c>
      <c r="O356" s="19">
        <v>1028898367891</v>
      </c>
      <c r="P356" s="50">
        <v>990709745083</v>
      </c>
      <c r="Q356" s="51">
        <v>1485</v>
      </c>
      <c r="R356" s="51">
        <f t="shared" si="29"/>
        <v>1.0891611753839106</v>
      </c>
      <c r="S356" s="51">
        <f t="shared" si="30"/>
        <v>1.6637995187017749</v>
      </c>
      <c r="T356" s="51">
        <f t="shared" si="39"/>
        <v>8.3930547695751905E-3</v>
      </c>
      <c r="U356" s="51">
        <f t="shared" si="40"/>
        <v>3.5334905870660238E-2</v>
      </c>
      <c r="V356" s="51">
        <f t="shared" si="41"/>
        <v>6.3549682303967722E-2</v>
      </c>
      <c r="W356" s="58">
        <f t="shared" si="44"/>
        <v>-0.59246571228013178</v>
      </c>
      <c r="X356" s="51">
        <f t="shared" si="25"/>
        <v>2.5659408057057759E-2</v>
      </c>
      <c r="Y356" s="58">
        <f t="shared" si="45"/>
        <v>0.96288396988491909</v>
      </c>
      <c r="Z356" s="51">
        <f t="shared" si="26"/>
        <v>37.525572208984485</v>
      </c>
      <c r="AA356" s="51">
        <f t="shared" si="27"/>
        <v>1.3259625617471302</v>
      </c>
      <c r="AB356" s="52">
        <v>5</v>
      </c>
      <c r="AC356">
        <v>0</v>
      </c>
    </row>
    <row r="357" spans="1:29">
      <c r="A357" s="6">
        <v>2020</v>
      </c>
      <c r="B357" s="6" t="s">
        <v>360</v>
      </c>
      <c r="C357" s="7" t="s">
        <v>361</v>
      </c>
      <c r="D357" s="9">
        <v>32538762593246</v>
      </c>
      <c r="E357" s="10">
        <v>7819654831137</v>
      </c>
      <c r="F357" s="10">
        <v>105588960060005</v>
      </c>
      <c r="G357" s="16">
        <f t="shared" si="38"/>
        <v>48237835913277</v>
      </c>
      <c r="H357" s="9">
        <v>40773569381438</v>
      </c>
      <c r="I357" s="10">
        <v>89011405294715</v>
      </c>
      <c r="J357" s="10">
        <v>16577554765290</v>
      </c>
      <c r="K357" s="8">
        <f t="shared" si="46"/>
        <v>26000000000</v>
      </c>
      <c r="L357" s="10">
        <v>48788950838822</v>
      </c>
      <c r="M357" s="10">
        <v>18168339421735</v>
      </c>
      <c r="N357" s="10">
        <f>45904808574+1656332903229+1384447069286</f>
        <v>3086684781089</v>
      </c>
      <c r="O357" s="12">
        <v>-9495726146546</v>
      </c>
      <c r="P357" s="50">
        <v>46907502471</v>
      </c>
      <c r="Q357" s="51">
        <v>1440</v>
      </c>
      <c r="R357" s="51">
        <f t="shared" si="29"/>
        <v>0.6745485566919891</v>
      </c>
      <c r="S357" s="51">
        <f t="shared" si="30"/>
        <v>2.4595647523849231</v>
      </c>
      <c r="T357" s="51">
        <f t="shared" si="39"/>
        <v>-8.9931050946516447E-2</v>
      </c>
      <c r="U357" s="51">
        <f t="shared" si="40"/>
        <v>-0.57280619976765834</v>
      </c>
      <c r="V357" s="51">
        <f t="shared" si="41"/>
        <v>-0.19462861945762785</v>
      </c>
      <c r="W357" s="58">
        <f t="shared" si="44"/>
        <v>0.62761364798034935</v>
      </c>
      <c r="X357" s="51">
        <f t="shared" si="25"/>
        <v>1.2528713266826924E-3</v>
      </c>
      <c r="Y357" s="58">
        <f t="shared" si="45"/>
        <v>-4.9398541772460716E-3</v>
      </c>
      <c r="Z357" s="51">
        <f t="shared" si="26"/>
        <v>-3.9428264276153882</v>
      </c>
      <c r="AA357" s="51">
        <f t="shared" si="27"/>
        <v>2.2584754223458625</v>
      </c>
      <c r="AB357" s="52">
        <v>5</v>
      </c>
      <c r="AC357">
        <v>0</v>
      </c>
    </row>
    <row r="358" spans="1:29">
      <c r="A358" s="6">
        <v>2018</v>
      </c>
      <c r="B358" s="6" t="s">
        <v>155</v>
      </c>
      <c r="C358" s="7" t="s">
        <v>156</v>
      </c>
      <c r="D358" s="9">
        <v>11629996000000</v>
      </c>
      <c r="E358" s="10">
        <v>754805817000</v>
      </c>
      <c r="F358" s="10">
        <v>82418600790000</v>
      </c>
      <c r="G358" s="16">
        <f t="shared" si="38"/>
        <v>31081475143000</v>
      </c>
      <c r="H358" s="10">
        <v>31138139848000</v>
      </c>
      <c r="I358" s="10">
        <v>62219614991000</v>
      </c>
      <c r="J358" s="8">
        <v>20198985799000</v>
      </c>
      <c r="K358" s="8">
        <v>19040000000</v>
      </c>
      <c r="L358" s="10">
        <v>36974074686000</v>
      </c>
      <c r="M358" s="10">
        <v>31056564763000</v>
      </c>
      <c r="N358" s="10">
        <f>1325329000000+415683000000</f>
        <v>1741012000000</v>
      </c>
      <c r="O358" s="10">
        <v>2036493000000</v>
      </c>
      <c r="P358" s="50">
        <v>440065000000</v>
      </c>
      <c r="Q358" s="51">
        <v>4280</v>
      </c>
      <c r="R358" s="51">
        <f t="shared" si="29"/>
        <v>0.37417773598236842</v>
      </c>
      <c r="S358" s="51">
        <f t="shared" si="30"/>
        <v>1.5415694707573668</v>
      </c>
      <c r="T358" s="51">
        <f t="shared" si="39"/>
        <v>2.4709143087601304E-2</v>
      </c>
      <c r="U358" s="51">
        <f t="shared" si="40"/>
        <v>0.10082154719376166</v>
      </c>
      <c r="V358" s="51">
        <f t="shared" si="41"/>
        <v>5.5078944295287674E-2</v>
      </c>
      <c r="W358" s="58">
        <f t="shared" si="44"/>
        <v>0.16004484150730153</v>
      </c>
      <c r="X358" s="51">
        <f t="shared" si="25"/>
        <v>5.4001536362208429E-3</v>
      </c>
      <c r="Y358" s="58">
        <f t="shared" si="45"/>
        <v>0.21608962073525417</v>
      </c>
      <c r="Z358" s="51">
        <f t="shared" si="26"/>
        <v>40.015457946577769</v>
      </c>
      <c r="AA358" s="51">
        <f t="shared" si="27"/>
        <v>4.0344203818408753</v>
      </c>
      <c r="AB358" s="52">
        <v>5</v>
      </c>
      <c r="AC358">
        <v>0</v>
      </c>
    </row>
    <row r="359" spans="1:29">
      <c r="A359" s="6">
        <v>2019</v>
      </c>
      <c r="B359" s="6" t="s">
        <v>155</v>
      </c>
      <c r="C359" s="7" t="s">
        <v>156</v>
      </c>
      <c r="D359" s="9">
        <v>11612566000000</v>
      </c>
      <c r="E359" s="10">
        <v>714282000000</v>
      </c>
      <c r="F359" s="10">
        <v>99679570000000</v>
      </c>
      <c r="G359" s="16">
        <f t="shared" si="38"/>
        <v>41526417000000</v>
      </c>
      <c r="H359" s="10">
        <v>34967416000000</v>
      </c>
      <c r="I359" s="10">
        <v>76493833000000</v>
      </c>
      <c r="J359" s="8">
        <v>23185737000000</v>
      </c>
      <c r="K359" s="8">
        <v>19040000000</v>
      </c>
      <c r="L359" s="10">
        <v>26345260000000</v>
      </c>
      <c r="M359" s="10">
        <v>19900617000000</v>
      </c>
      <c r="N359" s="10">
        <f>1478523000000+677246000000</f>
        <v>2155769000000</v>
      </c>
      <c r="O359" s="10">
        <v>2073888000000</v>
      </c>
      <c r="P359" s="50">
        <v>330390000000</v>
      </c>
      <c r="Q359" s="51">
        <v>5175</v>
      </c>
      <c r="R359" s="51">
        <f t="shared" si="29"/>
        <v>0.27964285962836621</v>
      </c>
      <c r="S359" s="51">
        <f t="shared" si="30"/>
        <v>1.5081433900505297</v>
      </c>
      <c r="T359" s="51">
        <f t="shared" si="39"/>
        <v>2.0805547214940837E-2</v>
      </c>
      <c r="U359" s="51">
        <f t="shared" si="40"/>
        <v>8.9446714590094761E-2</v>
      </c>
      <c r="V359" s="51">
        <f t="shared" si="41"/>
        <v>7.8719587508341154E-2</v>
      </c>
      <c r="W359" s="58">
        <f t="shared" si="44"/>
        <v>0.24462248617018773</v>
      </c>
      <c r="X359" s="51">
        <f t="shared" si="25"/>
        <v>3.3531238582389477E-3</v>
      </c>
      <c r="Y359" s="58">
        <f t="shared" si="45"/>
        <v>0.15930947090681849</v>
      </c>
      <c r="Z359" s="51">
        <f t="shared" si="26"/>
        <v>47.510762394111929</v>
      </c>
      <c r="AA359" s="51">
        <f t="shared" si="27"/>
        <v>4.2496816038239364</v>
      </c>
      <c r="AB359" s="52">
        <v>5</v>
      </c>
      <c r="AC359">
        <v>0</v>
      </c>
    </row>
    <row r="360" spans="1:29">
      <c r="A360" s="6">
        <v>2020</v>
      </c>
      <c r="B360" s="82" t="s">
        <v>155</v>
      </c>
      <c r="C360" s="7" t="s">
        <v>156</v>
      </c>
      <c r="D360" s="9">
        <v>10705995000000</v>
      </c>
      <c r="E360" s="10">
        <v>746237000000</v>
      </c>
      <c r="F360" s="10">
        <v>104086646000000</v>
      </c>
      <c r="G360" s="16">
        <f t="shared" si="38"/>
        <v>14928687000000</v>
      </c>
      <c r="H360" s="10">
        <v>64382344000000</v>
      </c>
      <c r="I360" s="10">
        <v>79311031000000</v>
      </c>
      <c r="J360" s="8">
        <v>24775615000000</v>
      </c>
      <c r="K360" s="8">
        <v>19040000000</v>
      </c>
      <c r="L360" s="10">
        <v>13704021000000</v>
      </c>
      <c r="M360" s="10">
        <v>8349488000000</v>
      </c>
      <c r="N360" s="10">
        <f>1236812000000+164380000000</f>
        <v>1401192000000</v>
      </c>
      <c r="O360" s="12">
        <v>-41629000000</v>
      </c>
      <c r="P360" s="50">
        <v>110356000000</v>
      </c>
      <c r="Q360" s="51">
        <v>4630</v>
      </c>
      <c r="R360" s="51">
        <f t="shared" si="29"/>
        <v>0.71714243858150417</v>
      </c>
      <c r="S360" s="51">
        <f t="shared" si="30"/>
        <v>2.5986173905269356</v>
      </c>
      <c r="T360" s="51">
        <f t="shared" si="39"/>
        <v>-3.9994563759889043E-4</v>
      </c>
      <c r="U360" s="51">
        <f t="shared" si="40"/>
        <v>-1.6802408335776931E-3</v>
      </c>
      <c r="V360" s="51">
        <f t="shared" si="41"/>
        <v>-3.0377215563227758E-3</v>
      </c>
      <c r="W360" s="58">
        <f t="shared" si="44"/>
        <v>0.39072714497445676</v>
      </c>
      <c r="X360" s="51">
        <f t="shared" si="25"/>
        <v>1.2518376681126015E-3</v>
      </c>
      <c r="Y360" s="58">
        <f t="shared" si="45"/>
        <v>-2.6509404501669511</v>
      </c>
      <c r="Z360" s="74">
        <f t="shared" si="26"/>
        <v>-2117.6391457877921</v>
      </c>
      <c r="AA360" s="51">
        <f t="shared" si="27"/>
        <v>3.558143763535234</v>
      </c>
      <c r="AB360" s="52">
        <v>5</v>
      </c>
      <c r="AC360">
        <v>2</v>
      </c>
    </row>
    <row r="361" spans="1:29">
      <c r="B361" s="59"/>
      <c r="K361" s="51"/>
    </row>
    <row r="362" spans="1:29">
      <c r="B362" s="59"/>
      <c r="K362" s="51"/>
    </row>
    <row r="363" spans="1:29">
      <c r="B363" s="59"/>
      <c r="K363" s="51"/>
    </row>
    <row r="364" spans="1:29">
      <c r="B364" s="59"/>
      <c r="K364" s="51"/>
    </row>
    <row r="365" spans="1:29">
      <c r="B365" s="59"/>
      <c r="K365" s="51"/>
    </row>
    <row r="366" spans="1:29">
      <c r="B366" s="59"/>
      <c r="K366" s="51"/>
    </row>
    <row r="367" spans="1:29">
      <c r="B367" s="59"/>
      <c r="K367" s="51"/>
    </row>
    <row r="368" spans="1:29">
      <c r="B368" s="59"/>
      <c r="K368" s="51"/>
    </row>
    <row r="369" spans="2:11">
      <c r="B369" s="59"/>
      <c r="K369" s="51"/>
    </row>
    <row r="370" spans="2:11">
      <c r="B370" s="59"/>
      <c r="K370" s="51"/>
    </row>
    <row r="371" spans="2:11">
      <c r="B371" s="59"/>
      <c r="K371" s="51"/>
    </row>
    <row r="372" spans="2:11">
      <c r="B372" s="59"/>
      <c r="K372" s="51"/>
    </row>
    <row r="373" spans="2:11">
      <c r="B373" s="59"/>
      <c r="K373" s="51"/>
    </row>
    <row r="374" spans="2:11">
      <c r="B374" s="59"/>
      <c r="K374" s="51"/>
    </row>
    <row r="375" spans="2:11">
      <c r="B375" s="59"/>
      <c r="K375" s="51"/>
    </row>
    <row r="376" spans="2:11">
      <c r="B376" s="59"/>
      <c r="K376" s="51"/>
    </row>
    <row r="377" spans="2:11">
      <c r="B377" s="59"/>
      <c r="K377" s="51"/>
    </row>
    <row r="378" spans="2:11">
      <c r="B378" s="59"/>
      <c r="K378" s="51"/>
    </row>
    <row r="379" spans="2:11">
      <c r="B379" s="59"/>
      <c r="K379" s="51"/>
    </row>
    <row r="380" spans="2:11">
      <c r="B380" s="59"/>
      <c r="K380" s="51"/>
    </row>
    <row r="381" spans="2:11">
      <c r="B381" s="59"/>
      <c r="K381" s="51"/>
    </row>
    <row r="382" spans="2:11">
      <c r="B382" s="59"/>
      <c r="K382" s="51"/>
    </row>
    <row r="383" spans="2:11">
      <c r="B383" s="59"/>
      <c r="K383" s="51"/>
    </row>
    <row r="384" spans="2:11">
      <c r="B384" s="59"/>
      <c r="K384" s="51"/>
    </row>
    <row r="385" spans="2:11">
      <c r="B385" s="59"/>
      <c r="K385" s="51"/>
    </row>
    <row r="386" spans="2:11">
      <c r="B386" s="59"/>
      <c r="K386" s="51"/>
    </row>
    <row r="387" spans="2:11">
      <c r="B387" s="59"/>
      <c r="K387" s="51"/>
    </row>
    <row r="388" spans="2:11">
      <c r="B388" s="59"/>
      <c r="K388" s="51"/>
    </row>
    <row r="389" spans="2:11">
      <c r="B389" s="59"/>
      <c r="K389" s="51"/>
    </row>
    <row r="390" spans="2:11">
      <c r="B390" s="59"/>
      <c r="K390" s="51"/>
    </row>
    <row r="391" spans="2:11">
      <c r="B391" s="59"/>
      <c r="K391" s="51"/>
    </row>
    <row r="392" spans="2:11">
      <c r="B392" s="59"/>
      <c r="K392" s="51"/>
    </row>
    <row r="393" spans="2:11">
      <c r="B393" s="59"/>
      <c r="K393" s="51"/>
    </row>
    <row r="394" spans="2:11">
      <c r="B394" s="59"/>
      <c r="K394" s="51"/>
    </row>
    <row r="395" spans="2:11">
      <c r="B395" s="59"/>
      <c r="K395" s="51"/>
    </row>
    <row r="396" spans="2:11">
      <c r="B396" s="59"/>
      <c r="K396" s="51"/>
    </row>
    <row r="397" spans="2:11">
      <c r="B397" s="59"/>
      <c r="K397" s="51"/>
    </row>
    <row r="398" spans="2:11">
      <c r="B398" s="59"/>
      <c r="K398" s="51"/>
    </row>
    <row r="399" spans="2:11">
      <c r="B399" s="59"/>
      <c r="K399" s="51"/>
    </row>
    <row r="400" spans="2:11">
      <c r="B400" s="59"/>
      <c r="K400" s="51"/>
    </row>
    <row r="401" spans="2:11">
      <c r="B401" s="59"/>
      <c r="K401" s="51"/>
    </row>
    <row r="402" spans="2:11">
      <c r="B402" s="59"/>
      <c r="K402" s="51"/>
    </row>
    <row r="403" spans="2:11">
      <c r="B403" s="59"/>
      <c r="K403" s="51"/>
    </row>
    <row r="404" spans="2:11">
      <c r="B404" s="59"/>
      <c r="K404" s="51"/>
    </row>
    <row r="405" spans="2:11">
      <c r="B405" s="59"/>
      <c r="K405" s="51"/>
    </row>
    <row r="406" spans="2:11">
      <c r="B406" s="59"/>
      <c r="K406" s="51"/>
    </row>
    <row r="407" spans="2:11">
      <c r="B407" s="59"/>
      <c r="K407" s="51"/>
    </row>
    <row r="408" spans="2:11">
      <c r="B408" s="59"/>
      <c r="K408" s="51"/>
    </row>
    <row r="409" spans="2:11">
      <c r="B409" s="59"/>
      <c r="K409" s="51"/>
    </row>
    <row r="410" spans="2:11">
      <c r="B410" s="59"/>
      <c r="K410" s="51"/>
    </row>
    <row r="411" spans="2:11">
      <c r="B411" s="59"/>
      <c r="K411" s="51"/>
    </row>
    <row r="412" spans="2:11">
      <c r="B412" s="59"/>
      <c r="K412" s="51"/>
    </row>
    <row r="413" spans="2:11">
      <c r="B413" s="59"/>
      <c r="K413" s="51"/>
    </row>
    <row r="414" spans="2:11">
      <c r="B414" s="59"/>
      <c r="K414" s="51"/>
    </row>
    <row r="415" spans="2:11">
      <c r="B415" s="59"/>
      <c r="K415" s="51"/>
    </row>
    <row r="416" spans="2:11">
      <c r="B416" s="59"/>
      <c r="K416" s="51"/>
    </row>
    <row r="417" spans="2:11">
      <c r="B417" s="59"/>
      <c r="K417" s="51"/>
    </row>
    <row r="418" spans="2:11">
      <c r="B418" s="59"/>
      <c r="K418" s="51"/>
    </row>
    <row r="419" spans="2:11">
      <c r="B419" s="59"/>
      <c r="K419" s="51"/>
    </row>
    <row r="420" spans="2:11">
      <c r="B420" s="59"/>
      <c r="K420" s="51"/>
    </row>
    <row r="421" spans="2:11">
      <c r="B421" s="59"/>
      <c r="K421" s="51"/>
    </row>
    <row r="422" spans="2:11">
      <c r="B422" s="59"/>
      <c r="K422" s="51"/>
    </row>
    <row r="423" spans="2:11">
      <c r="B423" s="59"/>
      <c r="K423" s="51"/>
    </row>
    <row r="424" spans="2:11">
      <c r="B424" s="59"/>
      <c r="K424" s="51"/>
    </row>
    <row r="425" spans="2:11">
      <c r="B425" s="59"/>
      <c r="K425" s="51"/>
    </row>
    <row r="426" spans="2:11">
      <c r="B426" s="59"/>
      <c r="K426" s="51"/>
    </row>
    <row r="427" spans="2:11">
      <c r="B427" s="59"/>
      <c r="K427" s="51"/>
    </row>
    <row r="428" spans="2:11">
      <c r="B428" s="59"/>
      <c r="K428" s="51"/>
    </row>
    <row r="429" spans="2:11">
      <c r="B429" s="59"/>
      <c r="K429" s="51"/>
    </row>
    <row r="430" spans="2:11">
      <c r="B430" s="59"/>
      <c r="K430" s="51"/>
    </row>
    <row r="431" spans="2:11">
      <c r="B431" s="59"/>
      <c r="K431" s="51"/>
    </row>
    <row r="432" spans="2:11">
      <c r="B432" s="59"/>
      <c r="K432" s="51"/>
    </row>
    <row r="433" spans="2:11">
      <c r="B433" s="59"/>
      <c r="K433" s="51"/>
    </row>
    <row r="434" spans="2:11">
      <c r="B434" s="59"/>
      <c r="K434" s="51"/>
    </row>
    <row r="435" spans="2:11">
      <c r="B435" s="59"/>
      <c r="K435" s="51"/>
    </row>
    <row r="436" spans="2:11">
      <c r="B436" s="59"/>
      <c r="K436" s="51"/>
    </row>
    <row r="437" spans="2:11">
      <c r="B437" s="59"/>
      <c r="K437" s="51"/>
    </row>
    <row r="438" spans="2:11">
      <c r="B438" s="59"/>
      <c r="K438" s="51"/>
    </row>
    <row r="439" spans="2:11">
      <c r="B439" s="59"/>
      <c r="K439" s="51"/>
    </row>
    <row r="440" spans="2:11">
      <c r="B440" s="59"/>
      <c r="K440" s="51"/>
    </row>
    <row r="441" spans="2:11">
      <c r="B441" s="59"/>
      <c r="K441" s="51"/>
    </row>
    <row r="442" spans="2:11">
      <c r="B442" s="59"/>
      <c r="K442" s="51"/>
    </row>
    <row r="443" spans="2:11">
      <c r="B443" s="59"/>
      <c r="K443" s="51"/>
    </row>
    <row r="444" spans="2:11">
      <c r="B444" s="59"/>
      <c r="K444" s="51"/>
    </row>
    <row r="445" spans="2:11">
      <c r="B445" s="59"/>
      <c r="K445" s="51"/>
    </row>
    <row r="446" spans="2:11">
      <c r="B446" s="59"/>
      <c r="K446" s="51"/>
    </row>
    <row r="447" spans="2:11">
      <c r="B447" s="59"/>
      <c r="K447" s="51"/>
    </row>
    <row r="448" spans="2:11">
      <c r="B448" s="59"/>
      <c r="K448" s="51"/>
    </row>
    <row r="449" spans="2:11">
      <c r="B449" s="59"/>
      <c r="K449" s="51"/>
    </row>
    <row r="450" spans="2:11">
      <c r="B450" s="59"/>
      <c r="K450" s="51"/>
    </row>
    <row r="451" spans="2:11">
      <c r="B451" s="59"/>
      <c r="K451" s="51"/>
    </row>
    <row r="452" spans="2:11">
      <c r="B452" s="59"/>
      <c r="K452" s="51"/>
    </row>
    <row r="453" spans="2:11">
      <c r="B453" s="59"/>
      <c r="K453" s="51"/>
    </row>
    <row r="454" spans="2:11">
      <c r="B454" s="59"/>
      <c r="K454" s="51"/>
    </row>
    <row r="455" spans="2:11">
      <c r="B455" s="59"/>
      <c r="K455" s="51"/>
    </row>
    <row r="456" spans="2:11">
      <c r="B456" s="59"/>
      <c r="K456" s="51"/>
    </row>
    <row r="457" spans="2:11">
      <c r="B457" s="59"/>
      <c r="K457" s="51"/>
    </row>
    <row r="458" spans="2:11">
      <c r="B458" s="59"/>
      <c r="K458" s="51"/>
    </row>
    <row r="459" spans="2:11">
      <c r="B459" s="59"/>
      <c r="K459" s="51"/>
    </row>
    <row r="460" spans="2:11">
      <c r="B460" s="59"/>
      <c r="K460" s="51"/>
    </row>
    <row r="461" spans="2:11">
      <c r="B461" s="59"/>
      <c r="K461" s="51"/>
    </row>
    <row r="462" spans="2:11">
      <c r="B462" s="59"/>
      <c r="K462" s="51"/>
    </row>
    <row r="463" spans="2:11">
      <c r="B463" s="59"/>
      <c r="K463" s="51"/>
    </row>
    <row r="464" spans="2:11">
      <c r="B464" s="59"/>
      <c r="K464" s="51"/>
    </row>
    <row r="465" spans="2:11">
      <c r="B465" s="59"/>
      <c r="K465" s="51"/>
    </row>
    <row r="466" spans="2:11">
      <c r="B466" s="59"/>
      <c r="K466" s="51"/>
    </row>
    <row r="467" spans="2:11">
      <c r="B467" s="59"/>
      <c r="K467" s="51"/>
    </row>
    <row r="468" spans="2:11">
      <c r="B468" s="59"/>
      <c r="K468" s="51"/>
    </row>
    <row r="469" spans="2:11">
      <c r="B469" s="59"/>
      <c r="K469" s="51"/>
    </row>
    <row r="470" spans="2:11">
      <c r="B470" s="59"/>
      <c r="K470" s="51"/>
    </row>
    <row r="471" spans="2:11">
      <c r="B471" s="59"/>
      <c r="K471" s="51"/>
    </row>
    <row r="472" spans="2:11">
      <c r="B472" s="59"/>
      <c r="K472" s="51"/>
    </row>
    <row r="473" spans="2:11">
      <c r="B473" s="59"/>
      <c r="K473" s="51"/>
    </row>
    <row r="474" spans="2:11">
      <c r="B474" s="59"/>
      <c r="K474" s="51"/>
    </row>
    <row r="475" spans="2:11">
      <c r="B475" s="59"/>
      <c r="K475" s="51"/>
    </row>
    <row r="476" spans="2:11">
      <c r="B476" s="59"/>
      <c r="K476" s="51"/>
    </row>
    <row r="477" spans="2:11">
      <c r="B477" s="59"/>
      <c r="K477" s="51"/>
    </row>
    <row r="478" spans="2:11">
      <c r="B478" s="59"/>
      <c r="K478" s="51"/>
    </row>
    <row r="479" spans="2:11">
      <c r="B479" s="59"/>
      <c r="K479" s="51"/>
    </row>
    <row r="480" spans="2:11">
      <c r="B480" s="59"/>
      <c r="K480" s="51"/>
    </row>
    <row r="481" spans="2:11">
      <c r="B481" s="59"/>
      <c r="K481" s="51"/>
    </row>
    <row r="482" spans="2:11">
      <c r="B482" s="59"/>
      <c r="K482" s="51"/>
    </row>
    <row r="483" spans="2:11">
      <c r="B483" s="59"/>
      <c r="K483" s="51"/>
    </row>
    <row r="484" spans="2:11">
      <c r="B484" s="59"/>
      <c r="K484" s="51"/>
    </row>
    <row r="485" spans="2:11">
      <c r="B485" s="59"/>
      <c r="K485" s="51"/>
    </row>
    <row r="486" spans="2:11">
      <c r="B486" s="59"/>
      <c r="K486" s="51"/>
    </row>
    <row r="487" spans="2:11">
      <c r="B487" s="59"/>
      <c r="K487" s="51"/>
    </row>
    <row r="488" spans="2:11">
      <c r="B488" s="59"/>
      <c r="K488" s="51"/>
    </row>
    <row r="489" spans="2:11">
      <c r="B489" s="59"/>
      <c r="K489" s="51"/>
    </row>
    <row r="490" spans="2:11">
      <c r="B490" s="59"/>
      <c r="K490" s="51"/>
    </row>
    <row r="491" spans="2:11">
      <c r="B491" s="59"/>
      <c r="K491" s="51"/>
    </row>
    <row r="492" spans="2:11">
      <c r="B492" s="59"/>
      <c r="K492" s="51"/>
    </row>
    <row r="493" spans="2:11">
      <c r="B493" s="59"/>
      <c r="K493" s="51"/>
    </row>
    <row r="494" spans="2:11">
      <c r="B494" s="59"/>
      <c r="K494" s="51"/>
    </row>
    <row r="495" spans="2:11">
      <c r="B495" s="59"/>
      <c r="K495" s="51"/>
    </row>
    <row r="496" spans="2:11">
      <c r="B496" s="59"/>
      <c r="K496" s="51"/>
    </row>
    <row r="497" spans="2:11">
      <c r="B497" s="59"/>
      <c r="K497" s="51"/>
    </row>
    <row r="498" spans="2:11">
      <c r="B498" s="59"/>
      <c r="K498" s="51"/>
    </row>
    <row r="499" spans="2:11">
      <c r="B499" s="59"/>
      <c r="K499" s="51"/>
    </row>
    <row r="500" spans="2:11">
      <c r="B500" s="59"/>
      <c r="K500" s="51"/>
    </row>
    <row r="501" spans="2:11">
      <c r="B501" s="59"/>
      <c r="K501" s="51"/>
    </row>
    <row r="502" spans="2:11">
      <c r="B502" s="59"/>
      <c r="K502" s="51"/>
    </row>
    <row r="503" spans="2:11">
      <c r="B503" s="59"/>
      <c r="K503" s="51"/>
    </row>
    <row r="504" spans="2:11">
      <c r="B504" s="59"/>
      <c r="K504" s="51"/>
    </row>
    <row r="505" spans="2:11">
      <c r="B505" s="59"/>
      <c r="K505" s="51"/>
    </row>
    <row r="506" spans="2:11">
      <c r="B506" s="59"/>
      <c r="K506" s="51"/>
    </row>
    <row r="507" spans="2:11">
      <c r="B507" s="59"/>
      <c r="K507" s="51"/>
    </row>
    <row r="508" spans="2:11">
      <c r="B508" s="59"/>
      <c r="K508" s="51"/>
    </row>
    <row r="509" spans="2:11">
      <c r="B509" s="59"/>
      <c r="K509" s="51"/>
    </row>
    <row r="510" spans="2:11">
      <c r="B510" s="59"/>
      <c r="K510" s="51"/>
    </row>
    <row r="511" spans="2:11">
      <c r="B511" s="59"/>
      <c r="K511" s="51"/>
    </row>
    <row r="512" spans="2:11">
      <c r="B512" s="59"/>
      <c r="K512" s="51"/>
    </row>
    <row r="513" spans="2:11">
      <c r="B513" s="59"/>
      <c r="K513" s="51"/>
    </row>
    <row r="514" spans="2:11">
      <c r="B514" s="59"/>
      <c r="K514" s="51"/>
    </row>
    <row r="515" spans="2:11">
      <c r="B515" s="59"/>
      <c r="K515" s="51"/>
    </row>
    <row r="516" spans="2:11">
      <c r="B516" s="59"/>
      <c r="K516" s="51"/>
    </row>
    <row r="517" spans="2:11">
      <c r="B517" s="59"/>
      <c r="K517" s="51"/>
    </row>
    <row r="518" spans="2:11">
      <c r="B518" s="59"/>
      <c r="K518" s="51"/>
    </row>
    <row r="519" spans="2:11">
      <c r="B519" s="59"/>
      <c r="K519" s="51"/>
    </row>
    <row r="520" spans="2:11">
      <c r="B520" s="59"/>
      <c r="K520" s="51"/>
    </row>
    <row r="521" spans="2:11">
      <c r="B521" s="59"/>
      <c r="K521" s="51"/>
    </row>
    <row r="522" spans="2:11">
      <c r="B522" s="59"/>
      <c r="K522" s="51"/>
    </row>
    <row r="523" spans="2:11">
      <c r="B523" s="59"/>
      <c r="K523" s="51"/>
    </row>
    <row r="524" spans="2:11">
      <c r="B524" s="59"/>
      <c r="K524" s="51"/>
    </row>
    <row r="525" spans="2:11">
      <c r="B525" s="59"/>
      <c r="K525" s="51"/>
    </row>
    <row r="526" spans="2:11">
      <c r="B526" s="59"/>
      <c r="K526" s="51"/>
    </row>
    <row r="527" spans="2:11">
      <c r="B527" s="59"/>
      <c r="K527" s="51"/>
    </row>
    <row r="528" spans="2:11">
      <c r="B528" s="59"/>
      <c r="K528" s="51"/>
    </row>
    <row r="529" spans="2:11">
      <c r="B529" s="59"/>
      <c r="K529" s="51"/>
    </row>
    <row r="530" spans="2:11">
      <c r="B530" s="59"/>
      <c r="K530" s="51"/>
    </row>
    <row r="531" spans="2:11">
      <c r="B531" s="59"/>
      <c r="K531" s="51"/>
    </row>
    <row r="532" spans="2:11">
      <c r="B532" s="59"/>
      <c r="K532" s="51"/>
    </row>
    <row r="533" spans="2:11">
      <c r="B533" s="59"/>
      <c r="K533" s="51"/>
    </row>
    <row r="534" spans="2:11">
      <c r="B534" s="59"/>
      <c r="K534" s="51"/>
    </row>
    <row r="535" spans="2:11">
      <c r="B535" s="59"/>
      <c r="K535" s="51"/>
    </row>
    <row r="536" spans="2:11">
      <c r="B536" s="59"/>
      <c r="K536" s="51"/>
    </row>
    <row r="537" spans="2:11">
      <c r="B537" s="59"/>
      <c r="K537" s="51"/>
    </row>
    <row r="538" spans="2:11">
      <c r="B538" s="59"/>
      <c r="K538" s="51"/>
    </row>
    <row r="539" spans="2:11">
      <c r="B539" s="59"/>
      <c r="K539" s="51"/>
    </row>
    <row r="540" spans="2:11">
      <c r="B540" s="59"/>
      <c r="K540" s="51"/>
    </row>
    <row r="541" spans="2:11">
      <c r="B541" s="59"/>
      <c r="K541" s="51"/>
    </row>
    <row r="542" spans="2:11">
      <c r="B542" s="59"/>
      <c r="K542" s="51"/>
    </row>
    <row r="543" spans="2:11">
      <c r="B543" s="59"/>
      <c r="K543" s="51"/>
    </row>
    <row r="544" spans="2:11">
      <c r="B544" s="59"/>
      <c r="K544" s="51"/>
    </row>
    <row r="545" spans="2:11">
      <c r="B545" s="59"/>
      <c r="K545" s="51"/>
    </row>
    <row r="546" spans="2:11">
      <c r="B546" s="59"/>
      <c r="K546" s="51"/>
    </row>
    <row r="547" spans="2:11">
      <c r="B547" s="59"/>
      <c r="K547" s="51"/>
    </row>
    <row r="548" spans="2:11">
      <c r="B548" s="59"/>
      <c r="K548" s="51"/>
    </row>
    <row r="549" spans="2:11">
      <c r="B549" s="59"/>
      <c r="K549" s="51"/>
    </row>
    <row r="550" spans="2:11">
      <c r="B550" s="59"/>
      <c r="K550" s="51"/>
    </row>
    <row r="551" spans="2:11">
      <c r="B551" s="59"/>
      <c r="K551" s="51"/>
    </row>
    <row r="552" spans="2:11">
      <c r="B552" s="59"/>
      <c r="K552" s="51"/>
    </row>
    <row r="553" spans="2:11">
      <c r="B553" s="59"/>
      <c r="K553" s="51"/>
    </row>
    <row r="554" spans="2:11">
      <c r="B554" s="59"/>
      <c r="K554" s="51"/>
    </row>
    <row r="555" spans="2:11">
      <c r="B555" s="59"/>
      <c r="K555" s="51"/>
    </row>
    <row r="556" spans="2:11">
      <c r="B556" s="59"/>
      <c r="K556" s="51"/>
    </row>
    <row r="557" spans="2:11">
      <c r="B557" s="59"/>
      <c r="K557" s="51"/>
    </row>
    <row r="558" spans="2:11">
      <c r="B558" s="59"/>
      <c r="K558" s="51"/>
    </row>
    <row r="559" spans="2:11">
      <c r="B559" s="59"/>
      <c r="K559" s="51"/>
    </row>
    <row r="560" spans="2:11">
      <c r="B560" s="59"/>
      <c r="K560" s="51"/>
    </row>
    <row r="561" spans="2:11">
      <c r="B561" s="59"/>
      <c r="K561" s="51"/>
    </row>
    <row r="562" spans="2:11">
      <c r="B562" s="59"/>
      <c r="K562" s="51"/>
    </row>
    <row r="563" spans="2:11">
      <c r="B563" s="59"/>
      <c r="K563" s="51"/>
    </row>
    <row r="564" spans="2:11">
      <c r="B564" s="59"/>
      <c r="K564" s="51"/>
    </row>
    <row r="565" spans="2:11">
      <c r="B565" s="59"/>
      <c r="K565" s="51"/>
    </row>
    <row r="566" spans="2:11">
      <c r="B566" s="59"/>
      <c r="K566" s="51"/>
    </row>
    <row r="567" spans="2:11">
      <c r="B567" s="59"/>
      <c r="K567" s="51"/>
    </row>
    <row r="568" spans="2:11">
      <c r="B568" s="59"/>
      <c r="K568" s="51"/>
    </row>
    <row r="569" spans="2:11">
      <c r="B569" s="59"/>
      <c r="K569" s="51"/>
    </row>
    <row r="570" spans="2:11">
      <c r="B570" s="59"/>
      <c r="K570" s="51"/>
    </row>
    <row r="571" spans="2:11">
      <c r="B571" s="59"/>
      <c r="K571" s="51"/>
    </row>
    <row r="572" spans="2:11">
      <c r="B572" s="59"/>
      <c r="K572" s="51"/>
    </row>
    <row r="573" spans="2:11">
      <c r="B573" s="59"/>
      <c r="K573" s="51"/>
    </row>
    <row r="574" spans="2:11">
      <c r="B574" s="59"/>
      <c r="K574" s="51"/>
    </row>
    <row r="575" spans="2:11">
      <c r="B575" s="59"/>
      <c r="K575" s="51"/>
    </row>
    <row r="576" spans="2:11">
      <c r="B576" s="59"/>
      <c r="K576" s="51"/>
    </row>
    <row r="577" spans="2:11">
      <c r="B577" s="59"/>
      <c r="K577" s="51"/>
    </row>
    <row r="578" spans="2:11">
      <c r="B578" s="59"/>
      <c r="K578" s="51"/>
    </row>
    <row r="579" spans="2:11">
      <c r="B579" s="59"/>
      <c r="K579" s="51"/>
    </row>
    <row r="580" spans="2:11">
      <c r="B580" s="59"/>
      <c r="K580" s="51"/>
    </row>
    <row r="581" spans="2:11">
      <c r="B581" s="59"/>
      <c r="K581" s="51"/>
    </row>
    <row r="582" spans="2:11">
      <c r="B582" s="59"/>
      <c r="K582" s="51"/>
    </row>
    <row r="583" spans="2:11">
      <c r="B583" s="59"/>
      <c r="K583" s="51"/>
    </row>
    <row r="584" spans="2:11">
      <c r="B584" s="59"/>
      <c r="K584" s="51"/>
    </row>
    <row r="585" spans="2:11">
      <c r="B585" s="59"/>
      <c r="K585" s="51"/>
    </row>
    <row r="586" spans="2:11">
      <c r="B586" s="59"/>
      <c r="K586" s="51"/>
    </row>
    <row r="587" spans="2:11">
      <c r="B587" s="59"/>
      <c r="K587" s="51"/>
    </row>
    <row r="588" spans="2:11">
      <c r="B588" s="59"/>
      <c r="K588" s="51"/>
    </row>
    <row r="589" spans="2:11">
      <c r="B589" s="59"/>
      <c r="K589" s="51"/>
    </row>
    <row r="590" spans="2:11">
      <c r="B590" s="59"/>
      <c r="K590" s="51"/>
    </row>
    <row r="591" spans="2:11">
      <c r="B591" s="59"/>
      <c r="K591" s="51"/>
    </row>
    <row r="592" spans="2:11">
      <c r="B592" s="59"/>
      <c r="K592" s="51"/>
    </row>
    <row r="593" spans="2:11">
      <c r="B593" s="59"/>
      <c r="K593" s="51"/>
    </row>
    <row r="594" spans="2:11">
      <c r="B594" s="59"/>
      <c r="K594" s="51"/>
    </row>
    <row r="595" spans="2:11">
      <c r="B595" s="59"/>
      <c r="K595" s="51"/>
    </row>
    <row r="596" spans="2:11">
      <c r="B596" s="59"/>
      <c r="K596" s="51"/>
    </row>
    <row r="597" spans="2:11">
      <c r="B597" s="59"/>
      <c r="K597" s="51"/>
    </row>
    <row r="598" spans="2:11">
      <c r="B598" s="59"/>
      <c r="K598" s="51"/>
    </row>
    <row r="599" spans="2:11">
      <c r="B599" s="59"/>
      <c r="K599" s="51"/>
    </row>
    <row r="600" spans="2:11">
      <c r="B600" s="59"/>
      <c r="K600" s="51"/>
    </row>
    <row r="601" spans="2:11">
      <c r="B601" s="59"/>
      <c r="K601" s="51"/>
    </row>
    <row r="602" spans="2:11">
      <c r="B602" s="59"/>
      <c r="K602" s="51"/>
    </row>
    <row r="603" spans="2:11">
      <c r="B603" s="59"/>
      <c r="K603" s="51"/>
    </row>
    <row r="604" spans="2:11">
      <c r="B604" s="59"/>
      <c r="K604" s="51"/>
    </row>
    <row r="605" spans="2:11">
      <c r="B605" s="59"/>
      <c r="K605" s="51"/>
    </row>
    <row r="606" spans="2:11">
      <c r="B606" s="59"/>
      <c r="K606" s="51"/>
    </row>
    <row r="607" spans="2:11">
      <c r="B607" s="59"/>
      <c r="K607" s="51"/>
    </row>
    <row r="608" spans="2:11">
      <c r="B608" s="59"/>
      <c r="K608" s="51"/>
    </row>
    <row r="609" spans="2:11">
      <c r="B609" s="59"/>
      <c r="K609" s="51"/>
    </row>
    <row r="610" spans="2:11">
      <c r="B610" s="59"/>
      <c r="K610" s="51"/>
    </row>
    <row r="611" spans="2:11">
      <c r="B611" s="59"/>
      <c r="K611" s="51"/>
    </row>
    <row r="612" spans="2:11">
      <c r="B612" s="59"/>
      <c r="K612" s="51"/>
    </row>
    <row r="613" spans="2:11">
      <c r="B613" s="59"/>
      <c r="K613" s="51"/>
    </row>
    <row r="614" spans="2:11">
      <c r="B614" s="59"/>
      <c r="K614" s="51"/>
    </row>
    <row r="615" spans="2:11">
      <c r="B615" s="59"/>
      <c r="K615" s="51"/>
    </row>
    <row r="616" spans="2:11">
      <c r="B616" s="59"/>
      <c r="K616" s="51"/>
    </row>
    <row r="617" spans="2:11">
      <c r="B617" s="59"/>
      <c r="K617" s="51"/>
    </row>
    <row r="618" spans="2:11">
      <c r="B618" s="59"/>
      <c r="K618" s="51"/>
    </row>
    <row r="619" spans="2:11">
      <c r="B619" s="59"/>
      <c r="K619" s="51"/>
    </row>
    <row r="620" spans="2:11">
      <c r="B620" s="59"/>
      <c r="K620" s="51"/>
    </row>
    <row r="621" spans="2:11">
      <c r="B621" s="59"/>
      <c r="K621" s="51"/>
    </row>
    <row r="622" spans="2:11">
      <c r="B622" s="59"/>
      <c r="K622" s="51"/>
    </row>
    <row r="623" spans="2:11">
      <c r="B623" s="59"/>
      <c r="K623" s="51"/>
    </row>
    <row r="624" spans="2:11">
      <c r="B624" s="59"/>
      <c r="K624" s="51"/>
    </row>
    <row r="625" spans="2:11">
      <c r="B625" s="59"/>
      <c r="K625" s="51"/>
    </row>
    <row r="626" spans="2:11">
      <c r="B626" s="59"/>
      <c r="K626" s="51"/>
    </row>
    <row r="627" spans="2:11">
      <c r="B627" s="59"/>
      <c r="K627" s="51"/>
    </row>
    <row r="628" spans="2:11">
      <c r="B628" s="59"/>
      <c r="K628" s="51"/>
    </row>
    <row r="629" spans="2:11">
      <c r="B629" s="59"/>
      <c r="K629" s="51"/>
    </row>
    <row r="630" spans="2:11">
      <c r="B630" s="59"/>
      <c r="K630" s="51"/>
    </row>
    <row r="631" spans="2:11">
      <c r="B631" s="59"/>
      <c r="K631" s="51"/>
    </row>
    <row r="632" spans="2:11">
      <c r="B632" s="59"/>
      <c r="K632" s="51"/>
    </row>
    <row r="633" spans="2:11">
      <c r="B633" s="59"/>
      <c r="K633" s="51"/>
    </row>
    <row r="634" spans="2:11">
      <c r="B634" s="59"/>
      <c r="K634" s="51"/>
    </row>
    <row r="635" spans="2:11">
      <c r="B635" s="59"/>
      <c r="K635" s="51"/>
    </row>
    <row r="636" spans="2:11">
      <c r="B636" s="59"/>
      <c r="K636" s="51"/>
    </row>
    <row r="637" spans="2:11">
      <c r="B637" s="59"/>
      <c r="K637" s="51"/>
    </row>
    <row r="638" spans="2:11">
      <c r="B638" s="59"/>
      <c r="K638" s="51"/>
    </row>
    <row r="639" spans="2:11">
      <c r="B639" s="59"/>
      <c r="K639" s="51"/>
    </row>
    <row r="640" spans="2:11">
      <c r="B640" s="59"/>
      <c r="K640" s="51"/>
    </row>
    <row r="641" spans="2:11">
      <c r="B641" s="59"/>
      <c r="K641" s="51"/>
    </row>
    <row r="642" spans="2:11">
      <c r="B642" s="59"/>
      <c r="K642" s="51"/>
    </row>
    <row r="643" spans="2:11">
      <c r="B643" s="59"/>
      <c r="K643" s="51"/>
    </row>
    <row r="644" spans="2:11">
      <c r="B644" s="59"/>
      <c r="K644" s="51"/>
    </row>
    <row r="645" spans="2:11">
      <c r="B645" s="59"/>
      <c r="K645" s="51"/>
    </row>
    <row r="646" spans="2:11">
      <c r="B646" s="59"/>
      <c r="K646" s="51"/>
    </row>
    <row r="647" spans="2:11">
      <c r="B647" s="59"/>
      <c r="K647" s="51"/>
    </row>
    <row r="648" spans="2:11">
      <c r="B648" s="59"/>
      <c r="K648" s="51"/>
    </row>
    <row r="649" spans="2:11">
      <c r="B649" s="59"/>
      <c r="K649" s="51"/>
    </row>
    <row r="650" spans="2:11">
      <c r="B650" s="59"/>
      <c r="K650" s="51"/>
    </row>
    <row r="651" spans="2:11">
      <c r="B651" s="59"/>
      <c r="K651" s="51"/>
    </row>
    <row r="652" spans="2:11">
      <c r="B652" s="59"/>
      <c r="K652" s="51"/>
    </row>
    <row r="653" spans="2:11">
      <c r="B653" s="59"/>
      <c r="K653" s="51"/>
    </row>
    <row r="654" spans="2:11">
      <c r="B654" s="59"/>
      <c r="K654" s="51"/>
    </row>
    <row r="655" spans="2:11">
      <c r="B655" s="59"/>
      <c r="K655" s="51"/>
    </row>
    <row r="656" spans="2:11">
      <c r="B656" s="59"/>
      <c r="K656" s="51"/>
    </row>
    <row r="657" spans="2:11">
      <c r="B657" s="59"/>
      <c r="K657" s="51"/>
    </row>
    <row r="658" spans="2:11">
      <c r="B658" s="59"/>
      <c r="K658" s="51"/>
    </row>
    <row r="659" spans="2:11">
      <c r="B659" s="59"/>
      <c r="K659" s="51"/>
    </row>
    <row r="660" spans="2:11">
      <c r="B660" s="59"/>
      <c r="K660" s="51"/>
    </row>
    <row r="661" spans="2:11">
      <c r="B661" s="59"/>
      <c r="K661" s="51"/>
    </row>
    <row r="662" spans="2:11">
      <c r="B662" s="59"/>
      <c r="K662" s="51"/>
    </row>
    <row r="663" spans="2:11">
      <c r="B663" s="59"/>
      <c r="K663" s="51"/>
    </row>
    <row r="664" spans="2:11">
      <c r="B664" s="59"/>
      <c r="K664" s="51"/>
    </row>
    <row r="665" spans="2:11">
      <c r="B665" s="59"/>
      <c r="K665" s="51"/>
    </row>
    <row r="666" spans="2:11">
      <c r="B666" s="59"/>
      <c r="K666" s="51"/>
    </row>
    <row r="667" spans="2:11">
      <c r="B667" s="59"/>
      <c r="K667" s="51"/>
    </row>
    <row r="668" spans="2:11">
      <c r="B668" s="59"/>
      <c r="K668" s="51"/>
    </row>
    <row r="669" spans="2:11">
      <c r="B669" s="59"/>
      <c r="K669" s="51"/>
    </row>
    <row r="670" spans="2:11">
      <c r="B670" s="59"/>
      <c r="K670" s="51"/>
    </row>
    <row r="671" spans="2:11">
      <c r="B671" s="59"/>
      <c r="K671" s="51"/>
    </row>
    <row r="672" spans="2:11">
      <c r="B672" s="59"/>
      <c r="K672" s="51"/>
    </row>
    <row r="673" spans="2:11">
      <c r="B673" s="59"/>
      <c r="K673" s="51"/>
    </row>
    <row r="674" spans="2:11">
      <c r="B674" s="59"/>
      <c r="K674" s="51"/>
    </row>
    <row r="675" spans="2:11">
      <c r="B675" s="59"/>
      <c r="K675" s="51"/>
    </row>
    <row r="676" spans="2:11">
      <c r="B676" s="59"/>
      <c r="K676" s="51"/>
    </row>
    <row r="677" spans="2:11">
      <c r="B677" s="59"/>
      <c r="K677" s="51"/>
    </row>
    <row r="678" spans="2:11">
      <c r="B678" s="59"/>
      <c r="K678" s="51"/>
    </row>
    <row r="679" spans="2:11">
      <c r="B679" s="59"/>
      <c r="K679" s="51"/>
    </row>
    <row r="680" spans="2:11">
      <c r="B680" s="59"/>
      <c r="K680" s="51"/>
    </row>
    <row r="681" spans="2:11">
      <c r="B681" s="59"/>
      <c r="K681" s="51"/>
    </row>
    <row r="682" spans="2:11">
      <c r="B682" s="59"/>
      <c r="K682" s="51"/>
    </row>
    <row r="683" spans="2:11">
      <c r="B683" s="59"/>
      <c r="K683" s="51"/>
    </row>
    <row r="684" spans="2:11">
      <c r="B684" s="59"/>
      <c r="K684" s="51"/>
    </row>
    <row r="685" spans="2:11">
      <c r="B685" s="59"/>
      <c r="K685" s="51"/>
    </row>
    <row r="686" spans="2:11">
      <c r="B686" s="59"/>
      <c r="K686" s="51"/>
    </row>
    <row r="687" spans="2:11">
      <c r="B687" s="59"/>
      <c r="K687" s="51"/>
    </row>
    <row r="688" spans="2:11">
      <c r="B688" s="59"/>
      <c r="K688" s="51"/>
    </row>
    <row r="689" spans="2:11">
      <c r="B689" s="59"/>
      <c r="K689" s="51"/>
    </row>
    <row r="690" spans="2:11">
      <c r="B690" s="59"/>
      <c r="K690" s="51"/>
    </row>
    <row r="691" spans="2:11">
      <c r="B691" s="59"/>
      <c r="K691" s="51"/>
    </row>
    <row r="692" spans="2:11">
      <c r="B692" s="59"/>
      <c r="K692" s="51"/>
    </row>
    <row r="693" spans="2:11">
      <c r="B693" s="59"/>
      <c r="K693" s="51"/>
    </row>
    <row r="694" spans="2:11">
      <c r="B694" s="59"/>
      <c r="K694" s="51"/>
    </row>
    <row r="695" spans="2:11">
      <c r="B695" s="59"/>
      <c r="K695" s="51"/>
    </row>
    <row r="696" spans="2:11">
      <c r="B696" s="59"/>
      <c r="K696" s="51"/>
    </row>
    <row r="697" spans="2:11">
      <c r="B697" s="59"/>
      <c r="K697" s="51"/>
    </row>
    <row r="698" spans="2:11">
      <c r="B698" s="59"/>
      <c r="K698" s="51"/>
    </row>
    <row r="699" spans="2:11">
      <c r="B699" s="59"/>
      <c r="K699" s="51"/>
    </row>
    <row r="700" spans="2:11">
      <c r="B700" s="59"/>
      <c r="K700" s="51"/>
    </row>
    <row r="701" spans="2:11">
      <c r="B701" s="59"/>
      <c r="K701" s="51"/>
    </row>
    <row r="702" spans="2:11">
      <c r="B702" s="59"/>
      <c r="K702" s="51"/>
    </row>
    <row r="703" spans="2:11">
      <c r="B703" s="59"/>
      <c r="K703" s="51"/>
    </row>
    <row r="704" spans="2:11">
      <c r="B704" s="59"/>
      <c r="K704" s="51"/>
    </row>
    <row r="705" spans="2:11">
      <c r="B705" s="59"/>
      <c r="K705" s="51"/>
    </row>
    <row r="706" spans="2:11">
      <c r="B706" s="59"/>
      <c r="K706" s="51"/>
    </row>
    <row r="707" spans="2:11">
      <c r="B707" s="59"/>
      <c r="K707" s="51"/>
    </row>
    <row r="708" spans="2:11">
      <c r="B708" s="59"/>
      <c r="K708" s="51"/>
    </row>
    <row r="709" spans="2:11">
      <c r="B709" s="59"/>
      <c r="K709" s="51"/>
    </row>
    <row r="710" spans="2:11">
      <c r="B710" s="59"/>
      <c r="K710" s="51"/>
    </row>
    <row r="711" spans="2:11">
      <c r="B711" s="59"/>
      <c r="K711" s="51"/>
    </row>
    <row r="712" spans="2:11">
      <c r="B712" s="59"/>
      <c r="K712" s="51"/>
    </row>
    <row r="713" spans="2:11">
      <c r="B713" s="59"/>
      <c r="K713" s="51"/>
    </row>
    <row r="714" spans="2:11">
      <c r="B714" s="59"/>
      <c r="K714" s="51"/>
    </row>
    <row r="715" spans="2:11">
      <c r="B715" s="59"/>
      <c r="K715" s="51"/>
    </row>
    <row r="716" spans="2:11">
      <c r="B716" s="59"/>
      <c r="K716" s="51"/>
    </row>
    <row r="717" spans="2:11">
      <c r="B717" s="59"/>
      <c r="K717" s="51"/>
    </row>
    <row r="718" spans="2:11">
      <c r="B718" s="59"/>
      <c r="K718" s="51"/>
    </row>
    <row r="719" spans="2:11">
      <c r="B719" s="59"/>
      <c r="K719" s="51"/>
    </row>
    <row r="720" spans="2:11">
      <c r="B720" s="59"/>
      <c r="K720" s="51"/>
    </row>
    <row r="721" spans="2:11">
      <c r="B721" s="59"/>
      <c r="K721" s="51"/>
    </row>
    <row r="722" spans="2:11">
      <c r="B722" s="59"/>
      <c r="K722" s="51"/>
    </row>
    <row r="723" spans="2:11">
      <c r="B723" s="59"/>
      <c r="K723" s="51"/>
    </row>
    <row r="724" spans="2:11">
      <c r="B724" s="59"/>
      <c r="K724" s="51"/>
    </row>
    <row r="725" spans="2:11">
      <c r="B725" s="59"/>
      <c r="K725" s="51"/>
    </row>
    <row r="726" spans="2:11">
      <c r="B726" s="59"/>
      <c r="K726" s="51"/>
    </row>
    <row r="727" spans="2:11">
      <c r="B727" s="59"/>
      <c r="K727" s="51"/>
    </row>
    <row r="728" spans="2:11">
      <c r="B728" s="59"/>
      <c r="K728" s="51"/>
    </row>
    <row r="729" spans="2:11">
      <c r="B729" s="59"/>
      <c r="K729" s="51"/>
    </row>
    <row r="730" spans="2:11">
      <c r="B730" s="59"/>
      <c r="K730" s="51"/>
    </row>
    <row r="731" spans="2:11">
      <c r="B731" s="59"/>
      <c r="K731" s="51"/>
    </row>
    <row r="732" spans="2:11">
      <c r="B732" s="59"/>
      <c r="K732" s="51"/>
    </row>
    <row r="733" spans="2:11">
      <c r="B733" s="59"/>
      <c r="K733" s="51"/>
    </row>
    <row r="734" spans="2:11">
      <c r="B734" s="59"/>
      <c r="K734" s="51"/>
    </row>
    <row r="735" spans="2:11">
      <c r="B735" s="59"/>
      <c r="K735" s="51"/>
    </row>
    <row r="736" spans="2:11">
      <c r="B736" s="59"/>
      <c r="K736" s="51"/>
    </row>
    <row r="737" spans="2:11">
      <c r="B737" s="59"/>
      <c r="K737" s="51"/>
    </row>
    <row r="738" spans="2:11">
      <c r="B738" s="59"/>
      <c r="K738" s="51"/>
    </row>
    <row r="739" spans="2:11">
      <c r="B739" s="59"/>
      <c r="K739" s="51"/>
    </row>
    <row r="740" spans="2:11">
      <c r="B740" s="59"/>
      <c r="K740" s="51"/>
    </row>
    <row r="741" spans="2:11">
      <c r="B741" s="59"/>
      <c r="K741" s="51"/>
    </row>
    <row r="742" spans="2:11">
      <c r="B742" s="59"/>
      <c r="K742" s="51"/>
    </row>
    <row r="743" spans="2:11">
      <c r="B743" s="59"/>
      <c r="K743" s="51"/>
    </row>
    <row r="744" spans="2:11">
      <c r="B744" s="59"/>
      <c r="K744" s="51"/>
    </row>
    <row r="745" spans="2:11">
      <c r="B745" s="59"/>
      <c r="K745" s="51"/>
    </row>
    <row r="746" spans="2:11">
      <c r="B746" s="59"/>
      <c r="K746" s="51"/>
    </row>
    <row r="747" spans="2:11">
      <c r="B747" s="59"/>
      <c r="K747" s="51"/>
    </row>
    <row r="748" spans="2:11">
      <c r="B748" s="59"/>
      <c r="K748" s="51"/>
    </row>
    <row r="749" spans="2:11">
      <c r="B749" s="59"/>
      <c r="K749" s="51"/>
    </row>
    <row r="750" spans="2:11">
      <c r="B750" s="59"/>
      <c r="K750" s="51"/>
    </row>
    <row r="751" spans="2:11">
      <c r="B751" s="59"/>
      <c r="K751" s="51"/>
    </row>
    <row r="752" spans="2:11">
      <c r="B752" s="59"/>
      <c r="K752" s="51"/>
    </row>
    <row r="753" spans="2:11">
      <c r="B753" s="59"/>
      <c r="K753" s="51"/>
    </row>
    <row r="754" spans="2:11">
      <c r="B754" s="59"/>
      <c r="K754" s="51"/>
    </row>
    <row r="755" spans="2:11">
      <c r="B755" s="59"/>
      <c r="K755" s="51"/>
    </row>
    <row r="756" spans="2:11">
      <c r="B756" s="59"/>
      <c r="K756" s="51"/>
    </row>
    <row r="757" spans="2:11">
      <c r="B757" s="59"/>
      <c r="K757" s="51"/>
    </row>
    <row r="758" spans="2:11">
      <c r="B758" s="59"/>
      <c r="K758" s="51"/>
    </row>
    <row r="759" spans="2:11">
      <c r="B759" s="59"/>
      <c r="K759" s="51"/>
    </row>
    <row r="760" spans="2:11">
      <c r="B760" s="59"/>
      <c r="K760" s="51"/>
    </row>
    <row r="761" spans="2:11">
      <c r="B761" s="59"/>
      <c r="K761" s="51"/>
    </row>
    <row r="762" spans="2:11">
      <c r="B762" s="59"/>
      <c r="K762" s="51"/>
    </row>
    <row r="763" spans="2:11">
      <c r="B763" s="59"/>
      <c r="K763" s="51"/>
    </row>
    <row r="764" spans="2:11">
      <c r="B764" s="59"/>
      <c r="K764" s="51"/>
    </row>
    <row r="765" spans="2:11">
      <c r="B765" s="59"/>
      <c r="K765" s="51"/>
    </row>
    <row r="766" spans="2:11">
      <c r="B766" s="59"/>
      <c r="K766" s="51"/>
    </row>
    <row r="767" spans="2:11">
      <c r="B767" s="59"/>
      <c r="K767" s="51"/>
    </row>
    <row r="768" spans="2:11">
      <c r="B768" s="59"/>
      <c r="K768" s="51"/>
    </row>
    <row r="769" spans="2:11">
      <c r="B769" s="59"/>
      <c r="K769" s="51"/>
    </row>
    <row r="770" spans="2:11">
      <c r="B770" s="59"/>
      <c r="K770" s="51"/>
    </row>
    <row r="771" spans="2:11">
      <c r="B771" s="59"/>
      <c r="K771" s="51"/>
    </row>
    <row r="772" spans="2:11">
      <c r="B772" s="59"/>
      <c r="K772" s="51"/>
    </row>
    <row r="773" spans="2:11">
      <c r="B773" s="59"/>
      <c r="K773" s="51"/>
    </row>
    <row r="774" spans="2:11">
      <c r="B774" s="59"/>
      <c r="K774" s="51"/>
    </row>
    <row r="775" spans="2:11">
      <c r="B775" s="59"/>
      <c r="K775" s="51"/>
    </row>
    <row r="776" spans="2:11">
      <c r="B776" s="59"/>
      <c r="K776" s="51"/>
    </row>
    <row r="777" spans="2:11">
      <c r="B777" s="59"/>
      <c r="K777" s="51"/>
    </row>
    <row r="778" spans="2:11">
      <c r="B778" s="59"/>
      <c r="K778" s="51"/>
    </row>
    <row r="779" spans="2:11">
      <c r="B779" s="59"/>
      <c r="K779" s="51"/>
    </row>
    <row r="780" spans="2:11">
      <c r="B780" s="59"/>
      <c r="K780" s="51"/>
    </row>
    <row r="781" spans="2:11">
      <c r="B781" s="59"/>
      <c r="K781" s="51"/>
    </row>
    <row r="782" spans="2:11">
      <c r="B782" s="59"/>
      <c r="K782" s="51"/>
    </row>
    <row r="783" spans="2:11">
      <c r="B783" s="59"/>
      <c r="K783" s="51"/>
    </row>
    <row r="784" spans="2:11">
      <c r="B784" s="59"/>
      <c r="K784" s="51"/>
    </row>
    <row r="785" spans="2:11">
      <c r="B785" s="59"/>
      <c r="K785" s="51"/>
    </row>
    <row r="786" spans="2:11">
      <c r="B786" s="59"/>
      <c r="K786" s="51"/>
    </row>
    <row r="787" spans="2:11">
      <c r="B787" s="59"/>
      <c r="K787" s="51"/>
    </row>
    <row r="788" spans="2:11">
      <c r="B788" s="59"/>
      <c r="K788" s="51"/>
    </row>
    <row r="789" spans="2:11">
      <c r="B789" s="59"/>
      <c r="K789" s="51"/>
    </row>
    <row r="790" spans="2:11">
      <c r="B790" s="59"/>
      <c r="K790" s="51"/>
    </row>
    <row r="791" spans="2:11">
      <c r="B791" s="59"/>
      <c r="K791" s="51"/>
    </row>
    <row r="792" spans="2:11">
      <c r="B792" s="59"/>
      <c r="K792" s="51"/>
    </row>
    <row r="793" spans="2:11">
      <c r="B793" s="59"/>
      <c r="K793" s="51"/>
    </row>
    <row r="794" spans="2:11">
      <c r="B794" s="59"/>
      <c r="K794" s="51"/>
    </row>
    <row r="795" spans="2:11">
      <c r="B795" s="59"/>
      <c r="K795" s="51"/>
    </row>
    <row r="796" spans="2:11">
      <c r="B796" s="59"/>
      <c r="K796" s="51"/>
    </row>
    <row r="797" spans="2:11">
      <c r="B797" s="59"/>
      <c r="K797" s="51"/>
    </row>
    <row r="798" spans="2:11">
      <c r="B798" s="59"/>
      <c r="K798" s="51"/>
    </row>
    <row r="799" spans="2:11">
      <c r="B799" s="59"/>
      <c r="K799" s="51"/>
    </row>
    <row r="800" spans="2:11">
      <c r="B800" s="59"/>
      <c r="K800" s="51"/>
    </row>
    <row r="801" spans="2:11">
      <c r="B801" s="59"/>
      <c r="K801" s="51"/>
    </row>
    <row r="802" spans="2:11">
      <c r="B802" s="59"/>
      <c r="K802" s="51"/>
    </row>
    <row r="803" spans="2:11">
      <c r="B803" s="59"/>
      <c r="K803" s="51"/>
    </row>
    <row r="804" spans="2:11">
      <c r="B804" s="59"/>
      <c r="K804" s="51"/>
    </row>
    <row r="805" spans="2:11">
      <c r="B805" s="59"/>
      <c r="K805" s="51"/>
    </row>
    <row r="806" spans="2:11">
      <c r="B806" s="59"/>
      <c r="K806" s="51"/>
    </row>
    <row r="807" spans="2:11">
      <c r="B807" s="59"/>
      <c r="K807" s="51"/>
    </row>
    <row r="808" spans="2:11">
      <c r="B808" s="59"/>
      <c r="K808" s="51"/>
    </row>
    <row r="809" spans="2:11">
      <c r="B809" s="59"/>
      <c r="K809" s="51"/>
    </row>
    <row r="810" spans="2:11">
      <c r="B810" s="59"/>
      <c r="K810" s="51"/>
    </row>
    <row r="811" spans="2:11">
      <c r="B811" s="59"/>
      <c r="K811" s="51"/>
    </row>
    <row r="812" spans="2:11">
      <c r="B812" s="59"/>
      <c r="K812" s="51"/>
    </row>
    <row r="813" spans="2:11">
      <c r="B813" s="59"/>
      <c r="K813" s="51"/>
    </row>
    <row r="814" spans="2:11">
      <c r="B814" s="59"/>
      <c r="K814" s="51"/>
    </row>
    <row r="815" spans="2:11">
      <c r="B815" s="59"/>
      <c r="K815" s="51"/>
    </row>
    <row r="816" spans="2:11">
      <c r="B816" s="59"/>
      <c r="K816" s="51"/>
    </row>
    <row r="817" spans="2:11">
      <c r="B817" s="59"/>
      <c r="K817" s="51"/>
    </row>
    <row r="818" spans="2:11">
      <c r="B818" s="59"/>
      <c r="K818" s="51"/>
    </row>
    <row r="819" spans="2:11">
      <c r="B819" s="59"/>
      <c r="K819" s="51"/>
    </row>
    <row r="820" spans="2:11">
      <c r="B820" s="59"/>
      <c r="K820" s="51"/>
    </row>
    <row r="821" spans="2:11">
      <c r="B821" s="59"/>
      <c r="K821" s="51"/>
    </row>
    <row r="822" spans="2:11">
      <c r="B822" s="59"/>
      <c r="K822" s="51"/>
    </row>
    <row r="823" spans="2:11">
      <c r="B823" s="59"/>
      <c r="K823" s="51"/>
    </row>
    <row r="824" spans="2:11">
      <c r="B824" s="59"/>
      <c r="K824" s="51"/>
    </row>
    <row r="825" spans="2:11">
      <c r="B825" s="59"/>
      <c r="K825" s="51"/>
    </row>
    <row r="826" spans="2:11">
      <c r="B826" s="59"/>
      <c r="K826" s="51"/>
    </row>
    <row r="827" spans="2:11">
      <c r="B827" s="59"/>
      <c r="K827" s="51"/>
    </row>
    <row r="828" spans="2:11">
      <c r="B828" s="59"/>
      <c r="K828" s="51"/>
    </row>
    <row r="829" spans="2:11">
      <c r="B829" s="59"/>
      <c r="K829" s="51"/>
    </row>
    <row r="830" spans="2:11">
      <c r="B830" s="59"/>
      <c r="K830" s="51"/>
    </row>
    <row r="831" spans="2:11">
      <c r="B831" s="59"/>
      <c r="K831" s="51"/>
    </row>
    <row r="832" spans="2:11">
      <c r="B832" s="59"/>
      <c r="K832" s="51"/>
    </row>
    <row r="833" spans="2:11">
      <c r="B833" s="59"/>
      <c r="K833" s="51"/>
    </row>
    <row r="834" spans="2:11">
      <c r="B834" s="59"/>
      <c r="K834" s="51"/>
    </row>
    <row r="835" spans="2:11">
      <c r="B835" s="59"/>
      <c r="K835" s="51"/>
    </row>
    <row r="836" spans="2:11">
      <c r="B836" s="59"/>
      <c r="K836" s="51"/>
    </row>
    <row r="837" spans="2:11">
      <c r="B837" s="59"/>
      <c r="K837" s="51"/>
    </row>
    <row r="838" spans="2:11">
      <c r="B838" s="59"/>
      <c r="K838" s="51"/>
    </row>
    <row r="839" spans="2:11">
      <c r="B839" s="59"/>
      <c r="K839" s="51"/>
    </row>
    <row r="840" spans="2:11">
      <c r="B840" s="59"/>
      <c r="K840" s="51"/>
    </row>
    <row r="841" spans="2:11">
      <c r="B841" s="59"/>
      <c r="K841" s="51"/>
    </row>
    <row r="842" spans="2:11">
      <c r="B842" s="59"/>
      <c r="K842" s="51"/>
    </row>
    <row r="843" spans="2:11">
      <c r="B843" s="59"/>
      <c r="K843" s="51"/>
    </row>
    <row r="844" spans="2:11">
      <c r="B844" s="59"/>
      <c r="K844" s="51"/>
    </row>
    <row r="845" spans="2:11">
      <c r="B845" s="59"/>
      <c r="K845" s="51"/>
    </row>
    <row r="846" spans="2:11">
      <c r="B846" s="59"/>
      <c r="K846" s="51"/>
    </row>
    <row r="847" spans="2:11">
      <c r="B847" s="59"/>
      <c r="K847" s="51"/>
    </row>
    <row r="848" spans="2:11">
      <c r="B848" s="59"/>
      <c r="K848" s="51"/>
    </row>
    <row r="849" spans="2:11">
      <c r="B849" s="59"/>
      <c r="K849" s="51"/>
    </row>
    <row r="850" spans="2:11">
      <c r="B850" s="59"/>
      <c r="K850" s="51"/>
    </row>
    <row r="851" spans="2:11">
      <c r="B851" s="59"/>
      <c r="K851" s="51"/>
    </row>
    <row r="852" spans="2:11">
      <c r="B852" s="59"/>
      <c r="K852" s="51"/>
    </row>
    <row r="853" spans="2:11">
      <c r="B853" s="59"/>
      <c r="K853" s="51"/>
    </row>
    <row r="854" spans="2:11">
      <c r="B854" s="59"/>
      <c r="K854" s="51"/>
    </row>
    <row r="855" spans="2:11">
      <c r="B855" s="59"/>
      <c r="K855" s="51"/>
    </row>
    <row r="856" spans="2:11">
      <c r="B856" s="59"/>
      <c r="K856" s="51"/>
    </row>
    <row r="857" spans="2:11">
      <c r="B857" s="59"/>
      <c r="K857" s="51"/>
    </row>
    <row r="858" spans="2:11">
      <c r="B858" s="59"/>
      <c r="K858" s="51"/>
    </row>
    <row r="859" spans="2:11">
      <c r="B859" s="59"/>
      <c r="K859" s="51"/>
    </row>
    <row r="860" spans="2:11">
      <c r="B860" s="59"/>
      <c r="K860" s="51"/>
    </row>
    <row r="861" spans="2:11">
      <c r="B861" s="59"/>
      <c r="K861" s="51"/>
    </row>
    <row r="862" spans="2:11">
      <c r="B862" s="59"/>
      <c r="K862" s="51"/>
    </row>
    <row r="863" spans="2:11">
      <c r="B863" s="59"/>
      <c r="K863" s="51"/>
    </row>
    <row r="864" spans="2:11">
      <c r="B864" s="59"/>
      <c r="K864" s="51"/>
    </row>
    <row r="865" spans="2:11">
      <c r="B865" s="59"/>
      <c r="K865" s="51"/>
    </row>
    <row r="866" spans="2:11">
      <c r="B866" s="59"/>
      <c r="K866" s="51"/>
    </row>
    <row r="867" spans="2:11">
      <c r="B867" s="59"/>
      <c r="K867" s="51"/>
    </row>
    <row r="868" spans="2:11">
      <c r="B868" s="59"/>
      <c r="K868" s="51"/>
    </row>
    <row r="869" spans="2:11">
      <c r="B869" s="59"/>
      <c r="K869" s="51"/>
    </row>
    <row r="870" spans="2:11">
      <c r="B870" s="59"/>
      <c r="K870" s="51"/>
    </row>
    <row r="871" spans="2:11">
      <c r="B871" s="59"/>
      <c r="K871" s="51"/>
    </row>
    <row r="872" spans="2:11">
      <c r="B872" s="59"/>
      <c r="K872" s="51"/>
    </row>
    <row r="873" spans="2:11">
      <c r="B873" s="59"/>
      <c r="K873" s="51"/>
    </row>
    <row r="874" spans="2:11">
      <c r="B874" s="59"/>
      <c r="K874" s="51"/>
    </row>
    <row r="875" spans="2:11">
      <c r="B875" s="59"/>
      <c r="K875" s="51"/>
    </row>
    <row r="876" spans="2:11">
      <c r="B876" s="59"/>
      <c r="K876" s="51"/>
    </row>
    <row r="877" spans="2:11">
      <c r="B877" s="59"/>
      <c r="K877" s="51"/>
    </row>
    <row r="878" spans="2:11">
      <c r="B878" s="59"/>
      <c r="K878" s="51"/>
    </row>
    <row r="879" spans="2:11">
      <c r="B879" s="59"/>
      <c r="K879" s="51"/>
    </row>
    <row r="880" spans="2:11">
      <c r="B880" s="59"/>
      <c r="K880" s="51"/>
    </row>
    <row r="881" spans="2:11">
      <c r="B881" s="59"/>
      <c r="K881" s="51"/>
    </row>
    <row r="882" spans="2:11">
      <c r="B882" s="59"/>
      <c r="K882" s="51"/>
    </row>
    <row r="883" spans="2:11">
      <c r="B883" s="59"/>
      <c r="K883" s="51"/>
    </row>
    <row r="884" spans="2:11">
      <c r="B884" s="59"/>
      <c r="K884" s="51"/>
    </row>
    <row r="885" spans="2:11">
      <c r="B885" s="59"/>
      <c r="K885" s="51"/>
    </row>
    <row r="886" spans="2:11">
      <c r="B886" s="59"/>
      <c r="K886" s="51"/>
    </row>
    <row r="887" spans="2:11">
      <c r="B887" s="59"/>
      <c r="K887" s="51"/>
    </row>
    <row r="888" spans="2:11">
      <c r="B888" s="59"/>
      <c r="K888" s="51"/>
    </row>
    <row r="889" spans="2:11">
      <c r="B889" s="59"/>
      <c r="K889" s="51"/>
    </row>
    <row r="890" spans="2:11">
      <c r="B890" s="59"/>
      <c r="K890" s="51"/>
    </row>
    <row r="891" spans="2:11">
      <c r="B891" s="59"/>
      <c r="K891" s="51"/>
    </row>
    <row r="892" spans="2:11">
      <c r="B892" s="59"/>
      <c r="K892" s="51"/>
    </row>
    <row r="893" spans="2:11">
      <c r="B893" s="59"/>
      <c r="K893" s="51"/>
    </row>
    <row r="894" spans="2:11">
      <c r="B894" s="59"/>
      <c r="K894" s="51"/>
    </row>
    <row r="895" spans="2:11">
      <c r="B895" s="59"/>
      <c r="K895" s="51"/>
    </row>
    <row r="896" spans="2:11">
      <c r="B896" s="59"/>
      <c r="K896" s="51"/>
    </row>
    <row r="897" spans="2:11">
      <c r="B897" s="59"/>
      <c r="K897" s="51"/>
    </row>
    <row r="898" spans="2:11">
      <c r="B898" s="59"/>
      <c r="K898" s="51"/>
    </row>
    <row r="899" spans="2:11">
      <c r="B899" s="59"/>
      <c r="K899" s="51"/>
    </row>
    <row r="900" spans="2:11">
      <c r="B900" s="59"/>
      <c r="K900" s="51"/>
    </row>
    <row r="901" spans="2:11">
      <c r="B901" s="59"/>
      <c r="K901" s="51"/>
    </row>
    <row r="902" spans="2:11">
      <c r="B902" s="59"/>
      <c r="K902" s="51"/>
    </row>
    <row r="903" spans="2:11">
      <c r="B903" s="59"/>
      <c r="K903" s="51"/>
    </row>
    <row r="904" spans="2:11">
      <c r="B904" s="59"/>
      <c r="K904" s="51"/>
    </row>
    <row r="905" spans="2:11">
      <c r="B905" s="59"/>
      <c r="K905" s="51"/>
    </row>
    <row r="906" spans="2:11">
      <c r="B906" s="59"/>
      <c r="K906" s="51"/>
    </row>
    <row r="907" spans="2:11">
      <c r="B907" s="59"/>
      <c r="K907" s="51"/>
    </row>
    <row r="908" spans="2:11">
      <c r="B908" s="59"/>
      <c r="K908" s="51"/>
    </row>
    <row r="909" spans="2:11">
      <c r="B909" s="59"/>
      <c r="K909" s="51"/>
    </row>
    <row r="910" spans="2:11">
      <c r="B910" s="59"/>
      <c r="K910" s="51"/>
    </row>
    <row r="911" spans="2:11">
      <c r="B911" s="59"/>
      <c r="K911" s="51"/>
    </row>
    <row r="912" spans="2:11">
      <c r="B912" s="59"/>
      <c r="K912" s="51"/>
    </row>
    <row r="913" spans="2:11">
      <c r="B913" s="59"/>
      <c r="K913" s="51"/>
    </row>
    <row r="914" spans="2:11">
      <c r="B914" s="59"/>
      <c r="K914" s="51"/>
    </row>
    <row r="915" spans="2:11">
      <c r="B915" s="59"/>
      <c r="K915" s="51"/>
    </row>
    <row r="916" spans="2:11">
      <c r="B916" s="59"/>
      <c r="K916" s="51"/>
    </row>
    <row r="917" spans="2:11">
      <c r="B917" s="59"/>
      <c r="K917" s="51"/>
    </row>
    <row r="918" spans="2:11">
      <c r="B918" s="59"/>
      <c r="K918" s="51"/>
    </row>
    <row r="919" spans="2:11">
      <c r="B919" s="59"/>
      <c r="K919" s="51"/>
    </row>
    <row r="920" spans="2:11">
      <c r="B920" s="59"/>
      <c r="K920" s="51"/>
    </row>
    <row r="921" spans="2:11">
      <c r="B921" s="59"/>
      <c r="K921" s="51"/>
    </row>
    <row r="922" spans="2:11">
      <c r="B922" s="59"/>
      <c r="K922" s="51"/>
    </row>
    <row r="923" spans="2:11">
      <c r="B923" s="59"/>
      <c r="K923" s="51"/>
    </row>
    <row r="924" spans="2:11">
      <c r="B924" s="59"/>
      <c r="K924" s="51"/>
    </row>
    <row r="925" spans="2:11">
      <c r="B925" s="59"/>
      <c r="K925" s="51"/>
    </row>
    <row r="926" spans="2:11">
      <c r="B926" s="59"/>
      <c r="K926" s="51"/>
    </row>
    <row r="927" spans="2:11">
      <c r="B927" s="59"/>
      <c r="K927" s="51"/>
    </row>
    <row r="928" spans="2:11">
      <c r="B928" s="59"/>
      <c r="K928" s="51"/>
    </row>
    <row r="929" spans="2:11">
      <c r="B929" s="59"/>
      <c r="K929" s="51"/>
    </row>
    <row r="930" spans="2:11">
      <c r="B930" s="59"/>
      <c r="K930" s="51"/>
    </row>
    <row r="931" spans="2:11">
      <c r="B931" s="59"/>
      <c r="K931" s="51"/>
    </row>
    <row r="932" spans="2:11">
      <c r="B932" s="59"/>
      <c r="K932" s="51"/>
    </row>
    <row r="933" spans="2:11">
      <c r="B933" s="59"/>
      <c r="K933" s="51"/>
    </row>
    <row r="934" spans="2:11">
      <c r="B934" s="59"/>
      <c r="K934" s="51"/>
    </row>
    <row r="935" spans="2:11">
      <c r="B935" s="59"/>
      <c r="K935" s="51"/>
    </row>
    <row r="936" spans="2:11">
      <c r="B936" s="59"/>
      <c r="K936" s="51"/>
    </row>
    <row r="937" spans="2:11">
      <c r="B937" s="59"/>
      <c r="K937" s="51"/>
    </row>
    <row r="938" spans="2:11">
      <c r="B938" s="59"/>
      <c r="K938" s="51"/>
    </row>
    <row r="939" spans="2:11">
      <c r="B939" s="59"/>
      <c r="K939" s="51"/>
    </row>
    <row r="940" spans="2:11">
      <c r="B940" s="59"/>
      <c r="K940" s="51"/>
    </row>
    <row r="941" spans="2:11">
      <c r="B941" s="59"/>
      <c r="K941" s="51"/>
    </row>
    <row r="942" spans="2:11">
      <c r="B942" s="59"/>
      <c r="K942" s="51"/>
    </row>
    <row r="943" spans="2:11">
      <c r="B943" s="59"/>
      <c r="K943" s="51"/>
    </row>
    <row r="944" spans="2:11">
      <c r="B944" s="59"/>
      <c r="K944" s="51"/>
    </row>
    <row r="945" spans="2:11">
      <c r="B945" s="59"/>
      <c r="K945" s="51"/>
    </row>
    <row r="946" spans="2:11">
      <c r="B946" s="59"/>
      <c r="K946" s="51"/>
    </row>
    <row r="947" spans="2:11">
      <c r="B947" s="59"/>
      <c r="K947" s="51"/>
    </row>
    <row r="948" spans="2:11">
      <c r="B948" s="59"/>
      <c r="K948" s="51"/>
    </row>
    <row r="949" spans="2:11">
      <c r="B949" s="59"/>
      <c r="K949" s="51"/>
    </row>
    <row r="950" spans="2:11">
      <c r="B950" s="59"/>
      <c r="K950" s="51"/>
    </row>
    <row r="951" spans="2:11">
      <c r="B951" s="59"/>
      <c r="K951" s="51"/>
    </row>
    <row r="952" spans="2:11">
      <c r="B952" s="59"/>
      <c r="K952" s="51"/>
    </row>
    <row r="953" spans="2:11">
      <c r="B953" s="59"/>
      <c r="K953" s="51"/>
    </row>
    <row r="954" spans="2:11">
      <c r="B954" s="59"/>
      <c r="K954" s="51"/>
    </row>
    <row r="955" spans="2:11">
      <c r="B955" s="59"/>
      <c r="K955" s="51"/>
    </row>
    <row r="956" spans="2:11">
      <c r="B956" s="59"/>
      <c r="K956" s="51"/>
    </row>
    <row r="957" spans="2:11">
      <c r="B957" s="59"/>
      <c r="K957" s="51"/>
    </row>
    <row r="958" spans="2:11">
      <c r="B958" s="59"/>
      <c r="K958" s="51"/>
    </row>
    <row r="959" spans="2:11">
      <c r="B959" s="59"/>
      <c r="K959" s="51"/>
    </row>
    <row r="960" spans="2:11">
      <c r="B960" s="59"/>
      <c r="K960" s="51"/>
    </row>
    <row r="961" spans="2:11">
      <c r="B961" s="59"/>
      <c r="K961" s="51"/>
    </row>
    <row r="962" spans="2:11">
      <c r="B962" s="59"/>
      <c r="K962" s="51"/>
    </row>
    <row r="963" spans="2:11">
      <c r="B963" s="59"/>
      <c r="K963" s="51"/>
    </row>
    <row r="964" spans="2:11">
      <c r="B964" s="59"/>
      <c r="K964" s="51"/>
    </row>
    <row r="965" spans="2:11">
      <c r="B965" s="59"/>
      <c r="K965" s="51"/>
    </row>
    <row r="966" spans="2:11">
      <c r="B966" s="59"/>
      <c r="K966" s="51"/>
    </row>
    <row r="967" spans="2:11">
      <c r="B967" s="59"/>
      <c r="K967" s="51"/>
    </row>
    <row r="968" spans="2:11">
      <c r="B968" s="59"/>
      <c r="K968" s="51"/>
    </row>
    <row r="969" spans="2:11">
      <c r="B969" s="59"/>
      <c r="K969" s="51"/>
    </row>
    <row r="970" spans="2:11">
      <c r="B970" s="59"/>
      <c r="K970" s="51"/>
    </row>
    <row r="971" spans="2:11">
      <c r="B971" s="59"/>
      <c r="K971" s="51"/>
    </row>
    <row r="972" spans="2:11">
      <c r="B972" s="59"/>
      <c r="K972" s="51"/>
    </row>
    <row r="973" spans="2:11">
      <c r="B973" s="59"/>
      <c r="K973" s="51"/>
    </row>
    <row r="974" spans="2:11">
      <c r="B974" s="59"/>
      <c r="K974" s="51"/>
    </row>
    <row r="975" spans="2:11">
      <c r="B975" s="59"/>
      <c r="K975" s="51"/>
    </row>
    <row r="976" spans="2:11">
      <c r="B976" s="59"/>
      <c r="K976" s="51"/>
    </row>
    <row r="977" spans="2:11">
      <c r="B977" s="59"/>
      <c r="K977" s="51"/>
    </row>
    <row r="978" spans="2:11">
      <c r="B978" s="59"/>
      <c r="K978" s="51"/>
    </row>
    <row r="979" spans="2:11">
      <c r="B979" s="59"/>
      <c r="K979" s="51"/>
    </row>
    <row r="980" spans="2:11">
      <c r="B980" s="59"/>
      <c r="K980" s="51"/>
    </row>
    <row r="981" spans="2:11">
      <c r="B981" s="59"/>
      <c r="K981" s="51"/>
    </row>
    <row r="982" spans="2:11">
      <c r="B982" s="59"/>
      <c r="K982" s="51"/>
    </row>
    <row r="983" spans="2:11">
      <c r="B983" s="59"/>
      <c r="K983" s="51"/>
    </row>
    <row r="984" spans="2:11">
      <c r="B984" s="59"/>
      <c r="K984" s="51"/>
    </row>
    <row r="985" spans="2:11">
      <c r="B985" s="59"/>
      <c r="K985" s="51"/>
    </row>
    <row r="986" spans="2:11">
      <c r="B986" s="59"/>
      <c r="K986" s="51"/>
    </row>
    <row r="987" spans="2:11">
      <c r="B987" s="59"/>
      <c r="K987" s="51"/>
    </row>
    <row r="988" spans="2:11">
      <c r="B988" s="59"/>
      <c r="K988" s="51"/>
    </row>
    <row r="989" spans="2:11">
      <c r="B989" s="59"/>
      <c r="K989" s="51"/>
    </row>
    <row r="990" spans="2:11">
      <c r="B990" s="59"/>
      <c r="K990" s="51"/>
    </row>
    <row r="991" spans="2:11">
      <c r="B991" s="59"/>
      <c r="K991" s="51"/>
    </row>
    <row r="992" spans="2:11">
      <c r="B992" s="59"/>
      <c r="K992" s="51"/>
    </row>
    <row r="993" spans="2:11">
      <c r="B993" s="59"/>
      <c r="K993" s="51"/>
    </row>
    <row r="994" spans="2:11">
      <c r="B994" s="59"/>
      <c r="K994" s="51"/>
    </row>
    <row r="995" spans="2:11">
      <c r="B995" s="59"/>
      <c r="K995" s="51"/>
    </row>
    <row r="996" spans="2:11"/>
    <row r="997" spans="2:11"/>
    <row r="998" spans="2:11"/>
    <row r="999" spans="2: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main-data</vt:lpstr>
      <vt:lpstr>x</vt:lpstr>
      <vt:lpstr>banking-financial</vt:lpstr>
      <vt:lpstr>commodities</vt:lpstr>
      <vt:lpstr>consumer</vt:lpstr>
      <vt:lpstr>tower-telecommunication</vt:lpstr>
      <vt:lpstr>construction-property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Asus</cp:lastModifiedBy>
  <dcterms:created xsi:type="dcterms:W3CDTF">2021-09-10T04:01:16Z</dcterms:created>
  <dcterms:modified xsi:type="dcterms:W3CDTF">2022-06-14T18:56:24Z</dcterms:modified>
</cp:coreProperties>
</file>